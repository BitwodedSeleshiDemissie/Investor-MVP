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sco\Downloads\"/>
    </mc:Choice>
  </mc:AlternateContent>
  <xr:revisionPtr revIDLastSave="0" documentId="13_ncr:1_{B18486C2-618A-4927-B5C1-F2F4CD35E8A7}" xr6:coauthVersionLast="47" xr6:coauthVersionMax="47" xr10:uidLastSave="{00000000-0000-0000-0000-000000000000}"/>
  <bookViews>
    <workbookView xWindow="-19140" yWindow="-21720" windowWidth="38640" windowHeight="21120" activeTab="3" xr2:uid="{DCBF2E6E-02B0-45B6-9B9F-E70550E301D4}"/>
  </bookViews>
  <sheets>
    <sheet name="Statements (Raw)" sheetId="1" r:id="rId1"/>
    <sheet name="Trade Log" sheetId="2" r:id="rId2"/>
    <sheet name="Holdings" sheetId="3" r:id="rId3"/>
    <sheet name="Portfolio Metrics" sheetId="4" r:id="rId4"/>
    <sheet name="IRR Analysis" sheetId="6" r:id="rId5"/>
    <sheet name="Monthly Returns" sheetId="5" r:id="rId6"/>
    <sheet name="Investor Report" sheetId="7" state="hidden" r:id="rId7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3" l="1" a="1"/>
  <c r="K8" i="3" s="1"/>
  <c r="B41" i="4"/>
  <c r="B40" i="4"/>
  <c r="B39" i="4"/>
  <c r="B38" i="4"/>
  <c r="B37" i="4"/>
  <c r="N28" i="7" l="1"/>
  <c r="N11" i="7"/>
  <c r="N12" i="7"/>
  <c r="N13" i="7"/>
  <c r="N14" i="7"/>
  <c r="N15" i="7"/>
  <c r="G39" i="7"/>
  <c r="S25" i="7" s="1"/>
  <c r="G38" i="7"/>
  <c r="S24" i="7" s="1"/>
  <c r="G37" i="7"/>
  <c r="S23" i="7" s="1"/>
  <c r="G36" i="7"/>
  <c r="S22" i="7" s="1"/>
  <c r="G35" i="7"/>
  <c r="S21" i="7" s="1"/>
  <c r="G34" i="7"/>
  <c r="S20" i="7" s="1"/>
  <c r="G33" i="7"/>
  <c r="S19" i="7" s="1"/>
  <c r="G32" i="7"/>
  <c r="S18" i="7" s="1"/>
  <c r="G31" i="7"/>
  <c r="S17" i="7" s="1"/>
  <c r="G30" i="7"/>
  <c r="S16" i="7" s="1"/>
  <c r="G29" i="7"/>
  <c r="S15" i="7" s="1"/>
  <c r="G28" i="7"/>
  <c r="S14" i="7" s="1"/>
  <c r="G27" i="7"/>
  <c r="S13" i="7" s="1"/>
  <c r="G26" i="7"/>
  <c r="S12" i="7" s="1"/>
  <c r="H25" i="7"/>
  <c r="R38" i="7" s="1"/>
  <c r="G25" i="7"/>
  <c r="S11" i="7" s="1"/>
  <c r="A3" i="7"/>
  <c r="A16" i="6" a="1"/>
  <c r="A16" i="6" s="1"/>
  <c r="B16" i="6" s="1" a="1"/>
  <c r="B16" i="6" s="1"/>
  <c r="C6" i="5" a="1"/>
  <c r="C6" i="5" s="1"/>
  <c r="H304" i="6"/>
  <c r="H303" i="6"/>
  <c r="H302" i="6"/>
  <c r="H301" i="6"/>
  <c r="H300" i="6"/>
  <c r="H299" i="6"/>
  <c r="H298" i="6"/>
  <c r="H297" i="6"/>
  <c r="H296" i="6"/>
  <c r="H295" i="6"/>
  <c r="H294" i="6"/>
  <c r="H293" i="6"/>
  <c r="H292" i="6"/>
  <c r="H291" i="6"/>
  <c r="H290" i="6"/>
  <c r="H289" i="6"/>
  <c r="H288" i="6"/>
  <c r="H287" i="6"/>
  <c r="H286" i="6"/>
  <c r="H285" i="6"/>
  <c r="H284" i="6"/>
  <c r="H283" i="6"/>
  <c r="H282" i="6"/>
  <c r="H281" i="6"/>
  <c r="H280" i="6"/>
  <c r="H279" i="6"/>
  <c r="H278" i="6"/>
  <c r="H277" i="6"/>
  <c r="H276" i="6"/>
  <c r="H275" i="6"/>
  <c r="H274" i="6"/>
  <c r="H273" i="6"/>
  <c r="H272" i="6"/>
  <c r="H271" i="6"/>
  <c r="H270" i="6"/>
  <c r="H269" i="6"/>
  <c r="H268" i="6"/>
  <c r="H267" i="6"/>
  <c r="H266" i="6"/>
  <c r="H265" i="6"/>
  <c r="H264" i="6"/>
  <c r="H263" i="6"/>
  <c r="H262" i="6"/>
  <c r="H261" i="6"/>
  <c r="H260" i="6"/>
  <c r="H259" i="6"/>
  <c r="H258" i="6"/>
  <c r="H257" i="6"/>
  <c r="H256" i="6"/>
  <c r="H255" i="6"/>
  <c r="H254" i="6"/>
  <c r="H253" i="6"/>
  <c r="H252" i="6"/>
  <c r="H251" i="6"/>
  <c r="H250" i="6"/>
  <c r="H249" i="6"/>
  <c r="H248" i="6"/>
  <c r="H247" i="6"/>
  <c r="H246" i="6"/>
  <c r="H245" i="6"/>
  <c r="H244" i="6"/>
  <c r="H243" i="6"/>
  <c r="H242" i="6"/>
  <c r="H241" i="6"/>
  <c r="H240" i="6"/>
  <c r="H239" i="6"/>
  <c r="H238" i="6"/>
  <c r="H237" i="6"/>
  <c r="H236" i="6"/>
  <c r="H235" i="6"/>
  <c r="H234" i="6"/>
  <c r="H233" i="6"/>
  <c r="H232" i="6"/>
  <c r="H231" i="6"/>
  <c r="H230" i="6"/>
  <c r="H229" i="6"/>
  <c r="H228" i="6"/>
  <c r="H227" i="6"/>
  <c r="H226" i="6"/>
  <c r="H225" i="6"/>
  <c r="H224" i="6"/>
  <c r="H223" i="6"/>
  <c r="H222" i="6"/>
  <c r="H221" i="6"/>
  <c r="H220" i="6"/>
  <c r="H219" i="6"/>
  <c r="H218" i="6"/>
  <c r="H217" i="6"/>
  <c r="H216" i="6"/>
  <c r="H215" i="6"/>
  <c r="H214" i="6"/>
  <c r="H213" i="6"/>
  <c r="H212" i="6"/>
  <c r="H211" i="6"/>
  <c r="H210" i="6"/>
  <c r="H209" i="6"/>
  <c r="H208" i="6"/>
  <c r="H207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G304" i="6"/>
  <c r="F304" i="6"/>
  <c r="G303" i="6"/>
  <c r="F303" i="6"/>
  <c r="G302" i="6"/>
  <c r="F302" i="6"/>
  <c r="G301" i="6"/>
  <c r="F301" i="6"/>
  <c r="G300" i="6"/>
  <c r="F300" i="6"/>
  <c r="G299" i="6"/>
  <c r="F299" i="6"/>
  <c r="G298" i="6"/>
  <c r="F298" i="6"/>
  <c r="G297" i="6"/>
  <c r="F297" i="6"/>
  <c r="G296" i="6"/>
  <c r="F296" i="6"/>
  <c r="G295" i="6"/>
  <c r="F295" i="6"/>
  <c r="G294" i="6"/>
  <c r="F294" i="6"/>
  <c r="G293" i="6"/>
  <c r="F293" i="6"/>
  <c r="G292" i="6"/>
  <c r="F292" i="6"/>
  <c r="G291" i="6"/>
  <c r="F291" i="6"/>
  <c r="G290" i="6"/>
  <c r="F290" i="6"/>
  <c r="G289" i="6"/>
  <c r="F289" i="6"/>
  <c r="G288" i="6"/>
  <c r="F288" i="6"/>
  <c r="G287" i="6"/>
  <c r="F287" i="6"/>
  <c r="G286" i="6"/>
  <c r="F286" i="6"/>
  <c r="G285" i="6"/>
  <c r="F285" i="6"/>
  <c r="G284" i="6"/>
  <c r="F284" i="6"/>
  <c r="G283" i="6"/>
  <c r="F283" i="6"/>
  <c r="G282" i="6"/>
  <c r="F282" i="6"/>
  <c r="G281" i="6"/>
  <c r="F281" i="6"/>
  <c r="G280" i="6"/>
  <c r="F280" i="6"/>
  <c r="G279" i="6"/>
  <c r="F279" i="6"/>
  <c r="G278" i="6"/>
  <c r="F278" i="6"/>
  <c r="G277" i="6"/>
  <c r="F277" i="6"/>
  <c r="G276" i="6"/>
  <c r="F276" i="6"/>
  <c r="G275" i="6"/>
  <c r="F275" i="6"/>
  <c r="G274" i="6"/>
  <c r="F274" i="6"/>
  <c r="G273" i="6"/>
  <c r="F273" i="6"/>
  <c r="G272" i="6"/>
  <c r="F272" i="6"/>
  <c r="G271" i="6"/>
  <c r="F271" i="6"/>
  <c r="G270" i="6"/>
  <c r="F270" i="6"/>
  <c r="G269" i="6"/>
  <c r="F269" i="6"/>
  <c r="G268" i="6"/>
  <c r="F268" i="6"/>
  <c r="G267" i="6"/>
  <c r="F267" i="6"/>
  <c r="G266" i="6"/>
  <c r="F266" i="6"/>
  <c r="G265" i="6"/>
  <c r="F265" i="6"/>
  <c r="G264" i="6"/>
  <c r="F264" i="6"/>
  <c r="G263" i="6"/>
  <c r="F263" i="6"/>
  <c r="G262" i="6"/>
  <c r="F262" i="6"/>
  <c r="G261" i="6"/>
  <c r="F261" i="6"/>
  <c r="G260" i="6"/>
  <c r="F260" i="6"/>
  <c r="G259" i="6"/>
  <c r="F259" i="6"/>
  <c r="G258" i="6"/>
  <c r="F258" i="6"/>
  <c r="G257" i="6"/>
  <c r="F257" i="6"/>
  <c r="G256" i="6"/>
  <c r="F256" i="6"/>
  <c r="G255" i="6"/>
  <c r="F255" i="6"/>
  <c r="G254" i="6"/>
  <c r="F254" i="6"/>
  <c r="G253" i="6"/>
  <c r="F253" i="6"/>
  <c r="G252" i="6"/>
  <c r="F252" i="6"/>
  <c r="G251" i="6"/>
  <c r="F251" i="6"/>
  <c r="G250" i="6"/>
  <c r="F250" i="6"/>
  <c r="G249" i="6"/>
  <c r="F249" i="6"/>
  <c r="G248" i="6"/>
  <c r="F248" i="6"/>
  <c r="G247" i="6"/>
  <c r="F247" i="6"/>
  <c r="G246" i="6"/>
  <c r="F246" i="6"/>
  <c r="G245" i="6"/>
  <c r="F245" i="6"/>
  <c r="G244" i="6"/>
  <c r="F244" i="6"/>
  <c r="G243" i="6"/>
  <c r="F243" i="6"/>
  <c r="G242" i="6"/>
  <c r="F242" i="6"/>
  <c r="G241" i="6"/>
  <c r="F241" i="6"/>
  <c r="G240" i="6"/>
  <c r="F240" i="6"/>
  <c r="G239" i="6"/>
  <c r="F239" i="6"/>
  <c r="G238" i="6"/>
  <c r="F238" i="6"/>
  <c r="G237" i="6"/>
  <c r="F237" i="6"/>
  <c r="G236" i="6"/>
  <c r="F236" i="6"/>
  <c r="G235" i="6"/>
  <c r="F235" i="6"/>
  <c r="G234" i="6"/>
  <c r="F234" i="6"/>
  <c r="G233" i="6"/>
  <c r="F233" i="6"/>
  <c r="G232" i="6"/>
  <c r="F232" i="6"/>
  <c r="G231" i="6"/>
  <c r="F231" i="6"/>
  <c r="G230" i="6"/>
  <c r="F230" i="6"/>
  <c r="G229" i="6"/>
  <c r="F229" i="6"/>
  <c r="G228" i="6"/>
  <c r="F228" i="6"/>
  <c r="G227" i="6"/>
  <c r="F227" i="6"/>
  <c r="G226" i="6"/>
  <c r="F226" i="6"/>
  <c r="G225" i="6"/>
  <c r="F225" i="6"/>
  <c r="G224" i="6"/>
  <c r="F224" i="6"/>
  <c r="G223" i="6"/>
  <c r="F223" i="6"/>
  <c r="G222" i="6"/>
  <c r="F222" i="6"/>
  <c r="G221" i="6"/>
  <c r="F221" i="6"/>
  <c r="G220" i="6"/>
  <c r="F220" i="6"/>
  <c r="G219" i="6"/>
  <c r="F219" i="6"/>
  <c r="G218" i="6"/>
  <c r="F218" i="6"/>
  <c r="G217" i="6"/>
  <c r="F217" i="6"/>
  <c r="G216" i="6"/>
  <c r="F216" i="6"/>
  <c r="G215" i="6"/>
  <c r="F215" i="6"/>
  <c r="G214" i="6"/>
  <c r="F214" i="6"/>
  <c r="G213" i="6"/>
  <c r="F213" i="6"/>
  <c r="G212" i="6"/>
  <c r="F212" i="6"/>
  <c r="G211" i="6"/>
  <c r="F211" i="6"/>
  <c r="G210" i="6"/>
  <c r="F210" i="6"/>
  <c r="G209" i="6"/>
  <c r="F209" i="6"/>
  <c r="G208" i="6"/>
  <c r="F208" i="6"/>
  <c r="G207" i="6"/>
  <c r="F207" i="6"/>
  <c r="G206" i="6"/>
  <c r="F206" i="6"/>
  <c r="G205" i="6"/>
  <c r="F205" i="6"/>
  <c r="G204" i="6"/>
  <c r="F204" i="6"/>
  <c r="G203" i="6"/>
  <c r="F203" i="6"/>
  <c r="G202" i="6"/>
  <c r="F202" i="6"/>
  <c r="G201" i="6"/>
  <c r="F201" i="6"/>
  <c r="G200" i="6"/>
  <c r="F200" i="6"/>
  <c r="G199" i="6"/>
  <c r="F199" i="6"/>
  <c r="G198" i="6"/>
  <c r="F198" i="6"/>
  <c r="G197" i="6"/>
  <c r="F197" i="6"/>
  <c r="G196" i="6"/>
  <c r="F196" i="6"/>
  <c r="G195" i="6"/>
  <c r="F195" i="6"/>
  <c r="G194" i="6"/>
  <c r="F194" i="6"/>
  <c r="G193" i="6"/>
  <c r="F193" i="6"/>
  <c r="G192" i="6"/>
  <c r="F192" i="6"/>
  <c r="G191" i="6"/>
  <c r="F191" i="6"/>
  <c r="G190" i="6"/>
  <c r="F190" i="6"/>
  <c r="G189" i="6"/>
  <c r="F189" i="6"/>
  <c r="G188" i="6"/>
  <c r="F188" i="6"/>
  <c r="G187" i="6"/>
  <c r="F187" i="6"/>
  <c r="G186" i="6"/>
  <c r="F186" i="6"/>
  <c r="G185" i="6"/>
  <c r="F185" i="6"/>
  <c r="G184" i="6"/>
  <c r="F184" i="6"/>
  <c r="G183" i="6"/>
  <c r="F183" i="6"/>
  <c r="G182" i="6"/>
  <c r="F182" i="6"/>
  <c r="G181" i="6"/>
  <c r="F181" i="6"/>
  <c r="G180" i="6"/>
  <c r="F180" i="6"/>
  <c r="G179" i="6"/>
  <c r="F179" i="6"/>
  <c r="G178" i="6"/>
  <c r="F178" i="6"/>
  <c r="G177" i="6"/>
  <c r="F177" i="6"/>
  <c r="G176" i="6"/>
  <c r="F176" i="6"/>
  <c r="G175" i="6"/>
  <c r="F175" i="6"/>
  <c r="G174" i="6"/>
  <c r="F174" i="6"/>
  <c r="G173" i="6"/>
  <c r="F173" i="6"/>
  <c r="G172" i="6"/>
  <c r="F172" i="6"/>
  <c r="G171" i="6"/>
  <c r="F171" i="6"/>
  <c r="G170" i="6"/>
  <c r="F170" i="6"/>
  <c r="G169" i="6"/>
  <c r="F169" i="6"/>
  <c r="G168" i="6"/>
  <c r="F168" i="6"/>
  <c r="G167" i="6"/>
  <c r="F167" i="6"/>
  <c r="G166" i="6"/>
  <c r="F166" i="6"/>
  <c r="G165" i="6"/>
  <c r="F165" i="6"/>
  <c r="G164" i="6"/>
  <c r="F164" i="6"/>
  <c r="G163" i="6"/>
  <c r="F163" i="6"/>
  <c r="G162" i="6"/>
  <c r="F162" i="6"/>
  <c r="G161" i="6"/>
  <c r="F161" i="6"/>
  <c r="G160" i="6"/>
  <c r="F160" i="6"/>
  <c r="G159" i="6"/>
  <c r="F159" i="6"/>
  <c r="G158" i="6"/>
  <c r="F158" i="6"/>
  <c r="G157" i="6"/>
  <c r="F157" i="6"/>
  <c r="G156" i="6"/>
  <c r="F156" i="6"/>
  <c r="G155" i="6"/>
  <c r="F155" i="6"/>
  <c r="G154" i="6"/>
  <c r="F154" i="6"/>
  <c r="G153" i="6"/>
  <c r="F153" i="6"/>
  <c r="G152" i="6"/>
  <c r="F152" i="6"/>
  <c r="G151" i="6"/>
  <c r="F151" i="6"/>
  <c r="G150" i="6"/>
  <c r="F150" i="6"/>
  <c r="G149" i="6"/>
  <c r="F149" i="6"/>
  <c r="G148" i="6"/>
  <c r="F148" i="6"/>
  <c r="G147" i="6"/>
  <c r="F147" i="6"/>
  <c r="G146" i="6"/>
  <c r="F146" i="6"/>
  <c r="G145" i="6"/>
  <c r="F145" i="6"/>
  <c r="G144" i="6"/>
  <c r="F144" i="6"/>
  <c r="G143" i="6"/>
  <c r="F143" i="6"/>
  <c r="G142" i="6"/>
  <c r="F142" i="6"/>
  <c r="G141" i="6"/>
  <c r="F141" i="6"/>
  <c r="G140" i="6"/>
  <c r="F140" i="6"/>
  <c r="G139" i="6"/>
  <c r="F139" i="6"/>
  <c r="G138" i="6"/>
  <c r="F138" i="6"/>
  <c r="G137" i="6"/>
  <c r="F137" i="6"/>
  <c r="G136" i="6"/>
  <c r="F136" i="6"/>
  <c r="G135" i="6"/>
  <c r="F135" i="6"/>
  <c r="G134" i="6"/>
  <c r="F134" i="6"/>
  <c r="G133" i="6"/>
  <c r="F133" i="6"/>
  <c r="G132" i="6"/>
  <c r="F132" i="6"/>
  <c r="G131" i="6"/>
  <c r="F131" i="6"/>
  <c r="G130" i="6"/>
  <c r="F130" i="6"/>
  <c r="G129" i="6"/>
  <c r="F129" i="6"/>
  <c r="G128" i="6"/>
  <c r="F128" i="6"/>
  <c r="G127" i="6"/>
  <c r="F127" i="6"/>
  <c r="G126" i="6"/>
  <c r="F126" i="6"/>
  <c r="G125" i="6"/>
  <c r="F125" i="6"/>
  <c r="G124" i="6"/>
  <c r="F124" i="6"/>
  <c r="G123" i="6"/>
  <c r="F123" i="6"/>
  <c r="G122" i="6"/>
  <c r="F122" i="6"/>
  <c r="G121" i="6"/>
  <c r="F121" i="6"/>
  <c r="G120" i="6"/>
  <c r="F120" i="6"/>
  <c r="G119" i="6"/>
  <c r="F119" i="6"/>
  <c r="G118" i="6"/>
  <c r="F118" i="6"/>
  <c r="G117" i="6"/>
  <c r="F117" i="6"/>
  <c r="G116" i="6"/>
  <c r="F116" i="6"/>
  <c r="G115" i="6"/>
  <c r="F115" i="6"/>
  <c r="G114" i="6"/>
  <c r="F114" i="6"/>
  <c r="G113" i="6"/>
  <c r="F113" i="6"/>
  <c r="G112" i="6"/>
  <c r="F112" i="6"/>
  <c r="G111" i="6"/>
  <c r="F111" i="6"/>
  <c r="G110" i="6"/>
  <c r="F110" i="6"/>
  <c r="G109" i="6"/>
  <c r="F109" i="6"/>
  <c r="G108" i="6"/>
  <c r="F108" i="6"/>
  <c r="G107" i="6"/>
  <c r="F107" i="6"/>
  <c r="G106" i="6"/>
  <c r="F106" i="6"/>
  <c r="G105" i="6"/>
  <c r="F105" i="6"/>
  <c r="G104" i="6"/>
  <c r="F104" i="6"/>
  <c r="G103" i="6"/>
  <c r="F103" i="6"/>
  <c r="G102" i="6"/>
  <c r="F102" i="6"/>
  <c r="G101" i="6"/>
  <c r="F101" i="6"/>
  <c r="G100" i="6"/>
  <c r="F100" i="6"/>
  <c r="G99" i="6"/>
  <c r="F99" i="6"/>
  <c r="G98" i="6"/>
  <c r="F98" i="6"/>
  <c r="G97" i="6"/>
  <c r="F97" i="6"/>
  <c r="G96" i="6"/>
  <c r="F96" i="6"/>
  <c r="G95" i="6"/>
  <c r="F95" i="6"/>
  <c r="G94" i="6"/>
  <c r="F94" i="6"/>
  <c r="G93" i="6"/>
  <c r="F93" i="6"/>
  <c r="G92" i="6"/>
  <c r="F92" i="6"/>
  <c r="G91" i="6"/>
  <c r="F91" i="6"/>
  <c r="G90" i="6"/>
  <c r="F90" i="6"/>
  <c r="G89" i="6"/>
  <c r="F89" i="6"/>
  <c r="G88" i="6"/>
  <c r="F88" i="6"/>
  <c r="G87" i="6"/>
  <c r="F87" i="6"/>
  <c r="G86" i="6"/>
  <c r="F86" i="6"/>
  <c r="D102" i="3"/>
  <c r="C102" i="3"/>
  <c r="B102" i="3"/>
  <c r="D101" i="3"/>
  <c r="H101" i="3" s="1"/>
  <c r="K101" i="3" s="1" a="1"/>
  <c r="K101" i="3" s="1"/>
  <c r="C101" i="3"/>
  <c r="B101" i="3"/>
  <c r="D100" i="3"/>
  <c r="E100" i="3" s="1"/>
  <c r="C100" i="3"/>
  <c r="B100" i="3"/>
  <c r="D99" i="3"/>
  <c r="C99" i="3"/>
  <c r="B99" i="3"/>
  <c r="D98" i="3"/>
  <c r="C98" i="3"/>
  <c r="B98" i="3"/>
  <c r="D97" i="3"/>
  <c r="E97" i="3" s="1"/>
  <c r="C97" i="3"/>
  <c r="B97" i="3"/>
  <c r="D96" i="3"/>
  <c r="C96" i="3"/>
  <c r="B96" i="3"/>
  <c r="D95" i="3"/>
  <c r="H95" i="3" s="1"/>
  <c r="K95" i="3" s="1" a="1"/>
  <c r="K95" i="3" s="1"/>
  <c r="C95" i="3"/>
  <c r="B95" i="3"/>
  <c r="D94" i="3"/>
  <c r="C94" i="3"/>
  <c r="B94" i="3"/>
  <c r="D93" i="3"/>
  <c r="C93" i="3"/>
  <c r="B93" i="3"/>
  <c r="D92" i="3"/>
  <c r="F92" i="3" s="1"/>
  <c r="C92" i="3"/>
  <c r="B92" i="3"/>
  <c r="D91" i="3"/>
  <c r="E91" i="3" s="1"/>
  <c r="C91" i="3"/>
  <c r="B91" i="3"/>
  <c r="D90" i="3"/>
  <c r="C90" i="3"/>
  <c r="B90" i="3"/>
  <c r="D89" i="3"/>
  <c r="F89" i="3" s="1"/>
  <c r="J89" i="3" s="1"/>
  <c r="C89" i="3"/>
  <c r="B89" i="3"/>
  <c r="D88" i="3"/>
  <c r="C88" i="3"/>
  <c r="B88" i="3"/>
  <c r="D87" i="3"/>
  <c r="C87" i="3"/>
  <c r="B87" i="3"/>
  <c r="D86" i="3"/>
  <c r="H86" i="3" s="1"/>
  <c r="K86" i="3" s="1" a="1"/>
  <c r="K86" i="3" s="1"/>
  <c r="C86" i="3"/>
  <c r="B86" i="3"/>
  <c r="D85" i="3"/>
  <c r="E85" i="3" s="1"/>
  <c r="C85" i="3"/>
  <c r="B85" i="3"/>
  <c r="D84" i="3"/>
  <c r="C84" i="3"/>
  <c r="B84" i="3"/>
  <c r="D83" i="3"/>
  <c r="F83" i="3" s="1"/>
  <c r="J83" i="3" s="1"/>
  <c r="C83" i="3"/>
  <c r="B83" i="3"/>
  <c r="D82" i="3"/>
  <c r="I82" i="3" s="1"/>
  <c r="C82" i="3"/>
  <c r="B82" i="3"/>
  <c r="D81" i="3"/>
  <c r="C81" i="3"/>
  <c r="B81" i="3"/>
  <c r="D80" i="3"/>
  <c r="H80" i="3" s="1"/>
  <c r="K80" i="3" s="1" a="1"/>
  <c r="K80" i="3" s="1"/>
  <c r="C80" i="3"/>
  <c r="B80" i="3"/>
  <c r="D79" i="3"/>
  <c r="E79" i="3" s="1"/>
  <c r="C79" i="3"/>
  <c r="B79" i="3"/>
  <c r="D78" i="3"/>
  <c r="C78" i="3"/>
  <c r="B78" i="3"/>
  <c r="D77" i="3"/>
  <c r="C77" i="3"/>
  <c r="B77" i="3"/>
  <c r="D76" i="3"/>
  <c r="I76" i="3" s="1"/>
  <c r="C76" i="3"/>
  <c r="B76" i="3"/>
  <c r="D75" i="3"/>
  <c r="E75" i="3" s="1"/>
  <c r="C75" i="3"/>
  <c r="B75" i="3"/>
  <c r="D74" i="3"/>
  <c r="C74" i="3"/>
  <c r="B74" i="3"/>
  <c r="D73" i="3"/>
  <c r="F73" i="3" s="1"/>
  <c r="C73" i="3"/>
  <c r="B73" i="3"/>
  <c r="D72" i="3"/>
  <c r="C72" i="3"/>
  <c r="B72" i="3"/>
  <c r="D71" i="3"/>
  <c r="H71" i="3" s="1"/>
  <c r="K71" i="3" s="1" a="1"/>
  <c r="K71" i="3" s="1"/>
  <c r="C71" i="3"/>
  <c r="B71" i="3"/>
  <c r="D70" i="3"/>
  <c r="I70" i="3" s="1"/>
  <c r="C70" i="3"/>
  <c r="B70" i="3"/>
  <c r="D69" i="3"/>
  <c r="C69" i="3"/>
  <c r="B69" i="3"/>
  <c r="D68" i="3"/>
  <c r="C68" i="3"/>
  <c r="B68" i="3"/>
  <c r="D67" i="3"/>
  <c r="C67" i="3"/>
  <c r="B67" i="3"/>
  <c r="D66" i="3"/>
  <c r="C66" i="3"/>
  <c r="B66" i="3"/>
  <c r="D65" i="3"/>
  <c r="H65" i="3" s="1"/>
  <c r="K65" i="3" s="1" a="1"/>
  <c r="K65" i="3" s="1"/>
  <c r="C65" i="3"/>
  <c r="B65" i="3"/>
  <c r="D64" i="3"/>
  <c r="F64" i="3" s="1"/>
  <c r="C64" i="3"/>
  <c r="B64" i="3"/>
  <c r="D63" i="3"/>
  <c r="I63" i="3" s="1"/>
  <c r="C63" i="3"/>
  <c r="B63" i="3"/>
  <c r="D62" i="3"/>
  <c r="C62" i="3"/>
  <c r="B62" i="3"/>
  <c r="D61" i="3"/>
  <c r="C61" i="3"/>
  <c r="B61" i="3"/>
  <c r="D60" i="3"/>
  <c r="C60" i="3"/>
  <c r="B60" i="3"/>
  <c r="D59" i="3"/>
  <c r="C59" i="3"/>
  <c r="B59" i="3"/>
  <c r="D58" i="3"/>
  <c r="C58" i="3"/>
  <c r="B58" i="3"/>
  <c r="D57" i="3"/>
  <c r="C57" i="3"/>
  <c r="B57" i="3"/>
  <c r="D56" i="3"/>
  <c r="C56" i="3"/>
  <c r="B56" i="3"/>
  <c r="D55" i="3"/>
  <c r="H55" i="3" s="1"/>
  <c r="K55" i="3" s="1" a="1"/>
  <c r="K55" i="3" s="1"/>
  <c r="C55" i="3"/>
  <c r="B55" i="3"/>
  <c r="D54" i="3"/>
  <c r="C54" i="3"/>
  <c r="B54" i="3"/>
  <c r="D53" i="3"/>
  <c r="E53" i="3" s="1"/>
  <c r="C53" i="3"/>
  <c r="B53" i="3"/>
  <c r="A6" i="5"/>
  <c r="F25" i="7" s="1"/>
  <c r="O46" i="7" l="1"/>
  <c r="O47" i="7"/>
  <c r="O48" i="7"/>
  <c r="O52" i="7"/>
  <c r="O31" i="7"/>
  <c r="C16" i="6"/>
  <c r="Q38" i="7"/>
  <c r="N31" i="7"/>
  <c r="O49" i="7"/>
  <c r="O50" i="7"/>
  <c r="O51" i="7"/>
  <c r="A7" i="2"/>
  <c r="H7" i="2" s="1"/>
  <c r="A13" i="2"/>
  <c r="J13" i="2" s="1"/>
  <c r="A64" i="2"/>
  <c r="I64" i="2" s="1"/>
  <c r="A70" i="2"/>
  <c r="B70" i="2" s="1"/>
  <c r="A148" i="2"/>
  <c r="G148" i="2" s="1"/>
  <c r="D6" i="5" a="1"/>
  <c r="D6" i="5" s="1"/>
  <c r="A28" i="2"/>
  <c r="J28" i="2" s="1"/>
  <c r="A50" i="2"/>
  <c r="I50" i="2" s="1"/>
  <c r="A173" i="2"/>
  <c r="H173" i="2" s="1"/>
  <c r="A204" i="2"/>
  <c r="F204" i="2" s="1"/>
  <c r="A10" i="6" a="1"/>
  <c r="A10" i="6" s="1"/>
  <c r="A13" i="6" a="1"/>
  <c r="A13" i="6" s="1"/>
  <c r="A95" i="2"/>
  <c r="F95" i="2" s="1"/>
  <c r="B13" i="2"/>
  <c r="A481" i="2"/>
  <c r="G481" i="2" s="1"/>
  <c r="F3" i="6"/>
  <c r="A272" i="2"/>
  <c r="J272" i="2" s="1"/>
  <c r="A124" i="2"/>
  <c r="F124" i="2" s="1"/>
  <c r="A102" i="2"/>
  <c r="A89" i="2"/>
  <c r="B89" i="2" s="1"/>
  <c r="A62" i="2"/>
  <c r="I62" i="2" s="1"/>
  <c r="A53" i="2"/>
  <c r="H53" i="2" s="1"/>
  <c r="A45" i="2"/>
  <c r="H45" i="2" s="1"/>
  <c r="A42" i="2"/>
  <c r="C42" i="2" s="1"/>
  <c r="D42" i="2" s="1"/>
  <c r="E42" i="2" s="1"/>
  <c r="A34" i="2"/>
  <c r="C34" i="2" s="1"/>
  <c r="D34" i="2" s="1"/>
  <c r="E34" i="2" s="1"/>
  <c r="A15" i="2"/>
  <c r="H15" i="2" s="1"/>
  <c r="A9" i="2"/>
  <c r="F9" i="2" s="1"/>
  <c r="A5" i="2"/>
  <c r="A422" i="2"/>
  <c r="J422" i="2" s="1"/>
  <c r="A201" i="2"/>
  <c r="I201" i="2" s="1"/>
  <c r="A172" i="2"/>
  <c r="A152" i="2"/>
  <c r="F152" i="2" s="1"/>
  <c r="A121" i="2"/>
  <c r="J121" i="2" s="1"/>
  <c r="A82" i="2"/>
  <c r="H82" i="2" s="1"/>
  <c r="A74" i="2"/>
  <c r="C74" i="2" s="1"/>
  <c r="D74" i="2" s="1"/>
  <c r="E74" i="2" s="1"/>
  <c r="A68" i="2"/>
  <c r="C68" i="2" s="1"/>
  <c r="D68" i="2" s="1"/>
  <c r="E68" i="2" s="1"/>
  <c r="A51" i="2"/>
  <c r="B51" i="2" s="1"/>
  <c r="A40" i="2"/>
  <c r="C40" i="2" s="1"/>
  <c r="D40" i="2" s="1"/>
  <c r="E40" i="2" s="1"/>
  <c r="A30" i="2"/>
  <c r="A19" i="2"/>
  <c r="B19" i="2" s="1"/>
  <c r="A14" i="2"/>
  <c r="I14" i="2" s="1"/>
  <c r="A98" i="2"/>
  <c r="G98" i="2" s="1"/>
  <c r="A88" i="2"/>
  <c r="H88" i="2" s="1"/>
  <c r="A80" i="2"/>
  <c r="J80" i="2" s="1"/>
  <c r="A71" i="2"/>
  <c r="B71" i="2" s="1"/>
  <c r="A65" i="2"/>
  <c r="H65" i="2" s="1"/>
  <c r="A59" i="2"/>
  <c r="H59" i="2" s="1"/>
  <c r="A25" i="2"/>
  <c r="F25" i="2" s="1"/>
  <c r="A250" i="2"/>
  <c r="B250" i="2" s="1"/>
  <c r="A403" i="2"/>
  <c r="H403" i="2" s="1"/>
  <c r="A267" i="2"/>
  <c r="F267" i="2" s="1"/>
  <c r="A39" i="6" a="1"/>
  <c r="A39" i="6" s="1"/>
  <c r="B39" i="6" s="1" a="1"/>
  <c r="B39" i="6" s="1"/>
  <c r="A36" i="6" a="1"/>
  <c r="A36" i="6" s="1"/>
  <c r="B36" i="6" s="1" a="1"/>
  <c r="B36" i="6" s="1"/>
  <c r="A33" i="6" a="1"/>
  <c r="A33" i="6" s="1"/>
  <c r="B33" i="6" s="1" a="1"/>
  <c r="B33" i="6" s="1"/>
  <c r="A30" i="6" a="1"/>
  <c r="A30" i="6" s="1"/>
  <c r="C30" i="6" s="1"/>
  <c r="A27" i="6" a="1"/>
  <c r="A27" i="6" s="1"/>
  <c r="A24" i="6" a="1"/>
  <c r="A24" i="6" s="1"/>
  <c r="A21" i="6" a="1"/>
  <c r="A21" i="6" s="1"/>
  <c r="C21" i="6" s="1"/>
  <c r="A18" i="6" a="1"/>
  <c r="A18" i="6" s="1"/>
  <c r="C18" i="6" s="1"/>
  <c r="A15" i="6" a="1"/>
  <c r="A15" i="6" s="1"/>
  <c r="A12" i="6" a="1"/>
  <c r="A12" i="6" s="1"/>
  <c r="A379" i="2"/>
  <c r="I379" i="2" s="1"/>
  <c r="A197" i="2"/>
  <c r="G197" i="2" s="1"/>
  <c r="A166" i="2"/>
  <c r="I166" i="2" s="1"/>
  <c r="A118" i="2"/>
  <c r="C118" i="2" s="1"/>
  <c r="D118" i="2" s="1"/>
  <c r="E118" i="2" s="1"/>
  <c r="A96" i="2"/>
  <c r="H96" i="2" s="1"/>
  <c r="A79" i="2"/>
  <c r="B79" i="2" s="1"/>
  <c r="A57" i="2"/>
  <c r="J57" i="2" s="1"/>
  <c r="A44" i="2"/>
  <c r="F44" i="2" s="1"/>
  <c r="A39" i="2"/>
  <c r="B39" i="2" s="1"/>
  <c r="A8" i="2"/>
  <c r="F8" i="2" s="1"/>
  <c r="A4" i="2"/>
  <c r="G4" i="2" s="1"/>
  <c r="A358" i="2"/>
  <c r="B358" i="2" s="1"/>
  <c r="A354" i="2"/>
  <c r="C354" i="2" s="1"/>
  <c r="A191" i="2"/>
  <c r="C191" i="2" s="1"/>
  <c r="D191" i="2" s="1"/>
  <c r="E191" i="2" s="1"/>
  <c r="A145" i="2"/>
  <c r="I145" i="2" s="1"/>
  <c r="A114" i="2"/>
  <c r="I114" i="2" s="1"/>
  <c r="A87" i="2"/>
  <c r="F87" i="2" s="1"/>
  <c r="A33" i="2"/>
  <c r="A18" i="2"/>
  <c r="C18" i="2" s="1"/>
  <c r="D18" i="2" s="1"/>
  <c r="E18" i="2" s="1"/>
  <c r="A312" i="2"/>
  <c r="F312" i="2" s="1"/>
  <c r="A242" i="2"/>
  <c r="B242" i="2" s="1"/>
  <c r="A164" i="2"/>
  <c r="H164" i="2" s="1"/>
  <c r="A140" i="2"/>
  <c r="J140" i="2" s="1"/>
  <c r="A110" i="2"/>
  <c r="I110" i="2" s="1"/>
  <c r="A56" i="2"/>
  <c r="J56" i="2" s="1"/>
  <c r="A38" i="2"/>
  <c r="H38" i="2" s="1"/>
  <c r="A32" i="2"/>
  <c r="A38" i="6" a="1"/>
  <c r="A38" i="6" s="1"/>
  <c r="B38" i="6" s="1" a="1"/>
  <c r="B38" i="6" s="1"/>
  <c r="A35" i="6" a="1"/>
  <c r="A35" i="6" s="1"/>
  <c r="A32" i="6" a="1"/>
  <c r="A32" i="6" s="1"/>
  <c r="A29" i="6" a="1"/>
  <c r="A29" i="6" s="1"/>
  <c r="C29" i="6" s="1"/>
  <c r="A26" i="6" a="1"/>
  <c r="A26" i="6" s="1"/>
  <c r="A23" i="6" a="1"/>
  <c r="A23" i="6" s="1"/>
  <c r="C23" i="6" s="1"/>
  <c r="A20" i="6" a="1"/>
  <c r="A20" i="6" s="1"/>
  <c r="A17" i="6" a="1"/>
  <c r="A17" i="6" s="1"/>
  <c r="A14" i="6" a="1"/>
  <c r="A14" i="6" s="1"/>
  <c r="A11" i="6" a="1"/>
  <c r="A11" i="6" s="1"/>
  <c r="A217" i="2"/>
  <c r="J217" i="2" s="1"/>
  <c r="A187" i="2"/>
  <c r="G187" i="2" s="1"/>
  <c r="A137" i="2"/>
  <c r="J137" i="2" s="1"/>
  <c r="A92" i="2"/>
  <c r="F92" i="2" s="1"/>
  <c r="A85" i="2"/>
  <c r="J85" i="2" s="1"/>
  <c r="A78" i="2"/>
  <c r="C78" i="2" s="1"/>
  <c r="A69" i="2"/>
  <c r="C69" i="2" s="1"/>
  <c r="D69" i="2" s="1"/>
  <c r="E69" i="2" s="1"/>
  <c r="A63" i="2"/>
  <c r="C63" i="2" s="1"/>
  <c r="D63" i="2" s="1"/>
  <c r="E63" i="2" s="1"/>
  <c r="A43" i="2"/>
  <c r="C43" i="2" s="1"/>
  <c r="D43" i="2" s="1"/>
  <c r="E43" i="2" s="1"/>
  <c r="A6" i="2"/>
  <c r="B6" i="2" s="1"/>
  <c r="A55" i="2"/>
  <c r="B55" i="2" s="1"/>
  <c r="A27" i="2"/>
  <c r="A17" i="2"/>
  <c r="A11" i="2"/>
  <c r="C11" i="2" s="1"/>
  <c r="D11" i="2" s="1"/>
  <c r="E11" i="2" s="1"/>
  <c r="B3" i="6"/>
  <c r="A34" i="6" a="1"/>
  <c r="A34" i="6" s="1"/>
  <c r="A31" i="6" a="1"/>
  <c r="A31" i="6" s="1"/>
  <c r="C31" i="6" s="1"/>
  <c r="A302" i="2"/>
  <c r="B302" i="2" s="1"/>
  <c r="A185" i="2"/>
  <c r="C185" i="2" s="1"/>
  <c r="D185" i="2" s="1"/>
  <c r="E185" i="2" s="1"/>
  <c r="A132" i="2"/>
  <c r="I132" i="2" s="1"/>
  <c r="A105" i="2"/>
  <c r="C105" i="2" s="1"/>
  <c r="D105" i="2" s="1"/>
  <c r="E105" i="2" s="1"/>
  <c r="A76" i="2"/>
  <c r="H76" i="2" s="1"/>
  <c r="A23" i="2"/>
  <c r="A294" i="2"/>
  <c r="J294" i="2" s="1"/>
  <c r="A209" i="2"/>
  <c r="B209" i="2" s="1"/>
  <c r="A179" i="2"/>
  <c r="J179" i="2" s="1"/>
  <c r="A157" i="2"/>
  <c r="C157" i="2" s="1"/>
  <c r="D157" i="2" s="1"/>
  <c r="E157" i="2" s="1"/>
  <c r="A75" i="2"/>
  <c r="A49" i="2"/>
  <c r="A31" i="2"/>
  <c r="J31" i="2" s="1"/>
  <c r="A21" i="2"/>
  <c r="G21" i="2" s="1"/>
  <c r="A177" i="2"/>
  <c r="I177" i="2" s="1"/>
  <c r="A154" i="2"/>
  <c r="H154" i="2" s="1"/>
  <c r="A130" i="2"/>
  <c r="F130" i="2" s="1"/>
  <c r="A91" i="2"/>
  <c r="B91" i="2" s="1"/>
  <c r="A46" i="2"/>
  <c r="C46" i="2" s="1"/>
  <c r="A37" i="2"/>
  <c r="A20" i="2"/>
  <c r="I20" i="2" s="1"/>
  <c r="A37" i="6" a="1"/>
  <c r="A37" i="6" s="1"/>
  <c r="B37" i="6" s="1" a="1"/>
  <c r="B37" i="6" s="1"/>
  <c r="A103" i="2"/>
  <c r="A19" i="6" a="1"/>
  <c r="A19" i="6" s="1"/>
  <c r="C50" i="2"/>
  <c r="D50" i="2" s="1"/>
  <c r="E50" i="2" s="1"/>
  <c r="A26" i="2"/>
  <c r="H26" i="2" s="1"/>
  <c r="A22" i="6" a="1"/>
  <c r="A22" i="6" s="1"/>
  <c r="A129" i="2"/>
  <c r="F129" i="2" s="1"/>
  <c r="A25" i="6" a="1"/>
  <c r="A25" i="6" s="1"/>
  <c r="C25" i="6" s="1"/>
  <c r="A28" i="6" a="1"/>
  <c r="A28" i="6" s="1"/>
  <c r="C28" i="6" s="1"/>
  <c r="A52" i="2"/>
  <c r="A58" i="2"/>
  <c r="A108" i="2"/>
  <c r="A116" i="2"/>
  <c r="A127" i="2"/>
  <c r="A143" i="2"/>
  <c r="A193" i="2"/>
  <c r="A199" i="2"/>
  <c r="A281" i="2"/>
  <c r="A295" i="2"/>
  <c r="A311" i="2"/>
  <c r="A337" i="2"/>
  <c r="A134" i="2"/>
  <c r="A202" i="2"/>
  <c r="A214" i="2"/>
  <c r="A224" i="2"/>
  <c r="A248" i="2"/>
  <c r="A349" i="2"/>
  <c r="A104" i="2"/>
  <c r="A107" i="2"/>
  <c r="A115" i="2"/>
  <c r="A126" i="2"/>
  <c r="A149" i="2"/>
  <c r="A158" i="2"/>
  <c r="A225" i="2"/>
  <c r="A273" i="2"/>
  <c r="A298" i="2"/>
  <c r="A315" i="2"/>
  <c r="A406" i="2"/>
  <c r="A544" i="2"/>
  <c r="A101" i="2"/>
  <c r="A112" i="2"/>
  <c r="A198" i="2"/>
  <c r="A205" i="2"/>
  <c r="A260" i="2"/>
  <c r="A61" i="2"/>
  <c r="A86" i="2"/>
  <c r="A90" i="2"/>
  <c r="A97" i="2"/>
  <c r="A109" i="2"/>
  <c r="A120" i="2"/>
  <c r="A128" i="2"/>
  <c r="A139" i="2"/>
  <c r="A151" i="2"/>
  <c r="A160" i="2"/>
  <c r="A196" i="2"/>
  <c r="A229" i="2"/>
  <c r="A237" i="2"/>
  <c r="A245" i="2"/>
  <c r="A253" i="2"/>
  <c r="A265" i="2"/>
  <c r="A269" i="2"/>
  <c r="A299" i="2"/>
  <c r="A431" i="2"/>
  <c r="A67" i="2"/>
  <c r="A10" i="2"/>
  <c r="A29" i="2"/>
  <c r="A35" i="2"/>
  <c r="A54" i="2"/>
  <c r="A73" i="2"/>
  <c r="A77" i="2"/>
  <c r="A81" i="2"/>
  <c r="A153" i="2"/>
  <c r="A162" i="2"/>
  <c r="A180" i="2"/>
  <c r="A182" i="2"/>
  <c r="A230" i="2"/>
  <c r="A279" i="2"/>
  <c r="A292" i="2"/>
  <c r="A992" i="2"/>
  <c r="A980" i="2"/>
  <c r="A968" i="2"/>
  <c r="A956" i="2"/>
  <c r="A944" i="2"/>
  <c r="A993" i="2"/>
  <c r="A981" i="2"/>
  <c r="A994" i="2"/>
  <c r="A982" i="2"/>
  <c r="A970" i="2"/>
  <c r="A958" i="2"/>
  <c r="A946" i="2"/>
  <c r="A934" i="2"/>
  <c r="A995" i="2"/>
  <c r="A983" i="2"/>
  <c r="A971" i="2"/>
  <c r="A959" i="2"/>
  <c r="A947" i="2"/>
  <c r="A935" i="2"/>
  <c r="A996" i="2"/>
  <c r="A984" i="2"/>
  <c r="A997" i="2"/>
  <c r="A985" i="2"/>
  <c r="A973" i="2"/>
  <c r="A961" i="2"/>
  <c r="A949" i="2"/>
  <c r="A937" i="2"/>
  <c r="A925" i="2"/>
  <c r="A913" i="2"/>
  <c r="A998" i="2"/>
  <c r="A967" i="2"/>
  <c r="A939" i="2"/>
  <c r="A936" i="2"/>
  <c r="A910" i="2"/>
  <c r="A898" i="2"/>
  <c r="A987" i="2"/>
  <c r="A957" i="2"/>
  <c r="A952" i="2"/>
  <c r="A929" i="2"/>
  <c r="A923" i="2"/>
  <c r="A917" i="2"/>
  <c r="A899" i="2"/>
  <c r="A887" i="2"/>
  <c r="A1000" i="2"/>
  <c r="A979" i="2"/>
  <c r="A977" i="2"/>
  <c r="A975" i="2"/>
  <c r="A965" i="2"/>
  <c r="A960" i="2"/>
  <c r="A933" i="2"/>
  <c r="A911" i="2"/>
  <c r="A900" i="2"/>
  <c r="A888" i="2"/>
  <c r="A989" i="2"/>
  <c r="A950" i="2"/>
  <c r="A942" i="2"/>
  <c r="A924" i="2"/>
  <c r="A918" i="2"/>
  <c r="A901" i="2"/>
  <c r="A889" i="2"/>
  <c r="A1002" i="2"/>
  <c r="A963" i="2"/>
  <c r="A955" i="2"/>
  <c r="A930" i="2"/>
  <c r="A912" i="2"/>
  <c r="A902" i="2"/>
  <c r="A890" i="2"/>
  <c r="A991" i="2"/>
  <c r="A945" i="2"/>
  <c r="A940" i="2"/>
  <c r="A919" i="2"/>
  <c r="A903" i="2"/>
  <c r="A891" i="2"/>
  <c r="A879" i="2"/>
  <c r="A867" i="2"/>
  <c r="A855" i="2"/>
  <c r="A953" i="2"/>
  <c r="A926" i="2"/>
  <c r="A892" i="2"/>
  <c r="A886" i="2"/>
  <c r="A873" i="2"/>
  <c r="A854" i="2"/>
  <c r="A845" i="2"/>
  <c r="A966" i="2"/>
  <c r="A931" i="2"/>
  <c r="A914" i="2"/>
  <c r="A905" i="2"/>
  <c r="A880" i="2"/>
  <c r="A988" i="2"/>
  <c r="A976" i="2"/>
  <c r="A943" i="2"/>
  <c r="A894" i="2"/>
  <c r="A884" i="2"/>
  <c r="A1001" i="2"/>
  <c r="A969" i="2"/>
  <c r="A921" i="2"/>
  <c r="A907" i="2"/>
  <c r="A881" i="2"/>
  <c r="A862" i="2"/>
  <c r="A856" i="2"/>
  <c r="A972" i="2"/>
  <c r="A928" i="2"/>
  <c r="A978" i="2"/>
  <c r="A974" i="2"/>
  <c r="A951" i="2"/>
  <c r="A927" i="2"/>
  <c r="A906" i="2"/>
  <c r="A877" i="2"/>
  <c r="A871" i="2"/>
  <c r="A962" i="2"/>
  <c r="A916" i="2"/>
  <c r="A869" i="2"/>
  <c r="A864" i="2"/>
  <c r="A948" i="2"/>
  <c r="A878" i="2"/>
  <c r="A859" i="2"/>
  <c r="A846" i="2"/>
  <c r="A833" i="2"/>
  <c r="A999" i="2"/>
  <c r="A920" i="2"/>
  <c r="A876" i="2"/>
  <c r="A852" i="2"/>
  <c r="A840" i="2"/>
  <c r="A834" i="2"/>
  <c r="A915" i="2"/>
  <c r="A874" i="2"/>
  <c r="A990" i="2"/>
  <c r="A941" i="2"/>
  <c r="A865" i="2"/>
  <c r="A857" i="2"/>
  <c r="A841" i="2"/>
  <c r="A835" i="2"/>
  <c r="A824" i="2"/>
  <c r="A812" i="2"/>
  <c r="A938" i="2"/>
  <c r="A954" i="2"/>
  <c r="A893" i="2"/>
  <c r="A866" i="2"/>
  <c r="A860" i="2"/>
  <c r="A851" i="2"/>
  <c r="A832" i="2"/>
  <c r="A829" i="2"/>
  <c r="A826" i="2"/>
  <c r="A820" i="2"/>
  <c r="A814" i="2"/>
  <c r="A801" i="2"/>
  <c r="A789" i="2"/>
  <c r="A777" i="2"/>
  <c r="A765" i="2"/>
  <c r="A753" i="2"/>
  <c r="A909" i="2"/>
  <c r="A849" i="2"/>
  <c r="A838" i="2"/>
  <c r="A808" i="2"/>
  <c r="A802" i="2"/>
  <c r="A868" i="2"/>
  <c r="A964" i="2"/>
  <c r="A885" i="2"/>
  <c r="A836" i="2"/>
  <c r="A809" i="2"/>
  <c r="A803" i="2"/>
  <c r="A792" i="2"/>
  <c r="A908" i="2"/>
  <c r="A847" i="2"/>
  <c r="A844" i="2"/>
  <c r="A830" i="2"/>
  <c r="A827" i="2"/>
  <c r="A822" i="2"/>
  <c r="A816" i="2"/>
  <c r="A986" i="2"/>
  <c r="A904" i="2"/>
  <c r="A896" i="2"/>
  <c r="A848" i="2"/>
  <c r="A837" i="2"/>
  <c r="A831" i="2"/>
  <c r="A828" i="2"/>
  <c r="A818" i="2"/>
  <c r="A797" i="2"/>
  <c r="A785" i="2"/>
  <c r="A773" i="2"/>
  <c r="A805" i="2"/>
  <c r="A783" i="2"/>
  <c r="A779" i="2"/>
  <c r="A763" i="2"/>
  <c r="A870" i="2"/>
  <c r="A850" i="2"/>
  <c r="A798" i="2"/>
  <c r="A793" i="2"/>
  <c r="A790" i="2"/>
  <c r="A897" i="2"/>
  <c r="A883" i="2"/>
  <c r="A810" i="2"/>
  <c r="A787" i="2"/>
  <c r="A764" i="2"/>
  <c r="A758" i="2"/>
  <c r="A784" i="2"/>
  <c r="A780" i="2"/>
  <c r="A771" i="2"/>
  <c r="A752" i="2"/>
  <c r="A740" i="2"/>
  <c r="A932" i="2"/>
  <c r="A882" i="2"/>
  <c r="A858" i="2"/>
  <c r="A853" i="2"/>
  <c r="A796" i="2"/>
  <c r="A776" i="2"/>
  <c r="A759" i="2"/>
  <c r="A741" i="2"/>
  <c r="A729" i="2"/>
  <c r="A825" i="2"/>
  <c r="A823" i="2"/>
  <c r="A821" i="2"/>
  <c r="A819" i="2"/>
  <c r="A811" i="2"/>
  <c r="A895" i="2"/>
  <c r="A875" i="2"/>
  <c r="A863" i="2"/>
  <c r="A791" i="2"/>
  <c r="A736" i="2"/>
  <c r="A721" i="2"/>
  <c r="A709" i="2"/>
  <c r="A697" i="2"/>
  <c r="A804" i="2"/>
  <c r="A794" i="2"/>
  <c r="A788" i="2"/>
  <c r="A778" i="2"/>
  <c r="A749" i="2"/>
  <c r="A745" i="2"/>
  <c r="A731" i="2"/>
  <c r="A722" i="2"/>
  <c r="A710" i="2"/>
  <c r="A839" i="2"/>
  <c r="A815" i="2"/>
  <c r="A762" i="2"/>
  <c r="A723" i="2"/>
  <c r="A711" i="2"/>
  <c r="A699" i="2"/>
  <c r="A861" i="2"/>
  <c r="A767" i="2"/>
  <c r="A754" i="2"/>
  <c r="A737" i="2"/>
  <c r="A732" i="2"/>
  <c r="A724" i="2"/>
  <c r="A712" i="2"/>
  <c r="A700" i="2"/>
  <c r="A688" i="2"/>
  <c r="A676" i="2"/>
  <c r="A872" i="2"/>
  <c r="A782" i="2"/>
  <c r="A769" i="2"/>
  <c r="A760" i="2"/>
  <c r="A757" i="2"/>
  <c r="A750" i="2"/>
  <c r="A746" i="2"/>
  <c r="A742" i="2"/>
  <c r="A725" i="2"/>
  <c r="A713" i="2"/>
  <c r="A701" i="2"/>
  <c r="A689" i="2"/>
  <c r="A677" i="2"/>
  <c r="A922" i="2"/>
  <c r="A807" i="2"/>
  <c r="A800" i="2"/>
  <c r="A733" i="2"/>
  <c r="A726" i="2"/>
  <c r="A714" i="2"/>
  <c r="A702" i="2"/>
  <c r="A690" i="2"/>
  <c r="A678" i="2"/>
  <c r="A843" i="2"/>
  <c r="A806" i="2"/>
  <c r="A727" i="2"/>
  <c r="A703" i="2"/>
  <c r="A666" i="2"/>
  <c r="A654" i="2"/>
  <c r="A642" i="2"/>
  <c r="A630" i="2"/>
  <c r="A618" i="2"/>
  <c r="A606" i="2"/>
  <c r="A594" i="2"/>
  <c r="A582" i="2"/>
  <c r="A570" i="2"/>
  <c r="A558" i="2"/>
  <c r="A799" i="2"/>
  <c r="A755" i="2"/>
  <c r="A781" i="2"/>
  <c r="A772" i="2"/>
  <c r="A768" i="2"/>
  <c r="A761" i="2"/>
  <c r="A739" i="2"/>
  <c r="A718" i="2"/>
  <c r="A685" i="2"/>
  <c r="A682" i="2"/>
  <c r="A679" i="2"/>
  <c r="A669" i="2"/>
  <c r="A657" i="2"/>
  <c r="A645" i="2"/>
  <c r="A633" i="2"/>
  <c r="A786" i="2"/>
  <c r="A842" i="2"/>
  <c r="A813" i="2"/>
  <c r="A751" i="2"/>
  <c r="A748" i="2"/>
  <c r="A738" i="2"/>
  <c r="A719" i="2"/>
  <c r="A716" i="2"/>
  <c r="A698" i="2"/>
  <c r="A674" i="2"/>
  <c r="A671" i="2"/>
  <c r="A667" i="2"/>
  <c r="A650" i="2"/>
  <c r="A646" i="2"/>
  <c r="A623" i="2"/>
  <c r="A604" i="2"/>
  <c r="A735" i="2"/>
  <c r="A684" i="2"/>
  <c r="A663" i="2"/>
  <c r="A659" i="2"/>
  <c r="A629" i="2"/>
  <c r="A617" i="2"/>
  <c r="A611" i="2"/>
  <c r="A775" i="2"/>
  <c r="A770" i="2"/>
  <c r="A747" i="2"/>
  <c r="A744" i="2"/>
  <c r="A691" i="2"/>
  <c r="A655" i="2"/>
  <c r="A638" i="2"/>
  <c r="A634" i="2"/>
  <c r="A624" i="2"/>
  <c r="A605" i="2"/>
  <c r="A599" i="2"/>
  <c r="A708" i="2"/>
  <c r="A705" i="2"/>
  <c r="A693" i="2"/>
  <c r="A680" i="2"/>
  <c r="A668" i="2"/>
  <c r="A651" i="2"/>
  <c r="A647" i="2"/>
  <c r="A612" i="2"/>
  <c r="A593" i="2"/>
  <c r="A587" i="2"/>
  <c r="A568" i="2"/>
  <c r="A795" i="2"/>
  <c r="A756" i="2"/>
  <c r="A730" i="2"/>
  <c r="A706" i="2"/>
  <c r="A696" i="2"/>
  <c r="A686" i="2"/>
  <c r="A641" i="2"/>
  <c r="A637" i="2"/>
  <c r="A683" i="2"/>
  <c r="A665" i="2"/>
  <c r="A627" i="2"/>
  <c r="A595" i="2"/>
  <c r="A573" i="2"/>
  <c r="A817" i="2"/>
  <c r="A660" i="2"/>
  <c r="A631" i="2"/>
  <c r="A603" i="2"/>
  <c r="A585" i="2"/>
  <c r="A704" i="2"/>
  <c r="A658" i="2"/>
  <c r="A649" i="2"/>
  <c r="A640" i="2"/>
  <c r="A610" i="2"/>
  <c r="A608" i="2"/>
  <c r="A681" i="2"/>
  <c r="A670" i="2"/>
  <c r="A661" i="2"/>
  <c r="A652" i="2"/>
  <c r="A632" i="2"/>
  <c r="A584" i="2"/>
  <c r="A572" i="2"/>
  <c r="A715" i="2"/>
  <c r="A672" i="2"/>
  <c r="A662" i="2"/>
  <c r="A625" i="2"/>
  <c r="A614" i="2"/>
  <c r="A596" i="2"/>
  <c r="A592" i="2"/>
  <c r="A562" i="2"/>
  <c r="A547" i="2"/>
  <c r="A535" i="2"/>
  <c r="A523" i="2"/>
  <c r="A511" i="2"/>
  <c r="A499" i="2"/>
  <c r="A487" i="2"/>
  <c r="A475" i="2"/>
  <c r="A707" i="2"/>
  <c r="A648" i="2"/>
  <c r="A622" i="2"/>
  <c r="A619" i="2"/>
  <c r="A590" i="2"/>
  <c r="A588" i="2"/>
  <c r="A577" i="2"/>
  <c r="A556" i="2"/>
  <c r="A548" i="2"/>
  <c r="A536" i="2"/>
  <c r="A524" i="2"/>
  <c r="A628" i="2"/>
  <c r="A598" i="2"/>
  <c r="A586" i="2"/>
  <c r="A563" i="2"/>
  <c r="A549" i="2"/>
  <c r="A537" i="2"/>
  <c r="A694" i="2"/>
  <c r="A675" i="2"/>
  <c r="A664" i="2"/>
  <c r="A644" i="2"/>
  <c r="A613" i="2"/>
  <c r="A575" i="2"/>
  <c r="A557" i="2"/>
  <c r="A550" i="2"/>
  <c r="A538" i="2"/>
  <c r="A526" i="2"/>
  <c r="A514" i="2"/>
  <c r="A502" i="2"/>
  <c r="A490" i="2"/>
  <c r="A478" i="2"/>
  <c r="A466" i="2"/>
  <c r="A454" i="2"/>
  <c r="A616" i="2"/>
  <c r="A600" i="2"/>
  <c r="A717" i="2"/>
  <c r="A656" i="2"/>
  <c r="A639" i="2"/>
  <c r="A636" i="2"/>
  <c r="A581" i="2"/>
  <c r="A609" i="2"/>
  <c r="A579" i="2"/>
  <c r="A574" i="2"/>
  <c r="A571" i="2"/>
  <c r="A555" i="2"/>
  <c r="A546" i="2"/>
  <c r="A534" i="2"/>
  <c r="A720" i="2"/>
  <c r="A653" i="2"/>
  <c r="A602" i="2"/>
  <c r="A597" i="2"/>
  <c r="A559" i="2"/>
  <c r="A553" i="2"/>
  <c r="A512" i="2"/>
  <c r="A495" i="2"/>
  <c r="A491" i="2"/>
  <c r="A461" i="2"/>
  <c r="A455" i="2"/>
  <c r="A441" i="2"/>
  <c r="A429" i="2"/>
  <c r="A417" i="2"/>
  <c r="A405" i="2"/>
  <c r="A393" i="2"/>
  <c r="A381" i="2"/>
  <c r="A369" i="2"/>
  <c r="A357" i="2"/>
  <c r="A345" i="2"/>
  <c r="A333" i="2"/>
  <c r="A321" i="2"/>
  <c r="A309" i="2"/>
  <c r="A297" i="2"/>
  <c r="A285" i="2"/>
  <c r="A565" i="2"/>
  <c r="A527" i="2"/>
  <c r="A508" i="2"/>
  <c r="A504" i="2"/>
  <c r="A474" i="2"/>
  <c r="A468" i="2"/>
  <c r="A449" i="2"/>
  <c r="A442" i="2"/>
  <c r="A766" i="2"/>
  <c r="A687" i="2"/>
  <c r="A643" i="2"/>
  <c r="A635" i="2"/>
  <c r="A620" i="2"/>
  <c r="A607" i="2"/>
  <c r="A601" i="2"/>
  <c r="A569" i="2"/>
  <c r="A561" i="2"/>
  <c r="A521" i="2"/>
  <c r="A517" i="2"/>
  <c r="A500" i="2"/>
  <c r="A483" i="2"/>
  <c r="A479" i="2"/>
  <c r="A462" i="2"/>
  <c r="A456" i="2"/>
  <c r="A734" i="2"/>
  <c r="A580" i="2"/>
  <c r="A567" i="2"/>
  <c r="A532" i="2"/>
  <c r="A513" i="2"/>
  <c r="A496" i="2"/>
  <c r="A492" i="2"/>
  <c r="A469" i="2"/>
  <c r="A450" i="2"/>
  <c r="A444" i="2"/>
  <c r="A432" i="2"/>
  <c r="A626" i="2"/>
  <c r="A545" i="2"/>
  <c r="A543" i="2"/>
  <c r="A541" i="2"/>
  <c r="A539" i="2"/>
  <c r="A530" i="2"/>
  <c r="A525" i="2"/>
  <c r="A509" i="2"/>
  <c r="A505" i="2"/>
  <c r="A488" i="2"/>
  <c r="A463" i="2"/>
  <c r="A457" i="2"/>
  <c r="A433" i="2"/>
  <c r="A421" i="2"/>
  <c r="A409" i="2"/>
  <c r="A397" i="2"/>
  <c r="A385" i="2"/>
  <c r="A578" i="2"/>
  <c r="A743" i="2"/>
  <c r="A621" i="2"/>
  <c r="A615" i="2"/>
  <c r="A551" i="2"/>
  <c r="A529" i="2"/>
  <c r="A520" i="2"/>
  <c r="A516" i="2"/>
  <c r="A486" i="2"/>
  <c r="A482" i="2"/>
  <c r="A473" i="2"/>
  <c r="A467" i="2"/>
  <c r="A448" i="2"/>
  <c r="A440" i="2"/>
  <c r="A428" i="2"/>
  <c r="A416" i="2"/>
  <c r="A404" i="2"/>
  <c r="A522" i="2"/>
  <c r="A501" i="2"/>
  <c r="A480" i="2"/>
  <c r="A470" i="2"/>
  <c r="A451" i="2"/>
  <c r="A566" i="2"/>
  <c r="A528" i="2"/>
  <c r="A493" i="2"/>
  <c r="A506" i="2"/>
  <c r="A560" i="2"/>
  <c r="A519" i="2"/>
  <c r="A485" i="2"/>
  <c r="A465" i="2"/>
  <c r="A774" i="2"/>
  <c r="A576" i="2"/>
  <c r="A564" i="2"/>
  <c r="A531" i="2"/>
  <c r="A583" i="2"/>
  <c r="A542" i="2"/>
  <c r="A503" i="2"/>
  <c r="A460" i="2"/>
  <c r="A591" i="2"/>
  <c r="A554" i="2"/>
  <c r="A518" i="2"/>
  <c r="A484" i="2"/>
  <c r="A445" i="2"/>
  <c r="A443" i="2"/>
  <c r="A420" i="2"/>
  <c r="A540" i="2"/>
  <c r="A507" i="2"/>
  <c r="A418" i="2"/>
  <c r="A415" i="2"/>
  <c r="A407" i="2"/>
  <c r="A399" i="2"/>
  <c r="A378" i="2"/>
  <c r="A372" i="2"/>
  <c r="A353" i="2"/>
  <c r="A347" i="2"/>
  <c r="A328" i="2"/>
  <c r="A322" i="2"/>
  <c r="A303" i="2"/>
  <c r="A284" i="2"/>
  <c r="A471" i="2"/>
  <c r="A459" i="2"/>
  <c r="A446" i="2"/>
  <c r="A439" i="2"/>
  <c r="A426" i="2"/>
  <c r="A410" i="2"/>
  <c r="A396" i="2"/>
  <c r="A392" i="2"/>
  <c r="A388" i="2"/>
  <c r="A366" i="2"/>
  <c r="A360" i="2"/>
  <c r="A341" i="2"/>
  <c r="A335" i="2"/>
  <c r="A316" i="2"/>
  <c r="A310" i="2"/>
  <c r="A291" i="2"/>
  <c r="A275" i="2"/>
  <c r="A263" i="2"/>
  <c r="A589" i="2"/>
  <c r="A452" i="2"/>
  <c r="A510" i="2"/>
  <c r="A489" i="2"/>
  <c r="A424" i="2"/>
  <c r="A413" i="2"/>
  <c r="A367" i="2"/>
  <c r="A361" i="2"/>
  <c r="A342" i="2"/>
  <c r="A336" i="2"/>
  <c r="A728" i="2"/>
  <c r="A515" i="2"/>
  <c r="A458" i="2"/>
  <c r="A434" i="2"/>
  <c r="A408" i="2"/>
  <c r="A494" i="2"/>
  <c r="A436" i="2"/>
  <c r="A430" i="2"/>
  <c r="A427" i="2"/>
  <c r="A419" i="2"/>
  <c r="A411" i="2"/>
  <c r="A400" i="2"/>
  <c r="A368" i="2"/>
  <c r="A362" i="2"/>
  <c r="A692" i="2"/>
  <c r="A533" i="2"/>
  <c r="A477" i="2"/>
  <c r="A464" i="2"/>
  <c r="A329" i="2"/>
  <c r="A319" i="2"/>
  <c r="A289" i="2"/>
  <c r="A286" i="2"/>
  <c r="A282" i="2"/>
  <c r="A276" i="2"/>
  <c r="A695" i="2"/>
  <c r="A438" i="2"/>
  <c r="A402" i="2"/>
  <c r="A394" i="2"/>
  <c r="A377" i="2"/>
  <c r="A375" i="2"/>
  <c r="A352" i="2"/>
  <c r="A350" i="2"/>
  <c r="A326" i="2"/>
  <c r="A323" i="2"/>
  <c r="A306" i="2"/>
  <c r="A270" i="2"/>
  <c r="A264" i="2"/>
  <c r="A255" i="2"/>
  <c r="A243" i="2"/>
  <c r="A231" i="2"/>
  <c r="A219" i="2"/>
  <c r="A207" i="2"/>
  <c r="A195" i="2"/>
  <c r="A183" i="2"/>
  <c r="A171" i="2"/>
  <c r="A159" i="2"/>
  <c r="A147" i="2"/>
  <c r="A135" i="2"/>
  <c r="A123" i="2"/>
  <c r="A111" i="2"/>
  <c r="A99" i="2"/>
  <c r="A552" i="2"/>
  <c r="A425" i="2"/>
  <c r="A414" i="2"/>
  <c r="A390" i="2"/>
  <c r="A386" i="2"/>
  <c r="A359" i="2"/>
  <c r="A343" i="2"/>
  <c r="A340" i="2"/>
  <c r="A332" i="2"/>
  <c r="A313" i="2"/>
  <c r="A296" i="2"/>
  <c r="A293" i="2"/>
  <c r="A277" i="2"/>
  <c r="A256" i="2"/>
  <c r="A244" i="2"/>
  <c r="A232" i="2"/>
  <c r="A220" i="2"/>
  <c r="A208" i="2"/>
  <c r="A384" i="2"/>
  <c r="A382" i="2"/>
  <c r="A373" i="2"/>
  <c r="A348" i="2"/>
  <c r="A300" i="2"/>
  <c r="A673" i="2"/>
  <c r="A476" i="2"/>
  <c r="A380" i="2"/>
  <c r="A364" i="2"/>
  <c r="A355" i="2"/>
  <c r="A338" i="2"/>
  <c r="A330" i="2"/>
  <c r="A320" i="2"/>
  <c r="A317" i="2"/>
  <c r="A290" i="2"/>
  <c r="A287" i="2"/>
  <c r="A278" i="2"/>
  <c r="A258" i="2"/>
  <c r="A246" i="2"/>
  <c r="A234" i="2"/>
  <c r="A222" i="2"/>
  <c r="A210" i="2"/>
  <c r="A437" i="2"/>
  <c r="A401" i="2"/>
  <c r="A398" i="2"/>
  <c r="A371" i="2"/>
  <c r="A346" i="2"/>
  <c r="A327" i="2"/>
  <c r="A324" i="2"/>
  <c r="A307" i="2"/>
  <c r="A304" i="2"/>
  <c r="A435" i="2"/>
  <c r="A423" i="2"/>
  <c r="A395" i="2"/>
  <c r="A391" i="2"/>
  <c r="A387" i="2"/>
  <c r="A356" i="2"/>
  <c r="A339" i="2"/>
  <c r="A331" i="2"/>
  <c r="A325" i="2"/>
  <c r="A308" i="2"/>
  <c r="A305" i="2"/>
  <c r="A274" i="2"/>
  <c r="A268" i="2"/>
  <c r="A251" i="2"/>
  <c r="A239" i="2"/>
  <c r="A227" i="2"/>
  <c r="A215" i="2"/>
  <c r="A203" i="2"/>
  <c r="A314" i="2"/>
  <c r="A288" i="2"/>
  <c r="A261" i="2"/>
  <c r="A238" i="2"/>
  <c r="A233" i="2"/>
  <c r="A181" i="2"/>
  <c r="A175" i="2"/>
  <c r="A156" i="2"/>
  <c r="A150" i="2"/>
  <c r="A131" i="2"/>
  <c r="A125" i="2"/>
  <c r="A106" i="2"/>
  <c r="A100" i="2"/>
  <c r="A83" i="2"/>
  <c r="A498" i="2"/>
  <c r="A453" i="2"/>
  <c r="A351" i="2"/>
  <c r="A280" i="2"/>
  <c r="A266" i="2"/>
  <c r="A259" i="2"/>
  <c r="A228" i="2"/>
  <c r="A223" i="2"/>
  <c r="A200" i="2"/>
  <c r="A194" i="2"/>
  <c r="A188" i="2"/>
  <c r="A169" i="2"/>
  <c r="A163" i="2"/>
  <c r="A144" i="2"/>
  <c r="A138" i="2"/>
  <c r="A119" i="2"/>
  <c r="A113" i="2"/>
  <c r="A94" i="2"/>
  <c r="A84" i="2"/>
  <c r="A72" i="2"/>
  <c r="A60" i="2"/>
  <c r="A48" i="2"/>
  <c r="A36" i="2"/>
  <c r="A24" i="2"/>
  <c r="A12" i="2"/>
  <c r="A497" i="2"/>
  <c r="A472" i="2"/>
  <c r="A241" i="2"/>
  <c r="A236" i="2"/>
  <c r="A376" i="2"/>
  <c r="A254" i="2"/>
  <c r="A249" i="2"/>
  <c r="A218" i="2"/>
  <c r="A213" i="2"/>
  <c r="A189" i="2"/>
  <c r="A170" i="2"/>
  <c r="A447" i="2"/>
  <c r="A363" i="2"/>
  <c r="A257" i="2"/>
  <c r="A226" i="2"/>
  <c r="A221" i="2"/>
  <c r="A389" i="2"/>
  <c r="A271" i="2"/>
  <c r="A262" i="2"/>
  <c r="A252" i="2"/>
  <c r="A247" i="2"/>
  <c r="A216" i="2"/>
  <c r="A211" i="2"/>
  <c r="A190" i="2"/>
  <c r="A184" i="2"/>
  <c r="A165" i="2"/>
  <c r="A146" i="2"/>
  <c r="A412" i="2"/>
  <c r="A383" i="2"/>
  <c r="A374" i="2"/>
  <c r="A370" i="2"/>
  <c r="A344" i="2"/>
  <c r="A283" i="2"/>
  <c r="A240" i="2"/>
  <c r="A235" i="2"/>
  <c r="A192" i="2"/>
  <c r="A186" i="2"/>
  <c r="A167" i="2"/>
  <c r="A161" i="2"/>
  <c r="A142" i="2"/>
  <c r="A136" i="2"/>
  <c r="A117" i="2"/>
  <c r="H13" i="2"/>
  <c r="A16" i="2"/>
  <c r="A22" i="2"/>
  <c r="A41" i="2"/>
  <c r="A47" i="2"/>
  <c r="A66" i="2"/>
  <c r="A93" i="2"/>
  <c r="A122" i="2"/>
  <c r="A133" i="2"/>
  <c r="A141" i="2"/>
  <c r="A155" i="2"/>
  <c r="A168" i="2"/>
  <c r="A174" i="2"/>
  <c r="A176" i="2"/>
  <c r="A178" i="2"/>
  <c r="A206" i="2"/>
  <c r="A212" i="2"/>
  <c r="A301" i="2"/>
  <c r="A318" i="2"/>
  <c r="A334" i="2"/>
  <c r="A365" i="2"/>
  <c r="I53" i="3"/>
  <c r="F100" i="3"/>
  <c r="J100" i="3" s="1"/>
  <c r="F75" i="3"/>
  <c r="J75" i="3" s="1"/>
  <c r="H75" i="3"/>
  <c r="K75" i="3" s="1" a="1"/>
  <c r="K75" i="3" s="1"/>
  <c r="I75" i="3"/>
  <c r="F101" i="3"/>
  <c r="J101" i="3" s="1"/>
  <c r="F95" i="3"/>
  <c r="J95" i="3" s="1"/>
  <c r="H90" i="3"/>
  <c r="K90" i="3" s="1" a="1"/>
  <c r="K90" i="3" s="1"/>
  <c r="I90" i="3"/>
  <c r="I93" i="3"/>
  <c r="E93" i="3"/>
  <c r="H93" i="3"/>
  <c r="K93" i="3" s="1" a="1"/>
  <c r="K93" i="3" s="1"/>
  <c r="F93" i="3"/>
  <c r="J93" i="3" s="1"/>
  <c r="I62" i="3"/>
  <c r="H62" i="3"/>
  <c r="K62" i="3" s="1" a="1"/>
  <c r="K62" i="3" s="1"/>
  <c r="F65" i="3"/>
  <c r="J65" i="3" s="1"/>
  <c r="F90" i="3"/>
  <c r="J90" i="3" s="1"/>
  <c r="E62" i="3"/>
  <c r="F62" i="3"/>
  <c r="J62" i="3" s="1"/>
  <c r="E90" i="3"/>
  <c r="E59" i="3"/>
  <c r="I59" i="3"/>
  <c r="E101" i="3"/>
  <c r="I101" i="3"/>
  <c r="E95" i="3"/>
  <c r="I95" i="3"/>
  <c r="F53" i="3"/>
  <c r="J53" i="3" s="1"/>
  <c r="H53" i="3"/>
  <c r="K53" i="3" s="1" a="1"/>
  <c r="K53" i="3" s="1"/>
  <c r="A7" i="5"/>
  <c r="H83" i="3"/>
  <c r="K83" i="3" s="1" a="1"/>
  <c r="K83" i="3" s="1"/>
  <c r="E83" i="3"/>
  <c r="I83" i="3"/>
  <c r="E55" i="3"/>
  <c r="H81" i="3"/>
  <c r="K81" i="3" s="1" a="1"/>
  <c r="K81" i="3" s="1"/>
  <c r="F81" i="3"/>
  <c r="J81" i="3" s="1"/>
  <c r="E81" i="3"/>
  <c r="H84" i="3"/>
  <c r="K84" i="3" s="1" a="1"/>
  <c r="K84" i="3" s="1"/>
  <c r="I84" i="3"/>
  <c r="E84" i="3"/>
  <c r="F99" i="3"/>
  <c r="J99" i="3" s="1"/>
  <c r="E99" i="3"/>
  <c r="I99" i="3"/>
  <c r="H99" i="3"/>
  <c r="K99" i="3" s="1" a="1"/>
  <c r="K99" i="3" s="1"/>
  <c r="F55" i="3"/>
  <c r="J55" i="3" s="1"/>
  <c r="I81" i="3"/>
  <c r="F58" i="3"/>
  <c r="J58" i="3" s="1"/>
  <c r="E58" i="3"/>
  <c r="H58" i="3"/>
  <c r="K58" i="3" s="1" a="1"/>
  <c r="K58" i="3" s="1"/>
  <c r="E71" i="3"/>
  <c r="I71" i="3"/>
  <c r="F59" i="3"/>
  <c r="J59" i="3" s="1"/>
  <c r="E65" i="3"/>
  <c r="I65" i="3"/>
  <c r="H78" i="3"/>
  <c r="K78" i="3" s="1" a="1"/>
  <c r="K78" i="3" s="1"/>
  <c r="I78" i="3"/>
  <c r="F78" i="3"/>
  <c r="J78" i="3" s="1"/>
  <c r="H96" i="3"/>
  <c r="K96" i="3" s="1" a="1"/>
  <c r="K96" i="3" s="1"/>
  <c r="I96" i="3"/>
  <c r="F96" i="3"/>
  <c r="J96" i="3" s="1"/>
  <c r="E96" i="3"/>
  <c r="F71" i="3"/>
  <c r="J71" i="3" s="1"/>
  <c r="E77" i="3"/>
  <c r="H77" i="3"/>
  <c r="K77" i="3" s="1" a="1"/>
  <c r="K77" i="3" s="1"/>
  <c r="F77" i="3"/>
  <c r="J77" i="3" s="1"/>
  <c r="I77" i="3"/>
  <c r="H59" i="3"/>
  <c r="K59" i="3" s="1" a="1"/>
  <c r="K59" i="3" s="1"/>
  <c r="E78" i="3"/>
  <c r="H69" i="3"/>
  <c r="K69" i="3" s="1" a="1"/>
  <c r="K69" i="3" s="1"/>
  <c r="F69" i="3"/>
  <c r="J69" i="3" s="1"/>
  <c r="I69" i="3"/>
  <c r="E69" i="3"/>
  <c r="E89" i="3"/>
  <c r="I89" i="3"/>
  <c r="H89" i="3"/>
  <c r="K89" i="3" s="1" a="1"/>
  <c r="K89" i="3" s="1"/>
  <c r="I100" i="3"/>
  <c r="H100" i="3"/>
  <c r="K100" i="3" s="1" a="1"/>
  <c r="K100" i="3" s="1"/>
  <c r="H102" i="3"/>
  <c r="K102" i="3" s="1" a="1"/>
  <c r="K102" i="3" s="1"/>
  <c r="I102" i="3"/>
  <c r="F87" i="3"/>
  <c r="J87" i="3" s="1"/>
  <c r="E87" i="3"/>
  <c r="I87" i="3"/>
  <c r="H87" i="3"/>
  <c r="K87" i="3" s="1" a="1"/>
  <c r="K87" i="3" s="1"/>
  <c r="E102" i="3"/>
  <c r="F102" i="3"/>
  <c r="J102" i="3" s="1"/>
  <c r="H72" i="3"/>
  <c r="K72" i="3" s="1" a="1"/>
  <c r="K72" i="3" s="1"/>
  <c r="E72" i="3"/>
  <c r="F72" i="3"/>
  <c r="J72" i="3" s="1"/>
  <c r="I57" i="3"/>
  <c r="F57" i="3"/>
  <c r="J57" i="3" s="1"/>
  <c r="H57" i="3"/>
  <c r="K57" i="3" s="1" a="1"/>
  <c r="K57" i="3" s="1"/>
  <c r="H66" i="3"/>
  <c r="K66" i="3" s="1" a="1"/>
  <c r="K66" i="3" s="1"/>
  <c r="F66" i="3"/>
  <c r="J66" i="3" s="1"/>
  <c r="E57" i="3"/>
  <c r="E66" i="3"/>
  <c r="H54" i="3"/>
  <c r="K54" i="3" s="1" a="1"/>
  <c r="K54" i="3" s="1"/>
  <c r="F54" i="3"/>
  <c r="J54" i="3" s="1"/>
  <c r="I54" i="3"/>
  <c r="I66" i="3"/>
  <c r="I72" i="3"/>
  <c r="I58" i="3"/>
  <c r="E54" i="3"/>
  <c r="I61" i="3"/>
  <c r="H61" i="3"/>
  <c r="K61" i="3" s="1" a="1"/>
  <c r="K61" i="3" s="1"/>
  <c r="F61" i="3"/>
  <c r="J61" i="3" s="1"/>
  <c r="E61" i="3"/>
  <c r="H68" i="3"/>
  <c r="K68" i="3" s="1" a="1"/>
  <c r="K68" i="3" s="1"/>
  <c r="E68" i="3"/>
  <c r="I68" i="3"/>
  <c r="F68" i="3"/>
  <c r="J68" i="3" s="1"/>
  <c r="I98" i="3"/>
  <c r="E86" i="3"/>
  <c r="E98" i="3"/>
  <c r="F98" i="3"/>
  <c r="J98" i="3" s="1"/>
  <c r="H67" i="3"/>
  <c r="K67" i="3" s="1" a="1"/>
  <c r="K67" i="3" s="1"/>
  <c r="I67" i="3"/>
  <c r="E92" i="3"/>
  <c r="E64" i="3"/>
  <c r="F74" i="3"/>
  <c r="J74" i="3" s="1"/>
  <c r="F80" i="3"/>
  <c r="J80" i="3" s="1"/>
  <c r="E88" i="3"/>
  <c r="E76" i="3"/>
  <c r="F88" i="3"/>
  <c r="J88" i="3" s="1"/>
  <c r="F94" i="3"/>
  <c r="J94" i="3" s="1"/>
  <c r="H60" i="3"/>
  <c r="K60" i="3" s="1" a="1"/>
  <c r="K60" i="3" s="1"/>
  <c r="F60" i="3"/>
  <c r="J60" i="3" s="1"/>
  <c r="E94" i="3"/>
  <c r="H98" i="3"/>
  <c r="K98" i="3" s="1" a="1"/>
  <c r="K98" i="3" s="1"/>
  <c r="F56" i="3"/>
  <c r="J56" i="3" s="1"/>
  <c r="E60" i="3"/>
  <c r="E63" i="3"/>
  <c r="H64" i="3"/>
  <c r="K64" i="3" s="1" a="1"/>
  <c r="K64" i="3" s="1"/>
  <c r="E70" i="3"/>
  <c r="I74" i="3"/>
  <c r="E82" i="3"/>
  <c r="H56" i="3"/>
  <c r="K56" i="3" s="1" a="1"/>
  <c r="K56" i="3" s="1"/>
  <c r="I60" i="3"/>
  <c r="F63" i="3"/>
  <c r="J63" i="3" s="1"/>
  <c r="I64" i="3"/>
  <c r="E67" i="3"/>
  <c r="F70" i="3"/>
  <c r="J70" i="3" s="1"/>
  <c r="J73" i="3"/>
  <c r="H73" i="3"/>
  <c r="K73" i="3" s="1" a="1"/>
  <c r="K73" i="3" s="1"/>
  <c r="I73" i="3"/>
  <c r="F76" i="3"/>
  <c r="J76" i="3" s="1"/>
  <c r="F82" i="3"/>
  <c r="J82" i="3" s="1"/>
  <c r="H88" i="3"/>
  <c r="K88" i="3" s="1" a="1"/>
  <c r="K88" i="3" s="1"/>
  <c r="H94" i="3"/>
  <c r="K94" i="3" s="1" a="1"/>
  <c r="K94" i="3" s="1"/>
  <c r="I55" i="3"/>
  <c r="I56" i="3"/>
  <c r="H63" i="3"/>
  <c r="K63" i="3" s="1" a="1"/>
  <c r="K63" i="3" s="1"/>
  <c r="J64" i="3"/>
  <c r="F67" i="3"/>
  <c r="J67" i="3" s="1"/>
  <c r="H70" i="3"/>
  <c r="K70" i="3" s="1" a="1"/>
  <c r="K70" i="3" s="1"/>
  <c r="E73" i="3"/>
  <c r="H76" i="3"/>
  <c r="K76" i="3" s="1" a="1"/>
  <c r="K76" i="3" s="1"/>
  <c r="H82" i="3"/>
  <c r="K82" i="3" s="1" a="1"/>
  <c r="K82" i="3" s="1"/>
  <c r="H85" i="3"/>
  <c r="K85" i="3" s="1" a="1"/>
  <c r="K85" i="3" s="1"/>
  <c r="I85" i="3"/>
  <c r="F85" i="3"/>
  <c r="J85" i="3" s="1"/>
  <c r="I88" i="3"/>
  <c r="H91" i="3"/>
  <c r="K91" i="3" s="1" a="1"/>
  <c r="K91" i="3" s="1"/>
  <c r="I91" i="3"/>
  <c r="F91" i="3"/>
  <c r="J91" i="3" s="1"/>
  <c r="I94" i="3"/>
  <c r="H97" i="3"/>
  <c r="K97" i="3" s="1" a="1"/>
  <c r="K97" i="3" s="1"/>
  <c r="I97" i="3"/>
  <c r="F97" i="3"/>
  <c r="J97" i="3" s="1"/>
  <c r="I86" i="3"/>
  <c r="J92" i="3"/>
  <c r="I92" i="3"/>
  <c r="E74" i="3"/>
  <c r="I80" i="3"/>
  <c r="E80" i="3"/>
  <c r="F86" i="3"/>
  <c r="J86" i="3" s="1"/>
  <c r="E56" i="3"/>
  <c r="H74" i="3"/>
  <c r="K74" i="3" s="1" a="1"/>
  <c r="K74" i="3" s="1"/>
  <c r="H92" i="3"/>
  <c r="K92" i="3" s="1" a="1"/>
  <c r="K92" i="3" s="1"/>
  <c r="H79" i="3"/>
  <c r="K79" i="3" s="1" a="1"/>
  <c r="K79" i="3" s="1"/>
  <c r="I79" i="3"/>
  <c r="F79" i="3"/>
  <c r="J79" i="3" s="1"/>
  <c r="F84" i="3"/>
  <c r="J84" i="3" s="1"/>
  <c r="F6" i="5"/>
  <c r="I25" i="7" s="1"/>
  <c r="B11" i="6" l="1" a="1"/>
  <c r="B11" i="6" s="1"/>
  <c r="C11" i="6" s="1"/>
  <c r="B14" i="6" a="1"/>
  <c r="B14" i="6" s="1"/>
  <c r="C14" i="6" s="1"/>
  <c r="B12" i="6" a="1"/>
  <c r="B12" i="6" s="1"/>
  <c r="C12" i="6" s="1"/>
  <c r="B15" i="6" a="1"/>
  <c r="B15" i="6" s="1"/>
  <c r="C15" i="6"/>
  <c r="B20" i="6" a="1"/>
  <c r="B20" i="6" s="1"/>
  <c r="C20" i="6"/>
  <c r="B10" i="6" a="1"/>
  <c r="B10" i="6" s="1"/>
  <c r="C10" i="6" s="1"/>
  <c r="B17" i="6" a="1"/>
  <c r="B17" i="6" s="1"/>
  <c r="C17" i="6"/>
  <c r="B22" i="6" a="1"/>
  <c r="B22" i="6" s="1"/>
  <c r="C22" i="6"/>
  <c r="B13" i="6" a="1"/>
  <c r="B13" i="6" s="1"/>
  <c r="C13" i="6" s="1"/>
  <c r="B26" i="6" a="1"/>
  <c r="B26" i="6" s="1"/>
  <c r="C26" i="6"/>
  <c r="B24" i="6" a="1"/>
  <c r="B24" i="6" s="1"/>
  <c r="C24" i="6"/>
  <c r="B27" i="6" a="1"/>
  <c r="B27" i="6" s="1"/>
  <c r="C27" i="6"/>
  <c r="B19" i="6" a="1"/>
  <c r="B19" i="6" s="1"/>
  <c r="C19" i="6"/>
  <c r="I217" i="2"/>
  <c r="G51" i="2"/>
  <c r="F70" i="2"/>
  <c r="H148" i="2"/>
  <c r="C70" i="2"/>
  <c r="D70" i="2" s="1"/>
  <c r="E70" i="2" s="1"/>
  <c r="P31" i="7"/>
  <c r="S38" i="7"/>
  <c r="A8" i="5"/>
  <c r="F27" i="7" s="1"/>
  <c r="F26" i="7"/>
  <c r="B21" i="6" a="1"/>
  <c r="B21" i="6" s="1"/>
  <c r="B23" i="6" a="1"/>
  <c r="B23" i="6" s="1"/>
  <c r="I34" i="2"/>
  <c r="B95" i="2"/>
  <c r="C13" i="2"/>
  <c r="D13" i="2" s="1"/>
  <c r="E13" i="2" s="1"/>
  <c r="J173" i="2"/>
  <c r="C148" i="2"/>
  <c r="D148" i="2" s="1"/>
  <c r="E148" i="2" s="1"/>
  <c r="F250" i="2"/>
  <c r="J250" i="2"/>
  <c r="I148" i="2"/>
  <c r="J95" i="2"/>
  <c r="H34" i="2"/>
  <c r="H250" i="2"/>
  <c r="H70" i="2"/>
  <c r="J148" i="2"/>
  <c r="G70" i="2"/>
  <c r="J70" i="2"/>
  <c r="I98" i="2"/>
  <c r="J34" i="2"/>
  <c r="J7" i="2"/>
  <c r="G13" i="2"/>
  <c r="F13" i="2"/>
  <c r="H95" i="2"/>
  <c r="C95" i="2"/>
  <c r="D95" i="2" s="1"/>
  <c r="E95" i="2" s="1"/>
  <c r="F7" i="2"/>
  <c r="B7" i="2"/>
  <c r="F34" i="2"/>
  <c r="C7" i="2"/>
  <c r="D7" i="2" s="1"/>
  <c r="E7" i="2" s="1"/>
  <c r="H51" i="2"/>
  <c r="G95" i="2"/>
  <c r="G7" i="2"/>
  <c r="B379" i="2"/>
  <c r="I7" i="2"/>
  <c r="I250" i="2"/>
  <c r="B42" i="2"/>
  <c r="H4" i="2"/>
  <c r="C130" i="2"/>
  <c r="D130" i="2" s="1"/>
  <c r="E130" i="2" s="1"/>
  <c r="B4" i="2"/>
  <c r="H140" i="2"/>
  <c r="I130" i="2"/>
  <c r="H50" i="2"/>
  <c r="C164" i="2"/>
  <c r="D164" i="2" s="1"/>
  <c r="E164" i="2" s="1"/>
  <c r="I45" i="2"/>
  <c r="F140" i="2"/>
  <c r="H68" i="2"/>
  <c r="B43" i="2"/>
  <c r="F148" i="2"/>
  <c r="B148" i="2"/>
  <c r="G25" i="2"/>
  <c r="C53" i="2"/>
  <c r="D53" i="2" s="1"/>
  <c r="E53" i="2" s="1"/>
  <c r="C173" i="2"/>
  <c r="D173" i="2" s="1"/>
  <c r="E173" i="2" s="1"/>
  <c r="J8" i="2"/>
  <c r="C44" i="2"/>
  <c r="D44" i="2" s="1"/>
  <c r="E44" i="2" s="1"/>
  <c r="B154" i="2"/>
  <c r="B164" i="2"/>
  <c r="F74" i="2"/>
  <c r="G71" i="2"/>
  <c r="H8" i="2"/>
  <c r="G74" i="2"/>
  <c r="F45" i="2"/>
  <c r="F173" i="2"/>
  <c r="I121" i="2"/>
  <c r="K121" i="2" s="1"/>
  <c r="J4" i="2"/>
  <c r="G8" i="2"/>
  <c r="C45" i="2"/>
  <c r="D45" i="2" s="1"/>
  <c r="E45" i="2" s="1"/>
  <c r="C71" i="2"/>
  <c r="D71" i="2" s="1"/>
  <c r="E71" i="2" s="1"/>
  <c r="F50" i="2"/>
  <c r="B121" i="2"/>
  <c r="G45" i="2"/>
  <c r="F121" i="2"/>
  <c r="B21" i="2"/>
  <c r="I13" i="2"/>
  <c r="K13" i="2" s="1"/>
  <c r="I59" i="2"/>
  <c r="F164" i="2"/>
  <c r="G50" i="2"/>
  <c r="G164" i="2"/>
  <c r="G59" i="2"/>
  <c r="I43" i="2"/>
  <c r="F59" i="2"/>
  <c r="C59" i="2"/>
  <c r="D59" i="2" s="1"/>
  <c r="E59" i="2" s="1"/>
  <c r="B312" i="2"/>
  <c r="I21" i="2"/>
  <c r="F71" i="2"/>
  <c r="H121" i="2"/>
  <c r="G185" i="2"/>
  <c r="H21" i="2"/>
  <c r="G69" i="2"/>
  <c r="G121" i="2"/>
  <c r="J312" i="2"/>
  <c r="J71" i="2"/>
  <c r="H312" i="2"/>
  <c r="F21" i="2"/>
  <c r="H71" i="2"/>
  <c r="I312" i="2"/>
  <c r="I71" i="2"/>
  <c r="F69" i="2"/>
  <c r="C312" i="2"/>
  <c r="D312" i="2" s="1"/>
  <c r="E312" i="2" s="1"/>
  <c r="G312" i="2"/>
  <c r="H130" i="2"/>
  <c r="F62" i="2"/>
  <c r="C82" i="2"/>
  <c r="D82" i="2" s="1"/>
  <c r="E82" i="2" s="1"/>
  <c r="B69" i="2"/>
  <c r="F185" i="2"/>
  <c r="H187" i="2"/>
  <c r="J185" i="2"/>
  <c r="H185" i="2"/>
  <c r="J26" i="2"/>
  <c r="I39" i="2"/>
  <c r="C121" i="2"/>
  <c r="D121" i="2" s="1"/>
  <c r="E121" i="2" s="1"/>
  <c r="I154" i="2"/>
  <c r="H242" i="2"/>
  <c r="B185" i="2"/>
  <c r="B44" i="2"/>
  <c r="I185" i="2"/>
  <c r="C21" i="2"/>
  <c r="D21" i="2" s="1"/>
  <c r="E21" i="2" s="1"/>
  <c r="G44" i="2"/>
  <c r="J242" i="2"/>
  <c r="H57" i="2"/>
  <c r="H132" i="2"/>
  <c r="F89" i="2"/>
  <c r="I70" i="2"/>
  <c r="C39" i="2"/>
  <c r="D39" i="2" s="1"/>
  <c r="E39" i="2" s="1"/>
  <c r="I242" i="2"/>
  <c r="I65" i="2"/>
  <c r="F76" i="2"/>
  <c r="B26" i="2"/>
  <c r="J39" i="2"/>
  <c r="C6" i="2"/>
  <c r="D6" i="2" s="1"/>
  <c r="E6" i="2" s="1"/>
  <c r="B173" i="2"/>
  <c r="I18" i="2"/>
  <c r="G65" i="2"/>
  <c r="J105" i="2"/>
  <c r="J6" i="2"/>
  <c r="J65" i="2"/>
  <c r="H63" i="2"/>
  <c r="I53" i="2"/>
  <c r="I152" i="2"/>
  <c r="B177" i="2"/>
  <c r="H78" i="2"/>
  <c r="I57" i="2"/>
  <c r="K57" i="2" s="1"/>
  <c r="C80" i="2"/>
  <c r="D80" i="2" s="1"/>
  <c r="E80" i="2" s="1"/>
  <c r="G152" i="2"/>
  <c r="G80" i="2"/>
  <c r="C31" i="2"/>
  <c r="D31" i="2" s="1"/>
  <c r="E31" i="2" s="1"/>
  <c r="H80" i="2"/>
  <c r="G63" i="2"/>
  <c r="B18" i="2"/>
  <c r="H152" i="2"/>
  <c r="B50" i="2"/>
  <c r="C302" i="2"/>
  <c r="D302" i="2" s="1"/>
  <c r="E302" i="2" s="1"/>
  <c r="F80" i="2"/>
  <c r="J152" i="2"/>
  <c r="G78" i="2"/>
  <c r="B80" i="2"/>
  <c r="G302" i="2"/>
  <c r="F31" i="2"/>
  <c r="G57" i="2"/>
  <c r="C57" i="2"/>
  <c r="D57" i="2" s="1"/>
  <c r="E57" i="2" s="1"/>
  <c r="H89" i="2"/>
  <c r="G204" i="2"/>
  <c r="I302" i="2"/>
  <c r="I80" i="2"/>
  <c r="K80" i="2" s="1"/>
  <c r="B57" i="2"/>
  <c r="C204" i="2"/>
  <c r="D204" i="2" s="1"/>
  <c r="E204" i="2" s="1"/>
  <c r="F302" i="2"/>
  <c r="B31" i="2"/>
  <c r="I89" i="2"/>
  <c r="B204" i="2"/>
  <c r="J50" i="2"/>
  <c r="K50" i="2" s="1"/>
  <c r="F65" i="2"/>
  <c r="G173" i="2"/>
  <c r="J89" i="2"/>
  <c r="C89" i="2"/>
  <c r="D89" i="2" s="1"/>
  <c r="E89" i="2" s="1"/>
  <c r="G89" i="2"/>
  <c r="I173" i="2"/>
  <c r="F57" i="2"/>
  <c r="H114" i="2"/>
  <c r="D8" i="5" a="1"/>
  <c r="D8" i="5" s="1"/>
  <c r="C8" i="5" a="1"/>
  <c r="C8" i="5" s="1"/>
  <c r="E8" i="5" s="1"/>
  <c r="C19" i="2"/>
  <c r="D19" i="2" s="1"/>
  <c r="E19" i="2" s="1"/>
  <c r="J20" i="2"/>
  <c r="K20" i="2" s="1"/>
  <c r="D7" i="5" a="1"/>
  <c r="D7" i="5" s="1"/>
  <c r="F157" i="2"/>
  <c r="C7" i="5" a="1"/>
  <c r="C7" i="5" s="1"/>
  <c r="E7" i="5" s="1"/>
  <c r="C481" i="2"/>
  <c r="F137" i="2"/>
  <c r="B129" i="2"/>
  <c r="F26" i="2"/>
  <c r="F177" i="2"/>
  <c r="F191" i="2"/>
  <c r="J358" i="2"/>
  <c r="C26" i="2"/>
  <c r="D26" i="2" s="1"/>
  <c r="E26" i="2" s="1"/>
  <c r="H145" i="2"/>
  <c r="B14" i="2"/>
  <c r="H39" i="2"/>
  <c r="F132" i="2"/>
  <c r="H105" i="2"/>
  <c r="C177" i="2"/>
  <c r="D177" i="2" s="1"/>
  <c r="E177" i="2" s="1"/>
  <c r="G217" i="2"/>
  <c r="B65" i="2"/>
  <c r="J21" i="2"/>
  <c r="D78" i="2"/>
  <c r="E78" i="2" s="1"/>
  <c r="J98" i="2"/>
  <c r="C379" i="2"/>
  <c r="D379" i="2" s="1"/>
  <c r="E379" i="2" s="1"/>
  <c r="B140" i="2"/>
  <c r="I105" i="2"/>
  <c r="F51" i="2"/>
  <c r="F39" i="2"/>
  <c r="C154" i="2"/>
  <c r="D154" i="2" s="1"/>
  <c r="E154" i="2" s="1"/>
  <c r="I358" i="2"/>
  <c r="J403" i="2"/>
  <c r="I204" i="2"/>
  <c r="C250" i="2"/>
  <c r="D250" i="2" s="1"/>
  <c r="E250" i="2" s="1"/>
  <c r="J157" i="2"/>
  <c r="G250" i="2"/>
  <c r="I26" i="2"/>
  <c r="I4" i="2"/>
  <c r="C98" i="2"/>
  <c r="D98" i="2" s="1"/>
  <c r="E98" i="2" s="1"/>
  <c r="C403" i="2"/>
  <c r="D403" i="2" s="1"/>
  <c r="E403" i="2" s="1"/>
  <c r="H201" i="2"/>
  <c r="B64" i="2"/>
  <c r="B132" i="2"/>
  <c r="I140" i="2"/>
  <c r="K140" i="2" s="1"/>
  <c r="H177" i="2"/>
  <c r="G64" i="2"/>
  <c r="H302" i="2"/>
  <c r="F209" i="2"/>
  <c r="C114" i="2"/>
  <c r="D114" i="2" s="1"/>
  <c r="E114" i="2" s="1"/>
  <c r="C129" i="2"/>
  <c r="D129" i="2" s="1"/>
  <c r="E129" i="2" s="1"/>
  <c r="H217" i="2"/>
  <c r="I51" i="2"/>
  <c r="F6" i="2"/>
  <c r="G118" i="2"/>
  <c r="G39" i="2"/>
  <c r="G137" i="2"/>
  <c r="F63" i="2"/>
  <c r="J53" i="2"/>
  <c r="G132" i="2"/>
  <c r="H204" i="2"/>
  <c r="G53" i="2"/>
  <c r="J154" i="2"/>
  <c r="G272" i="2"/>
  <c r="B105" i="2"/>
  <c r="J25" i="2"/>
  <c r="J302" i="2"/>
  <c r="C76" i="2"/>
  <c r="D76" i="2" s="1"/>
  <c r="E76" i="2" s="1"/>
  <c r="C36" i="6"/>
  <c r="C110" i="2"/>
  <c r="D110" i="2" s="1"/>
  <c r="E110" i="2" s="1"/>
  <c r="B76" i="2"/>
  <c r="G110" i="2"/>
  <c r="J130" i="2"/>
  <c r="B56" i="2"/>
  <c r="G140" i="2"/>
  <c r="I272" i="2"/>
  <c r="K272" i="2" s="1"/>
  <c r="J51" i="2"/>
  <c r="B28" i="2"/>
  <c r="I124" i="2"/>
  <c r="H124" i="2"/>
  <c r="B118" i="2"/>
  <c r="F272" i="2"/>
  <c r="G28" i="2"/>
  <c r="C422" i="2"/>
  <c r="D422" i="2" s="1"/>
  <c r="E422" i="2" s="1"/>
  <c r="B272" i="2"/>
  <c r="C28" i="2"/>
  <c r="D28" i="2" s="1"/>
  <c r="E28" i="2" s="1"/>
  <c r="B157" i="2"/>
  <c r="H14" i="2"/>
  <c r="F28" i="2"/>
  <c r="J110" i="2"/>
  <c r="K110" i="2" s="1"/>
  <c r="G130" i="2"/>
  <c r="G124" i="2"/>
  <c r="C25" i="2"/>
  <c r="D25" i="2" s="1"/>
  <c r="E25" i="2" s="1"/>
  <c r="B422" i="2"/>
  <c r="G114" i="2"/>
  <c r="G55" i="2"/>
  <c r="B201" i="2"/>
  <c r="D354" i="2"/>
  <c r="E354" i="2" s="1"/>
  <c r="F46" i="2"/>
  <c r="G76" i="2"/>
  <c r="C14" i="2"/>
  <c r="D14" i="2" s="1"/>
  <c r="E14" i="2" s="1"/>
  <c r="H118" i="2"/>
  <c r="I422" i="2"/>
  <c r="K422" i="2" s="1"/>
  <c r="I481" i="2"/>
  <c r="K481" i="2" s="1"/>
  <c r="G14" i="2"/>
  <c r="C38" i="6"/>
  <c r="B98" i="2"/>
  <c r="C124" i="2"/>
  <c r="D124" i="2" s="1"/>
  <c r="E124" i="2" s="1"/>
  <c r="I118" i="2"/>
  <c r="G9" i="2"/>
  <c r="H64" i="2"/>
  <c r="H28" i="2"/>
  <c r="I28" i="2"/>
  <c r="K28" i="2" s="1"/>
  <c r="I157" i="2"/>
  <c r="G422" i="2"/>
  <c r="B124" i="2"/>
  <c r="J201" i="2"/>
  <c r="K201" i="2" s="1"/>
  <c r="B114" i="2"/>
  <c r="J14" i="2"/>
  <c r="K14" i="2" s="1"/>
  <c r="C64" i="2"/>
  <c r="D64" i="2" s="1"/>
  <c r="E64" i="2" s="1"/>
  <c r="J64" i="2"/>
  <c r="K64" i="2" s="1"/>
  <c r="H137" i="2"/>
  <c r="J114" i="2"/>
  <c r="K114" i="2" s="1"/>
  <c r="J197" i="2"/>
  <c r="F64" i="2"/>
  <c r="F379" i="2"/>
  <c r="F422" i="2"/>
  <c r="G201" i="2"/>
  <c r="F354" i="2"/>
  <c r="B15" i="2"/>
  <c r="B40" i="2"/>
  <c r="I76" i="2"/>
  <c r="J124" i="2"/>
  <c r="C132" i="2"/>
  <c r="D132" i="2" s="1"/>
  <c r="E132" i="2" s="1"/>
  <c r="G154" i="2"/>
  <c r="F154" i="2"/>
  <c r="C87" i="2"/>
  <c r="D87" i="2" s="1"/>
  <c r="E87" i="2" s="1"/>
  <c r="J191" i="2"/>
  <c r="C140" i="2"/>
  <c r="D140" i="2" s="1"/>
  <c r="E140" i="2" s="1"/>
  <c r="G177" i="2"/>
  <c r="C358" i="2"/>
  <c r="D358" i="2" s="1"/>
  <c r="E358" i="2" s="1"/>
  <c r="H379" i="2"/>
  <c r="G105" i="2"/>
  <c r="F294" i="2"/>
  <c r="G354" i="2"/>
  <c r="G26" i="2"/>
  <c r="G15" i="2"/>
  <c r="J76" i="2"/>
  <c r="I137" i="2"/>
  <c r="K137" i="2" s="1"/>
  <c r="H422" i="2"/>
  <c r="F14" i="2"/>
  <c r="H267" i="2"/>
  <c r="C51" i="2"/>
  <c r="D51" i="2" s="1"/>
  <c r="E51" i="2" s="1"/>
  <c r="I129" i="2"/>
  <c r="I95" i="2"/>
  <c r="F105" i="2"/>
  <c r="B137" i="2"/>
  <c r="C137" i="2"/>
  <c r="D137" i="2" s="1"/>
  <c r="E137" i="2" s="1"/>
  <c r="G358" i="2"/>
  <c r="J204" i="2"/>
  <c r="F114" i="2"/>
  <c r="G294" i="2"/>
  <c r="G242" i="2"/>
  <c r="B130" i="2"/>
  <c r="I56" i="2"/>
  <c r="K56" i="2" s="1"/>
  <c r="G56" i="2"/>
  <c r="H56" i="2"/>
  <c r="F56" i="2"/>
  <c r="C56" i="2"/>
  <c r="D56" i="2" s="1"/>
  <c r="E56" i="2" s="1"/>
  <c r="J354" i="2"/>
  <c r="B354" i="2"/>
  <c r="I354" i="2"/>
  <c r="H354" i="2"/>
  <c r="G379" i="2"/>
  <c r="J379" i="2"/>
  <c r="K379" i="2" s="1"/>
  <c r="B403" i="2"/>
  <c r="G403" i="2"/>
  <c r="I403" i="2"/>
  <c r="F403" i="2"/>
  <c r="J40" i="2"/>
  <c r="F40" i="2"/>
  <c r="I40" i="2"/>
  <c r="H40" i="2"/>
  <c r="C15" i="2"/>
  <c r="D15" i="2" s="1"/>
  <c r="E15" i="2" s="1"/>
  <c r="J15" i="2"/>
  <c r="F15" i="2"/>
  <c r="I15" i="2"/>
  <c r="C32" i="6"/>
  <c r="B32" i="6" a="1"/>
  <c r="B32" i="6" s="1"/>
  <c r="J33" i="2"/>
  <c r="G33" i="2"/>
  <c r="F33" i="2"/>
  <c r="C33" i="2"/>
  <c r="D33" i="2" s="1"/>
  <c r="E33" i="2" s="1"/>
  <c r="B33" i="2"/>
  <c r="C79" i="2"/>
  <c r="D79" i="2" s="1"/>
  <c r="E79" i="2" s="1"/>
  <c r="F79" i="2"/>
  <c r="G79" i="2"/>
  <c r="B25" i="6" a="1"/>
  <c r="B25" i="6" s="1"/>
  <c r="J145" i="2"/>
  <c r="K145" i="2" s="1"/>
  <c r="B11" i="2"/>
  <c r="B96" i="2"/>
  <c r="B145" i="2"/>
  <c r="F217" i="2"/>
  <c r="J32" i="2"/>
  <c r="B30" i="6" a="1"/>
  <c r="B30" i="6" s="1"/>
  <c r="F88" i="2"/>
  <c r="B88" i="2"/>
  <c r="I88" i="2"/>
  <c r="J172" i="2"/>
  <c r="C172" i="2"/>
  <c r="D172" i="2" s="1"/>
  <c r="E172" i="2" s="1"/>
  <c r="F172" i="2"/>
  <c r="I172" i="2"/>
  <c r="B172" i="2"/>
  <c r="H102" i="2"/>
  <c r="G102" i="2"/>
  <c r="J102" i="2"/>
  <c r="I33" i="2"/>
  <c r="B103" i="2"/>
  <c r="F103" i="2"/>
  <c r="H103" i="2"/>
  <c r="I103" i="2"/>
  <c r="G103" i="2"/>
  <c r="J103" i="2"/>
  <c r="I75" i="2"/>
  <c r="H75" i="2"/>
  <c r="B75" i="2"/>
  <c r="C75" i="2"/>
  <c r="D75" i="2" s="1"/>
  <c r="E75" i="2" s="1"/>
  <c r="G75" i="2"/>
  <c r="C102" i="2"/>
  <c r="D102" i="2" s="1"/>
  <c r="E102" i="2" s="1"/>
  <c r="K217" i="2"/>
  <c r="H19" i="2"/>
  <c r="I19" i="2"/>
  <c r="J19" i="2"/>
  <c r="F19" i="2"/>
  <c r="G19" i="2"/>
  <c r="G30" i="2"/>
  <c r="F30" i="2"/>
  <c r="J30" i="2"/>
  <c r="I30" i="2"/>
  <c r="B30" i="2"/>
  <c r="H30" i="2"/>
  <c r="C30" i="2"/>
  <c r="D30" i="2" s="1"/>
  <c r="E30" i="2" s="1"/>
  <c r="J79" i="2"/>
  <c r="B102" i="2"/>
  <c r="H92" i="2"/>
  <c r="C294" i="2"/>
  <c r="D294" i="2" s="1"/>
  <c r="E294" i="2" s="1"/>
  <c r="B294" i="2"/>
  <c r="I294" i="2"/>
  <c r="K294" i="2" s="1"/>
  <c r="C88" i="2"/>
  <c r="D88" i="2" s="1"/>
  <c r="E88" i="2" s="1"/>
  <c r="B46" i="2"/>
  <c r="B49" i="2"/>
  <c r="J49" i="2"/>
  <c r="I49" i="2"/>
  <c r="G49" i="2"/>
  <c r="F49" i="2"/>
  <c r="B35" i="6" a="1"/>
  <c r="B35" i="6" s="1"/>
  <c r="C35" i="6"/>
  <c r="J87" i="2"/>
  <c r="I87" i="2"/>
  <c r="H87" i="2"/>
  <c r="H49" i="2"/>
  <c r="G172" i="2"/>
  <c r="I79" i="2"/>
  <c r="F75" i="2"/>
  <c r="C20" i="2"/>
  <c r="D20" i="2" s="1"/>
  <c r="E20" i="2" s="1"/>
  <c r="F20" i="2"/>
  <c r="B20" i="2"/>
  <c r="J11" i="2"/>
  <c r="H11" i="2"/>
  <c r="G11" i="2"/>
  <c r="F11" i="2"/>
  <c r="I11" i="2"/>
  <c r="I32" i="2"/>
  <c r="H32" i="2"/>
  <c r="F32" i="2"/>
  <c r="C145" i="2"/>
  <c r="D145" i="2" s="1"/>
  <c r="E145" i="2" s="1"/>
  <c r="G145" i="2"/>
  <c r="J166" i="2"/>
  <c r="K166" i="2" s="1"/>
  <c r="F166" i="2"/>
  <c r="H166" i="2"/>
  <c r="B166" i="2"/>
  <c r="B37" i="2"/>
  <c r="J37" i="2"/>
  <c r="H37" i="2"/>
  <c r="G37" i="2"/>
  <c r="I37" i="2"/>
  <c r="C37" i="2"/>
  <c r="D37" i="2" s="1"/>
  <c r="E37" i="2" s="1"/>
  <c r="F17" i="2"/>
  <c r="I17" i="2"/>
  <c r="H17" i="2"/>
  <c r="G17" i="2"/>
  <c r="J17" i="2"/>
  <c r="C17" i="2"/>
  <c r="D17" i="2" s="1"/>
  <c r="E17" i="2" s="1"/>
  <c r="B217" i="2"/>
  <c r="C217" i="2"/>
  <c r="D217" i="2" s="1"/>
  <c r="E217" i="2" s="1"/>
  <c r="B191" i="2"/>
  <c r="H191" i="2"/>
  <c r="F197" i="2"/>
  <c r="C197" i="2"/>
  <c r="D197" i="2" s="1"/>
  <c r="E197" i="2" s="1"/>
  <c r="H197" i="2"/>
  <c r="B197" i="2"/>
  <c r="I197" i="2"/>
  <c r="D481" i="2"/>
  <c r="E481" i="2" s="1"/>
  <c r="J481" i="2"/>
  <c r="H481" i="2"/>
  <c r="F481" i="2"/>
  <c r="B481" i="2"/>
  <c r="C49" i="2"/>
  <c r="D49" i="2" s="1"/>
  <c r="E49" i="2" s="1"/>
  <c r="H33" i="2"/>
  <c r="F145" i="2"/>
  <c r="H179" i="2"/>
  <c r="G191" i="2"/>
  <c r="B32" i="2"/>
  <c r="B28" i="6" a="1"/>
  <c r="B28" i="6" s="1"/>
  <c r="B31" i="6" a="1"/>
  <c r="B31" i="6" s="1"/>
  <c r="G85" i="2"/>
  <c r="C85" i="2"/>
  <c r="D85" i="2" s="1"/>
  <c r="E85" i="2" s="1"/>
  <c r="F85" i="2"/>
  <c r="B85" i="2"/>
  <c r="I85" i="2"/>
  <c r="K85" i="2" s="1"/>
  <c r="C33" i="6"/>
  <c r="F102" i="2"/>
  <c r="C166" i="2"/>
  <c r="D166" i="2" s="1"/>
  <c r="E166" i="2" s="1"/>
  <c r="J209" i="2"/>
  <c r="C209" i="2"/>
  <c r="D209" i="2" s="1"/>
  <c r="E209" i="2" s="1"/>
  <c r="G209" i="2"/>
  <c r="I209" i="2"/>
  <c r="H209" i="2"/>
  <c r="C38" i="2"/>
  <c r="D38" i="2" s="1"/>
  <c r="E38" i="2" s="1"/>
  <c r="I38" i="2"/>
  <c r="J38" i="2"/>
  <c r="F38" i="2"/>
  <c r="J9" i="2"/>
  <c r="B9" i="2"/>
  <c r="H9" i="2"/>
  <c r="I9" i="2"/>
  <c r="G87" i="2"/>
  <c r="J46" i="2"/>
  <c r="I46" i="2"/>
  <c r="G46" i="2"/>
  <c r="J75" i="2"/>
  <c r="H294" i="2"/>
  <c r="F37" i="2"/>
  <c r="B38" i="2"/>
  <c r="G88" i="2"/>
  <c r="I191" i="2"/>
  <c r="C9" i="2"/>
  <c r="D9" i="2" s="1"/>
  <c r="E9" i="2" s="1"/>
  <c r="G32" i="2"/>
  <c r="H46" i="2"/>
  <c r="G20" i="2"/>
  <c r="G40" i="2"/>
  <c r="B34" i="6" a="1"/>
  <c r="B34" i="6" s="1"/>
  <c r="C34" i="6"/>
  <c r="C92" i="2"/>
  <c r="D92" i="2" s="1"/>
  <c r="E92" i="2" s="1"/>
  <c r="B92" i="2"/>
  <c r="G92" i="2"/>
  <c r="J92" i="2"/>
  <c r="J96" i="2"/>
  <c r="F96" i="2"/>
  <c r="G96" i="2"/>
  <c r="I96" i="2"/>
  <c r="C96" i="2"/>
  <c r="D96" i="2" s="1"/>
  <c r="E96" i="2" s="1"/>
  <c r="H79" i="2"/>
  <c r="I102" i="2"/>
  <c r="C103" i="2"/>
  <c r="D103" i="2" s="1"/>
  <c r="E103" i="2" s="1"/>
  <c r="I92" i="2"/>
  <c r="H172" i="2"/>
  <c r="F179" i="2"/>
  <c r="C179" i="2"/>
  <c r="D179" i="2" s="1"/>
  <c r="E179" i="2" s="1"/>
  <c r="G179" i="2"/>
  <c r="I179" i="2"/>
  <c r="K179" i="2" s="1"/>
  <c r="B187" i="2"/>
  <c r="F187" i="2"/>
  <c r="J187" i="2"/>
  <c r="I187" i="2"/>
  <c r="F5" i="2"/>
  <c r="J5" i="2"/>
  <c r="I5" i="2"/>
  <c r="H5" i="2"/>
  <c r="G5" i="2"/>
  <c r="B5" i="2"/>
  <c r="C5" i="2"/>
  <c r="D5" i="2" s="1"/>
  <c r="E5" i="2" s="1"/>
  <c r="J88" i="2"/>
  <c r="B267" i="2"/>
  <c r="J267" i="2"/>
  <c r="I267" i="2"/>
  <c r="C267" i="2"/>
  <c r="D267" i="2" s="1"/>
  <c r="E267" i="2" s="1"/>
  <c r="C39" i="6"/>
  <c r="B17" i="2"/>
  <c r="G166" i="2"/>
  <c r="H27" i="2"/>
  <c r="F27" i="2"/>
  <c r="C27" i="2"/>
  <c r="D27" i="2" s="1"/>
  <c r="E27" i="2" s="1"/>
  <c r="B27" i="2"/>
  <c r="G27" i="2"/>
  <c r="J27" i="2"/>
  <c r="I27" i="2"/>
  <c r="G38" i="2"/>
  <c r="B179" i="2"/>
  <c r="B87" i="2"/>
  <c r="H85" i="2"/>
  <c r="G267" i="2"/>
  <c r="C187" i="2"/>
  <c r="D187" i="2" s="1"/>
  <c r="E187" i="2" s="1"/>
  <c r="C32" i="2"/>
  <c r="D32" i="2" s="1"/>
  <c r="E32" i="2" s="1"/>
  <c r="D46" i="2"/>
  <c r="E46" i="2" s="1"/>
  <c r="H20" i="2"/>
  <c r="F98" i="2"/>
  <c r="H98" i="2"/>
  <c r="H157" i="2"/>
  <c r="G157" i="2"/>
  <c r="F118" i="2"/>
  <c r="J118" i="2"/>
  <c r="H272" i="2"/>
  <c r="C272" i="2"/>
  <c r="D272" i="2" s="1"/>
  <c r="E272" i="2" s="1"/>
  <c r="G34" i="2"/>
  <c r="B34" i="2"/>
  <c r="G6" i="2"/>
  <c r="I6" i="2"/>
  <c r="H6" i="2"/>
  <c r="F4" i="2"/>
  <c r="C4" i="2"/>
  <c r="D4" i="2" s="1"/>
  <c r="E4" i="2" s="1"/>
  <c r="B25" i="2"/>
  <c r="I25" i="2"/>
  <c r="H25" i="2"/>
  <c r="I68" i="2"/>
  <c r="B68" i="2"/>
  <c r="J68" i="2"/>
  <c r="G68" i="2"/>
  <c r="F68" i="2"/>
  <c r="G42" i="2"/>
  <c r="H42" i="2"/>
  <c r="J42" i="2"/>
  <c r="I42" i="2"/>
  <c r="F42" i="2"/>
  <c r="J91" i="2"/>
  <c r="G91" i="2"/>
  <c r="C23" i="2"/>
  <c r="D23" i="2" s="1"/>
  <c r="E23" i="2" s="1"/>
  <c r="J23" i="2"/>
  <c r="H23" i="2"/>
  <c r="F23" i="2"/>
  <c r="G23" i="2"/>
  <c r="I23" i="2"/>
  <c r="H55" i="2"/>
  <c r="J55" i="2"/>
  <c r="I55" i="2"/>
  <c r="F55" i="2"/>
  <c r="C55" i="2"/>
  <c r="D55" i="2" s="1"/>
  <c r="E55" i="2" s="1"/>
  <c r="H91" i="2"/>
  <c r="F358" i="2"/>
  <c r="C37" i="6"/>
  <c r="H129" i="2"/>
  <c r="J132" i="2"/>
  <c r="K132" i="2" s="1"/>
  <c r="I91" i="2"/>
  <c r="H358" i="2"/>
  <c r="C201" i="2"/>
  <c r="D201" i="2" s="1"/>
  <c r="E201" i="2" s="1"/>
  <c r="F201" i="2"/>
  <c r="H43" i="2"/>
  <c r="G43" i="2"/>
  <c r="F43" i="2"/>
  <c r="J43" i="2"/>
  <c r="I164" i="2"/>
  <c r="J164" i="2"/>
  <c r="I8" i="2"/>
  <c r="C8" i="2"/>
  <c r="D8" i="2" s="1"/>
  <c r="E8" i="2" s="1"/>
  <c r="B8" i="2"/>
  <c r="B18" i="6" a="1"/>
  <c r="B18" i="6" s="1"/>
  <c r="J59" i="2"/>
  <c r="B59" i="2"/>
  <c r="J74" i="2"/>
  <c r="B74" i="2"/>
  <c r="I74" i="2"/>
  <c r="H74" i="2"/>
  <c r="J45" i="2"/>
  <c r="B45" i="2"/>
  <c r="B82" i="2"/>
  <c r="J82" i="2"/>
  <c r="I82" i="2"/>
  <c r="G82" i="2"/>
  <c r="F82" i="2"/>
  <c r="F53" i="2"/>
  <c r="B53" i="2"/>
  <c r="J63" i="2"/>
  <c r="I63" i="2"/>
  <c r="B23" i="2"/>
  <c r="J129" i="2"/>
  <c r="H110" i="2"/>
  <c r="C242" i="2"/>
  <c r="D242" i="2" s="1"/>
  <c r="E242" i="2" s="1"/>
  <c r="C65" i="2"/>
  <c r="D65" i="2" s="1"/>
  <c r="E65" i="2" s="1"/>
  <c r="J69" i="2"/>
  <c r="I69" i="2"/>
  <c r="H69" i="2"/>
  <c r="I44" i="2"/>
  <c r="J44" i="2"/>
  <c r="H44" i="2"/>
  <c r="C62" i="2"/>
  <c r="D62" i="2" s="1"/>
  <c r="E62" i="2" s="1"/>
  <c r="G62" i="2"/>
  <c r="J62" i="2"/>
  <c r="K62" i="2" s="1"/>
  <c r="H62" i="2"/>
  <c r="B62" i="2"/>
  <c r="F91" i="2"/>
  <c r="B63" i="2"/>
  <c r="B110" i="2"/>
  <c r="G129" i="2"/>
  <c r="J177" i="2"/>
  <c r="K177" i="2" s="1"/>
  <c r="F110" i="2"/>
  <c r="C91" i="2"/>
  <c r="D91" i="2" s="1"/>
  <c r="E91" i="2" s="1"/>
  <c r="F242" i="2"/>
  <c r="H31" i="2"/>
  <c r="I31" i="2"/>
  <c r="K31" i="2" s="1"/>
  <c r="G31" i="2"/>
  <c r="J78" i="2"/>
  <c r="F78" i="2"/>
  <c r="B78" i="2"/>
  <c r="I78" i="2"/>
  <c r="B29" i="6" a="1"/>
  <c r="B29" i="6" s="1"/>
  <c r="G18" i="2"/>
  <c r="J18" i="2"/>
  <c r="H18" i="2"/>
  <c r="F18" i="2"/>
  <c r="B152" i="2"/>
  <c r="C152" i="2"/>
  <c r="D152" i="2" s="1"/>
  <c r="E152" i="2" s="1"/>
  <c r="J192" i="2"/>
  <c r="I192" i="2"/>
  <c r="G192" i="2"/>
  <c r="C192" i="2"/>
  <c r="D192" i="2" s="1"/>
  <c r="E192" i="2" s="1"/>
  <c r="B192" i="2"/>
  <c r="H192" i="2"/>
  <c r="F192" i="2"/>
  <c r="F368" i="2"/>
  <c r="C368" i="2"/>
  <c r="D368" i="2" s="1"/>
  <c r="E368" i="2" s="1"/>
  <c r="B368" i="2"/>
  <c r="H368" i="2"/>
  <c r="I368" i="2"/>
  <c r="G368" i="2"/>
  <c r="J368" i="2"/>
  <c r="B571" i="2"/>
  <c r="G571" i="2"/>
  <c r="J571" i="2"/>
  <c r="I571" i="2"/>
  <c r="K571" i="2" s="1"/>
  <c r="H571" i="2"/>
  <c r="F571" i="2"/>
  <c r="D571" i="2"/>
  <c r="E571" i="2" s="1"/>
  <c r="C571" i="2"/>
  <c r="F816" i="2"/>
  <c r="D816" i="2"/>
  <c r="E816" i="2" s="1"/>
  <c r="B816" i="2"/>
  <c r="J816" i="2"/>
  <c r="C816" i="2"/>
  <c r="G816" i="2"/>
  <c r="I816" i="2"/>
  <c r="K816" i="2" s="1"/>
  <c r="H816" i="2"/>
  <c r="G399" i="2"/>
  <c r="C399" i="2"/>
  <c r="D399" i="2" s="1"/>
  <c r="E399" i="2" s="1"/>
  <c r="H399" i="2"/>
  <c r="I399" i="2"/>
  <c r="B399" i="2"/>
  <c r="J399" i="2"/>
  <c r="F399" i="2"/>
  <c r="B646" i="2"/>
  <c r="C646" i="2"/>
  <c r="J646" i="2"/>
  <c r="I646" i="2"/>
  <c r="K646" i="2" s="1"/>
  <c r="H646" i="2"/>
  <c r="F646" i="2"/>
  <c r="G646" i="2"/>
  <c r="D646" i="2"/>
  <c r="E646" i="2" s="1"/>
  <c r="J260" i="2"/>
  <c r="F260" i="2"/>
  <c r="C260" i="2"/>
  <c r="D260" i="2" s="1"/>
  <c r="E260" i="2" s="1"/>
  <c r="I260" i="2"/>
  <c r="H260" i="2"/>
  <c r="G260" i="2"/>
  <c r="B260" i="2"/>
  <c r="B298" i="2"/>
  <c r="C298" i="2"/>
  <c r="D298" i="2" s="1"/>
  <c r="E298" i="2" s="1"/>
  <c r="J298" i="2"/>
  <c r="I298" i="2"/>
  <c r="H298" i="2"/>
  <c r="G298" i="2"/>
  <c r="F298" i="2"/>
  <c r="F104" i="2"/>
  <c r="J104" i="2"/>
  <c r="I104" i="2"/>
  <c r="C104" i="2"/>
  <c r="D104" i="2" s="1"/>
  <c r="E104" i="2" s="1"/>
  <c r="B104" i="2"/>
  <c r="H104" i="2"/>
  <c r="G104" i="2"/>
  <c r="H202" i="2"/>
  <c r="G202" i="2"/>
  <c r="J202" i="2"/>
  <c r="I202" i="2"/>
  <c r="C202" i="2"/>
  <c r="D202" i="2" s="1"/>
  <c r="E202" i="2" s="1"/>
  <c r="F202" i="2"/>
  <c r="B202" i="2"/>
  <c r="G134" i="2"/>
  <c r="F134" i="2"/>
  <c r="J134" i="2"/>
  <c r="H134" i="2"/>
  <c r="C134" i="2"/>
  <c r="D134" i="2" s="1"/>
  <c r="E134" i="2" s="1"/>
  <c r="B134" i="2"/>
  <c r="I134" i="2"/>
  <c r="J52" i="2"/>
  <c r="I52" i="2"/>
  <c r="F52" i="2"/>
  <c r="H52" i="2"/>
  <c r="G52" i="2"/>
  <c r="C52" i="2"/>
  <c r="D52" i="2" s="1"/>
  <c r="E52" i="2" s="1"/>
  <c r="B52" i="2"/>
  <c r="I365" i="2"/>
  <c r="J365" i="2"/>
  <c r="G365" i="2"/>
  <c r="H365" i="2"/>
  <c r="F365" i="2"/>
  <c r="B365" i="2"/>
  <c r="C365" i="2"/>
  <c r="D365" i="2" s="1"/>
  <c r="E365" i="2" s="1"/>
  <c r="I16" i="2"/>
  <c r="J16" i="2"/>
  <c r="H16" i="2"/>
  <c r="B16" i="2"/>
  <c r="G16" i="2"/>
  <c r="C16" i="2"/>
  <c r="D16" i="2" s="1"/>
  <c r="E16" i="2" s="1"/>
  <c r="F16" i="2"/>
  <c r="J240" i="2"/>
  <c r="I240" i="2"/>
  <c r="G240" i="2"/>
  <c r="B240" i="2"/>
  <c r="H240" i="2"/>
  <c r="F240" i="2"/>
  <c r="C240" i="2"/>
  <c r="D240" i="2" s="1"/>
  <c r="E240" i="2" s="1"/>
  <c r="J216" i="2"/>
  <c r="I216" i="2"/>
  <c r="G216" i="2"/>
  <c r="B216" i="2"/>
  <c r="H216" i="2"/>
  <c r="F216" i="2"/>
  <c r="C216" i="2"/>
  <c r="D216" i="2" s="1"/>
  <c r="E216" i="2" s="1"/>
  <c r="G189" i="2"/>
  <c r="C189" i="2"/>
  <c r="D189" i="2" s="1"/>
  <c r="E189" i="2" s="1"/>
  <c r="H189" i="2"/>
  <c r="J189" i="2"/>
  <c r="I189" i="2"/>
  <c r="F189" i="2"/>
  <c r="B189" i="2"/>
  <c r="C36" i="2"/>
  <c r="D36" i="2" s="1"/>
  <c r="E36" i="2" s="1"/>
  <c r="B36" i="2"/>
  <c r="J36" i="2"/>
  <c r="H36" i="2"/>
  <c r="G36" i="2"/>
  <c r="I36" i="2"/>
  <c r="F36" i="2"/>
  <c r="F188" i="2"/>
  <c r="B188" i="2"/>
  <c r="J188" i="2"/>
  <c r="C188" i="2"/>
  <c r="D188" i="2" s="1"/>
  <c r="E188" i="2" s="1"/>
  <c r="I188" i="2"/>
  <c r="H188" i="2"/>
  <c r="G188" i="2"/>
  <c r="B100" i="2"/>
  <c r="C100" i="2"/>
  <c r="D100" i="2" s="1"/>
  <c r="E100" i="2" s="1"/>
  <c r="I100" i="2"/>
  <c r="H100" i="2"/>
  <c r="J100" i="2"/>
  <c r="G100" i="2"/>
  <c r="F100" i="2"/>
  <c r="F314" i="2"/>
  <c r="J314" i="2"/>
  <c r="H314" i="2"/>
  <c r="G314" i="2"/>
  <c r="C314" i="2"/>
  <c r="D314" i="2" s="1"/>
  <c r="E314" i="2" s="1"/>
  <c r="B314" i="2"/>
  <c r="I314" i="2"/>
  <c r="G339" i="2"/>
  <c r="J339" i="2"/>
  <c r="H339" i="2"/>
  <c r="I339" i="2"/>
  <c r="F339" i="2"/>
  <c r="C339" i="2"/>
  <c r="D339" i="2" s="1"/>
  <c r="E339" i="2" s="1"/>
  <c r="B339" i="2"/>
  <c r="C371" i="2"/>
  <c r="D371" i="2" s="1"/>
  <c r="E371" i="2" s="1"/>
  <c r="I371" i="2"/>
  <c r="G371" i="2"/>
  <c r="H371" i="2"/>
  <c r="F371" i="2"/>
  <c r="B371" i="2"/>
  <c r="J371" i="2"/>
  <c r="I317" i="2"/>
  <c r="C317" i="2"/>
  <c r="D317" i="2" s="1"/>
  <c r="E317" i="2" s="1"/>
  <c r="G317" i="2"/>
  <c r="F317" i="2"/>
  <c r="B317" i="2"/>
  <c r="J317" i="2"/>
  <c r="H317" i="2"/>
  <c r="B382" i="2"/>
  <c r="J382" i="2"/>
  <c r="I382" i="2"/>
  <c r="G382" i="2"/>
  <c r="F382" i="2"/>
  <c r="C382" i="2"/>
  <c r="D382" i="2" s="1"/>
  <c r="E382" i="2" s="1"/>
  <c r="H382" i="2"/>
  <c r="H340" i="2"/>
  <c r="J340" i="2"/>
  <c r="C340" i="2"/>
  <c r="D340" i="2" s="1"/>
  <c r="E340" i="2" s="1"/>
  <c r="B340" i="2"/>
  <c r="F340" i="2"/>
  <c r="I340" i="2"/>
  <c r="G340" i="2"/>
  <c r="H147" i="2"/>
  <c r="G147" i="2"/>
  <c r="C147" i="2"/>
  <c r="D147" i="2" s="1"/>
  <c r="E147" i="2" s="1"/>
  <c r="J147" i="2"/>
  <c r="I147" i="2"/>
  <c r="F147" i="2"/>
  <c r="B147" i="2"/>
  <c r="J306" i="2"/>
  <c r="G306" i="2"/>
  <c r="F306" i="2"/>
  <c r="B306" i="2"/>
  <c r="I306" i="2"/>
  <c r="H306" i="2"/>
  <c r="C306" i="2"/>
  <c r="D306" i="2" s="1"/>
  <c r="E306" i="2" s="1"/>
  <c r="J282" i="2"/>
  <c r="H282" i="2"/>
  <c r="I282" i="2"/>
  <c r="C282" i="2"/>
  <c r="D282" i="2" s="1"/>
  <c r="E282" i="2" s="1"/>
  <c r="B282" i="2"/>
  <c r="G282" i="2"/>
  <c r="F282" i="2"/>
  <c r="G411" i="2"/>
  <c r="C411" i="2"/>
  <c r="D411" i="2" s="1"/>
  <c r="E411" i="2" s="1"/>
  <c r="H411" i="2"/>
  <c r="J411" i="2"/>
  <c r="I411" i="2"/>
  <c r="B411" i="2"/>
  <c r="F411" i="2"/>
  <c r="J342" i="2"/>
  <c r="C342" i="2"/>
  <c r="D342" i="2" s="1"/>
  <c r="E342" i="2" s="1"/>
  <c r="I342" i="2"/>
  <c r="H342" i="2"/>
  <c r="B342" i="2"/>
  <c r="G342" i="2"/>
  <c r="F342" i="2"/>
  <c r="B310" i="2"/>
  <c r="C310" i="2"/>
  <c r="D310" i="2" s="1"/>
  <c r="E310" i="2" s="1"/>
  <c r="F310" i="2"/>
  <c r="I310" i="2"/>
  <c r="J310" i="2"/>
  <c r="H310" i="2"/>
  <c r="G310" i="2"/>
  <c r="I446" i="2"/>
  <c r="K446" i="2" s="1"/>
  <c r="H446" i="2"/>
  <c r="G446" i="2"/>
  <c r="F446" i="2"/>
  <c r="D446" i="2"/>
  <c r="E446" i="2" s="1"/>
  <c r="J446" i="2"/>
  <c r="C446" i="2"/>
  <c r="B446" i="2"/>
  <c r="C407" i="2"/>
  <c r="D407" i="2" s="1"/>
  <c r="E407" i="2" s="1"/>
  <c r="J407" i="2"/>
  <c r="F407" i="2"/>
  <c r="I407" i="2"/>
  <c r="H407" i="2"/>
  <c r="G407" i="2"/>
  <c r="B407" i="2"/>
  <c r="G460" i="2"/>
  <c r="J460" i="2"/>
  <c r="I460" i="2"/>
  <c r="K460" i="2" s="1"/>
  <c r="H460" i="2"/>
  <c r="F460" i="2"/>
  <c r="D460" i="2"/>
  <c r="E460" i="2" s="1"/>
  <c r="C460" i="2"/>
  <c r="B460" i="2"/>
  <c r="H506" i="2"/>
  <c r="J506" i="2"/>
  <c r="I506" i="2"/>
  <c r="K506" i="2" s="1"/>
  <c r="G506" i="2"/>
  <c r="F506" i="2"/>
  <c r="D506" i="2"/>
  <c r="E506" i="2" s="1"/>
  <c r="C506" i="2"/>
  <c r="B506" i="2"/>
  <c r="I440" i="2"/>
  <c r="K440" i="2" s="1"/>
  <c r="H440" i="2"/>
  <c r="D440" i="2"/>
  <c r="E440" i="2" s="1"/>
  <c r="J440" i="2"/>
  <c r="G440" i="2"/>
  <c r="F440" i="2"/>
  <c r="B440" i="2"/>
  <c r="C440" i="2"/>
  <c r="D743" i="2"/>
  <c r="E743" i="2" s="1"/>
  <c r="C743" i="2"/>
  <c r="J743" i="2"/>
  <c r="I743" i="2"/>
  <c r="K743" i="2" s="1"/>
  <c r="H743" i="2"/>
  <c r="G743" i="2"/>
  <c r="F743" i="2"/>
  <c r="B743" i="2"/>
  <c r="C525" i="2"/>
  <c r="B525" i="2"/>
  <c r="D525" i="2"/>
  <c r="E525" i="2" s="1"/>
  <c r="H525" i="2"/>
  <c r="G525" i="2"/>
  <c r="F525" i="2"/>
  <c r="I525" i="2"/>
  <c r="K525" i="2" s="1"/>
  <c r="J525" i="2"/>
  <c r="J496" i="2"/>
  <c r="G496" i="2"/>
  <c r="D496" i="2"/>
  <c r="E496" i="2" s="1"/>
  <c r="C496" i="2"/>
  <c r="B496" i="2"/>
  <c r="F496" i="2"/>
  <c r="H496" i="2"/>
  <c r="I496" i="2"/>
  <c r="K496" i="2" s="1"/>
  <c r="H521" i="2"/>
  <c r="C521" i="2"/>
  <c r="B521" i="2"/>
  <c r="D521" i="2"/>
  <c r="E521" i="2" s="1"/>
  <c r="J521" i="2"/>
  <c r="I521" i="2"/>
  <c r="K521" i="2" s="1"/>
  <c r="G521" i="2"/>
  <c r="F521" i="2"/>
  <c r="C468" i="2"/>
  <c r="B468" i="2"/>
  <c r="D468" i="2"/>
  <c r="E468" i="2" s="1"/>
  <c r="J468" i="2"/>
  <c r="G468" i="2"/>
  <c r="I468" i="2"/>
  <c r="K468" i="2" s="1"/>
  <c r="H468" i="2"/>
  <c r="F468" i="2"/>
  <c r="I357" i="2"/>
  <c r="H357" i="2"/>
  <c r="F357" i="2"/>
  <c r="C357" i="2"/>
  <c r="D357" i="2" s="1"/>
  <c r="E357" i="2" s="1"/>
  <c r="B357" i="2"/>
  <c r="J357" i="2"/>
  <c r="G357" i="2"/>
  <c r="B512" i="2"/>
  <c r="J512" i="2"/>
  <c r="C512" i="2"/>
  <c r="I512" i="2"/>
  <c r="K512" i="2" s="1"/>
  <c r="D512" i="2"/>
  <c r="E512" i="2" s="1"/>
  <c r="G512" i="2"/>
  <c r="H512" i="2"/>
  <c r="F512" i="2"/>
  <c r="J579" i="2"/>
  <c r="F579" i="2"/>
  <c r="I579" i="2"/>
  <c r="K579" i="2" s="1"/>
  <c r="C579" i="2"/>
  <c r="H579" i="2"/>
  <c r="G579" i="2"/>
  <c r="D579" i="2"/>
  <c r="E579" i="2" s="1"/>
  <c r="B579" i="2"/>
  <c r="D490" i="2"/>
  <c r="E490" i="2" s="1"/>
  <c r="J490" i="2"/>
  <c r="I490" i="2"/>
  <c r="K490" i="2" s="1"/>
  <c r="H490" i="2"/>
  <c r="G490" i="2"/>
  <c r="F490" i="2"/>
  <c r="C490" i="2"/>
  <c r="B490" i="2"/>
  <c r="J694" i="2"/>
  <c r="H694" i="2"/>
  <c r="G694" i="2"/>
  <c r="F694" i="2"/>
  <c r="I694" i="2"/>
  <c r="K694" i="2" s="1"/>
  <c r="D694" i="2"/>
  <c r="E694" i="2" s="1"/>
  <c r="C694" i="2"/>
  <c r="B694" i="2"/>
  <c r="G588" i="2"/>
  <c r="D588" i="2"/>
  <c r="E588" i="2" s="1"/>
  <c r="C588" i="2"/>
  <c r="B588" i="2"/>
  <c r="I588" i="2"/>
  <c r="K588" i="2" s="1"/>
  <c r="F588" i="2"/>
  <c r="J588" i="2"/>
  <c r="H588" i="2"/>
  <c r="J547" i="2"/>
  <c r="B547" i="2"/>
  <c r="D547" i="2"/>
  <c r="E547" i="2" s="1"/>
  <c r="C547" i="2"/>
  <c r="H547" i="2"/>
  <c r="F547" i="2"/>
  <c r="I547" i="2"/>
  <c r="K547" i="2" s="1"/>
  <c r="G547" i="2"/>
  <c r="H652" i="2"/>
  <c r="G652" i="2"/>
  <c r="F652" i="2"/>
  <c r="D652" i="2"/>
  <c r="E652" i="2" s="1"/>
  <c r="I652" i="2"/>
  <c r="K652" i="2" s="1"/>
  <c r="J652" i="2"/>
  <c r="B652" i="2"/>
  <c r="C652" i="2"/>
  <c r="B631" i="2"/>
  <c r="H631" i="2"/>
  <c r="G631" i="2"/>
  <c r="F631" i="2"/>
  <c r="I631" i="2"/>
  <c r="K631" i="2" s="1"/>
  <c r="C631" i="2"/>
  <c r="J631" i="2"/>
  <c r="D631" i="2"/>
  <c r="E631" i="2" s="1"/>
  <c r="J706" i="2"/>
  <c r="I706" i="2"/>
  <c r="K706" i="2" s="1"/>
  <c r="H706" i="2"/>
  <c r="G706" i="2"/>
  <c r="F706" i="2"/>
  <c r="C706" i="2"/>
  <c r="D706" i="2"/>
  <c r="E706" i="2" s="1"/>
  <c r="B706" i="2"/>
  <c r="I693" i="2"/>
  <c r="K693" i="2" s="1"/>
  <c r="F693" i="2"/>
  <c r="D693" i="2"/>
  <c r="E693" i="2" s="1"/>
  <c r="C693" i="2"/>
  <c r="H693" i="2"/>
  <c r="G693" i="2"/>
  <c r="B693" i="2"/>
  <c r="J693" i="2"/>
  <c r="F770" i="2"/>
  <c r="B770" i="2"/>
  <c r="G770" i="2"/>
  <c r="J770" i="2"/>
  <c r="I770" i="2"/>
  <c r="K770" i="2" s="1"/>
  <c r="D770" i="2"/>
  <c r="E770" i="2" s="1"/>
  <c r="C770" i="2"/>
  <c r="H770" i="2"/>
  <c r="I650" i="2"/>
  <c r="K650" i="2" s="1"/>
  <c r="F650" i="2"/>
  <c r="B650" i="2"/>
  <c r="J650" i="2"/>
  <c r="H650" i="2"/>
  <c r="G650" i="2"/>
  <c r="D650" i="2"/>
  <c r="E650" i="2" s="1"/>
  <c r="C650" i="2"/>
  <c r="J786" i="2"/>
  <c r="G786" i="2"/>
  <c r="B786" i="2"/>
  <c r="I786" i="2"/>
  <c r="K786" i="2" s="1"/>
  <c r="D786" i="2"/>
  <c r="E786" i="2" s="1"/>
  <c r="H786" i="2"/>
  <c r="F786" i="2"/>
  <c r="C786" i="2"/>
  <c r="H772" i="2"/>
  <c r="F772" i="2"/>
  <c r="D772" i="2"/>
  <c r="E772" i="2" s="1"/>
  <c r="C772" i="2"/>
  <c r="B772" i="2"/>
  <c r="J772" i="2"/>
  <c r="I772" i="2"/>
  <c r="K772" i="2" s="1"/>
  <c r="G772" i="2"/>
  <c r="J654" i="2"/>
  <c r="B654" i="2"/>
  <c r="I654" i="2"/>
  <c r="K654" i="2" s="1"/>
  <c r="H654" i="2"/>
  <c r="G654" i="2"/>
  <c r="F654" i="2"/>
  <c r="D654" i="2"/>
  <c r="E654" i="2" s="1"/>
  <c r="C654" i="2"/>
  <c r="I800" i="2"/>
  <c r="K800" i="2" s="1"/>
  <c r="D800" i="2"/>
  <c r="E800" i="2" s="1"/>
  <c r="J800" i="2"/>
  <c r="H800" i="2"/>
  <c r="G800" i="2"/>
  <c r="F800" i="2"/>
  <c r="C800" i="2"/>
  <c r="B800" i="2"/>
  <c r="H760" i="2"/>
  <c r="D760" i="2"/>
  <c r="E760" i="2" s="1"/>
  <c r="C760" i="2"/>
  <c r="I760" i="2"/>
  <c r="K760" i="2" s="1"/>
  <c r="G760" i="2"/>
  <c r="F760" i="2"/>
  <c r="B760" i="2"/>
  <c r="J760" i="2"/>
  <c r="C767" i="2"/>
  <c r="I767" i="2"/>
  <c r="K767" i="2" s="1"/>
  <c r="G767" i="2"/>
  <c r="F767" i="2"/>
  <c r="H767" i="2"/>
  <c r="D767" i="2"/>
  <c r="E767" i="2" s="1"/>
  <c r="B767" i="2"/>
  <c r="J767" i="2"/>
  <c r="J749" i="2"/>
  <c r="I749" i="2"/>
  <c r="K749" i="2" s="1"/>
  <c r="B749" i="2"/>
  <c r="H749" i="2"/>
  <c r="G749" i="2"/>
  <c r="D749" i="2"/>
  <c r="E749" i="2" s="1"/>
  <c r="F749" i="2"/>
  <c r="C749" i="2"/>
  <c r="J895" i="2"/>
  <c r="I895" i="2"/>
  <c r="K895" i="2" s="1"/>
  <c r="H895" i="2"/>
  <c r="G895" i="2"/>
  <c r="F895" i="2"/>
  <c r="B895" i="2"/>
  <c r="D895" i="2"/>
  <c r="E895" i="2" s="1"/>
  <c r="C895" i="2"/>
  <c r="D858" i="2"/>
  <c r="E858" i="2" s="1"/>
  <c r="I858" i="2"/>
  <c r="K858" i="2" s="1"/>
  <c r="F858" i="2"/>
  <c r="J858" i="2"/>
  <c r="H858" i="2"/>
  <c r="C858" i="2"/>
  <c r="G858" i="2"/>
  <c r="B858" i="2"/>
  <c r="I883" i="2"/>
  <c r="K883" i="2" s="1"/>
  <c r="H883" i="2"/>
  <c r="C883" i="2"/>
  <c r="J883" i="2"/>
  <c r="G883" i="2"/>
  <c r="F883" i="2"/>
  <c r="D883" i="2"/>
  <c r="E883" i="2" s="1"/>
  <c r="B883" i="2"/>
  <c r="I785" i="2"/>
  <c r="K785" i="2" s="1"/>
  <c r="F785" i="2"/>
  <c r="J785" i="2"/>
  <c r="H785" i="2"/>
  <c r="G785" i="2"/>
  <c r="D785" i="2"/>
  <c r="E785" i="2" s="1"/>
  <c r="C785" i="2"/>
  <c r="B785" i="2"/>
  <c r="G827" i="2"/>
  <c r="F827" i="2"/>
  <c r="D827" i="2"/>
  <c r="E827" i="2" s="1"/>
  <c r="H827" i="2"/>
  <c r="B827" i="2"/>
  <c r="I827" i="2"/>
  <c r="K827" i="2" s="1"/>
  <c r="J827" i="2"/>
  <c r="C827" i="2"/>
  <c r="C802" i="2"/>
  <c r="B802" i="2"/>
  <c r="G802" i="2"/>
  <c r="J802" i="2"/>
  <c r="I802" i="2"/>
  <c r="K802" i="2" s="1"/>
  <c r="H802" i="2"/>
  <c r="D802" i="2"/>
  <c r="E802" i="2" s="1"/>
  <c r="F802" i="2"/>
  <c r="F826" i="2"/>
  <c r="C826" i="2"/>
  <c r="H826" i="2"/>
  <c r="I826" i="2"/>
  <c r="K826" i="2" s="1"/>
  <c r="G826" i="2"/>
  <c r="D826" i="2"/>
  <c r="E826" i="2" s="1"/>
  <c r="B826" i="2"/>
  <c r="J826" i="2"/>
  <c r="I841" i="2"/>
  <c r="K841" i="2" s="1"/>
  <c r="D841" i="2"/>
  <c r="E841" i="2" s="1"/>
  <c r="C841" i="2"/>
  <c r="B841" i="2"/>
  <c r="J841" i="2"/>
  <c r="H841" i="2"/>
  <c r="G841" i="2"/>
  <c r="F841" i="2"/>
  <c r="H999" i="2"/>
  <c r="G999" i="2"/>
  <c r="F999" i="2"/>
  <c r="D999" i="2"/>
  <c r="E999" i="2" s="1"/>
  <c r="C999" i="2"/>
  <c r="J999" i="2"/>
  <c r="I999" i="2"/>
  <c r="K999" i="2" s="1"/>
  <c r="B999" i="2"/>
  <c r="I906" i="2"/>
  <c r="K906" i="2" s="1"/>
  <c r="H906" i="2"/>
  <c r="G906" i="2"/>
  <c r="F906" i="2"/>
  <c r="D906" i="2"/>
  <c r="E906" i="2" s="1"/>
  <c r="J906" i="2"/>
  <c r="C906" i="2"/>
  <c r="B906" i="2"/>
  <c r="B969" i="2"/>
  <c r="I969" i="2"/>
  <c r="K969" i="2" s="1"/>
  <c r="J969" i="2"/>
  <c r="H969" i="2"/>
  <c r="G969" i="2"/>
  <c r="F969" i="2"/>
  <c r="D969" i="2"/>
  <c r="E969" i="2" s="1"/>
  <c r="C969" i="2"/>
  <c r="I845" i="2"/>
  <c r="K845" i="2" s="1"/>
  <c r="J845" i="2"/>
  <c r="H845" i="2"/>
  <c r="G845" i="2"/>
  <c r="F845" i="2"/>
  <c r="B845" i="2"/>
  <c r="C845" i="2"/>
  <c r="D845" i="2"/>
  <c r="E845" i="2" s="1"/>
  <c r="G919" i="2"/>
  <c r="F919" i="2"/>
  <c r="D919" i="2"/>
  <c r="E919" i="2" s="1"/>
  <c r="C919" i="2"/>
  <c r="B919" i="2"/>
  <c r="J919" i="2"/>
  <c r="I919" i="2"/>
  <c r="K919" i="2" s="1"/>
  <c r="H919" i="2"/>
  <c r="D901" i="2"/>
  <c r="E901" i="2" s="1"/>
  <c r="C901" i="2"/>
  <c r="B901" i="2"/>
  <c r="H901" i="2"/>
  <c r="J901" i="2"/>
  <c r="I901" i="2"/>
  <c r="K901" i="2" s="1"/>
  <c r="G901" i="2"/>
  <c r="F901" i="2"/>
  <c r="H975" i="2"/>
  <c r="G975" i="2"/>
  <c r="F975" i="2"/>
  <c r="C975" i="2"/>
  <c r="D975" i="2"/>
  <c r="E975" i="2" s="1"/>
  <c r="B975" i="2"/>
  <c r="J975" i="2"/>
  <c r="I975" i="2"/>
  <c r="K975" i="2" s="1"/>
  <c r="J898" i="2"/>
  <c r="I898" i="2"/>
  <c r="K898" i="2" s="1"/>
  <c r="H898" i="2"/>
  <c r="G898" i="2"/>
  <c r="F898" i="2"/>
  <c r="D898" i="2"/>
  <c r="E898" i="2" s="1"/>
  <c r="C898" i="2"/>
  <c r="B898" i="2"/>
  <c r="F985" i="2"/>
  <c r="D985" i="2"/>
  <c r="E985" i="2" s="1"/>
  <c r="C985" i="2"/>
  <c r="B985" i="2"/>
  <c r="J985" i="2"/>
  <c r="I985" i="2"/>
  <c r="K985" i="2" s="1"/>
  <c r="H985" i="2"/>
  <c r="G985" i="2"/>
  <c r="C958" i="2"/>
  <c r="J958" i="2"/>
  <c r="H958" i="2"/>
  <c r="G958" i="2"/>
  <c r="F958" i="2"/>
  <c r="D958" i="2"/>
  <c r="E958" i="2" s="1"/>
  <c r="B958" i="2"/>
  <c r="I958" i="2"/>
  <c r="K958" i="2" s="1"/>
  <c r="G77" i="2"/>
  <c r="F77" i="2"/>
  <c r="B77" i="2"/>
  <c r="J77" i="2"/>
  <c r="I77" i="2"/>
  <c r="H77" i="2"/>
  <c r="C77" i="2"/>
  <c r="D77" i="2" s="1"/>
  <c r="E77" i="2" s="1"/>
  <c r="F29" i="2"/>
  <c r="B29" i="2"/>
  <c r="J29" i="2"/>
  <c r="I29" i="2"/>
  <c r="C29" i="2"/>
  <c r="D29" i="2" s="1"/>
  <c r="E29" i="2" s="1"/>
  <c r="H29" i="2"/>
  <c r="G29" i="2"/>
  <c r="C245" i="2"/>
  <c r="D245" i="2" s="1"/>
  <c r="E245" i="2" s="1"/>
  <c r="B245" i="2"/>
  <c r="G245" i="2"/>
  <c r="J245" i="2"/>
  <c r="I245" i="2"/>
  <c r="H245" i="2"/>
  <c r="F245" i="2"/>
  <c r="F128" i="2"/>
  <c r="H128" i="2"/>
  <c r="G128" i="2"/>
  <c r="C128" i="2"/>
  <c r="D128" i="2" s="1"/>
  <c r="E128" i="2" s="1"/>
  <c r="B128" i="2"/>
  <c r="J128" i="2"/>
  <c r="I128" i="2"/>
  <c r="H90" i="2"/>
  <c r="G90" i="2"/>
  <c r="C90" i="2"/>
  <c r="D90" i="2" s="1"/>
  <c r="E90" i="2" s="1"/>
  <c r="B90" i="2"/>
  <c r="J90" i="2"/>
  <c r="I90" i="2"/>
  <c r="F90" i="2"/>
  <c r="H273" i="2"/>
  <c r="G273" i="2"/>
  <c r="F273" i="2"/>
  <c r="J273" i="2"/>
  <c r="I273" i="2"/>
  <c r="C273" i="2"/>
  <c r="D273" i="2" s="1"/>
  <c r="E273" i="2" s="1"/>
  <c r="B273" i="2"/>
  <c r="J108" i="2"/>
  <c r="H108" i="2"/>
  <c r="F108" i="2"/>
  <c r="C108" i="2"/>
  <c r="D108" i="2" s="1"/>
  <c r="E108" i="2" s="1"/>
  <c r="I108" i="2"/>
  <c r="G108" i="2"/>
  <c r="B108" i="2"/>
  <c r="B163" i="2"/>
  <c r="J163" i="2"/>
  <c r="F163" i="2"/>
  <c r="I163" i="2"/>
  <c r="H163" i="2"/>
  <c r="G163" i="2"/>
  <c r="C163" i="2"/>
  <c r="D163" i="2" s="1"/>
  <c r="E163" i="2" s="1"/>
  <c r="C348" i="2"/>
  <c r="D348" i="2" s="1"/>
  <c r="E348" i="2" s="1"/>
  <c r="B348" i="2"/>
  <c r="G348" i="2"/>
  <c r="F348" i="2"/>
  <c r="J348" i="2"/>
  <c r="H348" i="2"/>
  <c r="I348" i="2"/>
  <c r="I695" i="2"/>
  <c r="K695" i="2" s="1"/>
  <c r="H695" i="2"/>
  <c r="G695" i="2"/>
  <c r="F695" i="2"/>
  <c r="B695" i="2"/>
  <c r="J695" i="2"/>
  <c r="D695" i="2"/>
  <c r="E695" i="2" s="1"/>
  <c r="C695" i="2"/>
  <c r="J426" i="2"/>
  <c r="F426" i="2"/>
  <c r="B426" i="2"/>
  <c r="G426" i="2"/>
  <c r="H426" i="2"/>
  <c r="D426" i="2"/>
  <c r="E426" i="2" s="1"/>
  <c r="C426" i="2"/>
  <c r="I426" i="2"/>
  <c r="K426" i="2" s="1"/>
  <c r="J615" i="2"/>
  <c r="I615" i="2"/>
  <c r="K615" i="2" s="1"/>
  <c r="H615" i="2"/>
  <c r="G615" i="2"/>
  <c r="D615" i="2"/>
  <c r="E615" i="2" s="1"/>
  <c r="C615" i="2"/>
  <c r="F615" i="2"/>
  <c r="B615" i="2"/>
  <c r="H664" i="2"/>
  <c r="D664" i="2"/>
  <c r="E664" i="2" s="1"/>
  <c r="C664" i="2"/>
  <c r="B664" i="2"/>
  <c r="F664" i="2"/>
  <c r="J664" i="2"/>
  <c r="I664" i="2"/>
  <c r="K664" i="2" s="1"/>
  <c r="G664" i="2"/>
  <c r="C584" i="2"/>
  <c r="I584" i="2"/>
  <c r="K584" i="2" s="1"/>
  <c r="H584" i="2"/>
  <c r="D584" i="2"/>
  <c r="E584" i="2" s="1"/>
  <c r="B584" i="2"/>
  <c r="J584" i="2"/>
  <c r="F584" i="2"/>
  <c r="G584" i="2"/>
  <c r="B813" i="2"/>
  <c r="I813" i="2"/>
  <c r="K813" i="2" s="1"/>
  <c r="H813" i="2"/>
  <c r="D813" i="2"/>
  <c r="E813" i="2" s="1"/>
  <c r="J813" i="2"/>
  <c r="G813" i="2"/>
  <c r="F813" i="2"/>
  <c r="C813" i="2"/>
  <c r="F726" i="2"/>
  <c r="D726" i="2"/>
  <c r="E726" i="2" s="1"/>
  <c r="C726" i="2"/>
  <c r="B726" i="2"/>
  <c r="I726" i="2"/>
  <c r="K726" i="2" s="1"/>
  <c r="H726" i="2"/>
  <c r="G726" i="2"/>
  <c r="J726" i="2"/>
  <c r="H796" i="2"/>
  <c r="G796" i="2"/>
  <c r="F796" i="2"/>
  <c r="D796" i="2"/>
  <c r="E796" i="2" s="1"/>
  <c r="C796" i="2"/>
  <c r="B796" i="2"/>
  <c r="J796" i="2"/>
  <c r="I796" i="2"/>
  <c r="K796" i="2" s="1"/>
  <c r="I824" i="2"/>
  <c r="K824" i="2" s="1"/>
  <c r="H824" i="2"/>
  <c r="F824" i="2"/>
  <c r="D824" i="2"/>
  <c r="E824" i="2" s="1"/>
  <c r="C824" i="2"/>
  <c r="B824" i="2"/>
  <c r="J824" i="2"/>
  <c r="G824" i="2"/>
  <c r="J907" i="2"/>
  <c r="I907" i="2"/>
  <c r="K907" i="2" s="1"/>
  <c r="H907" i="2"/>
  <c r="G907" i="2"/>
  <c r="F907" i="2"/>
  <c r="D907" i="2"/>
  <c r="E907" i="2" s="1"/>
  <c r="C907" i="2"/>
  <c r="B907" i="2"/>
  <c r="B957" i="2"/>
  <c r="I957" i="2"/>
  <c r="K957" i="2" s="1"/>
  <c r="C957" i="2"/>
  <c r="G957" i="2"/>
  <c r="H957" i="2"/>
  <c r="J957" i="2"/>
  <c r="F957" i="2"/>
  <c r="D957" i="2"/>
  <c r="E957" i="2" s="1"/>
  <c r="C139" i="2"/>
  <c r="D139" i="2" s="1"/>
  <c r="E139" i="2" s="1"/>
  <c r="H139" i="2"/>
  <c r="F139" i="2"/>
  <c r="B139" i="2"/>
  <c r="J139" i="2"/>
  <c r="I139" i="2"/>
  <c r="G139" i="2"/>
  <c r="G315" i="2"/>
  <c r="J315" i="2"/>
  <c r="I315" i="2"/>
  <c r="H315" i="2"/>
  <c r="F315" i="2"/>
  <c r="B315" i="2"/>
  <c r="C315" i="2"/>
  <c r="D315" i="2" s="1"/>
  <c r="E315" i="2" s="1"/>
  <c r="G141" i="2"/>
  <c r="I141" i="2"/>
  <c r="H141" i="2"/>
  <c r="J141" i="2"/>
  <c r="F141" i="2"/>
  <c r="C141" i="2"/>
  <c r="D141" i="2" s="1"/>
  <c r="E141" i="2" s="1"/>
  <c r="B141" i="2"/>
  <c r="B211" i="2"/>
  <c r="I211" i="2"/>
  <c r="J211" i="2"/>
  <c r="H211" i="2"/>
  <c r="F211" i="2"/>
  <c r="C211" i="2"/>
  <c r="D211" i="2" s="1"/>
  <c r="E211" i="2" s="1"/>
  <c r="G211" i="2"/>
  <c r="G331" i="2"/>
  <c r="F331" i="2"/>
  <c r="J331" i="2"/>
  <c r="I331" i="2"/>
  <c r="H331" i="2"/>
  <c r="C331" i="2"/>
  <c r="D331" i="2" s="1"/>
  <c r="E331" i="2" s="1"/>
  <c r="B331" i="2"/>
  <c r="H270" i="2"/>
  <c r="B270" i="2"/>
  <c r="F270" i="2"/>
  <c r="C270" i="2"/>
  <c r="D270" i="2" s="1"/>
  <c r="E270" i="2" s="1"/>
  <c r="J270" i="2"/>
  <c r="I270" i="2"/>
  <c r="G270" i="2"/>
  <c r="J439" i="2"/>
  <c r="H439" i="2"/>
  <c r="G439" i="2"/>
  <c r="D439" i="2"/>
  <c r="E439" i="2" s="1"/>
  <c r="B439" i="2"/>
  <c r="F439" i="2"/>
  <c r="C439" i="2"/>
  <c r="I439" i="2"/>
  <c r="K439" i="2" s="1"/>
  <c r="D621" i="2"/>
  <c r="E621" i="2" s="1"/>
  <c r="J621" i="2"/>
  <c r="I621" i="2"/>
  <c r="K621" i="2" s="1"/>
  <c r="H621" i="2"/>
  <c r="G621" i="2"/>
  <c r="C621" i="2"/>
  <c r="F621" i="2"/>
  <c r="B621" i="2"/>
  <c r="J345" i="2"/>
  <c r="I345" i="2"/>
  <c r="G345" i="2"/>
  <c r="H345" i="2"/>
  <c r="F345" i="2"/>
  <c r="C345" i="2"/>
  <c r="D345" i="2" s="1"/>
  <c r="E345" i="2" s="1"/>
  <c r="B345" i="2"/>
  <c r="H577" i="2"/>
  <c r="F577" i="2"/>
  <c r="C577" i="2"/>
  <c r="B577" i="2"/>
  <c r="D577" i="2"/>
  <c r="E577" i="2" s="1"/>
  <c r="I577" i="2"/>
  <c r="K577" i="2" s="1"/>
  <c r="G577" i="2"/>
  <c r="J577" i="2"/>
  <c r="J603" i="2"/>
  <c r="I603" i="2"/>
  <c r="K603" i="2" s="1"/>
  <c r="H603" i="2"/>
  <c r="B603" i="2"/>
  <c r="D603" i="2"/>
  <c r="E603" i="2" s="1"/>
  <c r="C603" i="2"/>
  <c r="F603" i="2"/>
  <c r="G603" i="2"/>
  <c r="H747" i="2"/>
  <c r="G747" i="2"/>
  <c r="J747" i="2"/>
  <c r="I747" i="2"/>
  <c r="K747" i="2" s="1"/>
  <c r="F747" i="2"/>
  <c r="D747" i="2"/>
  <c r="E747" i="2" s="1"/>
  <c r="C747" i="2"/>
  <c r="B747" i="2"/>
  <c r="J642" i="2"/>
  <c r="C642" i="2"/>
  <c r="B642" i="2"/>
  <c r="D642" i="2"/>
  <c r="E642" i="2" s="1"/>
  <c r="G642" i="2"/>
  <c r="F642" i="2"/>
  <c r="H642" i="2"/>
  <c r="I642" i="2"/>
  <c r="K642" i="2" s="1"/>
  <c r="F745" i="2"/>
  <c r="B745" i="2"/>
  <c r="C745" i="2"/>
  <c r="J745" i="2"/>
  <c r="I745" i="2"/>
  <c r="K745" i="2" s="1"/>
  <c r="G745" i="2"/>
  <c r="H745" i="2"/>
  <c r="D745" i="2"/>
  <c r="E745" i="2" s="1"/>
  <c r="F810" i="2"/>
  <c r="C810" i="2"/>
  <c r="J810" i="2"/>
  <c r="D810" i="2"/>
  <c r="E810" i="2" s="1"/>
  <c r="B810" i="2"/>
  <c r="I810" i="2"/>
  <c r="K810" i="2" s="1"/>
  <c r="H810" i="2"/>
  <c r="G810" i="2"/>
  <c r="D822" i="2"/>
  <c r="E822" i="2" s="1"/>
  <c r="B822" i="2"/>
  <c r="I822" i="2"/>
  <c r="K822" i="2" s="1"/>
  <c r="F822" i="2"/>
  <c r="C822" i="2"/>
  <c r="J822" i="2"/>
  <c r="H822" i="2"/>
  <c r="G822" i="2"/>
  <c r="H920" i="2"/>
  <c r="I920" i="2"/>
  <c r="K920" i="2" s="1"/>
  <c r="G920" i="2"/>
  <c r="F920" i="2"/>
  <c r="D920" i="2"/>
  <c r="E920" i="2" s="1"/>
  <c r="C920" i="2"/>
  <c r="J920" i="2"/>
  <c r="B920" i="2"/>
  <c r="J965" i="2"/>
  <c r="H965" i="2"/>
  <c r="G965" i="2"/>
  <c r="C965" i="2"/>
  <c r="B965" i="2"/>
  <c r="I965" i="2"/>
  <c r="K965" i="2" s="1"/>
  <c r="F965" i="2"/>
  <c r="D965" i="2"/>
  <c r="E965" i="2" s="1"/>
  <c r="H133" i="2"/>
  <c r="J133" i="2"/>
  <c r="I133" i="2"/>
  <c r="G133" i="2"/>
  <c r="F133" i="2"/>
  <c r="C133" i="2"/>
  <c r="D133" i="2" s="1"/>
  <c r="E133" i="2" s="1"/>
  <c r="B133" i="2"/>
  <c r="B247" i="2"/>
  <c r="I247" i="2"/>
  <c r="J247" i="2"/>
  <c r="H247" i="2"/>
  <c r="G247" i="2"/>
  <c r="F247" i="2"/>
  <c r="C247" i="2"/>
  <c r="D247" i="2" s="1"/>
  <c r="E247" i="2" s="1"/>
  <c r="I203" i="2"/>
  <c r="H203" i="2"/>
  <c r="J203" i="2"/>
  <c r="G203" i="2"/>
  <c r="C203" i="2"/>
  <c r="D203" i="2" s="1"/>
  <c r="E203" i="2" s="1"/>
  <c r="B203" i="2"/>
  <c r="F203" i="2"/>
  <c r="F343" i="2"/>
  <c r="C343" i="2"/>
  <c r="D343" i="2" s="1"/>
  <c r="E343" i="2" s="1"/>
  <c r="B343" i="2"/>
  <c r="I343" i="2"/>
  <c r="G343" i="2"/>
  <c r="J343" i="2"/>
  <c r="H343" i="2"/>
  <c r="C361" i="2"/>
  <c r="D361" i="2" s="1"/>
  <c r="E361" i="2" s="1"/>
  <c r="G361" i="2"/>
  <c r="F361" i="2"/>
  <c r="J361" i="2"/>
  <c r="I361" i="2"/>
  <c r="H361" i="2"/>
  <c r="B361" i="2"/>
  <c r="G493" i="2"/>
  <c r="D493" i="2"/>
  <c r="E493" i="2" s="1"/>
  <c r="I493" i="2"/>
  <c r="K493" i="2" s="1"/>
  <c r="H493" i="2"/>
  <c r="F493" i="2"/>
  <c r="C493" i="2"/>
  <c r="J493" i="2"/>
  <c r="B493" i="2"/>
  <c r="C513" i="2"/>
  <c r="D513" i="2"/>
  <c r="E513" i="2" s="1"/>
  <c r="B513" i="2"/>
  <c r="F513" i="2"/>
  <c r="J513" i="2"/>
  <c r="I513" i="2"/>
  <c r="K513" i="2" s="1"/>
  <c r="G513" i="2"/>
  <c r="H513" i="2"/>
  <c r="C537" i="2"/>
  <c r="B537" i="2"/>
  <c r="D537" i="2"/>
  <c r="E537" i="2" s="1"/>
  <c r="J537" i="2"/>
  <c r="I537" i="2"/>
  <c r="K537" i="2" s="1"/>
  <c r="H537" i="2"/>
  <c r="G537" i="2"/>
  <c r="F537" i="2"/>
  <c r="B730" i="2"/>
  <c r="J730" i="2"/>
  <c r="I730" i="2"/>
  <c r="K730" i="2" s="1"/>
  <c r="H730" i="2"/>
  <c r="G730" i="2"/>
  <c r="F730" i="2"/>
  <c r="D730" i="2"/>
  <c r="E730" i="2" s="1"/>
  <c r="C730" i="2"/>
  <c r="I781" i="2"/>
  <c r="K781" i="2" s="1"/>
  <c r="H781" i="2"/>
  <c r="F781" i="2"/>
  <c r="D781" i="2"/>
  <c r="E781" i="2" s="1"/>
  <c r="C781" i="2"/>
  <c r="J781" i="2"/>
  <c r="G781" i="2"/>
  <c r="B781" i="2"/>
  <c r="G861" i="2"/>
  <c r="B861" i="2"/>
  <c r="F861" i="2"/>
  <c r="J861" i="2"/>
  <c r="I861" i="2"/>
  <c r="K861" i="2" s="1"/>
  <c r="C861" i="2"/>
  <c r="D861" i="2"/>
  <c r="E861" i="2" s="1"/>
  <c r="H861" i="2"/>
  <c r="I797" i="2"/>
  <c r="K797" i="2" s="1"/>
  <c r="H797" i="2"/>
  <c r="F797" i="2"/>
  <c r="J797" i="2"/>
  <c r="G797" i="2"/>
  <c r="B797" i="2"/>
  <c r="D797" i="2"/>
  <c r="E797" i="2" s="1"/>
  <c r="C797" i="2"/>
  <c r="I829" i="2"/>
  <c r="K829" i="2" s="1"/>
  <c r="H829" i="2"/>
  <c r="F829" i="2"/>
  <c r="C829" i="2"/>
  <c r="B829" i="2"/>
  <c r="J829" i="2"/>
  <c r="G829" i="2"/>
  <c r="D829" i="2"/>
  <c r="E829" i="2" s="1"/>
  <c r="I854" i="2"/>
  <c r="K854" i="2" s="1"/>
  <c r="H854" i="2"/>
  <c r="G854" i="2"/>
  <c r="F854" i="2"/>
  <c r="J854" i="2"/>
  <c r="D854" i="2"/>
  <c r="E854" i="2" s="1"/>
  <c r="C854" i="2"/>
  <c r="B854" i="2"/>
  <c r="J977" i="2"/>
  <c r="I977" i="2"/>
  <c r="K977" i="2" s="1"/>
  <c r="H977" i="2"/>
  <c r="G977" i="2"/>
  <c r="C977" i="2"/>
  <c r="B977" i="2"/>
  <c r="F977" i="2"/>
  <c r="D977" i="2"/>
  <c r="E977" i="2" s="1"/>
  <c r="J199" i="2"/>
  <c r="H199" i="2"/>
  <c r="B199" i="2"/>
  <c r="I199" i="2"/>
  <c r="G199" i="2"/>
  <c r="F199" i="2"/>
  <c r="C199" i="2"/>
  <c r="D199" i="2" s="1"/>
  <c r="E199" i="2" s="1"/>
  <c r="H325" i="2"/>
  <c r="G325" i="2"/>
  <c r="J325" i="2"/>
  <c r="I325" i="2"/>
  <c r="F325" i="2"/>
  <c r="C325" i="2"/>
  <c r="D325" i="2" s="1"/>
  <c r="E325" i="2" s="1"/>
  <c r="B325" i="2"/>
  <c r="G505" i="2"/>
  <c r="D505" i="2"/>
  <c r="E505" i="2" s="1"/>
  <c r="F505" i="2"/>
  <c r="C505" i="2"/>
  <c r="B505" i="2"/>
  <c r="H505" i="2"/>
  <c r="I505" i="2"/>
  <c r="K505" i="2" s="1"/>
  <c r="J505" i="2"/>
  <c r="J737" i="2"/>
  <c r="I737" i="2"/>
  <c r="K737" i="2" s="1"/>
  <c r="D737" i="2"/>
  <c r="E737" i="2" s="1"/>
  <c r="C737" i="2"/>
  <c r="B737" i="2"/>
  <c r="H737" i="2"/>
  <c r="G737" i="2"/>
  <c r="F737" i="2"/>
  <c r="F891" i="2"/>
  <c r="D891" i="2"/>
  <c r="E891" i="2" s="1"/>
  <c r="C891" i="2"/>
  <c r="B891" i="2"/>
  <c r="J891" i="2"/>
  <c r="I891" i="2"/>
  <c r="K891" i="2" s="1"/>
  <c r="H891" i="2"/>
  <c r="G891" i="2"/>
  <c r="I288" i="2"/>
  <c r="H288" i="2"/>
  <c r="J288" i="2"/>
  <c r="F288" i="2"/>
  <c r="G288" i="2"/>
  <c r="C288" i="2"/>
  <c r="D288" i="2" s="1"/>
  <c r="E288" i="2" s="1"/>
  <c r="B288" i="2"/>
  <c r="H428" i="2"/>
  <c r="I428" i="2"/>
  <c r="K428" i="2" s="1"/>
  <c r="J428" i="2"/>
  <c r="G428" i="2"/>
  <c r="F428" i="2"/>
  <c r="B428" i="2"/>
  <c r="D428" i="2"/>
  <c r="E428" i="2" s="1"/>
  <c r="C428" i="2"/>
  <c r="D478" i="2"/>
  <c r="E478" i="2" s="1"/>
  <c r="J478" i="2"/>
  <c r="B478" i="2"/>
  <c r="I478" i="2"/>
  <c r="K478" i="2" s="1"/>
  <c r="H478" i="2"/>
  <c r="G478" i="2"/>
  <c r="F478" i="2"/>
  <c r="C478" i="2"/>
  <c r="D768" i="2"/>
  <c r="E768" i="2" s="1"/>
  <c r="I768" i="2"/>
  <c r="K768" i="2" s="1"/>
  <c r="H768" i="2"/>
  <c r="G768" i="2"/>
  <c r="B768" i="2"/>
  <c r="J768" i="2"/>
  <c r="F768" i="2"/>
  <c r="C768" i="2"/>
  <c r="F853" i="2"/>
  <c r="D853" i="2"/>
  <c r="E853" i="2" s="1"/>
  <c r="C853" i="2"/>
  <c r="B853" i="2"/>
  <c r="H853" i="2"/>
  <c r="J853" i="2"/>
  <c r="I853" i="2"/>
  <c r="K853" i="2" s="1"/>
  <c r="G853" i="2"/>
  <c r="I877" i="2"/>
  <c r="K877" i="2" s="1"/>
  <c r="H877" i="2"/>
  <c r="F877" i="2"/>
  <c r="J877" i="2"/>
  <c r="G877" i="2"/>
  <c r="D877" i="2"/>
  <c r="E877" i="2" s="1"/>
  <c r="C877" i="2"/>
  <c r="B877" i="2"/>
  <c r="D889" i="2"/>
  <c r="E889" i="2" s="1"/>
  <c r="C889" i="2"/>
  <c r="B889" i="2"/>
  <c r="J889" i="2"/>
  <c r="I889" i="2"/>
  <c r="K889" i="2" s="1"/>
  <c r="H889" i="2"/>
  <c r="G889" i="2"/>
  <c r="F889" i="2"/>
  <c r="H987" i="2"/>
  <c r="G987" i="2"/>
  <c r="F987" i="2"/>
  <c r="D987" i="2"/>
  <c r="E987" i="2" s="1"/>
  <c r="C987" i="2"/>
  <c r="B987" i="2"/>
  <c r="J987" i="2"/>
  <c r="I987" i="2"/>
  <c r="K987" i="2" s="1"/>
  <c r="C946" i="2"/>
  <c r="J946" i="2"/>
  <c r="I946" i="2"/>
  <c r="K946" i="2" s="1"/>
  <c r="H946" i="2"/>
  <c r="G946" i="2"/>
  <c r="F946" i="2"/>
  <c r="D946" i="2"/>
  <c r="E946" i="2" s="1"/>
  <c r="B946" i="2"/>
  <c r="G54" i="2"/>
  <c r="B54" i="2"/>
  <c r="J54" i="2"/>
  <c r="I54" i="2"/>
  <c r="H54" i="2"/>
  <c r="F54" i="2"/>
  <c r="C54" i="2"/>
  <c r="D54" i="2" s="1"/>
  <c r="E54" i="2" s="1"/>
  <c r="J253" i="2"/>
  <c r="H253" i="2"/>
  <c r="C253" i="2"/>
  <c r="D253" i="2" s="1"/>
  <c r="E253" i="2" s="1"/>
  <c r="I253" i="2"/>
  <c r="G253" i="2"/>
  <c r="B253" i="2"/>
  <c r="F253" i="2"/>
  <c r="H106" i="2"/>
  <c r="B106" i="2"/>
  <c r="J106" i="2"/>
  <c r="I106" i="2"/>
  <c r="G106" i="2"/>
  <c r="F106" i="2"/>
  <c r="C106" i="2"/>
  <c r="D106" i="2" s="1"/>
  <c r="E106" i="2" s="1"/>
  <c r="G159" i="2"/>
  <c r="F159" i="2"/>
  <c r="B159" i="2"/>
  <c r="J159" i="2"/>
  <c r="I159" i="2"/>
  <c r="H159" i="2"/>
  <c r="C159" i="2"/>
  <c r="D159" i="2" s="1"/>
  <c r="E159" i="2" s="1"/>
  <c r="G415" i="2"/>
  <c r="H415" i="2"/>
  <c r="J415" i="2"/>
  <c r="I415" i="2"/>
  <c r="F415" i="2"/>
  <c r="C415" i="2"/>
  <c r="D415" i="2" s="1"/>
  <c r="E415" i="2" s="1"/>
  <c r="B415" i="2"/>
  <c r="D561" i="2"/>
  <c r="E561" i="2" s="1"/>
  <c r="J561" i="2"/>
  <c r="I561" i="2"/>
  <c r="K561" i="2" s="1"/>
  <c r="C561" i="2"/>
  <c r="B561" i="2"/>
  <c r="G561" i="2"/>
  <c r="F561" i="2"/>
  <c r="H561" i="2"/>
  <c r="H661" i="2"/>
  <c r="J661" i="2"/>
  <c r="I661" i="2"/>
  <c r="K661" i="2" s="1"/>
  <c r="G661" i="2"/>
  <c r="F661" i="2"/>
  <c r="D661" i="2"/>
  <c r="E661" i="2" s="1"/>
  <c r="C661" i="2"/>
  <c r="B661" i="2"/>
  <c r="J666" i="2"/>
  <c r="I666" i="2"/>
  <c r="K666" i="2" s="1"/>
  <c r="H666" i="2"/>
  <c r="G666" i="2"/>
  <c r="C666" i="2"/>
  <c r="F666" i="2"/>
  <c r="D666" i="2"/>
  <c r="E666" i="2" s="1"/>
  <c r="B666" i="2"/>
  <c r="I808" i="2"/>
  <c r="K808" i="2" s="1"/>
  <c r="B808" i="2"/>
  <c r="F808" i="2"/>
  <c r="G808" i="2"/>
  <c r="D808" i="2"/>
  <c r="E808" i="2" s="1"/>
  <c r="C808" i="2"/>
  <c r="J808" i="2"/>
  <c r="H808" i="2"/>
  <c r="J318" i="2"/>
  <c r="F318" i="2"/>
  <c r="I318" i="2"/>
  <c r="H318" i="2"/>
  <c r="G318" i="2"/>
  <c r="C318" i="2"/>
  <c r="D318" i="2" s="1"/>
  <c r="E318" i="2" s="1"/>
  <c r="B318" i="2"/>
  <c r="B60" i="2"/>
  <c r="I60" i="2"/>
  <c r="H60" i="2"/>
  <c r="J60" i="2"/>
  <c r="G60" i="2"/>
  <c r="F60" i="2"/>
  <c r="C60" i="2"/>
  <c r="D60" i="2" s="1"/>
  <c r="E60" i="2" s="1"/>
  <c r="F171" i="2"/>
  <c r="C171" i="2"/>
  <c r="D171" i="2" s="1"/>
  <c r="E171" i="2" s="1"/>
  <c r="I171" i="2"/>
  <c r="J171" i="2"/>
  <c r="H171" i="2"/>
  <c r="G171" i="2"/>
  <c r="B171" i="2"/>
  <c r="F528" i="2"/>
  <c r="C528" i="2"/>
  <c r="G528" i="2"/>
  <c r="J528" i="2"/>
  <c r="I528" i="2"/>
  <c r="K528" i="2" s="1"/>
  <c r="H528" i="2"/>
  <c r="D528" i="2"/>
  <c r="E528" i="2" s="1"/>
  <c r="B528" i="2"/>
  <c r="F504" i="2"/>
  <c r="C504" i="2"/>
  <c r="B504" i="2"/>
  <c r="D504" i="2"/>
  <c r="E504" i="2" s="1"/>
  <c r="J504" i="2"/>
  <c r="I504" i="2"/>
  <c r="K504" i="2" s="1"/>
  <c r="H504" i="2"/>
  <c r="G504" i="2"/>
  <c r="F817" i="2"/>
  <c r="H817" i="2"/>
  <c r="G817" i="2"/>
  <c r="D817" i="2"/>
  <c r="E817" i="2" s="1"/>
  <c r="C817" i="2"/>
  <c r="J817" i="2"/>
  <c r="I817" i="2"/>
  <c r="K817" i="2" s="1"/>
  <c r="B817" i="2"/>
  <c r="H819" i="2"/>
  <c r="I819" i="2"/>
  <c r="K819" i="2" s="1"/>
  <c r="G819" i="2"/>
  <c r="C819" i="2"/>
  <c r="J819" i="2"/>
  <c r="F819" i="2"/>
  <c r="D819" i="2"/>
  <c r="E819" i="2" s="1"/>
  <c r="B819" i="2"/>
  <c r="F838" i="2"/>
  <c r="J838" i="2"/>
  <c r="H838" i="2"/>
  <c r="B838" i="2"/>
  <c r="G838" i="2"/>
  <c r="I838" i="2"/>
  <c r="K838" i="2" s="1"/>
  <c r="D838" i="2"/>
  <c r="E838" i="2" s="1"/>
  <c r="C838" i="2"/>
  <c r="H951" i="2"/>
  <c r="F951" i="2"/>
  <c r="C951" i="2"/>
  <c r="J951" i="2"/>
  <c r="I951" i="2"/>
  <c r="K951" i="2" s="1"/>
  <c r="G951" i="2"/>
  <c r="B951" i="2"/>
  <c r="D951" i="2"/>
  <c r="E951" i="2" s="1"/>
  <c r="D924" i="2"/>
  <c r="E924" i="2" s="1"/>
  <c r="C924" i="2"/>
  <c r="B924" i="2"/>
  <c r="H924" i="2"/>
  <c r="J924" i="2"/>
  <c r="I924" i="2"/>
  <c r="K924" i="2" s="1"/>
  <c r="G924" i="2"/>
  <c r="F924" i="2"/>
  <c r="C982" i="2"/>
  <c r="B982" i="2"/>
  <c r="J982" i="2"/>
  <c r="I982" i="2"/>
  <c r="K982" i="2" s="1"/>
  <c r="H982" i="2"/>
  <c r="G982" i="2"/>
  <c r="F982" i="2"/>
  <c r="D982" i="2"/>
  <c r="E982" i="2" s="1"/>
  <c r="J198" i="2"/>
  <c r="I198" i="2"/>
  <c r="G198" i="2"/>
  <c r="F198" i="2"/>
  <c r="C198" i="2"/>
  <c r="D198" i="2" s="1"/>
  <c r="E198" i="2" s="1"/>
  <c r="B198" i="2"/>
  <c r="H198" i="2"/>
  <c r="I193" i="2"/>
  <c r="G193" i="2"/>
  <c r="C193" i="2"/>
  <c r="D193" i="2" s="1"/>
  <c r="E193" i="2" s="1"/>
  <c r="J193" i="2"/>
  <c r="H193" i="2"/>
  <c r="F193" i="2"/>
  <c r="B193" i="2"/>
  <c r="C287" i="2"/>
  <c r="D287" i="2" s="1"/>
  <c r="E287" i="2" s="1"/>
  <c r="G287" i="2"/>
  <c r="F287" i="2"/>
  <c r="H287" i="2"/>
  <c r="J287" i="2"/>
  <c r="I287" i="2"/>
  <c r="B287" i="2"/>
  <c r="I519" i="2"/>
  <c r="K519" i="2" s="1"/>
  <c r="F519" i="2"/>
  <c r="J519" i="2"/>
  <c r="H519" i="2"/>
  <c r="G519" i="2"/>
  <c r="D519" i="2"/>
  <c r="E519" i="2" s="1"/>
  <c r="C519" i="2"/>
  <c r="B519" i="2"/>
  <c r="D744" i="2"/>
  <c r="E744" i="2" s="1"/>
  <c r="J744" i="2"/>
  <c r="I744" i="2"/>
  <c r="K744" i="2" s="1"/>
  <c r="H744" i="2"/>
  <c r="G744" i="2"/>
  <c r="B744" i="2"/>
  <c r="F744" i="2"/>
  <c r="C744" i="2"/>
  <c r="J750" i="2"/>
  <c r="D750" i="2"/>
  <c r="E750" i="2" s="1"/>
  <c r="C750" i="2"/>
  <c r="B750" i="2"/>
  <c r="I750" i="2"/>
  <c r="K750" i="2" s="1"/>
  <c r="H750" i="2"/>
  <c r="G750" i="2"/>
  <c r="F750" i="2"/>
  <c r="I964" i="2"/>
  <c r="K964" i="2" s="1"/>
  <c r="G964" i="2"/>
  <c r="F964" i="2"/>
  <c r="D964" i="2"/>
  <c r="E964" i="2" s="1"/>
  <c r="J964" i="2"/>
  <c r="H964" i="2"/>
  <c r="B964" i="2"/>
  <c r="C964" i="2"/>
  <c r="I931" i="2"/>
  <c r="K931" i="2" s="1"/>
  <c r="G931" i="2"/>
  <c r="J931" i="2"/>
  <c r="H931" i="2"/>
  <c r="F931" i="2"/>
  <c r="D931" i="2"/>
  <c r="E931" i="2" s="1"/>
  <c r="C931" i="2"/>
  <c r="B931" i="2"/>
  <c r="J934" i="2"/>
  <c r="G934" i="2"/>
  <c r="F934" i="2"/>
  <c r="D934" i="2"/>
  <c r="E934" i="2" s="1"/>
  <c r="C934" i="2"/>
  <c r="B934" i="2"/>
  <c r="I934" i="2"/>
  <c r="K934" i="2" s="1"/>
  <c r="H934" i="2"/>
  <c r="C170" i="2"/>
  <c r="D170" i="2" s="1"/>
  <c r="E170" i="2" s="1"/>
  <c r="G170" i="2"/>
  <c r="J170" i="2"/>
  <c r="I170" i="2"/>
  <c r="H170" i="2"/>
  <c r="F170" i="2"/>
  <c r="B170" i="2"/>
  <c r="C336" i="2"/>
  <c r="D336" i="2" s="1"/>
  <c r="E336" i="2" s="1"/>
  <c r="J336" i="2"/>
  <c r="I336" i="2"/>
  <c r="H336" i="2"/>
  <c r="G336" i="2"/>
  <c r="F336" i="2"/>
  <c r="B336" i="2"/>
  <c r="H449" i="2"/>
  <c r="B449" i="2"/>
  <c r="C449" i="2"/>
  <c r="J449" i="2"/>
  <c r="F449" i="2"/>
  <c r="D449" i="2"/>
  <c r="E449" i="2" s="1"/>
  <c r="I449" i="2"/>
  <c r="K449" i="2" s="1"/>
  <c r="G449" i="2"/>
  <c r="B675" i="2"/>
  <c r="G675" i="2"/>
  <c r="F675" i="2"/>
  <c r="D675" i="2"/>
  <c r="E675" i="2" s="1"/>
  <c r="C675" i="2"/>
  <c r="H675" i="2"/>
  <c r="J675" i="2"/>
  <c r="I675" i="2"/>
  <c r="K675" i="2" s="1"/>
  <c r="D680" i="2"/>
  <c r="E680" i="2" s="1"/>
  <c r="C680" i="2"/>
  <c r="H680" i="2"/>
  <c r="G680" i="2"/>
  <c r="F680" i="2"/>
  <c r="B680" i="2"/>
  <c r="I680" i="2"/>
  <c r="K680" i="2" s="1"/>
  <c r="J680" i="2"/>
  <c r="B754" i="2"/>
  <c r="D754" i="2"/>
  <c r="E754" i="2" s="1"/>
  <c r="G754" i="2"/>
  <c r="F754" i="2"/>
  <c r="C754" i="2"/>
  <c r="J754" i="2"/>
  <c r="I754" i="2"/>
  <c r="K754" i="2" s="1"/>
  <c r="H754" i="2"/>
  <c r="B868" i="2"/>
  <c r="D868" i="2"/>
  <c r="E868" i="2" s="1"/>
  <c r="C868" i="2"/>
  <c r="H868" i="2"/>
  <c r="J868" i="2"/>
  <c r="I868" i="2"/>
  <c r="K868" i="2" s="1"/>
  <c r="G868" i="2"/>
  <c r="F868" i="2"/>
  <c r="I921" i="2"/>
  <c r="K921" i="2" s="1"/>
  <c r="J921" i="2"/>
  <c r="H921" i="2"/>
  <c r="G921" i="2"/>
  <c r="F921" i="2"/>
  <c r="D921" i="2"/>
  <c r="E921" i="2" s="1"/>
  <c r="C921" i="2"/>
  <c r="B921" i="2"/>
  <c r="F903" i="2"/>
  <c r="D903" i="2"/>
  <c r="E903" i="2" s="1"/>
  <c r="C903" i="2"/>
  <c r="B903" i="2"/>
  <c r="J903" i="2"/>
  <c r="I903" i="2"/>
  <c r="K903" i="2" s="1"/>
  <c r="H903" i="2"/>
  <c r="G903" i="2"/>
  <c r="F973" i="2"/>
  <c r="D973" i="2"/>
  <c r="E973" i="2" s="1"/>
  <c r="C973" i="2"/>
  <c r="H973" i="2"/>
  <c r="G973" i="2"/>
  <c r="B973" i="2"/>
  <c r="J973" i="2"/>
  <c r="I973" i="2"/>
  <c r="K973" i="2" s="1"/>
  <c r="J283" i="2"/>
  <c r="C283" i="2"/>
  <c r="D283" i="2" s="1"/>
  <c r="E283" i="2" s="1"/>
  <c r="B283" i="2"/>
  <c r="G283" i="2"/>
  <c r="I283" i="2"/>
  <c r="H283" i="2"/>
  <c r="F283" i="2"/>
  <c r="C48" i="2"/>
  <c r="D48" i="2" s="1"/>
  <c r="E48" i="2" s="1"/>
  <c r="B48" i="2"/>
  <c r="J48" i="2"/>
  <c r="I48" i="2"/>
  <c r="H48" i="2"/>
  <c r="G48" i="2"/>
  <c r="F48" i="2"/>
  <c r="G356" i="2"/>
  <c r="F356" i="2"/>
  <c r="B356" i="2"/>
  <c r="J356" i="2"/>
  <c r="I356" i="2"/>
  <c r="H356" i="2"/>
  <c r="C356" i="2"/>
  <c r="D356" i="2" s="1"/>
  <c r="E356" i="2" s="1"/>
  <c r="C384" i="2"/>
  <c r="D384" i="2" s="1"/>
  <c r="E384" i="2" s="1"/>
  <c r="B384" i="2"/>
  <c r="G384" i="2"/>
  <c r="F384" i="2"/>
  <c r="J384" i="2"/>
  <c r="I384" i="2"/>
  <c r="H384" i="2"/>
  <c r="B286" i="2"/>
  <c r="G286" i="2"/>
  <c r="J286" i="2"/>
  <c r="I286" i="2"/>
  <c r="C286" i="2"/>
  <c r="D286" i="2" s="1"/>
  <c r="E286" i="2" s="1"/>
  <c r="H286" i="2"/>
  <c r="F286" i="2"/>
  <c r="F459" i="2"/>
  <c r="J459" i="2"/>
  <c r="I459" i="2"/>
  <c r="K459" i="2" s="1"/>
  <c r="H459" i="2"/>
  <c r="G459" i="2"/>
  <c r="D459" i="2"/>
  <c r="E459" i="2" s="1"/>
  <c r="B459" i="2"/>
  <c r="C459" i="2"/>
  <c r="I578" i="2"/>
  <c r="K578" i="2" s="1"/>
  <c r="H578" i="2"/>
  <c r="C578" i="2"/>
  <c r="B578" i="2"/>
  <c r="F578" i="2"/>
  <c r="J578" i="2"/>
  <c r="G578" i="2"/>
  <c r="D578" i="2"/>
  <c r="E578" i="2" s="1"/>
  <c r="H369" i="2"/>
  <c r="G369" i="2"/>
  <c r="C369" i="2"/>
  <c r="D369" i="2" s="1"/>
  <c r="E369" i="2" s="1"/>
  <c r="J369" i="2"/>
  <c r="I369" i="2"/>
  <c r="F369" i="2"/>
  <c r="B369" i="2"/>
  <c r="D502" i="2"/>
  <c r="E502" i="2" s="1"/>
  <c r="J502" i="2"/>
  <c r="I502" i="2"/>
  <c r="K502" i="2" s="1"/>
  <c r="H502" i="2"/>
  <c r="G502" i="2"/>
  <c r="F502" i="2"/>
  <c r="B502" i="2"/>
  <c r="C502" i="2"/>
  <c r="G660" i="2"/>
  <c r="D660" i="2"/>
  <c r="E660" i="2" s="1"/>
  <c r="F660" i="2"/>
  <c r="C660" i="2"/>
  <c r="B660" i="2"/>
  <c r="H660" i="2"/>
  <c r="I660" i="2"/>
  <c r="K660" i="2" s="1"/>
  <c r="J660" i="2"/>
  <c r="D633" i="2"/>
  <c r="E633" i="2" s="1"/>
  <c r="B633" i="2"/>
  <c r="G633" i="2"/>
  <c r="F633" i="2"/>
  <c r="J633" i="2"/>
  <c r="I633" i="2"/>
  <c r="K633" i="2" s="1"/>
  <c r="H633" i="2"/>
  <c r="C633" i="2"/>
  <c r="J769" i="2"/>
  <c r="I769" i="2"/>
  <c r="K769" i="2" s="1"/>
  <c r="D769" i="2"/>
  <c r="E769" i="2" s="1"/>
  <c r="G769" i="2"/>
  <c r="F769" i="2"/>
  <c r="C769" i="2"/>
  <c r="B769" i="2"/>
  <c r="H769" i="2"/>
  <c r="H811" i="2"/>
  <c r="G811" i="2"/>
  <c r="J811" i="2"/>
  <c r="I811" i="2"/>
  <c r="K811" i="2" s="1"/>
  <c r="F811" i="2"/>
  <c r="D811" i="2"/>
  <c r="E811" i="2" s="1"/>
  <c r="C811" i="2"/>
  <c r="B811" i="2"/>
  <c r="J830" i="2"/>
  <c r="I830" i="2"/>
  <c r="K830" i="2" s="1"/>
  <c r="G830" i="2"/>
  <c r="D830" i="2"/>
  <c r="E830" i="2" s="1"/>
  <c r="B830" i="2"/>
  <c r="H830" i="2"/>
  <c r="F830" i="2"/>
  <c r="C830" i="2"/>
  <c r="C857" i="2"/>
  <c r="G857" i="2"/>
  <c r="D857" i="2"/>
  <c r="E857" i="2" s="1"/>
  <c r="H857" i="2"/>
  <c r="F857" i="2"/>
  <c r="B857" i="2"/>
  <c r="I857" i="2"/>
  <c r="K857" i="2" s="1"/>
  <c r="J857" i="2"/>
  <c r="J1001" i="2"/>
  <c r="I1001" i="2"/>
  <c r="K1001" i="2" s="1"/>
  <c r="H1001" i="2"/>
  <c r="G1001" i="2"/>
  <c r="F1001" i="2"/>
  <c r="D1001" i="2"/>
  <c r="E1001" i="2" s="1"/>
  <c r="C1001" i="2"/>
  <c r="B1001" i="2"/>
  <c r="I940" i="2"/>
  <c r="K940" i="2" s="1"/>
  <c r="G940" i="2"/>
  <c r="F940" i="2"/>
  <c r="D940" i="2"/>
  <c r="E940" i="2" s="1"/>
  <c r="J940" i="2"/>
  <c r="H940" i="2"/>
  <c r="C940" i="2"/>
  <c r="B940" i="2"/>
  <c r="F918" i="2"/>
  <c r="D918" i="2"/>
  <c r="E918" i="2" s="1"/>
  <c r="C918" i="2"/>
  <c r="B918" i="2"/>
  <c r="J918" i="2"/>
  <c r="I918" i="2"/>
  <c r="K918" i="2" s="1"/>
  <c r="H918" i="2"/>
  <c r="G918" i="2"/>
  <c r="J910" i="2"/>
  <c r="I910" i="2"/>
  <c r="K910" i="2" s="1"/>
  <c r="H910" i="2"/>
  <c r="G910" i="2"/>
  <c r="F910" i="2"/>
  <c r="D910" i="2"/>
  <c r="E910" i="2" s="1"/>
  <c r="C910" i="2"/>
  <c r="B910" i="2"/>
  <c r="C970" i="2"/>
  <c r="J970" i="2"/>
  <c r="D970" i="2"/>
  <c r="E970" i="2" s="1"/>
  <c r="B970" i="2"/>
  <c r="H970" i="2"/>
  <c r="I970" i="2"/>
  <c r="K970" i="2" s="1"/>
  <c r="G970" i="2"/>
  <c r="F970" i="2"/>
  <c r="H292" i="2"/>
  <c r="C292" i="2"/>
  <c r="D292" i="2" s="1"/>
  <c r="E292" i="2" s="1"/>
  <c r="J292" i="2"/>
  <c r="I292" i="2"/>
  <c r="B292" i="2"/>
  <c r="G292" i="2"/>
  <c r="F292" i="2"/>
  <c r="J205" i="2"/>
  <c r="C205" i="2"/>
  <c r="D205" i="2" s="1"/>
  <c r="E205" i="2" s="1"/>
  <c r="H205" i="2"/>
  <c r="G205" i="2"/>
  <c r="B205" i="2"/>
  <c r="I205" i="2"/>
  <c r="F205" i="2"/>
  <c r="F41" i="2"/>
  <c r="H41" i="2"/>
  <c r="I41" i="2"/>
  <c r="J41" i="2"/>
  <c r="G41" i="2"/>
  <c r="B41" i="2"/>
  <c r="C41" i="2"/>
  <c r="D41" i="2" s="1"/>
  <c r="E41" i="2" s="1"/>
  <c r="J252" i="2"/>
  <c r="I252" i="2"/>
  <c r="G252" i="2"/>
  <c r="B252" i="2"/>
  <c r="H252" i="2"/>
  <c r="F252" i="2"/>
  <c r="C252" i="2"/>
  <c r="D252" i="2" s="1"/>
  <c r="E252" i="2" s="1"/>
  <c r="C125" i="2"/>
  <c r="D125" i="2" s="1"/>
  <c r="E125" i="2" s="1"/>
  <c r="B125" i="2"/>
  <c r="J125" i="2"/>
  <c r="I125" i="2"/>
  <c r="H125" i="2"/>
  <c r="G125" i="2"/>
  <c r="F125" i="2"/>
  <c r="B208" i="2"/>
  <c r="F208" i="2"/>
  <c r="H208" i="2"/>
  <c r="G208" i="2"/>
  <c r="C208" i="2"/>
  <c r="D208" i="2" s="1"/>
  <c r="E208" i="2" s="1"/>
  <c r="J208" i="2"/>
  <c r="I208" i="2"/>
  <c r="C367" i="2"/>
  <c r="D367" i="2" s="1"/>
  <c r="E367" i="2" s="1"/>
  <c r="J367" i="2"/>
  <c r="I367" i="2"/>
  <c r="H367" i="2"/>
  <c r="G367" i="2"/>
  <c r="F367" i="2"/>
  <c r="B367" i="2"/>
  <c r="B418" i="2"/>
  <c r="J418" i="2"/>
  <c r="C418" i="2"/>
  <c r="D418" i="2" s="1"/>
  <c r="E418" i="2" s="1"/>
  <c r="G418" i="2"/>
  <c r="F418" i="2"/>
  <c r="I418" i="2"/>
  <c r="H418" i="2"/>
  <c r="D539" i="2"/>
  <c r="E539" i="2" s="1"/>
  <c r="C539" i="2"/>
  <c r="B539" i="2"/>
  <c r="F539" i="2"/>
  <c r="J539" i="2"/>
  <c r="I539" i="2"/>
  <c r="K539" i="2" s="1"/>
  <c r="H539" i="2"/>
  <c r="G539" i="2"/>
  <c r="I381" i="2"/>
  <c r="G381" i="2"/>
  <c r="F381" i="2"/>
  <c r="B381" i="2"/>
  <c r="J381" i="2"/>
  <c r="C381" i="2"/>
  <c r="D381" i="2" s="1"/>
  <c r="E381" i="2" s="1"/>
  <c r="H381" i="2"/>
  <c r="D514" i="2"/>
  <c r="E514" i="2" s="1"/>
  <c r="H514" i="2"/>
  <c r="G514" i="2"/>
  <c r="F514" i="2"/>
  <c r="C514" i="2"/>
  <c r="I514" i="2"/>
  <c r="K514" i="2" s="1"/>
  <c r="B514" i="2"/>
  <c r="J514" i="2"/>
  <c r="G670" i="2"/>
  <c r="B670" i="2"/>
  <c r="J670" i="2"/>
  <c r="I670" i="2"/>
  <c r="K670" i="2" s="1"/>
  <c r="H670" i="2"/>
  <c r="D670" i="2"/>
  <c r="E670" i="2" s="1"/>
  <c r="F670" i="2"/>
  <c r="C670" i="2"/>
  <c r="J708" i="2"/>
  <c r="I708" i="2"/>
  <c r="K708" i="2" s="1"/>
  <c r="H708" i="2"/>
  <c r="G708" i="2"/>
  <c r="D708" i="2"/>
  <c r="E708" i="2" s="1"/>
  <c r="C708" i="2"/>
  <c r="B708" i="2"/>
  <c r="F708" i="2"/>
  <c r="D645" i="2"/>
  <c r="E645" i="2" s="1"/>
  <c r="J645" i="2"/>
  <c r="I645" i="2"/>
  <c r="K645" i="2" s="1"/>
  <c r="C645" i="2"/>
  <c r="B645" i="2"/>
  <c r="H645" i="2"/>
  <c r="F645" i="2"/>
  <c r="G645" i="2"/>
  <c r="J922" i="2"/>
  <c r="I922" i="2"/>
  <c r="K922" i="2" s="1"/>
  <c r="H922" i="2"/>
  <c r="G922" i="2"/>
  <c r="D922" i="2"/>
  <c r="E922" i="2" s="1"/>
  <c r="F922" i="2"/>
  <c r="C922" i="2"/>
  <c r="B922" i="2"/>
  <c r="I788" i="2"/>
  <c r="K788" i="2" s="1"/>
  <c r="D788" i="2"/>
  <c r="E788" i="2" s="1"/>
  <c r="H788" i="2"/>
  <c r="G788" i="2"/>
  <c r="F788" i="2"/>
  <c r="C788" i="2"/>
  <c r="B788" i="2"/>
  <c r="J788" i="2"/>
  <c r="G818" i="2"/>
  <c r="J818" i="2"/>
  <c r="I818" i="2"/>
  <c r="K818" i="2" s="1"/>
  <c r="F818" i="2"/>
  <c r="C818" i="2"/>
  <c r="B818" i="2"/>
  <c r="H818" i="2"/>
  <c r="D818" i="2"/>
  <c r="E818" i="2" s="1"/>
  <c r="J865" i="2"/>
  <c r="I865" i="2"/>
  <c r="K865" i="2" s="1"/>
  <c r="G865" i="2"/>
  <c r="B865" i="2"/>
  <c r="F865" i="2"/>
  <c r="D865" i="2"/>
  <c r="E865" i="2" s="1"/>
  <c r="C865" i="2"/>
  <c r="H865" i="2"/>
  <c r="G873" i="2"/>
  <c r="J873" i="2"/>
  <c r="I873" i="2"/>
  <c r="K873" i="2" s="1"/>
  <c r="H873" i="2"/>
  <c r="B873" i="2"/>
  <c r="C873" i="2"/>
  <c r="F873" i="2"/>
  <c r="D873" i="2"/>
  <c r="E873" i="2" s="1"/>
  <c r="J979" i="2"/>
  <c r="I979" i="2"/>
  <c r="K979" i="2" s="1"/>
  <c r="G979" i="2"/>
  <c r="C979" i="2"/>
  <c r="B979" i="2"/>
  <c r="H979" i="2"/>
  <c r="F979" i="2"/>
  <c r="D979" i="2"/>
  <c r="E979" i="2" s="1"/>
  <c r="D984" i="2"/>
  <c r="E984" i="2" s="1"/>
  <c r="C984" i="2"/>
  <c r="B984" i="2"/>
  <c r="J984" i="2"/>
  <c r="I984" i="2"/>
  <c r="K984" i="2" s="1"/>
  <c r="H984" i="2"/>
  <c r="G984" i="2"/>
  <c r="F984" i="2"/>
  <c r="H279" i="2"/>
  <c r="G279" i="2"/>
  <c r="F279" i="2"/>
  <c r="C279" i="2"/>
  <c r="D279" i="2" s="1"/>
  <c r="E279" i="2" s="1"/>
  <c r="J279" i="2"/>
  <c r="I279" i="2"/>
  <c r="B279" i="2"/>
  <c r="J301" i="2"/>
  <c r="I301" i="2"/>
  <c r="H301" i="2"/>
  <c r="G301" i="2"/>
  <c r="F301" i="2"/>
  <c r="C301" i="2"/>
  <c r="D301" i="2" s="1"/>
  <c r="E301" i="2" s="1"/>
  <c r="B301" i="2"/>
  <c r="J262" i="2"/>
  <c r="I262" i="2"/>
  <c r="G262" i="2"/>
  <c r="B262" i="2"/>
  <c r="H262" i="2"/>
  <c r="F262" i="2"/>
  <c r="C262" i="2"/>
  <c r="D262" i="2" s="1"/>
  <c r="E262" i="2" s="1"/>
  <c r="H319" i="2"/>
  <c r="G319" i="2"/>
  <c r="J319" i="2"/>
  <c r="I319" i="2"/>
  <c r="F319" i="2"/>
  <c r="C319" i="2"/>
  <c r="D319" i="2" s="1"/>
  <c r="E319" i="2" s="1"/>
  <c r="B319" i="2"/>
  <c r="I507" i="2"/>
  <c r="K507" i="2" s="1"/>
  <c r="F507" i="2"/>
  <c r="J507" i="2"/>
  <c r="H507" i="2"/>
  <c r="G507" i="2"/>
  <c r="D507" i="2"/>
  <c r="E507" i="2" s="1"/>
  <c r="B507" i="2"/>
  <c r="C507" i="2"/>
  <c r="H473" i="2"/>
  <c r="J473" i="2"/>
  <c r="I473" i="2"/>
  <c r="K473" i="2" s="1"/>
  <c r="G473" i="2"/>
  <c r="F473" i="2"/>
  <c r="B473" i="2"/>
  <c r="D473" i="2"/>
  <c r="E473" i="2" s="1"/>
  <c r="C473" i="2"/>
  <c r="C596" i="2"/>
  <c r="I596" i="2"/>
  <c r="K596" i="2" s="1"/>
  <c r="H596" i="2"/>
  <c r="G596" i="2"/>
  <c r="J596" i="2"/>
  <c r="F596" i="2"/>
  <c r="B596" i="2"/>
  <c r="D596" i="2"/>
  <c r="E596" i="2" s="1"/>
  <c r="B617" i="2"/>
  <c r="D617" i="2"/>
  <c r="E617" i="2" s="1"/>
  <c r="C617" i="2"/>
  <c r="H617" i="2"/>
  <c r="F617" i="2"/>
  <c r="J617" i="2"/>
  <c r="I617" i="2"/>
  <c r="K617" i="2" s="1"/>
  <c r="G617" i="2"/>
  <c r="D657" i="2"/>
  <c r="E657" i="2" s="1"/>
  <c r="J657" i="2"/>
  <c r="I657" i="2"/>
  <c r="K657" i="2" s="1"/>
  <c r="H657" i="2"/>
  <c r="G657" i="2"/>
  <c r="F657" i="2"/>
  <c r="C657" i="2"/>
  <c r="B657" i="2"/>
  <c r="J799" i="2"/>
  <c r="H799" i="2"/>
  <c r="C799" i="2"/>
  <c r="I799" i="2"/>
  <c r="K799" i="2" s="1"/>
  <c r="G799" i="2"/>
  <c r="F799" i="2"/>
  <c r="D799" i="2"/>
  <c r="E799" i="2" s="1"/>
  <c r="B799" i="2"/>
  <c r="G727" i="2"/>
  <c r="F727" i="2"/>
  <c r="D727" i="2"/>
  <c r="E727" i="2" s="1"/>
  <c r="C727" i="2"/>
  <c r="B727" i="2"/>
  <c r="I727" i="2"/>
  <c r="K727" i="2" s="1"/>
  <c r="H727" i="2"/>
  <c r="J727" i="2"/>
  <c r="B677" i="2"/>
  <c r="H677" i="2"/>
  <c r="C677" i="2"/>
  <c r="D677" i="2"/>
  <c r="E677" i="2" s="1"/>
  <c r="I677" i="2"/>
  <c r="K677" i="2" s="1"/>
  <c r="F677" i="2"/>
  <c r="J677" i="2"/>
  <c r="G677" i="2"/>
  <c r="F872" i="2"/>
  <c r="I872" i="2"/>
  <c r="K872" i="2" s="1"/>
  <c r="C872" i="2"/>
  <c r="H872" i="2"/>
  <c r="G872" i="2"/>
  <c r="D872" i="2"/>
  <c r="E872" i="2" s="1"/>
  <c r="B872" i="2"/>
  <c r="J872" i="2"/>
  <c r="F794" i="2"/>
  <c r="C794" i="2"/>
  <c r="J794" i="2"/>
  <c r="I794" i="2"/>
  <c r="K794" i="2" s="1"/>
  <c r="H794" i="2"/>
  <c r="G794" i="2"/>
  <c r="D794" i="2"/>
  <c r="E794" i="2" s="1"/>
  <c r="B794" i="2"/>
  <c r="J821" i="2"/>
  <c r="C821" i="2"/>
  <c r="B821" i="2"/>
  <c r="G821" i="2"/>
  <c r="I821" i="2"/>
  <c r="K821" i="2" s="1"/>
  <c r="H821" i="2"/>
  <c r="F821" i="2"/>
  <c r="D821" i="2"/>
  <c r="E821" i="2" s="1"/>
  <c r="J740" i="2"/>
  <c r="I740" i="2"/>
  <c r="K740" i="2" s="1"/>
  <c r="H740" i="2"/>
  <c r="G740" i="2"/>
  <c r="F740" i="2"/>
  <c r="C740" i="2"/>
  <c r="B740" i="2"/>
  <c r="D740" i="2"/>
  <c r="E740" i="2" s="1"/>
  <c r="D793" i="2"/>
  <c r="E793" i="2" s="1"/>
  <c r="B793" i="2"/>
  <c r="I793" i="2"/>
  <c r="K793" i="2" s="1"/>
  <c r="C793" i="2"/>
  <c r="J793" i="2"/>
  <c r="H793" i="2"/>
  <c r="G793" i="2"/>
  <c r="F793" i="2"/>
  <c r="H828" i="2"/>
  <c r="G828" i="2"/>
  <c r="I828" i="2"/>
  <c r="K828" i="2" s="1"/>
  <c r="F828" i="2"/>
  <c r="J828" i="2"/>
  <c r="D828" i="2"/>
  <c r="E828" i="2" s="1"/>
  <c r="C828" i="2"/>
  <c r="B828" i="2"/>
  <c r="C847" i="2"/>
  <c r="D847" i="2"/>
  <c r="E847" i="2" s="1"/>
  <c r="B847" i="2"/>
  <c r="H847" i="2"/>
  <c r="G847" i="2"/>
  <c r="F847" i="2"/>
  <c r="I847" i="2"/>
  <c r="K847" i="2" s="1"/>
  <c r="J847" i="2"/>
  <c r="H849" i="2"/>
  <c r="G849" i="2"/>
  <c r="D849" i="2"/>
  <c r="E849" i="2" s="1"/>
  <c r="B849" i="2"/>
  <c r="J849" i="2"/>
  <c r="I849" i="2"/>
  <c r="K849" i="2" s="1"/>
  <c r="F849" i="2"/>
  <c r="C849" i="2"/>
  <c r="I851" i="2"/>
  <c r="K851" i="2" s="1"/>
  <c r="G851" i="2"/>
  <c r="J851" i="2"/>
  <c r="F851" i="2"/>
  <c r="H851" i="2"/>
  <c r="D851" i="2"/>
  <c r="E851" i="2" s="1"/>
  <c r="C851" i="2"/>
  <c r="B851" i="2"/>
  <c r="J941" i="2"/>
  <c r="H941" i="2"/>
  <c r="G941" i="2"/>
  <c r="I941" i="2"/>
  <c r="K941" i="2" s="1"/>
  <c r="C941" i="2"/>
  <c r="F941" i="2"/>
  <c r="D941" i="2"/>
  <c r="E941" i="2" s="1"/>
  <c r="B941" i="2"/>
  <c r="H859" i="2"/>
  <c r="B859" i="2"/>
  <c r="C859" i="2"/>
  <c r="J859" i="2"/>
  <c r="I859" i="2"/>
  <c r="K859" i="2" s="1"/>
  <c r="G859" i="2"/>
  <c r="F859" i="2"/>
  <c r="D859" i="2"/>
  <c r="E859" i="2" s="1"/>
  <c r="G974" i="2"/>
  <c r="F974" i="2"/>
  <c r="D974" i="2"/>
  <c r="E974" i="2" s="1"/>
  <c r="B974" i="2"/>
  <c r="J974" i="2"/>
  <c r="I974" i="2"/>
  <c r="K974" i="2" s="1"/>
  <c r="H974" i="2"/>
  <c r="C974" i="2"/>
  <c r="I894" i="2"/>
  <c r="K894" i="2" s="1"/>
  <c r="H894" i="2"/>
  <c r="G894" i="2"/>
  <c r="F894" i="2"/>
  <c r="D894" i="2"/>
  <c r="E894" i="2" s="1"/>
  <c r="C894" i="2"/>
  <c r="B894" i="2"/>
  <c r="J894" i="2"/>
  <c r="J886" i="2"/>
  <c r="I886" i="2"/>
  <c r="K886" i="2" s="1"/>
  <c r="H886" i="2"/>
  <c r="G886" i="2"/>
  <c r="F886" i="2"/>
  <c r="D886" i="2"/>
  <c r="E886" i="2" s="1"/>
  <c r="C886" i="2"/>
  <c r="B886" i="2"/>
  <c r="J991" i="2"/>
  <c r="I991" i="2"/>
  <c r="K991" i="2" s="1"/>
  <c r="H991" i="2"/>
  <c r="G991" i="2"/>
  <c r="F991" i="2"/>
  <c r="D991" i="2"/>
  <c r="E991" i="2" s="1"/>
  <c r="C991" i="2"/>
  <c r="B991" i="2"/>
  <c r="I942" i="2"/>
  <c r="K942" i="2" s="1"/>
  <c r="H942" i="2"/>
  <c r="F942" i="2"/>
  <c r="D942" i="2"/>
  <c r="E942" i="2" s="1"/>
  <c r="C942" i="2"/>
  <c r="B942" i="2"/>
  <c r="J942" i="2"/>
  <c r="G942" i="2"/>
  <c r="I1000" i="2"/>
  <c r="K1000" i="2" s="1"/>
  <c r="H1000" i="2"/>
  <c r="G1000" i="2"/>
  <c r="F1000" i="2"/>
  <c r="D1000" i="2"/>
  <c r="E1000" i="2" s="1"/>
  <c r="C1000" i="2"/>
  <c r="B1000" i="2"/>
  <c r="J1000" i="2"/>
  <c r="H939" i="2"/>
  <c r="F939" i="2"/>
  <c r="C939" i="2"/>
  <c r="J939" i="2"/>
  <c r="I939" i="2"/>
  <c r="K939" i="2" s="1"/>
  <c r="G939" i="2"/>
  <c r="D939" i="2"/>
  <c r="E939" i="2" s="1"/>
  <c r="B939" i="2"/>
  <c r="D996" i="2"/>
  <c r="E996" i="2" s="1"/>
  <c r="C996" i="2"/>
  <c r="B996" i="2"/>
  <c r="J996" i="2"/>
  <c r="I996" i="2"/>
  <c r="K996" i="2" s="1"/>
  <c r="H996" i="2"/>
  <c r="G996" i="2"/>
  <c r="F996" i="2"/>
  <c r="C994" i="2"/>
  <c r="B994" i="2"/>
  <c r="J994" i="2"/>
  <c r="G994" i="2"/>
  <c r="H994" i="2"/>
  <c r="I994" i="2"/>
  <c r="K994" i="2" s="1"/>
  <c r="F994" i="2"/>
  <c r="D994" i="2"/>
  <c r="E994" i="2" s="1"/>
  <c r="I230" i="2"/>
  <c r="J230" i="2"/>
  <c r="H230" i="2"/>
  <c r="C230" i="2"/>
  <c r="D230" i="2" s="1"/>
  <c r="E230" i="2" s="1"/>
  <c r="B230" i="2"/>
  <c r="G230" i="2"/>
  <c r="F230" i="2"/>
  <c r="C73" i="2"/>
  <c r="D73" i="2" s="1"/>
  <c r="E73" i="2" s="1"/>
  <c r="B73" i="2"/>
  <c r="J73" i="2"/>
  <c r="I73" i="2"/>
  <c r="H73" i="2"/>
  <c r="G73" i="2"/>
  <c r="F73" i="2"/>
  <c r="B196" i="2"/>
  <c r="F196" i="2"/>
  <c r="C196" i="2"/>
  <c r="D196" i="2" s="1"/>
  <c r="E196" i="2" s="1"/>
  <c r="I196" i="2"/>
  <c r="G196" i="2"/>
  <c r="J196" i="2"/>
  <c r="H196" i="2"/>
  <c r="J120" i="2"/>
  <c r="C120" i="2"/>
  <c r="D120" i="2" s="1"/>
  <c r="E120" i="2" s="1"/>
  <c r="G120" i="2"/>
  <c r="B120" i="2"/>
  <c r="I120" i="2"/>
  <c r="H120" i="2"/>
  <c r="F120" i="2"/>
  <c r="C86" i="2"/>
  <c r="D86" i="2" s="1"/>
  <c r="E86" i="2" s="1"/>
  <c r="B86" i="2"/>
  <c r="J86" i="2"/>
  <c r="I86" i="2"/>
  <c r="H86" i="2"/>
  <c r="F86" i="2"/>
  <c r="G86" i="2"/>
  <c r="F12" i="2"/>
  <c r="C12" i="2"/>
  <c r="D12" i="2" s="1"/>
  <c r="B12" i="2"/>
  <c r="I12" i="2"/>
  <c r="G12" i="2"/>
  <c r="J12" i="2"/>
  <c r="H12" i="2"/>
  <c r="G327" i="2"/>
  <c r="F327" i="2"/>
  <c r="C327" i="2"/>
  <c r="D327" i="2" s="1"/>
  <c r="E327" i="2" s="1"/>
  <c r="B327" i="2"/>
  <c r="J327" i="2"/>
  <c r="I327" i="2"/>
  <c r="H327" i="2"/>
  <c r="J123" i="2"/>
  <c r="I123" i="2"/>
  <c r="F123" i="2"/>
  <c r="C123" i="2"/>
  <c r="D123" i="2" s="1"/>
  <c r="E123" i="2" s="1"/>
  <c r="B123" i="2"/>
  <c r="H123" i="2"/>
  <c r="G123" i="2"/>
  <c r="I728" i="2"/>
  <c r="K728" i="2" s="1"/>
  <c r="H728" i="2"/>
  <c r="G728" i="2"/>
  <c r="F728" i="2"/>
  <c r="D728" i="2"/>
  <c r="E728" i="2" s="1"/>
  <c r="J728" i="2"/>
  <c r="B728" i="2"/>
  <c r="C728" i="2"/>
  <c r="J378" i="2"/>
  <c r="H378" i="2"/>
  <c r="I378" i="2"/>
  <c r="G378" i="2"/>
  <c r="F378" i="2"/>
  <c r="C378" i="2"/>
  <c r="D378" i="2" s="1"/>
  <c r="E378" i="2" s="1"/>
  <c r="B378" i="2"/>
  <c r="H416" i="2"/>
  <c r="F416" i="2"/>
  <c r="C416" i="2"/>
  <c r="D416" i="2" s="1"/>
  <c r="E416" i="2" s="1"/>
  <c r="B416" i="2"/>
  <c r="J416" i="2"/>
  <c r="I416" i="2"/>
  <c r="G416" i="2"/>
  <c r="B500" i="2"/>
  <c r="D500" i="2"/>
  <c r="E500" i="2" s="1"/>
  <c r="C500" i="2"/>
  <c r="J500" i="2"/>
  <c r="I500" i="2"/>
  <c r="K500" i="2" s="1"/>
  <c r="H500" i="2"/>
  <c r="F500" i="2"/>
  <c r="G500" i="2"/>
  <c r="J466" i="2"/>
  <c r="I466" i="2"/>
  <c r="K466" i="2" s="1"/>
  <c r="H466" i="2"/>
  <c r="G466" i="2"/>
  <c r="F466" i="2"/>
  <c r="D466" i="2"/>
  <c r="E466" i="2" s="1"/>
  <c r="C466" i="2"/>
  <c r="B466" i="2"/>
  <c r="J523" i="2"/>
  <c r="I523" i="2"/>
  <c r="K523" i="2" s="1"/>
  <c r="H523" i="2"/>
  <c r="G523" i="2"/>
  <c r="F523" i="2"/>
  <c r="D523" i="2"/>
  <c r="E523" i="2" s="1"/>
  <c r="C523" i="2"/>
  <c r="B523" i="2"/>
  <c r="C668" i="2"/>
  <c r="D668" i="2"/>
  <c r="E668" i="2" s="1"/>
  <c r="B668" i="2"/>
  <c r="F668" i="2"/>
  <c r="H668" i="2"/>
  <c r="G668" i="2"/>
  <c r="I668" i="2"/>
  <c r="K668" i="2" s="1"/>
  <c r="J668" i="2"/>
  <c r="I761" i="2"/>
  <c r="K761" i="2" s="1"/>
  <c r="G761" i="2"/>
  <c r="F761" i="2"/>
  <c r="J761" i="2"/>
  <c r="H761" i="2"/>
  <c r="D761" i="2"/>
  <c r="E761" i="2" s="1"/>
  <c r="C761" i="2"/>
  <c r="B761" i="2"/>
  <c r="C731" i="2"/>
  <c r="B731" i="2"/>
  <c r="J731" i="2"/>
  <c r="I731" i="2"/>
  <c r="K731" i="2" s="1"/>
  <c r="F731" i="2"/>
  <c r="H731" i="2"/>
  <c r="G731" i="2"/>
  <c r="D731" i="2"/>
  <c r="E731" i="2" s="1"/>
  <c r="H787" i="2"/>
  <c r="C787" i="2"/>
  <c r="D787" i="2"/>
  <c r="E787" i="2" s="1"/>
  <c r="B787" i="2"/>
  <c r="I787" i="2"/>
  <c r="K787" i="2" s="1"/>
  <c r="J787" i="2"/>
  <c r="G787" i="2"/>
  <c r="F787" i="2"/>
  <c r="C814" i="2"/>
  <c r="J814" i="2"/>
  <c r="F814" i="2"/>
  <c r="D814" i="2"/>
  <c r="E814" i="2" s="1"/>
  <c r="B814" i="2"/>
  <c r="I814" i="2"/>
  <c r="K814" i="2" s="1"/>
  <c r="H814" i="2"/>
  <c r="G814" i="2"/>
  <c r="J871" i="2"/>
  <c r="I871" i="2"/>
  <c r="K871" i="2" s="1"/>
  <c r="G871" i="2"/>
  <c r="H871" i="2"/>
  <c r="F871" i="2"/>
  <c r="D871" i="2"/>
  <c r="E871" i="2" s="1"/>
  <c r="C871" i="2"/>
  <c r="B871" i="2"/>
  <c r="C960" i="2"/>
  <c r="B960" i="2"/>
  <c r="F960" i="2"/>
  <c r="D960" i="2"/>
  <c r="E960" i="2" s="1"/>
  <c r="J960" i="2"/>
  <c r="I960" i="2"/>
  <c r="K960" i="2" s="1"/>
  <c r="H960" i="2"/>
  <c r="G960" i="2"/>
  <c r="J992" i="2"/>
  <c r="I992" i="2"/>
  <c r="K992" i="2" s="1"/>
  <c r="H992" i="2"/>
  <c r="G992" i="2"/>
  <c r="F992" i="2"/>
  <c r="D992" i="2"/>
  <c r="E992" i="2" s="1"/>
  <c r="C992" i="2"/>
  <c r="B992" i="2"/>
  <c r="C265" i="2"/>
  <c r="D265" i="2" s="1"/>
  <c r="E265" i="2" s="1"/>
  <c r="B265" i="2"/>
  <c r="H265" i="2"/>
  <c r="J265" i="2"/>
  <c r="I265" i="2"/>
  <c r="G265" i="2"/>
  <c r="F265" i="2"/>
  <c r="G281" i="2"/>
  <c r="J281" i="2"/>
  <c r="H281" i="2"/>
  <c r="F281" i="2"/>
  <c r="B281" i="2"/>
  <c r="I281" i="2"/>
  <c r="C281" i="2"/>
  <c r="D281" i="2" s="1"/>
  <c r="E281" i="2" s="1"/>
  <c r="B235" i="2"/>
  <c r="I235" i="2"/>
  <c r="J235" i="2"/>
  <c r="H235" i="2"/>
  <c r="G235" i="2"/>
  <c r="F235" i="2"/>
  <c r="C235" i="2"/>
  <c r="D235" i="2" s="1"/>
  <c r="E235" i="2" s="1"/>
  <c r="H83" i="2"/>
  <c r="G83" i="2"/>
  <c r="B83" i="2"/>
  <c r="F83" i="2"/>
  <c r="C83" i="2"/>
  <c r="D83" i="2" s="1"/>
  <c r="E83" i="2" s="1"/>
  <c r="I83" i="2"/>
  <c r="J83" i="2"/>
  <c r="I332" i="2"/>
  <c r="H332" i="2"/>
  <c r="F332" i="2"/>
  <c r="C332" i="2"/>
  <c r="D332" i="2" s="1"/>
  <c r="E332" i="2" s="1"/>
  <c r="B332" i="2"/>
  <c r="G332" i="2"/>
  <c r="J332" i="2"/>
  <c r="G291" i="2"/>
  <c r="B291" i="2"/>
  <c r="J291" i="2"/>
  <c r="I291" i="2"/>
  <c r="H291" i="2"/>
  <c r="F291" i="2"/>
  <c r="C291" i="2"/>
  <c r="D291" i="2" s="1"/>
  <c r="E291" i="2" s="1"/>
  <c r="C560" i="2"/>
  <c r="J560" i="2"/>
  <c r="I560" i="2"/>
  <c r="K560" i="2" s="1"/>
  <c r="H560" i="2"/>
  <c r="G560" i="2"/>
  <c r="F560" i="2"/>
  <c r="D560" i="2"/>
  <c r="E560" i="2" s="1"/>
  <c r="B560" i="2"/>
  <c r="G517" i="2"/>
  <c r="D517" i="2"/>
  <c r="E517" i="2" s="1"/>
  <c r="C517" i="2"/>
  <c r="B517" i="2"/>
  <c r="F517" i="2"/>
  <c r="J517" i="2"/>
  <c r="I517" i="2"/>
  <c r="K517" i="2" s="1"/>
  <c r="H517" i="2"/>
  <c r="I495" i="2"/>
  <c r="K495" i="2" s="1"/>
  <c r="F495" i="2"/>
  <c r="B495" i="2"/>
  <c r="J495" i="2"/>
  <c r="H495" i="2"/>
  <c r="G495" i="2"/>
  <c r="C495" i="2"/>
  <c r="D495" i="2"/>
  <c r="E495" i="2" s="1"/>
  <c r="J535" i="2"/>
  <c r="B535" i="2"/>
  <c r="I535" i="2"/>
  <c r="K535" i="2" s="1"/>
  <c r="H535" i="2"/>
  <c r="G535" i="2"/>
  <c r="F535" i="2"/>
  <c r="D535" i="2"/>
  <c r="E535" i="2" s="1"/>
  <c r="C535" i="2"/>
  <c r="J696" i="2"/>
  <c r="I696" i="2"/>
  <c r="K696" i="2" s="1"/>
  <c r="H696" i="2"/>
  <c r="G696" i="2"/>
  <c r="D696" i="2"/>
  <c r="E696" i="2" s="1"/>
  <c r="C696" i="2"/>
  <c r="B696" i="2"/>
  <c r="F696" i="2"/>
  <c r="J842" i="2"/>
  <c r="F842" i="2"/>
  <c r="C842" i="2"/>
  <c r="I842" i="2"/>
  <c r="K842" i="2" s="1"/>
  <c r="H842" i="2"/>
  <c r="G842" i="2"/>
  <c r="D842" i="2"/>
  <c r="E842" i="2" s="1"/>
  <c r="B842" i="2"/>
  <c r="G733" i="2"/>
  <c r="F733" i="2"/>
  <c r="D733" i="2"/>
  <c r="E733" i="2" s="1"/>
  <c r="C733" i="2"/>
  <c r="B733" i="2"/>
  <c r="J733" i="2"/>
  <c r="H733" i="2"/>
  <c r="I733" i="2"/>
  <c r="K733" i="2" s="1"/>
  <c r="I875" i="2"/>
  <c r="K875" i="2" s="1"/>
  <c r="D875" i="2"/>
  <c r="E875" i="2" s="1"/>
  <c r="B875" i="2"/>
  <c r="J875" i="2"/>
  <c r="H875" i="2"/>
  <c r="G875" i="2"/>
  <c r="F875" i="2"/>
  <c r="C875" i="2"/>
  <c r="I773" i="2"/>
  <c r="K773" i="2" s="1"/>
  <c r="J773" i="2"/>
  <c r="G773" i="2"/>
  <c r="F773" i="2"/>
  <c r="H773" i="2"/>
  <c r="D773" i="2"/>
  <c r="E773" i="2" s="1"/>
  <c r="C773" i="2"/>
  <c r="B773" i="2"/>
  <c r="I820" i="2"/>
  <c r="K820" i="2" s="1"/>
  <c r="J820" i="2"/>
  <c r="D820" i="2"/>
  <c r="E820" i="2" s="1"/>
  <c r="C820" i="2"/>
  <c r="B820" i="2"/>
  <c r="H820" i="2"/>
  <c r="G820" i="2"/>
  <c r="F820" i="2"/>
  <c r="I966" i="2"/>
  <c r="K966" i="2" s="1"/>
  <c r="H966" i="2"/>
  <c r="F966" i="2"/>
  <c r="J966" i="2"/>
  <c r="G966" i="2"/>
  <c r="D966" i="2"/>
  <c r="E966" i="2" s="1"/>
  <c r="C966" i="2"/>
  <c r="B966" i="2"/>
  <c r="H530" i="2"/>
  <c r="G530" i="2"/>
  <c r="I530" i="2"/>
  <c r="K530" i="2" s="1"/>
  <c r="F530" i="2"/>
  <c r="D530" i="2"/>
  <c r="E530" i="2" s="1"/>
  <c r="C530" i="2"/>
  <c r="B530" i="2"/>
  <c r="J530" i="2"/>
  <c r="D609" i="2"/>
  <c r="E609" i="2" s="1"/>
  <c r="J609" i="2"/>
  <c r="I609" i="2"/>
  <c r="K609" i="2" s="1"/>
  <c r="H609" i="2"/>
  <c r="C609" i="2"/>
  <c r="F609" i="2"/>
  <c r="B609" i="2"/>
  <c r="G609" i="2"/>
  <c r="I705" i="2"/>
  <c r="K705" i="2" s="1"/>
  <c r="H705" i="2"/>
  <c r="G705" i="2"/>
  <c r="F705" i="2"/>
  <c r="D705" i="2"/>
  <c r="E705" i="2" s="1"/>
  <c r="C705" i="2"/>
  <c r="J705" i="2"/>
  <c r="B705" i="2"/>
  <c r="J897" i="2"/>
  <c r="I897" i="2"/>
  <c r="K897" i="2" s="1"/>
  <c r="H897" i="2"/>
  <c r="G897" i="2"/>
  <c r="D897" i="2"/>
  <c r="E897" i="2" s="1"/>
  <c r="F897" i="2"/>
  <c r="C897" i="2"/>
  <c r="B897" i="2"/>
  <c r="G237" i="2"/>
  <c r="F237" i="2"/>
  <c r="J237" i="2"/>
  <c r="I237" i="2"/>
  <c r="H237" i="2"/>
  <c r="C237" i="2"/>
  <c r="D237" i="2" s="1"/>
  <c r="E237" i="2" s="1"/>
  <c r="B237" i="2"/>
  <c r="G225" i="2"/>
  <c r="F225" i="2"/>
  <c r="J225" i="2"/>
  <c r="C225" i="2"/>
  <c r="D225" i="2" s="1"/>
  <c r="E225" i="2" s="1"/>
  <c r="I225" i="2"/>
  <c r="H225" i="2"/>
  <c r="B225" i="2"/>
  <c r="H122" i="2"/>
  <c r="G122" i="2"/>
  <c r="F122" i="2"/>
  <c r="J122" i="2"/>
  <c r="I122" i="2"/>
  <c r="C122" i="2"/>
  <c r="D122" i="2" s="1"/>
  <c r="E122" i="2" s="1"/>
  <c r="B122" i="2"/>
  <c r="F200" i="2"/>
  <c r="B200" i="2"/>
  <c r="G200" i="2"/>
  <c r="I200" i="2"/>
  <c r="H200" i="2"/>
  <c r="C200" i="2"/>
  <c r="D200" i="2" s="1"/>
  <c r="E200" i="2" s="1"/>
  <c r="J200" i="2"/>
  <c r="G387" i="2"/>
  <c r="C387" i="2"/>
  <c r="D387" i="2" s="1"/>
  <c r="E387" i="2" s="1"/>
  <c r="J387" i="2"/>
  <c r="H387" i="2"/>
  <c r="I387" i="2"/>
  <c r="F387" i="2"/>
  <c r="B387" i="2"/>
  <c r="J330" i="2"/>
  <c r="B330" i="2"/>
  <c r="H330" i="2"/>
  <c r="G330" i="2"/>
  <c r="F330" i="2"/>
  <c r="C330" i="2"/>
  <c r="D330" i="2" s="1"/>
  <c r="E330" i="2" s="1"/>
  <c r="I330" i="2"/>
  <c r="F326" i="2"/>
  <c r="J326" i="2"/>
  <c r="I326" i="2"/>
  <c r="B326" i="2"/>
  <c r="H326" i="2"/>
  <c r="G326" i="2"/>
  <c r="C326" i="2"/>
  <c r="D326" i="2" s="1"/>
  <c r="E326" i="2" s="1"/>
  <c r="C335" i="2"/>
  <c r="D335" i="2" s="1"/>
  <c r="E335" i="2" s="1"/>
  <c r="B335" i="2"/>
  <c r="F335" i="2"/>
  <c r="I335" i="2"/>
  <c r="H335" i="2"/>
  <c r="G335" i="2"/>
  <c r="J335" i="2"/>
  <c r="H542" i="2"/>
  <c r="G542" i="2"/>
  <c r="F542" i="2"/>
  <c r="I542" i="2"/>
  <c r="K542" i="2" s="1"/>
  <c r="J542" i="2"/>
  <c r="D542" i="2"/>
  <c r="E542" i="2" s="1"/>
  <c r="C542" i="2"/>
  <c r="B542" i="2"/>
  <c r="G385" i="2"/>
  <c r="F385" i="2"/>
  <c r="C385" i="2"/>
  <c r="D385" i="2" s="1"/>
  <c r="E385" i="2" s="1"/>
  <c r="J385" i="2"/>
  <c r="I385" i="2"/>
  <c r="H385" i="2"/>
  <c r="B385" i="2"/>
  <c r="C569" i="2"/>
  <c r="F569" i="2"/>
  <c r="G569" i="2"/>
  <c r="D569" i="2"/>
  <c r="E569" i="2" s="1"/>
  <c r="B569" i="2"/>
  <c r="H569" i="2"/>
  <c r="J569" i="2"/>
  <c r="I569" i="2"/>
  <c r="K569" i="2" s="1"/>
  <c r="B559" i="2"/>
  <c r="H559" i="2"/>
  <c r="G559" i="2"/>
  <c r="F559" i="2"/>
  <c r="I559" i="2"/>
  <c r="K559" i="2" s="1"/>
  <c r="J559" i="2"/>
  <c r="C559" i="2"/>
  <c r="D559" i="2"/>
  <c r="E559" i="2" s="1"/>
  <c r="C581" i="2"/>
  <c r="B581" i="2"/>
  <c r="D581" i="2"/>
  <c r="E581" i="2" s="1"/>
  <c r="J581" i="2"/>
  <c r="H581" i="2"/>
  <c r="F581" i="2"/>
  <c r="I581" i="2"/>
  <c r="K581" i="2" s="1"/>
  <c r="G581" i="2"/>
  <c r="D592" i="2"/>
  <c r="E592" i="2" s="1"/>
  <c r="C592" i="2"/>
  <c r="G592" i="2"/>
  <c r="F592" i="2"/>
  <c r="B592" i="2"/>
  <c r="H592" i="2"/>
  <c r="I592" i="2"/>
  <c r="K592" i="2" s="1"/>
  <c r="J592" i="2"/>
  <c r="D756" i="2"/>
  <c r="E756" i="2" s="1"/>
  <c r="J756" i="2"/>
  <c r="I756" i="2"/>
  <c r="K756" i="2" s="1"/>
  <c r="H756" i="2"/>
  <c r="G756" i="2"/>
  <c r="F756" i="2"/>
  <c r="C756" i="2"/>
  <c r="B756" i="2"/>
  <c r="H671" i="2"/>
  <c r="G671" i="2"/>
  <c r="D671" i="2"/>
  <c r="E671" i="2" s="1"/>
  <c r="B671" i="2"/>
  <c r="J671" i="2"/>
  <c r="I671" i="2"/>
  <c r="K671" i="2" s="1"/>
  <c r="F671" i="2"/>
  <c r="C671" i="2"/>
  <c r="C755" i="2"/>
  <c r="G755" i="2"/>
  <c r="F755" i="2"/>
  <c r="J755" i="2"/>
  <c r="I755" i="2"/>
  <c r="K755" i="2" s="1"/>
  <c r="H755" i="2"/>
  <c r="D755" i="2"/>
  <c r="E755" i="2" s="1"/>
  <c r="B755" i="2"/>
  <c r="G703" i="2"/>
  <c r="F703" i="2"/>
  <c r="D703" i="2"/>
  <c r="E703" i="2" s="1"/>
  <c r="C703" i="2"/>
  <c r="B703" i="2"/>
  <c r="H703" i="2"/>
  <c r="I703" i="2"/>
  <c r="K703" i="2" s="1"/>
  <c r="J703" i="2"/>
  <c r="F782" i="2"/>
  <c r="J782" i="2"/>
  <c r="I782" i="2"/>
  <c r="K782" i="2" s="1"/>
  <c r="H782" i="2"/>
  <c r="G782" i="2"/>
  <c r="B782" i="2"/>
  <c r="D782" i="2"/>
  <c r="E782" i="2" s="1"/>
  <c r="C782" i="2"/>
  <c r="J932" i="2"/>
  <c r="H932" i="2"/>
  <c r="I932" i="2"/>
  <c r="K932" i="2" s="1"/>
  <c r="G932" i="2"/>
  <c r="F932" i="2"/>
  <c r="C932" i="2"/>
  <c r="D932" i="2"/>
  <c r="E932" i="2" s="1"/>
  <c r="B932" i="2"/>
  <c r="J844" i="2"/>
  <c r="I844" i="2"/>
  <c r="K844" i="2" s="1"/>
  <c r="G844" i="2"/>
  <c r="D844" i="2"/>
  <c r="E844" i="2" s="1"/>
  <c r="C844" i="2"/>
  <c r="B844" i="2"/>
  <c r="H844" i="2"/>
  <c r="F844" i="2"/>
  <c r="I832" i="2"/>
  <c r="K832" i="2" s="1"/>
  <c r="J832" i="2"/>
  <c r="F832" i="2"/>
  <c r="H832" i="2"/>
  <c r="G832" i="2"/>
  <c r="D832" i="2"/>
  <c r="E832" i="2" s="1"/>
  <c r="C832" i="2"/>
  <c r="B832" i="2"/>
  <c r="B846" i="2"/>
  <c r="C846" i="2"/>
  <c r="G846" i="2"/>
  <c r="J846" i="2"/>
  <c r="I846" i="2"/>
  <c r="K846" i="2" s="1"/>
  <c r="H846" i="2"/>
  <c r="F846" i="2"/>
  <c r="D846" i="2"/>
  <c r="E846" i="2" s="1"/>
  <c r="J884" i="2"/>
  <c r="I884" i="2"/>
  <c r="K884" i="2" s="1"/>
  <c r="H884" i="2"/>
  <c r="F884" i="2"/>
  <c r="C884" i="2"/>
  <c r="B884" i="2"/>
  <c r="D884" i="2"/>
  <c r="E884" i="2" s="1"/>
  <c r="G884" i="2"/>
  <c r="B945" i="2"/>
  <c r="I945" i="2"/>
  <c r="K945" i="2" s="1"/>
  <c r="G945" i="2"/>
  <c r="F945" i="2"/>
  <c r="D945" i="2"/>
  <c r="E945" i="2" s="1"/>
  <c r="C945" i="2"/>
  <c r="J945" i="2"/>
  <c r="H945" i="2"/>
  <c r="C936" i="2"/>
  <c r="B936" i="2"/>
  <c r="J936" i="2"/>
  <c r="I936" i="2"/>
  <c r="K936" i="2" s="1"/>
  <c r="H936" i="2"/>
  <c r="G936" i="2"/>
  <c r="F936" i="2"/>
  <c r="D936" i="2"/>
  <c r="E936" i="2" s="1"/>
  <c r="J229" i="2"/>
  <c r="H229" i="2"/>
  <c r="C229" i="2"/>
  <c r="D229" i="2" s="1"/>
  <c r="E229" i="2" s="1"/>
  <c r="I229" i="2"/>
  <c r="G229" i="2"/>
  <c r="F229" i="2"/>
  <c r="B229" i="2"/>
  <c r="B370" i="2"/>
  <c r="J370" i="2"/>
  <c r="I370" i="2"/>
  <c r="G370" i="2"/>
  <c r="H370" i="2"/>
  <c r="F370" i="2"/>
  <c r="C370" i="2"/>
  <c r="D370" i="2" s="1"/>
  <c r="E370" i="2" s="1"/>
  <c r="G249" i="2"/>
  <c r="F249" i="2"/>
  <c r="C249" i="2"/>
  <c r="D249" i="2" s="1"/>
  <c r="E249" i="2" s="1"/>
  <c r="B249" i="2"/>
  <c r="J249" i="2"/>
  <c r="I249" i="2"/>
  <c r="H249" i="2"/>
  <c r="H72" i="2"/>
  <c r="G72" i="2"/>
  <c r="J72" i="2"/>
  <c r="I72" i="2"/>
  <c r="F72" i="2"/>
  <c r="B72" i="2"/>
  <c r="C72" i="2"/>
  <c r="D72" i="2" s="1"/>
  <c r="E72" i="2" s="1"/>
  <c r="B223" i="2"/>
  <c r="I223" i="2"/>
  <c r="C223" i="2"/>
  <c r="D223" i="2" s="1"/>
  <c r="E223" i="2" s="1"/>
  <c r="H223" i="2"/>
  <c r="J223" i="2"/>
  <c r="G223" i="2"/>
  <c r="F223" i="2"/>
  <c r="I131" i="2"/>
  <c r="F131" i="2"/>
  <c r="C131" i="2"/>
  <c r="D131" i="2" s="1"/>
  <c r="E131" i="2" s="1"/>
  <c r="B131" i="2"/>
  <c r="J131" i="2"/>
  <c r="H131" i="2"/>
  <c r="G131" i="2"/>
  <c r="I227" i="2"/>
  <c r="H227" i="2"/>
  <c r="F227" i="2"/>
  <c r="J227" i="2"/>
  <c r="G227" i="2"/>
  <c r="C227" i="2"/>
  <c r="D227" i="2" s="1"/>
  <c r="E227" i="2" s="1"/>
  <c r="B227" i="2"/>
  <c r="G391" i="2"/>
  <c r="I391" i="2"/>
  <c r="F391" i="2"/>
  <c r="J391" i="2"/>
  <c r="H391" i="2"/>
  <c r="B391" i="2"/>
  <c r="C391" i="2"/>
  <c r="D391" i="2" s="1"/>
  <c r="E391" i="2" s="1"/>
  <c r="I437" i="2"/>
  <c r="K437" i="2" s="1"/>
  <c r="H437" i="2"/>
  <c r="F437" i="2"/>
  <c r="J437" i="2"/>
  <c r="D437" i="2"/>
  <c r="E437" i="2" s="1"/>
  <c r="C437" i="2"/>
  <c r="G437" i="2"/>
  <c r="B437" i="2"/>
  <c r="F338" i="2"/>
  <c r="I338" i="2"/>
  <c r="H338" i="2"/>
  <c r="G338" i="2"/>
  <c r="C338" i="2"/>
  <c r="D338" i="2" s="1"/>
  <c r="E338" i="2" s="1"/>
  <c r="B338" i="2"/>
  <c r="J338" i="2"/>
  <c r="B220" i="2"/>
  <c r="F220" i="2"/>
  <c r="J220" i="2"/>
  <c r="I220" i="2"/>
  <c r="H220" i="2"/>
  <c r="G220" i="2"/>
  <c r="C220" i="2"/>
  <c r="D220" i="2" s="1"/>
  <c r="E220" i="2" s="1"/>
  <c r="F386" i="2"/>
  <c r="B386" i="2"/>
  <c r="J386" i="2"/>
  <c r="I386" i="2"/>
  <c r="G386" i="2"/>
  <c r="C386" i="2"/>
  <c r="D386" i="2" s="1"/>
  <c r="E386" i="2" s="1"/>
  <c r="H386" i="2"/>
  <c r="B183" i="2"/>
  <c r="H183" i="2"/>
  <c r="J183" i="2"/>
  <c r="C183" i="2"/>
  <c r="D183" i="2" s="1"/>
  <c r="E183" i="2" s="1"/>
  <c r="I183" i="2"/>
  <c r="G183" i="2"/>
  <c r="F183" i="2"/>
  <c r="F350" i="2"/>
  <c r="H350" i="2"/>
  <c r="G350" i="2"/>
  <c r="B350" i="2"/>
  <c r="C350" i="2"/>
  <c r="D350" i="2" s="1"/>
  <c r="E350" i="2" s="1"/>
  <c r="J350" i="2"/>
  <c r="I350" i="2"/>
  <c r="B430" i="2"/>
  <c r="J430" i="2"/>
  <c r="C430" i="2"/>
  <c r="D430" i="2"/>
  <c r="E430" i="2" s="1"/>
  <c r="I430" i="2"/>
  <c r="K430" i="2" s="1"/>
  <c r="H430" i="2"/>
  <c r="G430" i="2"/>
  <c r="F430" i="2"/>
  <c r="I413" i="2"/>
  <c r="J413" i="2"/>
  <c r="C413" i="2"/>
  <c r="D413" i="2" s="1"/>
  <c r="E413" i="2" s="1"/>
  <c r="H413" i="2"/>
  <c r="G413" i="2"/>
  <c r="F413" i="2"/>
  <c r="B413" i="2"/>
  <c r="I341" i="2"/>
  <c r="B341" i="2"/>
  <c r="H341" i="2"/>
  <c r="G341" i="2"/>
  <c r="F341" i="2"/>
  <c r="C341" i="2"/>
  <c r="D341" i="2" s="1"/>
  <c r="E341" i="2" s="1"/>
  <c r="J341" i="2"/>
  <c r="H284" i="2"/>
  <c r="G284" i="2"/>
  <c r="F284" i="2"/>
  <c r="C284" i="2"/>
  <c r="D284" i="2" s="1"/>
  <c r="E284" i="2" s="1"/>
  <c r="J284" i="2"/>
  <c r="I284" i="2"/>
  <c r="B284" i="2"/>
  <c r="B583" i="2"/>
  <c r="G583" i="2"/>
  <c r="F583" i="2"/>
  <c r="I583" i="2"/>
  <c r="K583" i="2" s="1"/>
  <c r="H583" i="2"/>
  <c r="J583" i="2"/>
  <c r="D583" i="2"/>
  <c r="E583" i="2" s="1"/>
  <c r="C583" i="2"/>
  <c r="I566" i="2"/>
  <c r="K566" i="2" s="1"/>
  <c r="J566" i="2"/>
  <c r="H566" i="2"/>
  <c r="G566" i="2"/>
  <c r="F566" i="2"/>
  <c r="B566" i="2"/>
  <c r="D566" i="2"/>
  <c r="E566" i="2" s="1"/>
  <c r="C566" i="2"/>
  <c r="G397" i="2"/>
  <c r="F397" i="2"/>
  <c r="C397" i="2"/>
  <c r="D397" i="2" s="1"/>
  <c r="E397" i="2" s="1"/>
  <c r="B397" i="2"/>
  <c r="H397" i="2"/>
  <c r="I397" i="2"/>
  <c r="J397" i="2"/>
  <c r="G541" i="2"/>
  <c r="F541" i="2"/>
  <c r="D541" i="2"/>
  <c r="E541" i="2" s="1"/>
  <c r="H541" i="2"/>
  <c r="J541" i="2"/>
  <c r="I541" i="2"/>
  <c r="K541" i="2" s="1"/>
  <c r="C541" i="2"/>
  <c r="B541" i="2"/>
  <c r="J567" i="2"/>
  <c r="I567" i="2"/>
  <c r="K567" i="2" s="1"/>
  <c r="H567" i="2"/>
  <c r="D567" i="2"/>
  <c r="E567" i="2" s="1"/>
  <c r="C567" i="2"/>
  <c r="B567" i="2"/>
  <c r="G567" i="2"/>
  <c r="F567" i="2"/>
  <c r="H601" i="2"/>
  <c r="F601" i="2"/>
  <c r="D601" i="2"/>
  <c r="E601" i="2" s="1"/>
  <c r="G601" i="2"/>
  <c r="C601" i="2"/>
  <c r="B601" i="2"/>
  <c r="I601" i="2"/>
  <c r="K601" i="2" s="1"/>
  <c r="J601" i="2"/>
  <c r="J508" i="2"/>
  <c r="G508" i="2"/>
  <c r="B508" i="2"/>
  <c r="C508" i="2"/>
  <c r="I508" i="2"/>
  <c r="K508" i="2" s="1"/>
  <c r="H508" i="2"/>
  <c r="F508" i="2"/>
  <c r="D508" i="2"/>
  <c r="E508" i="2" s="1"/>
  <c r="I393" i="2"/>
  <c r="B393" i="2"/>
  <c r="J393" i="2"/>
  <c r="H393" i="2"/>
  <c r="G393" i="2"/>
  <c r="F393" i="2"/>
  <c r="C393" i="2"/>
  <c r="D393" i="2" s="1"/>
  <c r="E393" i="2" s="1"/>
  <c r="D597" i="2"/>
  <c r="E597" i="2" s="1"/>
  <c r="J597" i="2"/>
  <c r="I597" i="2"/>
  <c r="K597" i="2" s="1"/>
  <c r="B597" i="2"/>
  <c r="H597" i="2"/>
  <c r="F597" i="2"/>
  <c r="C597" i="2"/>
  <c r="G597" i="2"/>
  <c r="G636" i="2"/>
  <c r="D636" i="2"/>
  <c r="E636" i="2" s="1"/>
  <c r="J636" i="2"/>
  <c r="I636" i="2"/>
  <c r="K636" i="2" s="1"/>
  <c r="H636" i="2"/>
  <c r="C636" i="2"/>
  <c r="B636" i="2"/>
  <c r="F636" i="2"/>
  <c r="D526" i="2"/>
  <c r="E526" i="2" s="1"/>
  <c r="C526" i="2"/>
  <c r="J526" i="2"/>
  <c r="I526" i="2"/>
  <c r="K526" i="2" s="1"/>
  <c r="H526" i="2"/>
  <c r="G526" i="2"/>
  <c r="F526" i="2"/>
  <c r="B526" i="2"/>
  <c r="F563" i="2"/>
  <c r="C563" i="2"/>
  <c r="B563" i="2"/>
  <c r="D563" i="2"/>
  <c r="E563" i="2" s="1"/>
  <c r="I563" i="2"/>
  <c r="K563" i="2" s="1"/>
  <c r="G563" i="2"/>
  <c r="J563" i="2"/>
  <c r="H563" i="2"/>
  <c r="J622" i="2"/>
  <c r="I622" i="2"/>
  <c r="K622" i="2" s="1"/>
  <c r="H622" i="2"/>
  <c r="G622" i="2"/>
  <c r="F622" i="2"/>
  <c r="B622" i="2"/>
  <c r="C622" i="2"/>
  <c r="D622" i="2"/>
  <c r="E622" i="2" s="1"/>
  <c r="F681" i="2"/>
  <c r="D681" i="2"/>
  <c r="E681" i="2" s="1"/>
  <c r="J681" i="2"/>
  <c r="G681" i="2"/>
  <c r="B681" i="2"/>
  <c r="C681" i="2"/>
  <c r="I681" i="2"/>
  <c r="K681" i="2" s="1"/>
  <c r="H681" i="2"/>
  <c r="D573" i="2"/>
  <c r="E573" i="2" s="1"/>
  <c r="J573" i="2"/>
  <c r="I573" i="2"/>
  <c r="K573" i="2" s="1"/>
  <c r="H573" i="2"/>
  <c r="G573" i="2"/>
  <c r="F573" i="2"/>
  <c r="C573" i="2"/>
  <c r="B573" i="2"/>
  <c r="G795" i="2"/>
  <c r="F795" i="2"/>
  <c r="D795" i="2"/>
  <c r="E795" i="2" s="1"/>
  <c r="J795" i="2"/>
  <c r="I795" i="2"/>
  <c r="K795" i="2" s="1"/>
  <c r="H795" i="2"/>
  <c r="C795" i="2"/>
  <c r="B795" i="2"/>
  <c r="F599" i="2"/>
  <c r="B599" i="2"/>
  <c r="J599" i="2"/>
  <c r="I599" i="2"/>
  <c r="K599" i="2" s="1"/>
  <c r="H599" i="2"/>
  <c r="C599" i="2"/>
  <c r="G599" i="2"/>
  <c r="D599" i="2"/>
  <c r="E599" i="2" s="1"/>
  <c r="J674" i="2"/>
  <c r="B674" i="2"/>
  <c r="C674" i="2"/>
  <c r="F674" i="2"/>
  <c r="D674" i="2"/>
  <c r="E674" i="2" s="1"/>
  <c r="I674" i="2"/>
  <c r="K674" i="2" s="1"/>
  <c r="H674" i="2"/>
  <c r="G674" i="2"/>
  <c r="C711" i="2"/>
  <c r="B711" i="2"/>
  <c r="J711" i="2"/>
  <c r="I711" i="2"/>
  <c r="K711" i="2" s="1"/>
  <c r="F711" i="2"/>
  <c r="D711" i="2"/>
  <c r="E711" i="2" s="1"/>
  <c r="H711" i="2"/>
  <c r="G711" i="2"/>
  <c r="F212" i="2"/>
  <c r="C212" i="2"/>
  <c r="D212" i="2" s="1"/>
  <c r="E212" i="2" s="1"/>
  <c r="J212" i="2"/>
  <c r="I212" i="2"/>
  <c r="B212" i="2"/>
  <c r="H212" i="2"/>
  <c r="G212" i="2"/>
  <c r="G117" i="2"/>
  <c r="J117" i="2"/>
  <c r="C117" i="2"/>
  <c r="D117" i="2" s="1"/>
  <c r="E117" i="2" s="1"/>
  <c r="B117" i="2"/>
  <c r="I117" i="2"/>
  <c r="H117" i="2"/>
  <c r="F117" i="2"/>
  <c r="F374" i="2"/>
  <c r="B374" i="2"/>
  <c r="J374" i="2"/>
  <c r="I374" i="2"/>
  <c r="H374" i="2"/>
  <c r="C374" i="2"/>
  <c r="D374" i="2" s="1"/>
  <c r="E374" i="2" s="1"/>
  <c r="G374" i="2"/>
  <c r="I271" i="2"/>
  <c r="C271" i="2"/>
  <c r="D271" i="2" s="1"/>
  <c r="E271" i="2" s="1"/>
  <c r="B271" i="2"/>
  <c r="G271" i="2"/>
  <c r="J271" i="2"/>
  <c r="H271" i="2"/>
  <c r="F271" i="2"/>
  <c r="I254" i="2"/>
  <c r="C254" i="2"/>
  <c r="D254" i="2" s="1"/>
  <c r="E254" i="2" s="1"/>
  <c r="B254" i="2"/>
  <c r="H254" i="2"/>
  <c r="J254" i="2"/>
  <c r="G254" i="2"/>
  <c r="F254" i="2"/>
  <c r="B84" i="2"/>
  <c r="J84" i="2"/>
  <c r="I84" i="2"/>
  <c r="H84" i="2"/>
  <c r="G84" i="2"/>
  <c r="F84" i="2"/>
  <c r="C84" i="2"/>
  <c r="D84" i="2" s="1"/>
  <c r="E84" i="2" s="1"/>
  <c r="J228" i="2"/>
  <c r="I228" i="2"/>
  <c r="G228" i="2"/>
  <c r="B228" i="2"/>
  <c r="C228" i="2"/>
  <c r="D228" i="2" s="1"/>
  <c r="E228" i="2" s="1"/>
  <c r="F228" i="2"/>
  <c r="H228" i="2"/>
  <c r="I150" i="2"/>
  <c r="G150" i="2"/>
  <c r="J150" i="2"/>
  <c r="H150" i="2"/>
  <c r="F150" i="2"/>
  <c r="C150" i="2"/>
  <c r="D150" i="2" s="1"/>
  <c r="E150" i="2" s="1"/>
  <c r="B150" i="2"/>
  <c r="I239" i="2"/>
  <c r="H239" i="2"/>
  <c r="F239" i="2"/>
  <c r="G239" i="2"/>
  <c r="C239" i="2"/>
  <c r="D239" i="2" s="1"/>
  <c r="E239" i="2" s="1"/>
  <c r="B239" i="2"/>
  <c r="J239" i="2"/>
  <c r="C395" i="2"/>
  <c r="D395" i="2" s="1"/>
  <c r="E395" i="2" s="1"/>
  <c r="G395" i="2"/>
  <c r="I395" i="2"/>
  <c r="H395" i="2"/>
  <c r="F395" i="2"/>
  <c r="J395" i="2"/>
  <c r="B395" i="2"/>
  <c r="C210" i="2"/>
  <c r="D210" i="2" s="1"/>
  <c r="E210" i="2" s="1"/>
  <c r="H210" i="2"/>
  <c r="B210" i="2"/>
  <c r="G210" i="2"/>
  <c r="F210" i="2"/>
  <c r="J210" i="2"/>
  <c r="I210" i="2"/>
  <c r="B355" i="2"/>
  <c r="H355" i="2"/>
  <c r="G355" i="2"/>
  <c r="F355" i="2"/>
  <c r="C355" i="2"/>
  <c r="D355" i="2" s="1"/>
  <c r="E355" i="2" s="1"/>
  <c r="J355" i="2"/>
  <c r="I355" i="2"/>
  <c r="B232" i="2"/>
  <c r="F232" i="2"/>
  <c r="J232" i="2"/>
  <c r="I232" i="2"/>
  <c r="H232" i="2"/>
  <c r="G232" i="2"/>
  <c r="C232" i="2"/>
  <c r="D232" i="2" s="1"/>
  <c r="E232" i="2" s="1"/>
  <c r="J390" i="2"/>
  <c r="F390" i="2"/>
  <c r="I390" i="2"/>
  <c r="H390" i="2"/>
  <c r="C390" i="2"/>
  <c r="D390" i="2" s="1"/>
  <c r="E390" i="2" s="1"/>
  <c r="B390" i="2"/>
  <c r="G390" i="2"/>
  <c r="C195" i="2"/>
  <c r="D195" i="2" s="1"/>
  <c r="E195" i="2" s="1"/>
  <c r="G195" i="2"/>
  <c r="F195" i="2"/>
  <c r="J195" i="2"/>
  <c r="I195" i="2"/>
  <c r="H195" i="2"/>
  <c r="B195" i="2"/>
  <c r="H352" i="2"/>
  <c r="I352" i="2"/>
  <c r="F352" i="2"/>
  <c r="B352" i="2"/>
  <c r="G352" i="2"/>
  <c r="J352" i="2"/>
  <c r="C352" i="2"/>
  <c r="D352" i="2" s="1"/>
  <c r="E352" i="2" s="1"/>
  <c r="I329" i="2"/>
  <c r="C329" i="2"/>
  <c r="D329" i="2" s="1"/>
  <c r="E329" i="2" s="1"/>
  <c r="B329" i="2"/>
  <c r="F329" i="2"/>
  <c r="J329" i="2"/>
  <c r="H329" i="2"/>
  <c r="G329" i="2"/>
  <c r="H436" i="2"/>
  <c r="G436" i="2"/>
  <c r="D436" i="2"/>
  <c r="E436" i="2" s="1"/>
  <c r="I436" i="2"/>
  <c r="K436" i="2" s="1"/>
  <c r="J436" i="2"/>
  <c r="F436" i="2"/>
  <c r="C436" i="2"/>
  <c r="B436" i="2"/>
  <c r="H424" i="2"/>
  <c r="D424" i="2"/>
  <c r="E424" i="2" s="1"/>
  <c r="I424" i="2"/>
  <c r="K424" i="2" s="1"/>
  <c r="F424" i="2"/>
  <c r="C424" i="2"/>
  <c r="B424" i="2"/>
  <c r="J424" i="2"/>
  <c r="G424" i="2"/>
  <c r="B360" i="2"/>
  <c r="J360" i="2"/>
  <c r="I360" i="2"/>
  <c r="H360" i="2"/>
  <c r="G360" i="2"/>
  <c r="F360" i="2"/>
  <c r="C360" i="2"/>
  <c r="D360" i="2" s="1"/>
  <c r="E360" i="2" s="1"/>
  <c r="G303" i="2"/>
  <c r="C303" i="2"/>
  <c r="D303" i="2" s="1"/>
  <c r="E303" i="2" s="1"/>
  <c r="B303" i="2"/>
  <c r="H303" i="2"/>
  <c r="J303" i="2"/>
  <c r="I303" i="2"/>
  <c r="F303" i="2"/>
  <c r="F540" i="2"/>
  <c r="D540" i="2"/>
  <c r="E540" i="2" s="1"/>
  <c r="C540" i="2"/>
  <c r="G540" i="2"/>
  <c r="I540" i="2"/>
  <c r="K540" i="2" s="1"/>
  <c r="H540" i="2"/>
  <c r="J540" i="2"/>
  <c r="B540" i="2"/>
  <c r="I531" i="2"/>
  <c r="K531" i="2" s="1"/>
  <c r="H531" i="2"/>
  <c r="G531" i="2"/>
  <c r="F531" i="2"/>
  <c r="J531" i="2"/>
  <c r="D531" i="2"/>
  <c r="E531" i="2" s="1"/>
  <c r="C531" i="2"/>
  <c r="B531" i="2"/>
  <c r="J451" i="2"/>
  <c r="F451" i="2"/>
  <c r="D451" i="2"/>
  <c r="E451" i="2" s="1"/>
  <c r="C451" i="2"/>
  <c r="B451" i="2"/>
  <c r="G451" i="2"/>
  <c r="I451" i="2"/>
  <c r="K451" i="2" s="1"/>
  <c r="H451" i="2"/>
  <c r="H482" i="2"/>
  <c r="J482" i="2"/>
  <c r="I482" i="2"/>
  <c r="K482" i="2" s="1"/>
  <c r="G482" i="2"/>
  <c r="F482" i="2"/>
  <c r="D482" i="2"/>
  <c r="E482" i="2" s="1"/>
  <c r="B482" i="2"/>
  <c r="C482" i="2"/>
  <c r="F409" i="2"/>
  <c r="J409" i="2"/>
  <c r="I409" i="2"/>
  <c r="H409" i="2"/>
  <c r="G409" i="2"/>
  <c r="B409" i="2"/>
  <c r="C409" i="2"/>
  <c r="D409" i="2" s="1"/>
  <c r="E409" i="2" s="1"/>
  <c r="I543" i="2"/>
  <c r="K543" i="2" s="1"/>
  <c r="H543" i="2"/>
  <c r="G543" i="2"/>
  <c r="F543" i="2"/>
  <c r="J543" i="2"/>
  <c r="D543" i="2"/>
  <c r="E543" i="2" s="1"/>
  <c r="C543" i="2"/>
  <c r="B543" i="2"/>
  <c r="I580" i="2"/>
  <c r="K580" i="2" s="1"/>
  <c r="H580" i="2"/>
  <c r="F580" i="2"/>
  <c r="D580" i="2"/>
  <c r="E580" i="2" s="1"/>
  <c r="C580" i="2"/>
  <c r="G580" i="2"/>
  <c r="J580" i="2"/>
  <c r="B580" i="2"/>
  <c r="B607" i="2"/>
  <c r="G607" i="2"/>
  <c r="F607" i="2"/>
  <c r="D607" i="2"/>
  <c r="E607" i="2" s="1"/>
  <c r="J607" i="2"/>
  <c r="I607" i="2"/>
  <c r="K607" i="2" s="1"/>
  <c r="H607" i="2"/>
  <c r="C607" i="2"/>
  <c r="D527" i="2"/>
  <c r="E527" i="2" s="1"/>
  <c r="B527" i="2"/>
  <c r="F527" i="2"/>
  <c r="C527" i="2"/>
  <c r="G527" i="2"/>
  <c r="J527" i="2"/>
  <c r="I527" i="2"/>
  <c r="K527" i="2" s="1"/>
  <c r="H527" i="2"/>
  <c r="I405" i="2"/>
  <c r="B405" i="2"/>
  <c r="F405" i="2"/>
  <c r="J405" i="2"/>
  <c r="C405" i="2"/>
  <c r="D405" i="2" s="1"/>
  <c r="E405" i="2" s="1"/>
  <c r="H405" i="2"/>
  <c r="G405" i="2"/>
  <c r="I602" i="2"/>
  <c r="K602" i="2" s="1"/>
  <c r="H602" i="2"/>
  <c r="G602" i="2"/>
  <c r="F602" i="2"/>
  <c r="J602" i="2"/>
  <c r="D602" i="2"/>
  <c r="E602" i="2" s="1"/>
  <c r="B602" i="2"/>
  <c r="C602" i="2"/>
  <c r="J639" i="2"/>
  <c r="G639" i="2"/>
  <c r="F639" i="2"/>
  <c r="D639" i="2"/>
  <c r="E639" i="2" s="1"/>
  <c r="C639" i="2"/>
  <c r="H639" i="2"/>
  <c r="I639" i="2"/>
  <c r="K639" i="2" s="1"/>
  <c r="B639" i="2"/>
  <c r="D538" i="2"/>
  <c r="E538" i="2" s="1"/>
  <c r="C538" i="2"/>
  <c r="B538" i="2"/>
  <c r="J538" i="2"/>
  <c r="I538" i="2"/>
  <c r="K538" i="2" s="1"/>
  <c r="H538" i="2"/>
  <c r="G538" i="2"/>
  <c r="F538" i="2"/>
  <c r="G586" i="2"/>
  <c r="F586" i="2"/>
  <c r="J586" i="2"/>
  <c r="C586" i="2"/>
  <c r="B586" i="2"/>
  <c r="I586" i="2"/>
  <c r="K586" i="2" s="1"/>
  <c r="D586" i="2"/>
  <c r="E586" i="2" s="1"/>
  <c r="H586" i="2"/>
  <c r="G648" i="2"/>
  <c r="D648" i="2"/>
  <c r="E648" i="2" s="1"/>
  <c r="I648" i="2"/>
  <c r="K648" i="2" s="1"/>
  <c r="H648" i="2"/>
  <c r="F648" i="2"/>
  <c r="J648" i="2"/>
  <c r="B648" i="2"/>
  <c r="C648" i="2"/>
  <c r="I614" i="2"/>
  <c r="K614" i="2" s="1"/>
  <c r="H614" i="2"/>
  <c r="G614" i="2"/>
  <c r="F614" i="2"/>
  <c r="B614" i="2"/>
  <c r="J614" i="2"/>
  <c r="C614" i="2"/>
  <c r="D614" i="2"/>
  <c r="E614" i="2" s="1"/>
  <c r="C608" i="2"/>
  <c r="I608" i="2"/>
  <c r="K608" i="2" s="1"/>
  <c r="H608" i="2"/>
  <c r="G608" i="2"/>
  <c r="F608" i="2"/>
  <c r="D608" i="2"/>
  <c r="E608" i="2" s="1"/>
  <c r="B608" i="2"/>
  <c r="J608" i="2"/>
  <c r="B595" i="2"/>
  <c r="G595" i="2"/>
  <c r="F595" i="2"/>
  <c r="H595" i="2"/>
  <c r="J595" i="2"/>
  <c r="I595" i="2"/>
  <c r="K595" i="2" s="1"/>
  <c r="D595" i="2"/>
  <c r="E595" i="2" s="1"/>
  <c r="C595" i="2"/>
  <c r="C568" i="2"/>
  <c r="B568" i="2"/>
  <c r="D568" i="2"/>
  <c r="E568" i="2" s="1"/>
  <c r="J568" i="2"/>
  <c r="I568" i="2"/>
  <c r="K568" i="2" s="1"/>
  <c r="H568" i="2"/>
  <c r="G568" i="2"/>
  <c r="F568" i="2"/>
  <c r="C605" i="2"/>
  <c r="B605" i="2"/>
  <c r="I605" i="2"/>
  <c r="K605" i="2" s="1"/>
  <c r="H605" i="2"/>
  <c r="G605" i="2"/>
  <c r="F605" i="2"/>
  <c r="D605" i="2"/>
  <c r="E605" i="2" s="1"/>
  <c r="J605" i="2"/>
  <c r="I629" i="2"/>
  <c r="K629" i="2" s="1"/>
  <c r="B629" i="2"/>
  <c r="C629" i="2"/>
  <c r="D629" i="2"/>
  <c r="E629" i="2" s="1"/>
  <c r="G629" i="2"/>
  <c r="J629" i="2"/>
  <c r="F629" i="2"/>
  <c r="H629" i="2"/>
  <c r="B698" i="2"/>
  <c r="J698" i="2"/>
  <c r="I698" i="2"/>
  <c r="K698" i="2" s="1"/>
  <c r="H698" i="2"/>
  <c r="C698" i="2"/>
  <c r="G698" i="2"/>
  <c r="F698" i="2"/>
  <c r="D698" i="2"/>
  <c r="E698" i="2" s="1"/>
  <c r="D669" i="2"/>
  <c r="E669" i="2" s="1"/>
  <c r="H669" i="2"/>
  <c r="G669" i="2"/>
  <c r="F669" i="2"/>
  <c r="I669" i="2"/>
  <c r="K669" i="2" s="1"/>
  <c r="C669" i="2"/>
  <c r="B669" i="2"/>
  <c r="J669" i="2"/>
  <c r="F558" i="2"/>
  <c r="D558" i="2"/>
  <c r="E558" i="2" s="1"/>
  <c r="C558" i="2"/>
  <c r="G558" i="2"/>
  <c r="J558" i="2"/>
  <c r="I558" i="2"/>
  <c r="K558" i="2" s="1"/>
  <c r="H558" i="2"/>
  <c r="B558" i="2"/>
  <c r="G806" i="2"/>
  <c r="J806" i="2"/>
  <c r="H806" i="2"/>
  <c r="B806" i="2"/>
  <c r="I806" i="2"/>
  <c r="K806" i="2" s="1"/>
  <c r="F806" i="2"/>
  <c r="D806" i="2"/>
  <c r="E806" i="2" s="1"/>
  <c r="C806" i="2"/>
  <c r="B689" i="2"/>
  <c r="H689" i="2"/>
  <c r="G689" i="2"/>
  <c r="F689" i="2"/>
  <c r="D689" i="2"/>
  <c r="E689" i="2" s="1"/>
  <c r="C689" i="2"/>
  <c r="I689" i="2"/>
  <c r="K689" i="2" s="1"/>
  <c r="J689" i="2"/>
  <c r="H676" i="2"/>
  <c r="J676" i="2"/>
  <c r="I676" i="2"/>
  <c r="K676" i="2" s="1"/>
  <c r="G676" i="2"/>
  <c r="F676" i="2"/>
  <c r="B676" i="2"/>
  <c r="C676" i="2"/>
  <c r="D676" i="2"/>
  <c r="E676" i="2" s="1"/>
  <c r="C723" i="2"/>
  <c r="B723" i="2"/>
  <c r="J723" i="2"/>
  <c r="I723" i="2"/>
  <c r="K723" i="2" s="1"/>
  <c r="H723" i="2"/>
  <c r="G723" i="2"/>
  <c r="F723" i="2"/>
  <c r="D723" i="2"/>
  <c r="E723" i="2" s="1"/>
  <c r="G804" i="2"/>
  <c r="F804" i="2"/>
  <c r="C804" i="2"/>
  <c r="J804" i="2"/>
  <c r="I804" i="2"/>
  <c r="K804" i="2" s="1"/>
  <c r="H804" i="2"/>
  <c r="D804" i="2"/>
  <c r="E804" i="2" s="1"/>
  <c r="B804" i="2"/>
  <c r="G823" i="2"/>
  <c r="F823" i="2"/>
  <c r="D823" i="2"/>
  <c r="E823" i="2" s="1"/>
  <c r="C823" i="2"/>
  <c r="J823" i="2"/>
  <c r="I823" i="2"/>
  <c r="K823" i="2" s="1"/>
  <c r="H823" i="2"/>
  <c r="B823" i="2"/>
  <c r="J752" i="2"/>
  <c r="I752" i="2"/>
  <c r="K752" i="2" s="1"/>
  <c r="H752" i="2"/>
  <c r="G752" i="2"/>
  <c r="F752" i="2"/>
  <c r="D752" i="2"/>
  <c r="E752" i="2" s="1"/>
  <c r="B752" i="2"/>
  <c r="C752" i="2"/>
  <c r="J798" i="2"/>
  <c r="I798" i="2"/>
  <c r="K798" i="2" s="1"/>
  <c r="G798" i="2"/>
  <c r="B798" i="2"/>
  <c r="C798" i="2"/>
  <c r="H798" i="2"/>
  <c r="F798" i="2"/>
  <c r="D798" i="2"/>
  <c r="E798" i="2" s="1"/>
  <c r="J831" i="2"/>
  <c r="H831" i="2"/>
  <c r="I831" i="2"/>
  <c r="K831" i="2" s="1"/>
  <c r="F831" i="2"/>
  <c r="G831" i="2"/>
  <c r="D831" i="2"/>
  <c r="E831" i="2" s="1"/>
  <c r="C831" i="2"/>
  <c r="B831" i="2"/>
  <c r="J908" i="2"/>
  <c r="I908" i="2"/>
  <c r="K908" i="2" s="1"/>
  <c r="H908" i="2"/>
  <c r="G908" i="2"/>
  <c r="F908" i="2"/>
  <c r="C908" i="2"/>
  <c r="D908" i="2"/>
  <c r="E908" i="2" s="1"/>
  <c r="B908" i="2"/>
  <c r="J909" i="2"/>
  <c r="I909" i="2"/>
  <c r="K909" i="2" s="1"/>
  <c r="H909" i="2"/>
  <c r="G909" i="2"/>
  <c r="F909" i="2"/>
  <c r="D909" i="2"/>
  <c r="E909" i="2" s="1"/>
  <c r="C909" i="2"/>
  <c r="B909" i="2"/>
  <c r="F860" i="2"/>
  <c r="J860" i="2"/>
  <c r="D860" i="2"/>
  <c r="E860" i="2" s="1"/>
  <c r="I860" i="2"/>
  <c r="K860" i="2" s="1"/>
  <c r="H860" i="2"/>
  <c r="G860" i="2"/>
  <c r="C860" i="2"/>
  <c r="B860" i="2"/>
  <c r="J990" i="2"/>
  <c r="I990" i="2"/>
  <c r="K990" i="2" s="1"/>
  <c r="H990" i="2"/>
  <c r="G990" i="2"/>
  <c r="F990" i="2"/>
  <c r="C990" i="2"/>
  <c r="D990" i="2"/>
  <c r="E990" i="2" s="1"/>
  <c r="B990" i="2"/>
  <c r="J878" i="2"/>
  <c r="H878" i="2"/>
  <c r="C878" i="2"/>
  <c r="B878" i="2"/>
  <c r="D878" i="2"/>
  <c r="E878" i="2" s="1"/>
  <c r="I878" i="2"/>
  <c r="K878" i="2" s="1"/>
  <c r="G878" i="2"/>
  <c r="F878" i="2"/>
  <c r="J978" i="2"/>
  <c r="I978" i="2"/>
  <c r="K978" i="2" s="1"/>
  <c r="H978" i="2"/>
  <c r="F978" i="2"/>
  <c r="G978" i="2"/>
  <c r="D978" i="2"/>
  <c r="E978" i="2" s="1"/>
  <c r="B978" i="2"/>
  <c r="C978" i="2"/>
  <c r="J943" i="2"/>
  <c r="I943" i="2"/>
  <c r="K943" i="2" s="1"/>
  <c r="G943" i="2"/>
  <c r="H943" i="2"/>
  <c r="F943" i="2"/>
  <c r="D943" i="2"/>
  <c r="E943" i="2" s="1"/>
  <c r="C943" i="2"/>
  <c r="B943" i="2"/>
  <c r="G892" i="2"/>
  <c r="F892" i="2"/>
  <c r="D892" i="2"/>
  <c r="E892" i="2" s="1"/>
  <c r="C892" i="2"/>
  <c r="B892" i="2"/>
  <c r="H892" i="2"/>
  <c r="J892" i="2"/>
  <c r="I892" i="2"/>
  <c r="K892" i="2" s="1"/>
  <c r="D890" i="2"/>
  <c r="E890" i="2" s="1"/>
  <c r="C890" i="2"/>
  <c r="B890" i="2"/>
  <c r="I890" i="2"/>
  <c r="K890" i="2" s="1"/>
  <c r="J890" i="2"/>
  <c r="H890" i="2"/>
  <c r="G890" i="2"/>
  <c r="F890" i="2"/>
  <c r="G950" i="2"/>
  <c r="D950" i="2"/>
  <c r="E950" i="2" s="1"/>
  <c r="B950" i="2"/>
  <c r="H950" i="2"/>
  <c r="F950" i="2"/>
  <c r="C950" i="2"/>
  <c r="J950" i="2"/>
  <c r="I950" i="2"/>
  <c r="K950" i="2" s="1"/>
  <c r="B887" i="2"/>
  <c r="J887" i="2"/>
  <c r="I887" i="2"/>
  <c r="K887" i="2" s="1"/>
  <c r="H887" i="2"/>
  <c r="G887" i="2"/>
  <c r="F887" i="2"/>
  <c r="C887" i="2"/>
  <c r="D887" i="2"/>
  <c r="E887" i="2" s="1"/>
  <c r="J967" i="2"/>
  <c r="I967" i="2"/>
  <c r="K967" i="2" s="1"/>
  <c r="G967" i="2"/>
  <c r="H967" i="2"/>
  <c r="F967" i="2"/>
  <c r="D967" i="2"/>
  <c r="E967" i="2" s="1"/>
  <c r="C967" i="2"/>
  <c r="B967" i="2"/>
  <c r="B935" i="2"/>
  <c r="J935" i="2"/>
  <c r="I935" i="2"/>
  <c r="K935" i="2" s="1"/>
  <c r="H935" i="2"/>
  <c r="G935" i="2"/>
  <c r="F935" i="2"/>
  <c r="C935" i="2"/>
  <c r="D935" i="2"/>
  <c r="E935" i="2" s="1"/>
  <c r="B981" i="2"/>
  <c r="I981" i="2"/>
  <c r="K981" i="2" s="1"/>
  <c r="C981" i="2"/>
  <c r="G981" i="2"/>
  <c r="J981" i="2"/>
  <c r="H981" i="2"/>
  <c r="F981" i="2"/>
  <c r="D981" i="2"/>
  <c r="E981" i="2" s="1"/>
  <c r="C182" i="2"/>
  <c r="D182" i="2" s="1"/>
  <c r="E182" i="2" s="1"/>
  <c r="B182" i="2"/>
  <c r="J182" i="2"/>
  <c r="F182" i="2"/>
  <c r="I182" i="2"/>
  <c r="H182" i="2"/>
  <c r="G182" i="2"/>
  <c r="H67" i="2"/>
  <c r="C67" i="2"/>
  <c r="D67" i="2" s="1"/>
  <c r="E67" i="2" s="1"/>
  <c r="B67" i="2"/>
  <c r="J67" i="2"/>
  <c r="I67" i="2"/>
  <c r="G67" i="2"/>
  <c r="F67" i="2"/>
  <c r="B112" i="2"/>
  <c r="F112" i="2"/>
  <c r="C112" i="2"/>
  <c r="D112" i="2" s="1"/>
  <c r="E112" i="2" s="1"/>
  <c r="J112" i="2"/>
  <c r="I112" i="2"/>
  <c r="H112" i="2"/>
  <c r="G112" i="2"/>
  <c r="C126" i="2"/>
  <c r="D126" i="2" s="1"/>
  <c r="E126" i="2" s="1"/>
  <c r="B126" i="2"/>
  <c r="G126" i="2"/>
  <c r="I126" i="2"/>
  <c r="H126" i="2"/>
  <c r="F126" i="2"/>
  <c r="J126" i="2"/>
  <c r="I155" i="2"/>
  <c r="F155" i="2"/>
  <c r="B155" i="2"/>
  <c r="J155" i="2"/>
  <c r="H155" i="2"/>
  <c r="G155" i="2"/>
  <c r="C155" i="2"/>
  <c r="D155" i="2" s="1"/>
  <c r="E155" i="2" s="1"/>
  <c r="B442" i="2"/>
  <c r="J442" i="2"/>
  <c r="C442" i="2"/>
  <c r="D442" i="2"/>
  <c r="E442" i="2" s="1"/>
  <c r="I442" i="2"/>
  <c r="K442" i="2" s="1"/>
  <c r="H442" i="2"/>
  <c r="G442" i="2"/>
  <c r="F442" i="2"/>
  <c r="B346" i="2"/>
  <c r="I346" i="2"/>
  <c r="G346" i="2"/>
  <c r="H346" i="2"/>
  <c r="F346" i="2"/>
  <c r="C346" i="2"/>
  <c r="D346" i="2" s="1"/>
  <c r="E346" i="2" s="1"/>
  <c r="J346" i="2"/>
  <c r="B194" i="2"/>
  <c r="I194" i="2"/>
  <c r="F194" i="2"/>
  <c r="C194" i="2"/>
  <c r="D194" i="2" s="1"/>
  <c r="E194" i="2" s="1"/>
  <c r="J194" i="2"/>
  <c r="H194" i="2"/>
  <c r="G194" i="2"/>
  <c r="F398" i="2"/>
  <c r="B398" i="2"/>
  <c r="G398" i="2"/>
  <c r="C398" i="2"/>
  <c r="D398" i="2" s="1"/>
  <c r="E398" i="2" s="1"/>
  <c r="I398" i="2"/>
  <c r="H398" i="2"/>
  <c r="J398" i="2"/>
  <c r="C323" i="2"/>
  <c r="D323" i="2" s="1"/>
  <c r="E323" i="2" s="1"/>
  <c r="B323" i="2"/>
  <c r="H323" i="2"/>
  <c r="J323" i="2"/>
  <c r="I323" i="2"/>
  <c r="G323" i="2"/>
  <c r="F323" i="2"/>
  <c r="H316" i="2"/>
  <c r="B316" i="2"/>
  <c r="C316" i="2"/>
  <c r="D316" i="2" s="1"/>
  <c r="E316" i="2" s="1"/>
  <c r="F316" i="2"/>
  <c r="J316" i="2"/>
  <c r="I316" i="2"/>
  <c r="G316" i="2"/>
  <c r="G448" i="2"/>
  <c r="J448" i="2"/>
  <c r="I448" i="2"/>
  <c r="K448" i="2" s="1"/>
  <c r="H448" i="2"/>
  <c r="F448" i="2"/>
  <c r="D448" i="2"/>
  <c r="E448" i="2" s="1"/>
  <c r="C448" i="2"/>
  <c r="B448" i="2"/>
  <c r="H553" i="2"/>
  <c r="I553" i="2"/>
  <c r="K553" i="2" s="1"/>
  <c r="G553" i="2"/>
  <c r="F553" i="2"/>
  <c r="J553" i="2"/>
  <c r="D553" i="2"/>
  <c r="E553" i="2" s="1"/>
  <c r="B553" i="2"/>
  <c r="C553" i="2"/>
  <c r="B562" i="2"/>
  <c r="J562" i="2"/>
  <c r="I562" i="2"/>
  <c r="K562" i="2" s="1"/>
  <c r="H562" i="2"/>
  <c r="G562" i="2"/>
  <c r="D562" i="2"/>
  <c r="E562" i="2" s="1"/>
  <c r="C562" i="2"/>
  <c r="F562" i="2"/>
  <c r="C775" i="2"/>
  <c r="B775" i="2"/>
  <c r="G775" i="2"/>
  <c r="J775" i="2"/>
  <c r="I775" i="2"/>
  <c r="K775" i="2" s="1"/>
  <c r="H775" i="2"/>
  <c r="F775" i="2"/>
  <c r="D775" i="2"/>
  <c r="E775" i="2" s="1"/>
  <c r="H807" i="2"/>
  <c r="J807" i="2"/>
  <c r="D807" i="2"/>
  <c r="E807" i="2" s="1"/>
  <c r="I807" i="2"/>
  <c r="K807" i="2" s="1"/>
  <c r="G807" i="2"/>
  <c r="F807" i="2"/>
  <c r="C807" i="2"/>
  <c r="B807" i="2"/>
  <c r="H882" i="2"/>
  <c r="G882" i="2"/>
  <c r="D882" i="2"/>
  <c r="E882" i="2" s="1"/>
  <c r="J882" i="2"/>
  <c r="I882" i="2"/>
  <c r="K882" i="2" s="1"/>
  <c r="F882" i="2"/>
  <c r="C882" i="2"/>
  <c r="B882" i="2"/>
  <c r="C927" i="2"/>
  <c r="J927" i="2"/>
  <c r="I927" i="2"/>
  <c r="K927" i="2" s="1"/>
  <c r="H927" i="2"/>
  <c r="G927" i="2"/>
  <c r="F927" i="2"/>
  <c r="B927" i="2"/>
  <c r="D927" i="2"/>
  <c r="E927" i="2" s="1"/>
  <c r="G66" i="2"/>
  <c r="I66" i="2"/>
  <c r="J66" i="2"/>
  <c r="F66" i="2"/>
  <c r="H66" i="2"/>
  <c r="B66" i="2"/>
  <c r="C66" i="2"/>
  <c r="D66" i="2" s="1"/>
  <c r="E66" i="2" s="1"/>
  <c r="H344" i="2"/>
  <c r="G344" i="2"/>
  <c r="J344" i="2"/>
  <c r="I344" i="2"/>
  <c r="F344" i="2"/>
  <c r="C344" i="2"/>
  <c r="D344" i="2" s="1"/>
  <c r="E344" i="2" s="1"/>
  <c r="B344" i="2"/>
  <c r="I215" i="2"/>
  <c r="H215" i="2"/>
  <c r="F215" i="2"/>
  <c r="B215" i="2"/>
  <c r="C215" i="2"/>
  <c r="D215" i="2" s="1"/>
  <c r="E215" i="2" s="1"/>
  <c r="J215" i="2"/>
  <c r="G215" i="2"/>
  <c r="C359" i="2"/>
  <c r="D359" i="2" s="1"/>
  <c r="E359" i="2" s="1"/>
  <c r="J359" i="2"/>
  <c r="H359" i="2"/>
  <c r="B359" i="2"/>
  <c r="G359" i="2"/>
  <c r="I359" i="2"/>
  <c r="F359" i="2"/>
  <c r="J289" i="2"/>
  <c r="I289" i="2"/>
  <c r="H289" i="2"/>
  <c r="G289" i="2"/>
  <c r="F289" i="2"/>
  <c r="C289" i="2"/>
  <c r="D289" i="2" s="1"/>
  <c r="E289" i="2" s="1"/>
  <c r="B289" i="2"/>
  <c r="F471" i="2"/>
  <c r="I471" i="2"/>
  <c r="K471" i="2" s="1"/>
  <c r="H471" i="2"/>
  <c r="G471" i="2"/>
  <c r="D471" i="2"/>
  <c r="E471" i="2" s="1"/>
  <c r="J471" i="2"/>
  <c r="C471" i="2"/>
  <c r="B471" i="2"/>
  <c r="J532" i="2"/>
  <c r="I532" i="2"/>
  <c r="K532" i="2" s="1"/>
  <c r="H532" i="2"/>
  <c r="G532" i="2"/>
  <c r="D532" i="2"/>
  <c r="E532" i="2" s="1"/>
  <c r="C532" i="2"/>
  <c r="B532" i="2"/>
  <c r="F532" i="2"/>
  <c r="B619" i="2"/>
  <c r="F619" i="2"/>
  <c r="D619" i="2"/>
  <c r="E619" i="2" s="1"/>
  <c r="C619" i="2"/>
  <c r="H619" i="2"/>
  <c r="G619" i="2"/>
  <c r="I619" i="2"/>
  <c r="K619" i="2" s="1"/>
  <c r="J619" i="2"/>
  <c r="C699" i="2"/>
  <c r="B699" i="2"/>
  <c r="J699" i="2"/>
  <c r="I699" i="2"/>
  <c r="K699" i="2" s="1"/>
  <c r="H699" i="2"/>
  <c r="G699" i="2"/>
  <c r="F699" i="2"/>
  <c r="D699" i="2"/>
  <c r="E699" i="2" s="1"/>
  <c r="C383" i="2"/>
  <c r="D383" i="2" s="1"/>
  <c r="E383" i="2" s="1"/>
  <c r="J383" i="2"/>
  <c r="H383" i="2"/>
  <c r="I383" i="2"/>
  <c r="G383" i="2"/>
  <c r="B383" i="2"/>
  <c r="F383" i="2"/>
  <c r="I389" i="2"/>
  <c r="F389" i="2"/>
  <c r="B389" i="2"/>
  <c r="J389" i="2"/>
  <c r="H389" i="2"/>
  <c r="G389" i="2"/>
  <c r="C389" i="2"/>
  <c r="D389" i="2" s="1"/>
  <c r="E389" i="2" s="1"/>
  <c r="H94" i="2"/>
  <c r="B94" i="2"/>
  <c r="C94" i="2"/>
  <c r="D94" i="2" s="1"/>
  <c r="E94" i="2" s="1"/>
  <c r="J94" i="2"/>
  <c r="I94" i="2"/>
  <c r="F94" i="2"/>
  <c r="G94" i="2"/>
  <c r="B259" i="2"/>
  <c r="I259" i="2"/>
  <c r="C259" i="2"/>
  <c r="D259" i="2" s="1"/>
  <c r="E259" i="2" s="1"/>
  <c r="H259" i="2"/>
  <c r="J259" i="2"/>
  <c r="G259" i="2"/>
  <c r="F259" i="2"/>
  <c r="J156" i="2"/>
  <c r="H156" i="2"/>
  <c r="I156" i="2"/>
  <c r="G156" i="2"/>
  <c r="F156" i="2"/>
  <c r="C156" i="2"/>
  <c r="D156" i="2" s="1"/>
  <c r="E156" i="2" s="1"/>
  <c r="B156" i="2"/>
  <c r="I251" i="2"/>
  <c r="H251" i="2"/>
  <c r="F251" i="2"/>
  <c r="B251" i="2"/>
  <c r="J251" i="2"/>
  <c r="G251" i="2"/>
  <c r="C251" i="2"/>
  <c r="D251" i="2" s="1"/>
  <c r="E251" i="2" s="1"/>
  <c r="G423" i="2"/>
  <c r="C423" i="2"/>
  <c r="D423" i="2" s="1"/>
  <c r="E423" i="2" s="1"/>
  <c r="H423" i="2"/>
  <c r="J423" i="2"/>
  <c r="I423" i="2"/>
  <c r="F423" i="2"/>
  <c r="B423" i="2"/>
  <c r="C222" i="2"/>
  <c r="D222" i="2" s="1"/>
  <c r="E222" i="2" s="1"/>
  <c r="H222" i="2"/>
  <c r="J222" i="2"/>
  <c r="I222" i="2"/>
  <c r="G222" i="2"/>
  <c r="B222" i="2"/>
  <c r="F222" i="2"/>
  <c r="H364" i="2"/>
  <c r="J364" i="2"/>
  <c r="G364" i="2"/>
  <c r="F364" i="2"/>
  <c r="C364" i="2"/>
  <c r="D364" i="2" s="1"/>
  <c r="E364" i="2" s="1"/>
  <c r="B364" i="2"/>
  <c r="I364" i="2"/>
  <c r="B244" i="2"/>
  <c r="F244" i="2"/>
  <c r="G244" i="2"/>
  <c r="C244" i="2"/>
  <c r="D244" i="2" s="1"/>
  <c r="E244" i="2" s="1"/>
  <c r="J244" i="2"/>
  <c r="I244" i="2"/>
  <c r="H244" i="2"/>
  <c r="J414" i="2"/>
  <c r="F414" i="2"/>
  <c r="C414" i="2"/>
  <c r="D414" i="2" s="1"/>
  <c r="E414" i="2" s="1"/>
  <c r="I414" i="2"/>
  <c r="G414" i="2"/>
  <c r="H414" i="2"/>
  <c r="B414" i="2"/>
  <c r="C207" i="2"/>
  <c r="D207" i="2" s="1"/>
  <c r="E207" i="2" s="1"/>
  <c r="B207" i="2"/>
  <c r="G207" i="2"/>
  <c r="F207" i="2"/>
  <c r="J207" i="2"/>
  <c r="I207" i="2"/>
  <c r="H207" i="2"/>
  <c r="G375" i="2"/>
  <c r="H375" i="2"/>
  <c r="F375" i="2"/>
  <c r="B375" i="2"/>
  <c r="C375" i="2"/>
  <c r="D375" i="2" s="1"/>
  <c r="E375" i="2" s="1"/>
  <c r="J375" i="2"/>
  <c r="I375" i="2"/>
  <c r="G464" i="2"/>
  <c r="F464" i="2"/>
  <c r="D464" i="2"/>
  <c r="E464" i="2" s="1"/>
  <c r="C464" i="2"/>
  <c r="H464" i="2"/>
  <c r="I464" i="2"/>
  <c r="K464" i="2" s="1"/>
  <c r="B464" i="2"/>
  <c r="J464" i="2"/>
  <c r="H494" i="2"/>
  <c r="J494" i="2"/>
  <c r="I494" i="2"/>
  <c r="K494" i="2" s="1"/>
  <c r="G494" i="2"/>
  <c r="F494" i="2"/>
  <c r="D494" i="2"/>
  <c r="E494" i="2" s="1"/>
  <c r="C494" i="2"/>
  <c r="B494" i="2"/>
  <c r="C489" i="2"/>
  <c r="I489" i="2"/>
  <c r="K489" i="2" s="1"/>
  <c r="H489" i="2"/>
  <c r="G489" i="2"/>
  <c r="F489" i="2"/>
  <c r="J489" i="2"/>
  <c r="D489" i="2"/>
  <c r="E489" i="2" s="1"/>
  <c r="B489" i="2"/>
  <c r="J366" i="2"/>
  <c r="B366" i="2"/>
  <c r="I366" i="2"/>
  <c r="C366" i="2"/>
  <c r="D366" i="2" s="1"/>
  <c r="E366" i="2" s="1"/>
  <c r="H366" i="2"/>
  <c r="G366" i="2"/>
  <c r="F366" i="2"/>
  <c r="B322" i="2"/>
  <c r="J322" i="2"/>
  <c r="I322" i="2"/>
  <c r="H322" i="2"/>
  <c r="C322" i="2"/>
  <c r="D322" i="2" s="1"/>
  <c r="E322" i="2" s="1"/>
  <c r="G322" i="2"/>
  <c r="F322" i="2"/>
  <c r="J420" i="2"/>
  <c r="I420" i="2"/>
  <c r="H420" i="2"/>
  <c r="B420" i="2"/>
  <c r="G420" i="2"/>
  <c r="F420" i="2"/>
  <c r="C420" i="2"/>
  <c r="D420" i="2" s="1"/>
  <c r="E420" i="2" s="1"/>
  <c r="G564" i="2"/>
  <c r="D564" i="2"/>
  <c r="E564" i="2" s="1"/>
  <c r="C564" i="2"/>
  <c r="B564" i="2"/>
  <c r="F564" i="2"/>
  <c r="J564" i="2"/>
  <c r="I564" i="2"/>
  <c r="K564" i="2" s="1"/>
  <c r="H564" i="2"/>
  <c r="G470" i="2"/>
  <c r="F470" i="2"/>
  <c r="D470" i="2"/>
  <c r="E470" i="2" s="1"/>
  <c r="C470" i="2"/>
  <c r="B470" i="2"/>
  <c r="H470" i="2"/>
  <c r="J470" i="2"/>
  <c r="I470" i="2"/>
  <c r="K470" i="2" s="1"/>
  <c r="I486" i="2"/>
  <c r="K486" i="2" s="1"/>
  <c r="J486" i="2"/>
  <c r="H486" i="2"/>
  <c r="G486" i="2"/>
  <c r="B486" i="2"/>
  <c r="F486" i="2"/>
  <c r="D486" i="2"/>
  <c r="E486" i="2" s="1"/>
  <c r="C486" i="2"/>
  <c r="F421" i="2"/>
  <c r="G421" i="2"/>
  <c r="C421" i="2"/>
  <c r="D421" i="2" s="1"/>
  <c r="E421" i="2" s="1"/>
  <c r="B421" i="2"/>
  <c r="I421" i="2"/>
  <c r="J421" i="2"/>
  <c r="H421" i="2"/>
  <c r="J545" i="2"/>
  <c r="I545" i="2"/>
  <c r="K545" i="2" s="1"/>
  <c r="H545" i="2"/>
  <c r="D545" i="2"/>
  <c r="E545" i="2" s="1"/>
  <c r="C545" i="2"/>
  <c r="B545" i="2"/>
  <c r="F545" i="2"/>
  <c r="G545" i="2"/>
  <c r="F734" i="2"/>
  <c r="I734" i="2"/>
  <c r="K734" i="2" s="1"/>
  <c r="H734" i="2"/>
  <c r="G734" i="2"/>
  <c r="D734" i="2"/>
  <c r="E734" i="2" s="1"/>
  <c r="C734" i="2"/>
  <c r="B734" i="2"/>
  <c r="J734" i="2"/>
  <c r="C620" i="2"/>
  <c r="H620" i="2"/>
  <c r="G620" i="2"/>
  <c r="F620" i="2"/>
  <c r="J620" i="2"/>
  <c r="I620" i="2"/>
  <c r="K620" i="2" s="1"/>
  <c r="D620" i="2"/>
  <c r="E620" i="2" s="1"/>
  <c r="B620" i="2"/>
  <c r="H565" i="2"/>
  <c r="G565" i="2"/>
  <c r="F565" i="2"/>
  <c r="D565" i="2"/>
  <c r="E565" i="2" s="1"/>
  <c r="I565" i="2"/>
  <c r="K565" i="2" s="1"/>
  <c r="B565" i="2"/>
  <c r="C565" i="2"/>
  <c r="J565" i="2"/>
  <c r="I417" i="2"/>
  <c r="B417" i="2"/>
  <c r="C417" i="2"/>
  <c r="D417" i="2" s="1"/>
  <c r="E417" i="2" s="1"/>
  <c r="J417" i="2"/>
  <c r="H417" i="2"/>
  <c r="G417" i="2"/>
  <c r="F417" i="2"/>
  <c r="I653" i="2"/>
  <c r="K653" i="2" s="1"/>
  <c r="J653" i="2"/>
  <c r="H653" i="2"/>
  <c r="G653" i="2"/>
  <c r="F653" i="2"/>
  <c r="D653" i="2"/>
  <c r="E653" i="2" s="1"/>
  <c r="B653" i="2"/>
  <c r="C653" i="2"/>
  <c r="C656" i="2"/>
  <c r="G656" i="2"/>
  <c r="F656" i="2"/>
  <c r="D656" i="2"/>
  <c r="E656" i="2" s="1"/>
  <c r="H656" i="2"/>
  <c r="I656" i="2"/>
  <c r="K656" i="2" s="1"/>
  <c r="J656" i="2"/>
  <c r="B656" i="2"/>
  <c r="D550" i="2"/>
  <c r="E550" i="2" s="1"/>
  <c r="C550" i="2"/>
  <c r="B550" i="2"/>
  <c r="J550" i="2"/>
  <c r="I550" i="2"/>
  <c r="K550" i="2" s="1"/>
  <c r="H550" i="2"/>
  <c r="G550" i="2"/>
  <c r="F550" i="2"/>
  <c r="D598" i="2"/>
  <c r="E598" i="2" s="1"/>
  <c r="C598" i="2"/>
  <c r="B598" i="2"/>
  <c r="H598" i="2"/>
  <c r="G598" i="2"/>
  <c r="F598" i="2"/>
  <c r="I598" i="2"/>
  <c r="K598" i="2" s="1"/>
  <c r="J598" i="2"/>
  <c r="J707" i="2"/>
  <c r="I707" i="2"/>
  <c r="K707" i="2" s="1"/>
  <c r="H707" i="2"/>
  <c r="G707" i="2"/>
  <c r="F707" i="2"/>
  <c r="B707" i="2"/>
  <c r="C707" i="2"/>
  <c r="D707" i="2"/>
  <c r="E707" i="2" s="1"/>
  <c r="H625" i="2"/>
  <c r="D625" i="2"/>
  <c r="E625" i="2" s="1"/>
  <c r="C625" i="2"/>
  <c r="B625" i="2"/>
  <c r="F625" i="2"/>
  <c r="G625" i="2"/>
  <c r="I625" i="2"/>
  <c r="K625" i="2" s="1"/>
  <c r="J625" i="2"/>
  <c r="J610" i="2"/>
  <c r="C610" i="2"/>
  <c r="B610" i="2"/>
  <c r="G610" i="2"/>
  <c r="I610" i="2"/>
  <c r="K610" i="2" s="1"/>
  <c r="H610" i="2"/>
  <c r="F610" i="2"/>
  <c r="D610" i="2"/>
  <c r="E610" i="2" s="1"/>
  <c r="J627" i="2"/>
  <c r="I627" i="2"/>
  <c r="K627" i="2" s="1"/>
  <c r="H627" i="2"/>
  <c r="G627" i="2"/>
  <c r="F627" i="2"/>
  <c r="D627" i="2"/>
  <c r="E627" i="2" s="1"/>
  <c r="C627" i="2"/>
  <c r="B627" i="2"/>
  <c r="F587" i="2"/>
  <c r="B587" i="2"/>
  <c r="J587" i="2"/>
  <c r="I587" i="2"/>
  <c r="K587" i="2" s="1"/>
  <c r="H587" i="2"/>
  <c r="G587" i="2"/>
  <c r="D587" i="2"/>
  <c r="E587" i="2" s="1"/>
  <c r="C587" i="2"/>
  <c r="G624" i="2"/>
  <c r="C624" i="2"/>
  <c r="B624" i="2"/>
  <c r="D624" i="2"/>
  <c r="E624" i="2" s="1"/>
  <c r="J624" i="2"/>
  <c r="I624" i="2"/>
  <c r="K624" i="2" s="1"/>
  <c r="H624" i="2"/>
  <c r="F624" i="2"/>
  <c r="F659" i="2"/>
  <c r="C659" i="2"/>
  <c r="B659" i="2"/>
  <c r="D659" i="2"/>
  <c r="E659" i="2" s="1"/>
  <c r="G659" i="2"/>
  <c r="J659" i="2"/>
  <c r="I659" i="2"/>
  <c r="K659" i="2" s="1"/>
  <c r="H659" i="2"/>
  <c r="H716" i="2"/>
  <c r="G716" i="2"/>
  <c r="F716" i="2"/>
  <c r="D716" i="2"/>
  <c r="E716" i="2" s="1"/>
  <c r="C716" i="2"/>
  <c r="B716" i="2"/>
  <c r="I716" i="2"/>
  <c r="K716" i="2" s="1"/>
  <c r="J716" i="2"/>
  <c r="D679" i="2"/>
  <c r="E679" i="2" s="1"/>
  <c r="C679" i="2"/>
  <c r="B679" i="2"/>
  <c r="G679" i="2"/>
  <c r="J679" i="2"/>
  <c r="I679" i="2"/>
  <c r="K679" i="2" s="1"/>
  <c r="H679" i="2"/>
  <c r="F679" i="2"/>
  <c r="I570" i="2"/>
  <c r="K570" i="2" s="1"/>
  <c r="J570" i="2"/>
  <c r="H570" i="2"/>
  <c r="G570" i="2"/>
  <c r="C570" i="2"/>
  <c r="F570" i="2"/>
  <c r="D570" i="2"/>
  <c r="E570" i="2" s="1"/>
  <c r="B570" i="2"/>
  <c r="H843" i="2"/>
  <c r="G843" i="2"/>
  <c r="D843" i="2"/>
  <c r="E843" i="2" s="1"/>
  <c r="J843" i="2"/>
  <c r="I843" i="2"/>
  <c r="K843" i="2" s="1"/>
  <c r="F843" i="2"/>
  <c r="C843" i="2"/>
  <c r="B843" i="2"/>
  <c r="D701" i="2"/>
  <c r="E701" i="2" s="1"/>
  <c r="C701" i="2"/>
  <c r="B701" i="2"/>
  <c r="H701" i="2"/>
  <c r="G701" i="2"/>
  <c r="F701" i="2"/>
  <c r="I701" i="2"/>
  <c r="K701" i="2" s="1"/>
  <c r="J701" i="2"/>
  <c r="D688" i="2"/>
  <c r="E688" i="2" s="1"/>
  <c r="F688" i="2"/>
  <c r="B688" i="2"/>
  <c r="J688" i="2"/>
  <c r="I688" i="2"/>
  <c r="K688" i="2" s="1"/>
  <c r="H688" i="2"/>
  <c r="G688" i="2"/>
  <c r="C688" i="2"/>
  <c r="J762" i="2"/>
  <c r="I762" i="2"/>
  <c r="K762" i="2" s="1"/>
  <c r="H762" i="2"/>
  <c r="G762" i="2"/>
  <c r="C762" i="2"/>
  <c r="B762" i="2"/>
  <c r="D762" i="2"/>
  <c r="E762" i="2" s="1"/>
  <c r="F762" i="2"/>
  <c r="J697" i="2"/>
  <c r="I697" i="2"/>
  <c r="K697" i="2" s="1"/>
  <c r="H697" i="2"/>
  <c r="B697" i="2"/>
  <c r="G697" i="2"/>
  <c r="F697" i="2"/>
  <c r="C697" i="2"/>
  <c r="D697" i="2"/>
  <c r="E697" i="2" s="1"/>
  <c r="B825" i="2"/>
  <c r="I825" i="2"/>
  <c r="K825" i="2" s="1"/>
  <c r="H825" i="2"/>
  <c r="C825" i="2"/>
  <c r="J825" i="2"/>
  <c r="D825" i="2"/>
  <c r="E825" i="2" s="1"/>
  <c r="F825" i="2"/>
  <c r="G825" i="2"/>
  <c r="G771" i="2"/>
  <c r="D771" i="2"/>
  <c r="E771" i="2" s="1"/>
  <c r="B771" i="2"/>
  <c r="I771" i="2"/>
  <c r="K771" i="2" s="1"/>
  <c r="H771" i="2"/>
  <c r="F771" i="2"/>
  <c r="C771" i="2"/>
  <c r="J771" i="2"/>
  <c r="F850" i="2"/>
  <c r="J850" i="2"/>
  <c r="I850" i="2"/>
  <c r="K850" i="2" s="1"/>
  <c r="H850" i="2"/>
  <c r="G850" i="2"/>
  <c r="D850" i="2"/>
  <c r="E850" i="2" s="1"/>
  <c r="C850" i="2"/>
  <c r="B850" i="2"/>
  <c r="I837" i="2"/>
  <c r="K837" i="2" s="1"/>
  <c r="H837" i="2"/>
  <c r="F837" i="2"/>
  <c r="J837" i="2"/>
  <c r="G837" i="2"/>
  <c r="D837" i="2"/>
  <c r="E837" i="2" s="1"/>
  <c r="C837" i="2"/>
  <c r="B837" i="2"/>
  <c r="D792" i="2"/>
  <c r="E792" i="2" s="1"/>
  <c r="C792" i="2"/>
  <c r="H792" i="2"/>
  <c r="J792" i="2"/>
  <c r="I792" i="2"/>
  <c r="K792" i="2" s="1"/>
  <c r="B792" i="2"/>
  <c r="G792" i="2"/>
  <c r="F792" i="2"/>
  <c r="C753" i="2"/>
  <c r="B753" i="2"/>
  <c r="J753" i="2"/>
  <c r="I753" i="2"/>
  <c r="K753" i="2" s="1"/>
  <c r="H753" i="2"/>
  <c r="G753" i="2"/>
  <c r="F753" i="2"/>
  <c r="D753" i="2"/>
  <c r="E753" i="2" s="1"/>
  <c r="I866" i="2"/>
  <c r="K866" i="2" s="1"/>
  <c r="D866" i="2"/>
  <c r="E866" i="2" s="1"/>
  <c r="J866" i="2"/>
  <c r="H866" i="2"/>
  <c r="F866" i="2"/>
  <c r="G866" i="2"/>
  <c r="C866" i="2"/>
  <c r="B866" i="2"/>
  <c r="H874" i="2"/>
  <c r="C874" i="2"/>
  <c r="B874" i="2"/>
  <c r="G874" i="2"/>
  <c r="F874" i="2"/>
  <c r="D874" i="2"/>
  <c r="E874" i="2" s="1"/>
  <c r="J874" i="2"/>
  <c r="I874" i="2"/>
  <c r="K874" i="2" s="1"/>
  <c r="C948" i="2"/>
  <c r="B948" i="2"/>
  <c r="J948" i="2"/>
  <c r="I948" i="2"/>
  <c r="K948" i="2" s="1"/>
  <c r="H948" i="2"/>
  <c r="G948" i="2"/>
  <c r="F948" i="2"/>
  <c r="D948" i="2"/>
  <c r="E948" i="2" s="1"/>
  <c r="F928" i="2"/>
  <c r="D928" i="2"/>
  <c r="E928" i="2" s="1"/>
  <c r="J928" i="2"/>
  <c r="I928" i="2"/>
  <c r="K928" i="2" s="1"/>
  <c r="H928" i="2"/>
  <c r="G928" i="2"/>
  <c r="C928" i="2"/>
  <c r="B928" i="2"/>
  <c r="I976" i="2"/>
  <c r="K976" i="2" s="1"/>
  <c r="H976" i="2"/>
  <c r="G976" i="2"/>
  <c r="F976" i="2"/>
  <c r="D976" i="2"/>
  <c r="E976" i="2" s="1"/>
  <c r="J976" i="2"/>
  <c r="C976" i="2"/>
  <c r="B976" i="2"/>
  <c r="B926" i="2"/>
  <c r="H926" i="2"/>
  <c r="G926" i="2"/>
  <c r="F926" i="2"/>
  <c r="D926" i="2"/>
  <c r="E926" i="2" s="1"/>
  <c r="C926" i="2"/>
  <c r="J926" i="2"/>
  <c r="I926" i="2"/>
  <c r="K926" i="2" s="1"/>
  <c r="D902" i="2"/>
  <c r="E902" i="2" s="1"/>
  <c r="C902" i="2"/>
  <c r="B902" i="2"/>
  <c r="J902" i="2"/>
  <c r="I902" i="2"/>
  <c r="K902" i="2" s="1"/>
  <c r="H902" i="2"/>
  <c r="G902" i="2"/>
  <c r="F902" i="2"/>
  <c r="J989" i="2"/>
  <c r="I989" i="2"/>
  <c r="K989" i="2" s="1"/>
  <c r="H989" i="2"/>
  <c r="G989" i="2"/>
  <c r="F989" i="2"/>
  <c r="D989" i="2"/>
  <c r="E989" i="2" s="1"/>
  <c r="C989" i="2"/>
  <c r="B989" i="2"/>
  <c r="B899" i="2"/>
  <c r="J899" i="2"/>
  <c r="I899" i="2"/>
  <c r="K899" i="2" s="1"/>
  <c r="F899" i="2"/>
  <c r="G899" i="2"/>
  <c r="H899" i="2"/>
  <c r="D899" i="2"/>
  <c r="E899" i="2" s="1"/>
  <c r="C899" i="2"/>
  <c r="G998" i="2"/>
  <c r="F998" i="2"/>
  <c r="D998" i="2"/>
  <c r="E998" i="2" s="1"/>
  <c r="C998" i="2"/>
  <c r="B998" i="2"/>
  <c r="J998" i="2"/>
  <c r="I998" i="2"/>
  <c r="K998" i="2" s="1"/>
  <c r="H998" i="2"/>
  <c r="D947" i="2"/>
  <c r="E947" i="2" s="1"/>
  <c r="B947" i="2"/>
  <c r="C947" i="2"/>
  <c r="I947" i="2"/>
  <c r="K947" i="2" s="1"/>
  <c r="J947" i="2"/>
  <c r="H947" i="2"/>
  <c r="G947" i="2"/>
  <c r="F947" i="2"/>
  <c r="B993" i="2"/>
  <c r="J993" i="2"/>
  <c r="I993" i="2"/>
  <c r="K993" i="2" s="1"/>
  <c r="H993" i="2"/>
  <c r="G993" i="2"/>
  <c r="F993" i="2"/>
  <c r="D993" i="2"/>
  <c r="E993" i="2" s="1"/>
  <c r="C993" i="2"/>
  <c r="J180" i="2"/>
  <c r="H180" i="2"/>
  <c r="F180" i="2"/>
  <c r="B180" i="2"/>
  <c r="C180" i="2"/>
  <c r="D180" i="2" s="1"/>
  <c r="E180" i="2" s="1"/>
  <c r="I180" i="2"/>
  <c r="G180" i="2"/>
  <c r="B160" i="2"/>
  <c r="I160" i="2"/>
  <c r="H160" i="2"/>
  <c r="C160" i="2"/>
  <c r="D160" i="2" s="1"/>
  <c r="E160" i="2" s="1"/>
  <c r="J160" i="2"/>
  <c r="G160" i="2"/>
  <c r="F160" i="2"/>
  <c r="G109" i="2"/>
  <c r="F109" i="2"/>
  <c r="J109" i="2"/>
  <c r="C109" i="2"/>
  <c r="D109" i="2" s="1"/>
  <c r="E109" i="2" s="1"/>
  <c r="B109" i="2"/>
  <c r="I109" i="2"/>
  <c r="H109" i="2"/>
  <c r="F349" i="2"/>
  <c r="B349" i="2"/>
  <c r="J349" i="2"/>
  <c r="I349" i="2"/>
  <c r="H349" i="2"/>
  <c r="G349" i="2"/>
  <c r="C349" i="2"/>
  <c r="D349" i="2" s="1"/>
  <c r="E349" i="2" s="1"/>
  <c r="F447" i="2"/>
  <c r="J447" i="2"/>
  <c r="I447" i="2"/>
  <c r="K447" i="2" s="1"/>
  <c r="H447" i="2"/>
  <c r="G447" i="2"/>
  <c r="B447" i="2"/>
  <c r="D447" i="2"/>
  <c r="E447" i="2" s="1"/>
  <c r="C447" i="2"/>
  <c r="J333" i="2"/>
  <c r="H333" i="2"/>
  <c r="I333" i="2"/>
  <c r="G333" i="2"/>
  <c r="F333" i="2"/>
  <c r="C333" i="2"/>
  <c r="D333" i="2" s="1"/>
  <c r="E333" i="2" s="1"/>
  <c r="B333" i="2"/>
  <c r="F116" i="2"/>
  <c r="I116" i="2"/>
  <c r="H116" i="2"/>
  <c r="C116" i="2"/>
  <c r="D116" i="2" s="1"/>
  <c r="E116" i="2" s="1"/>
  <c r="J116" i="2"/>
  <c r="G116" i="2"/>
  <c r="B116" i="2"/>
  <c r="I135" i="2"/>
  <c r="H135" i="2"/>
  <c r="J135" i="2"/>
  <c r="G135" i="2"/>
  <c r="F135" i="2"/>
  <c r="C135" i="2"/>
  <c r="D135" i="2" s="1"/>
  <c r="E135" i="2" s="1"/>
  <c r="B135" i="2"/>
  <c r="B334" i="2"/>
  <c r="J334" i="2"/>
  <c r="I334" i="2"/>
  <c r="H334" i="2"/>
  <c r="G334" i="2"/>
  <c r="F334" i="2"/>
  <c r="C334" i="2"/>
  <c r="D334" i="2" s="1"/>
  <c r="E334" i="2" s="1"/>
  <c r="G213" i="2"/>
  <c r="F213" i="2"/>
  <c r="C213" i="2"/>
  <c r="D213" i="2" s="1"/>
  <c r="E213" i="2" s="1"/>
  <c r="J213" i="2"/>
  <c r="I213" i="2"/>
  <c r="H213" i="2"/>
  <c r="B213" i="2"/>
  <c r="J320" i="2"/>
  <c r="I320" i="2"/>
  <c r="C320" i="2"/>
  <c r="D320" i="2" s="1"/>
  <c r="E320" i="2" s="1"/>
  <c r="B320" i="2"/>
  <c r="H320" i="2"/>
  <c r="G320" i="2"/>
  <c r="F320" i="2"/>
  <c r="C419" i="2"/>
  <c r="D419" i="2" s="1"/>
  <c r="E419" i="2" s="1"/>
  <c r="H419" i="2"/>
  <c r="G419" i="2"/>
  <c r="F419" i="2"/>
  <c r="B419" i="2"/>
  <c r="I419" i="2"/>
  <c r="J419" i="2"/>
  <c r="B503" i="2"/>
  <c r="J503" i="2"/>
  <c r="I503" i="2"/>
  <c r="K503" i="2" s="1"/>
  <c r="H503" i="2"/>
  <c r="G503" i="2"/>
  <c r="F503" i="2"/>
  <c r="D503" i="2"/>
  <c r="E503" i="2" s="1"/>
  <c r="C503" i="2"/>
  <c r="I474" i="2"/>
  <c r="K474" i="2" s="1"/>
  <c r="B474" i="2"/>
  <c r="C474" i="2"/>
  <c r="J474" i="2"/>
  <c r="G474" i="2"/>
  <c r="F474" i="2"/>
  <c r="D474" i="2"/>
  <c r="E474" i="2" s="1"/>
  <c r="H474" i="2"/>
  <c r="I590" i="2"/>
  <c r="K590" i="2" s="1"/>
  <c r="H590" i="2"/>
  <c r="G590" i="2"/>
  <c r="J590" i="2"/>
  <c r="B590" i="2"/>
  <c r="C590" i="2"/>
  <c r="D590" i="2"/>
  <c r="E590" i="2" s="1"/>
  <c r="F590" i="2"/>
  <c r="B667" i="2"/>
  <c r="C667" i="2"/>
  <c r="D667" i="2"/>
  <c r="E667" i="2" s="1"/>
  <c r="H667" i="2"/>
  <c r="J667" i="2"/>
  <c r="I667" i="2"/>
  <c r="K667" i="2" s="1"/>
  <c r="G667" i="2"/>
  <c r="F667" i="2"/>
  <c r="B778" i="2"/>
  <c r="F778" i="2"/>
  <c r="J778" i="2"/>
  <c r="I778" i="2"/>
  <c r="K778" i="2" s="1"/>
  <c r="H778" i="2"/>
  <c r="C778" i="2"/>
  <c r="D778" i="2"/>
  <c r="E778" i="2" s="1"/>
  <c r="G778" i="2"/>
  <c r="J833" i="2"/>
  <c r="D833" i="2"/>
  <c r="E833" i="2" s="1"/>
  <c r="C833" i="2"/>
  <c r="B833" i="2"/>
  <c r="I833" i="2"/>
  <c r="K833" i="2" s="1"/>
  <c r="H833" i="2"/>
  <c r="G833" i="2"/>
  <c r="F833" i="2"/>
  <c r="F997" i="2"/>
  <c r="D997" i="2"/>
  <c r="E997" i="2" s="1"/>
  <c r="C997" i="2"/>
  <c r="B997" i="2"/>
  <c r="J997" i="2"/>
  <c r="I997" i="2"/>
  <c r="K997" i="2" s="1"/>
  <c r="H997" i="2"/>
  <c r="G997" i="2"/>
  <c r="I218" i="2"/>
  <c r="C218" i="2"/>
  <c r="D218" i="2" s="1"/>
  <c r="E218" i="2" s="1"/>
  <c r="H218" i="2"/>
  <c r="G218" i="2"/>
  <c r="F218" i="2"/>
  <c r="B218" i="2"/>
  <c r="J218" i="2"/>
  <c r="I401" i="2"/>
  <c r="J401" i="2"/>
  <c r="B401" i="2"/>
  <c r="H401" i="2"/>
  <c r="G401" i="2"/>
  <c r="F401" i="2"/>
  <c r="C401" i="2"/>
  <c r="D401" i="2" s="1"/>
  <c r="E401" i="2" s="1"/>
  <c r="G427" i="2"/>
  <c r="D427" i="2"/>
  <c r="E427" i="2" s="1"/>
  <c r="H427" i="2"/>
  <c r="F427" i="2"/>
  <c r="C427" i="2"/>
  <c r="B427" i="2"/>
  <c r="J427" i="2"/>
  <c r="I427" i="2"/>
  <c r="K427" i="2" s="1"/>
  <c r="B467" i="2"/>
  <c r="J467" i="2"/>
  <c r="I467" i="2"/>
  <c r="K467" i="2" s="1"/>
  <c r="H467" i="2"/>
  <c r="F467" i="2"/>
  <c r="C467" i="2"/>
  <c r="G467" i="2"/>
  <c r="D467" i="2"/>
  <c r="E467" i="2" s="1"/>
  <c r="C549" i="2"/>
  <c r="B549" i="2"/>
  <c r="D549" i="2"/>
  <c r="E549" i="2" s="1"/>
  <c r="H549" i="2"/>
  <c r="F549" i="2"/>
  <c r="J549" i="2"/>
  <c r="I549" i="2"/>
  <c r="K549" i="2" s="1"/>
  <c r="G549" i="2"/>
  <c r="F611" i="2"/>
  <c r="B611" i="2"/>
  <c r="J611" i="2"/>
  <c r="I611" i="2"/>
  <c r="K611" i="2" s="1"/>
  <c r="H611" i="2"/>
  <c r="D611" i="2"/>
  <c r="E611" i="2" s="1"/>
  <c r="C611" i="2"/>
  <c r="G611" i="2"/>
  <c r="B790" i="2"/>
  <c r="F790" i="2"/>
  <c r="C790" i="2"/>
  <c r="H790" i="2"/>
  <c r="J790" i="2"/>
  <c r="I790" i="2"/>
  <c r="K790" i="2" s="1"/>
  <c r="G790" i="2"/>
  <c r="D790" i="2"/>
  <c r="E790" i="2" s="1"/>
  <c r="I206" i="2"/>
  <c r="H206" i="2"/>
  <c r="G206" i="2"/>
  <c r="B206" i="2"/>
  <c r="J206" i="2"/>
  <c r="F206" i="2"/>
  <c r="C206" i="2"/>
  <c r="D206" i="2" s="1"/>
  <c r="E206" i="2" s="1"/>
  <c r="B136" i="2"/>
  <c r="J136" i="2"/>
  <c r="C136" i="2"/>
  <c r="D136" i="2" s="1"/>
  <c r="E136" i="2" s="1"/>
  <c r="I136" i="2"/>
  <c r="H136" i="2"/>
  <c r="G136" i="2"/>
  <c r="F136" i="2"/>
  <c r="H376" i="2"/>
  <c r="J376" i="2"/>
  <c r="I376" i="2"/>
  <c r="F376" i="2"/>
  <c r="G376" i="2"/>
  <c r="C376" i="2"/>
  <c r="D376" i="2" s="1"/>
  <c r="E376" i="2" s="1"/>
  <c r="B376" i="2"/>
  <c r="H178" i="2"/>
  <c r="G178" i="2"/>
  <c r="F178" i="2"/>
  <c r="B178" i="2"/>
  <c r="J178" i="2"/>
  <c r="I178" i="2"/>
  <c r="C178" i="2"/>
  <c r="D178" i="2" s="1"/>
  <c r="E178" i="2" s="1"/>
  <c r="H142" i="2"/>
  <c r="J142" i="2"/>
  <c r="F142" i="2"/>
  <c r="C142" i="2"/>
  <c r="D142" i="2" s="1"/>
  <c r="E142" i="2" s="1"/>
  <c r="B142" i="2"/>
  <c r="I142" i="2"/>
  <c r="G142" i="2"/>
  <c r="H412" i="2"/>
  <c r="I412" i="2"/>
  <c r="J412" i="2"/>
  <c r="G412" i="2"/>
  <c r="B412" i="2"/>
  <c r="C412" i="2"/>
  <c r="D412" i="2" s="1"/>
  <c r="E412" i="2" s="1"/>
  <c r="F412" i="2"/>
  <c r="C221" i="2"/>
  <c r="D221" i="2" s="1"/>
  <c r="E221" i="2" s="1"/>
  <c r="B221" i="2"/>
  <c r="G221" i="2"/>
  <c r="H221" i="2"/>
  <c r="F221" i="2"/>
  <c r="J221" i="2"/>
  <c r="I221" i="2"/>
  <c r="F236" i="2"/>
  <c r="C236" i="2"/>
  <c r="D236" i="2" s="1"/>
  <c r="E236" i="2" s="1"/>
  <c r="J236" i="2"/>
  <c r="B236" i="2"/>
  <c r="I236" i="2"/>
  <c r="H236" i="2"/>
  <c r="G236" i="2"/>
  <c r="C113" i="2"/>
  <c r="D113" i="2" s="1"/>
  <c r="E113" i="2" s="1"/>
  <c r="B113" i="2"/>
  <c r="F113" i="2"/>
  <c r="J113" i="2"/>
  <c r="I113" i="2"/>
  <c r="H113" i="2"/>
  <c r="G113" i="2"/>
  <c r="F266" i="2"/>
  <c r="B266" i="2"/>
  <c r="J266" i="2"/>
  <c r="C266" i="2"/>
  <c r="D266" i="2" s="1"/>
  <c r="E266" i="2" s="1"/>
  <c r="I266" i="2"/>
  <c r="H266" i="2"/>
  <c r="G266" i="2"/>
  <c r="I175" i="2"/>
  <c r="J175" i="2"/>
  <c r="H175" i="2"/>
  <c r="G175" i="2"/>
  <c r="F175" i="2"/>
  <c r="C175" i="2"/>
  <c r="D175" i="2" s="1"/>
  <c r="E175" i="2" s="1"/>
  <c r="B175" i="2"/>
  <c r="F268" i="2"/>
  <c r="J268" i="2"/>
  <c r="I268" i="2"/>
  <c r="G268" i="2"/>
  <c r="B268" i="2"/>
  <c r="H268" i="2"/>
  <c r="C268" i="2"/>
  <c r="D268" i="2" s="1"/>
  <c r="E268" i="2" s="1"/>
  <c r="G435" i="2"/>
  <c r="F435" i="2"/>
  <c r="D435" i="2"/>
  <c r="E435" i="2" s="1"/>
  <c r="C435" i="2"/>
  <c r="H435" i="2"/>
  <c r="I435" i="2"/>
  <c r="K435" i="2" s="1"/>
  <c r="B435" i="2"/>
  <c r="J435" i="2"/>
  <c r="C234" i="2"/>
  <c r="D234" i="2" s="1"/>
  <c r="E234" i="2" s="1"/>
  <c r="H234" i="2"/>
  <c r="I234" i="2"/>
  <c r="G234" i="2"/>
  <c r="F234" i="2"/>
  <c r="B234" i="2"/>
  <c r="J234" i="2"/>
  <c r="B380" i="2"/>
  <c r="H380" i="2"/>
  <c r="G380" i="2"/>
  <c r="F380" i="2"/>
  <c r="C380" i="2"/>
  <c r="D380" i="2" s="1"/>
  <c r="E380" i="2" s="1"/>
  <c r="J380" i="2"/>
  <c r="I380" i="2"/>
  <c r="B256" i="2"/>
  <c r="F256" i="2"/>
  <c r="J256" i="2"/>
  <c r="I256" i="2"/>
  <c r="H256" i="2"/>
  <c r="G256" i="2"/>
  <c r="C256" i="2"/>
  <c r="D256" i="2" s="1"/>
  <c r="E256" i="2" s="1"/>
  <c r="I425" i="2"/>
  <c r="K425" i="2" s="1"/>
  <c r="J425" i="2"/>
  <c r="H425" i="2"/>
  <c r="G425" i="2"/>
  <c r="F425" i="2"/>
  <c r="D425" i="2"/>
  <c r="E425" i="2" s="1"/>
  <c r="C425" i="2"/>
  <c r="B425" i="2"/>
  <c r="J219" i="2"/>
  <c r="I219" i="2"/>
  <c r="G219" i="2"/>
  <c r="F219" i="2"/>
  <c r="H219" i="2"/>
  <c r="C219" i="2"/>
  <c r="D219" i="2" s="1"/>
  <c r="E219" i="2" s="1"/>
  <c r="B219" i="2"/>
  <c r="I377" i="2"/>
  <c r="H377" i="2"/>
  <c r="F377" i="2"/>
  <c r="B377" i="2"/>
  <c r="C377" i="2"/>
  <c r="D377" i="2" s="1"/>
  <c r="E377" i="2" s="1"/>
  <c r="J377" i="2"/>
  <c r="G377" i="2"/>
  <c r="C477" i="2"/>
  <c r="J477" i="2"/>
  <c r="I477" i="2"/>
  <c r="K477" i="2" s="1"/>
  <c r="H477" i="2"/>
  <c r="G477" i="2"/>
  <c r="F477" i="2"/>
  <c r="D477" i="2"/>
  <c r="E477" i="2" s="1"/>
  <c r="B477" i="2"/>
  <c r="F408" i="2"/>
  <c r="H408" i="2"/>
  <c r="G408" i="2"/>
  <c r="B408" i="2"/>
  <c r="C408" i="2"/>
  <c r="D408" i="2" s="1"/>
  <c r="E408" i="2" s="1"/>
  <c r="J408" i="2"/>
  <c r="I408" i="2"/>
  <c r="I510" i="2"/>
  <c r="K510" i="2" s="1"/>
  <c r="H510" i="2"/>
  <c r="G510" i="2"/>
  <c r="F510" i="2"/>
  <c r="D510" i="2"/>
  <c r="E510" i="2" s="1"/>
  <c r="J510" i="2"/>
  <c r="C510" i="2"/>
  <c r="B510" i="2"/>
  <c r="H388" i="2"/>
  <c r="B388" i="2"/>
  <c r="F388" i="2"/>
  <c r="C388" i="2"/>
  <c r="D388" i="2" s="1"/>
  <c r="E388" i="2" s="1"/>
  <c r="J388" i="2"/>
  <c r="I388" i="2"/>
  <c r="G388" i="2"/>
  <c r="H328" i="2"/>
  <c r="J328" i="2"/>
  <c r="I328" i="2"/>
  <c r="G328" i="2"/>
  <c r="F328" i="2"/>
  <c r="B328" i="2"/>
  <c r="C328" i="2"/>
  <c r="D328" i="2" s="1"/>
  <c r="E328" i="2" s="1"/>
  <c r="C443" i="2"/>
  <c r="B443" i="2"/>
  <c r="D443" i="2"/>
  <c r="E443" i="2" s="1"/>
  <c r="J443" i="2"/>
  <c r="G443" i="2"/>
  <c r="F443" i="2"/>
  <c r="I443" i="2"/>
  <c r="K443" i="2" s="1"/>
  <c r="H443" i="2"/>
  <c r="G576" i="2"/>
  <c r="D576" i="2"/>
  <c r="E576" i="2" s="1"/>
  <c r="J576" i="2"/>
  <c r="I576" i="2"/>
  <c r="K576" i="2" s="1"/>
  <c r="H576" i="2"/>
  <c r="F576" i="2"/>
  <c r="C576" i="2"/>
  <c r="B576" i="2"/>
  <c r="F480" i="2"/>
  <c r="C480" i="2"/>
  <c r="H480" i="2"/>
  <c r="G480" i="2"/>
  <c r="D480" i="2"/>
  <c r="E480" i="2" s="1"/>
  <c r="B480" i="2"/>
  <c r="I480" i="2"/>
  <c r="K480" i="2" s="1"/>
  <c r="J480" i="2"/>
  <c r="F516" i="2"/>
  <c r="C516" i="2"/>
  <c r="J516" i="2"/>
  <c r="I516" i="2"/>
  <c r="K516" i="2" s="1"/>
  <c r="H516" i="2"/>
  <c r="G516" i="2"/>
  <c r="B516" i="2"/>
  <c r="D516" i="2"/>
  <c r="E516" i="2" s="1"/>
  <c r="D433" i="2"/>
  <c r="E433" i="2" s="1"/>
  <c r="B433" i="2"/>
  <c r="F433" i="2"/>
  <c r="I433" i="2"/>
  <c r="K433" i="2" s="1"/>
  <c r="C433" i="2"/>
  <c r="H433" i="2"/>
  <c r="G433" i="2"/>
  <c r="J433" i="2"/>
  <c r="I626" i="2"/>
  <c r="K626" i="2" s="1"/>
  <c r="G626" i="2"/>
  <c r="F626" i="2"/>
  <c r="D626" i="2"/>
  <c r="E626" i="2" s="1"/>
  <c r="H626" i="2"/>
  <c r="J626" i="2"/>
  <c r="C626" i="2"/>
  <c r="B626" i="2"/>
  <c r="C456" i="2"/>
  <c r="D456" i="2"/>
  <c r="E456" i="2" s="1"/>
  <c r="B456" i="2"/>
  <c r="H456" i="2"/>
  <c r="J456" i="2"/>
  <c r="I456" i="2"/>
  <c r="K456" i="2" s="1"/>
  <c r="G456" i="2"/>
  <c r="F456" i="2"/>
  <c r="F635" i="2"/>
  <c r="C635" i="2"/>
  <c r="H635" i="2"/>
  <c r="G635" i="2"/>
  <c r="D635" i="2"/>
  <c r="E635" i="2" s="1"/>
  <c r="I635" i="2"/>
  <c r="K635" i="2" s="1"/>
  <c r="J635" i="2"/>
  <c r="B635" i="2"/>
  <c r="C285" i="2"/>
  <c r="D285" i="2" s="1"/>
  <c r="E285" i="2" s="1"/>
  <c r="B285" i="2"/>
  <c r="J285" i="2"/>
  <c r="H285" i="2"/>
  <c r="G285" i="2"/>
  <c r="I285" i="2"/>
  <c r="F285" i="2"/>
  <c r="I429" i="2"/>
  <c r="K429" i="2" s="1"/>
  <c r="B429" i="2"/>
  <c r="D429" i="2"/>
  <c r="E429" i="2" s="1"/>
  <c r="C429" i="2"/>
  <c r="G429" i="2"/>
  <c r="F429" i="2"/>
  <c r="H429" i="2"/>
  <c r="J429" i="2"/>
  <c r="J720" i="2"/>
  <c r="I720" i="2"/>
  <c r="K720" i="2" s="1"/>
  <c r="H720" i="2"/>
  <c r="G720" i="2"/>
  <c r="F720" i="2"/>
  <c r="C720" i="2"/>
  <c r="D720" i="2"/>
  <c r="E720" i="2" s="1"/>
  <c r="B720" i="2"/>
  <c r="I717" i="2"/>
  <c r="K717" i="2" s="1"/>
  <c r="H717" i="2"/>
  <c r="G717" i="2"/>
  <c r="F717" i="2"/>
  <c r="D717" i="2"/>
  <c r="E717" i="2" s="1"/>
  <c r="J717" i="2"/>
  <c r="C717" i="2"/>
  <c r="B717" i="2"/>
  <c r="D557" i="2"/>
  <c r="E557" i="2" s="1"/>
  <c r="C557" i="2"/>
  <c r="B557" i="2"/>
  <c r="H557" i="2"/>
  <c r="F557" i="2"/>
  <c r="J557" i="2"/>
  <c r="I557" i="2"/>
  <c r="K557" i="2" s="1"/>
  <c r="G557" i="2"/>
  <c r="H628" i="2"/>
  <c r="J628" i="2"/>
  <c r="I628" i="2"/>
  <c r="K628" i="2" s="1"/>
  <c r="G628" i="2"/>
  <c r="F628" i="2"/>
  <c r="C628" i="2"/>
  <c r="B628" i="2"/>
  <c r="D628" i="2"/>
  <c r="E628" i="2" s="1"/>
  <c r="J475" i="2"/>
  <c r="D475" i="2"/>
  <c r="E475" i="2" s="1"/>
  <c r="C475" i="2"/>
  <c r="B475" i="2"/>
  <c r="F475" i="2"/>
  <c r="I475" i="2"/>
  <c r="K475" i="2" s="1"/>
  <c r="H475" i="2"/>
  <c r="G475" i="2"/>
  <c r="I662" i="2"/>
  <c r="K662" i="2" s="1"/>
  <c r="F662" i="2"/>
  <c r="J662" i="2"/>
  <c r="G662" i="2"/>
  <c r="D662" i="2"/>
  <c r="E662" i="2" s="1"/>
  <c r="H662" i="2"/>
  <c r="B662" i="2"/>
  <c r="C662" i="2"/>
  <c r="H640" i="2"/>
  <c r="J640" i="2"/>
  <c r="I640" i="2"/>
  <c r="K640" i="2" s="1"/>
  <c r="G640" i="2"/>
  <c r="F640" i="2"/>
  <c r="C640" i="2"/>
  <c r="B640" i="2"/>
  <c r="D640" i="2"/>
  <c r="E640" i="2" s="1"/>
  <c r="I665" i="2"/>
  <c r="K665" i="2" s="1"/>
  <c r="H665" i="2"/>
  <c r="G665" i="2"/>
  <c r="F665" i="2"/>
  <c r="J665" i="2"/>
  <c r="D665" i="2"/>
  <c r="E665" i="2" s="1"/>
  <c r="C665" i="2"/>
  <c r="B665" i="2"/>
  <c r="B593" i="2"/>
  <c r="H593" i="2"/>
  <c r="G593" i="2"/>
  <c r="J593" i="2"/>
  <c r="I593" i="2"/>
  <c r="K593" i="2" s="1"/>
  <c r="F593" i="2"/>
  <c r="C593" i="2"/>
  <c r="D593" i="2"/>
  <c r="E593" i="2" s="1"/>
  <c r="B634" i="2"/>
  <c r="D634" i="2"/>
  <c r="E634" i="2" s="1"/>
  <c r="C634" i="2"/>
  <c r="F634" i="2"/>
  <c r="J634" i="2"/>
  <c r="I634" i="2"/>
  <c r="K634" i="2" s="1"/>
  <c r="H634" i="2"/>
  <c r="G634" i="2"/>
  <c r="J663" i="2"/>
  <c r="G663" i="2"/>
  <c r="B663" i="2"/>
  <c r="C663" i="2"/>
  <c r="D663" i="2"/>
  <c r="E663" i="2" s="1"/>
  <c r="I663" i="2"/>
  <c r="K663" i="2" s="1"/>
  <c r="H663" i="2"/>
  <c r="F663" i="2"/>
  <c r="J719" i="2"/>
  <c r="I719" i="2"/>
  <c r="K719" i="2" s="1"/>
  <c r="H719" i="2"/>
  <c r="G719" i="2"/>
  <c r="F719" i="2"/>
  <c r="B719" i="2"/>
  <c r="D719" i="2"/>
  <c r="E719" i="2" s="1"/>
  <c r="C719" i="2"/>
  <c r="G682" i="2"/>
  <c r="F682" i="2"/>
  <c r="D682" i="2"/>
  <c r="E682" i="2" s="1"/>
  <c r="C682" i="2"/>
  <c r="B682" i="2"/>
  <c r="H682" i="2"/>
  <c r="J682" i="2"/>
  <c r="I682" i="2"/>
  <c r="K682" i="2" s="1"/>
  <c r="D582" i="2"/>
  <c r="E582" i="2" s="1"/>
  <c r="C582" i="2"/>
  <c r="B582" i="2"/>
  <c r="H582" i="2"/>
  <c r="G582" i="2"/>
  <c r="F582" i="2"/>
  <c r="I582" i="2"/>
  <c r="K582" i="2" s="1"/>
  <c r="J582" i="2"/>
  <c r="C678" i="2"/>
  <c r="B678" i="2"/>
  <c r="I678" i="2"/>
  <c r="K678" i="2" s="1"/>
  <c r="H678" i="2"/>
  <c r="G678" i="2"/>
  <c r="F678" i="2"/>
  <c r="J678" i="2"/>
  <c r="D678" i="2"/>
  <c r="E678" i="2" s="1"/>
  <c r="D713" i="2"/>
  <c r="E713" i="2" s="1"/>
  <c r="C713" i="2"/>
  <c r="B713" i="2"/>
  <c r="H713" i="2"/>
  <c r="G713" i="2"/>
  <c r="F713" i="2"/>
  <c r="I713" i="2"/>
  <c r="K713" i="2" s="1"/>
  <c r="J713" i="2"/>
  <c r="D700" i="2"/>
  <c r="E700" i="2" s="1"/>
  <c r="C700" i="2"/>
  <c r="B700" i="2"/>
  <c r="J700" i="2"/>
  <c r="G700" i="2"/>
  <c r="F700" i="2"/>
  <c r="H700" i="2"/>
  <c r="I700" i="2"/>
  <c r="K700" i="2" s="1"/>
  <c r="D815" i="2"/>
  <c r="E815" i="2" s="1"/>
  <c r="C815" i="2"/>
  <c r="B815" i="2"/>
  <c r="H815" i="2"/>
  <c r="J815" i="2"/>
  <c r="I815" i="2"/>
  <c r="K815" i="2" s="1"/>
  <c r="G815" i="2"/>
  <c r="F815" i="2"/>
  <c r="J709" i="2"/>
  <c r="I709" i="2"/>
  <c r="K709" i="2" s="1"/>
  <c r="H709" i="2"/>
  <c r="G709" i="2"/>
  <c r="D709" i="2"/>
  <c r="E709" i="2" s="1"/>
  <c r="C709" i="2"/>
  <c r="B709" i="2"/>
  <c r="F709" i="2"/>
  <c r="J729" i="2"/>
  <c r="I729" i="2"/>
  <c r="K729" i="2" s="1"/>
  <c r="H729" i="2"/>
  <c r="G729" i="2"/>
  <c r="F729" i="2"/>
  <c r="B729" i="2"/>
  <c r="D729" i="2"/>
  <c r="E729" i="2" s="1"/>
  <c r="C729" i="2"/>
  <c r="D780" i="2"/>
  <c r="E780" i="2" s="1"/>
  <c r="H780" i="2"/>
  <c r="B780" i="2"/>
  <c r="J780" i="2"/>
  <c r="G780" i="2"/>
  <c r="F780" i="2"/>
  <c r="C780" i="2"/>
  <c r="I780" i="2"/>
  <c r="K780" i="2" s="1"/>
  <c r="D870" i="2"/>
  <c r="E870" i="2" s="1"/>
  <c r="H870" i="2"/>
  <c r="G870" i="2"/>
  <c r="J870" i="2"/>
  <c r="I870" i="2"/>
  <c r="K870" i="2" s="1"/>
  <c r="F870" i="2"/>
  <c r="C870" i="2"/>
  <c r="B870" i="2"/>
  <c r="D848" i="2"/>
  <c r="E848" i="2" s="1"/>
  <c r="F848" i="2"/>
  <c r="B848" i="2"/>
  <c r="J848" i="2"/>
  <c r="I848" i="2"/>
  <c r="K848" i="2" s="1"/>
  <c r="C848" i="2"/>
  <c r="H848" i="2"/>
  <c r="G848" i="2"/>
  <c r="D803" i="2"/>
  <c r="E803" i="2" s="1"/>
  <c r="C803" i="2"/>
  <c r="I803" i="2"/>
  <c r="K803" i="2" s="1"/>
  <c r="B803" i="2"/>
  <c r="J803" i="2"/>
  <c r="H803" i="2"/>
  <c r="G803" i="2"/>
  <c r="F803" i="2"/>
  <c r="C765" i="2"/>
  <c r="B765" i="2"/>
  <c r="I765" i="2"/>
  <c r="K765" i="2" s="1"/>
  <c r="H765" i="2"/>
  <c r="G765" i="2"/>
  <c r="F765" i="2"/>
  <c r="D765" i="2"/>
  <c r="E765" i="2" s="1"/>
  <c r="J765" i="2"/>
  <c r="H893" i="2"/>
  <c r="G893" i="2"/>
  <c r="F893" i="2"/>
  <c r="D893" i="2"/>
  <c r="E893" i="2" s="1"/>
  <c r="C893" i="2"/>
  <c r="J893" i="2"/>
  <c r="I893" i="2"/>
  <c r="K893" i="2" s="1"/>
  <c r="B893" i="2"/>
  <c r="C915" i="2"/>
  <c r="J915" i="2"/>
  <c r="I915" i="2"/>
  <c r="K915" i="2" s="1"/>
  <c r="H915" i="2"/>
  <c r="G915" i="2"/>
  <c r="F915" i="2"/>
  <c r="B915" i="2"/>
  <c r="D915" i="2"/>
  <c r="E915" i="2" s="1"/>
  <c r="J864" i="2"/>
  <c r="H864" i="2"/>
  <c r="I864" i="2"/>
  <c r="K864" i="2" s="1"/>
  <c r="G864" i="2"/>
  <c r="B864" i="2"/>
  <c r="F864" i="2"/>
  <c r="D864" i="2"/>
  <c r="E864" i="2" s="1"/>
  <c r="C864" i="2"/>
  <c r="C972" i="2"/>
  <c r="B972" i="2"/>
  <c r="J972" i="2"/>
  <c r="I972" i="2"/>
  <c r="K972" i="2" s="1"/>
  <c r="H972" i="2"/>
  <c r="G972" i="2"/>
  <c r="F972" i="2"/>
  <c r="D972" i="2"/>
  <c r="E972" i="2" s="1"/>
  <c r="I988" i="2"/>
  <c r="K988" i="2" s="1"/>
  <c r="H988" i="2"/>
  <c r="G988" i="2"/>
  <c r="F988" i="2"/>
  <c r="D988" i="2"/>
  <c r="E988" i="2" s="1"/>
  <c r="J988" i="2"/>
  <c r="C988" i="2"/>
  <c r="B988" i="2"/>
  <c r="J953" i="2"/>
  <c r="H953" i="2"/>
  <c r="G953" i="2"/>
  <c r="I953" i="2"/>
  <c r="K953" i="2" s="1"/>
  <c r="F953" i="2"/>
  <c r="D953" i="2"/>
  <c r="E953" i="2" s="1"/>
  <c r="C953" i="2"/>
  <c r="B953" i="2"/>
  <c r="D912" i="2"/>
  <c r="E912" i="2" s="1"/>
  <c r="C912" i="2"/>
  <c r="B912" i="2"/>
  <c r="I912" i="2"/>
  <c r="K912" i="2" s="1"/>
  <c r="J912" i="2"/>
  <c r="H912" i="2"/>
  <c r="G912" i="2"/>
  <c r="F912" i="2"/>
  <c r="C888" i="2"/>
  <c r="B888" i="2"/>
  <c r="J888" i="2"/>
  <c r="G888" i="2"/>
  <c r="F888" i="2"/>
  <c r="H888" i="2"/>
  <c r="I888" i="2"/>
  <c r="K888" i="2" s="1"/>
  <c r="D888" i="2"/>
  <c r="E888" i="2" s="1"/>
  <c r="B917" i="2"/>
  <c r="J917" i="2"/>
  <c r="G917" i="2"/>
  <c r="H917" i="2"/>
  <c r="I917" i="2"/>
  <c r="K917" i="2" s="1"/>
  <c r="F917" i="2"/>
  <c r="D917" i="2"/>
  <c r="E917" i="2" s="1"/>
  <c r="C917" i="2"/>
  <c r="G913" i="2"/>
  <c r="F913" i="2"/>
  <c r="D913" i="2"/>
  <c r="E913" i="2" s="1"/>
  <c r="C913" i="2"/>
  <c r="B913" i="2"/>
  <c r="J913" i="2"/>
  <c r="I913" i="2"/>
  <c r="K913" i="2" s="1"/>
  <c r="H913" i="2"/>
  <c r="D959" i="2"/>
  <c r="E959" i="2" s="1"/>
  <c r="B959" i="2"/>
  <c r="J959" i="2"/>
  <c r="I959" i="2"/>
  <c r="K959" i="2" s="1"/>
  <c r="H959" i="2"/>
  <c r="G959" i="2"/>
  <c r="F959" i="2"/>
  <c r="C959" i="2"/>
  <c r="J944" i="2"/>
  <c r="H944" i="2"/>
  <c r="B944" i="2"/>
  <c r="F944" i="2"/>
  <c r="G944" i="2"/>
  <c r="I944" i="2"/>
  <c r="K944" i="2" s="1"/>
  <c r="D944" i="2"/>
  <c r="E944" i="2" s="1"/>
  <c r="C944" i="2"/>
  <c r="H162" i="2"/>
  <c r="C162" i="2"/>
  <c r="D162" i="2" s="1"/>
  <c r="E162" i="2" s="1"/>
  <c r="B162" i="2"/>
  <c r="J162" i="2"/>
  <c r="I162" i="2"/>
  <c r="G162" i="2"/>
  <c r="F162" i="2"/>
  <c r="C101" i="2"/>
  <c r="D101" i="2" s="1"/>
  <c r="E101" i="2" s="1"/>
  <c r="B101" i="2"/>
  <c r="G101" i="2"/>
  <c r="F101" i="2"/>
  <c r="J101" i="2"/>
  <c r="I101" i="2"/>
  <c r="H101" i="2"/>
  <c r="F248" i="2"/>
  <c r="C248" i="2"/>
  <c r="D248" i="2" s="1"/>
  <c r="E248" i="2" s="1"/>
  <c r="J248" i="2"/>
  <c r="I248" i="2"/>
  <c r="B248" i="2"/>
  <c r="H248" i="2"/>
  <c r="G248" i="2"/>
  <c r="G337" i="2"/>
  <c r="F337" i="2"/>
  <c r="C337" i="2"/>
  <c r="D337" i="2" s="1"/>
  <c r="E337" i="2" s="1"/>
  <c r="J337" i="2"/>
  <c r="I337" i="2"/>
  <c r="H337" i="2"/>
  <c r="B337" i="2"/>
  <c r="G47" i="2"/>
  <c r="H47" i="2"/>
  <c r="J47" i="2"/>
  <c r="I47" i="2"/>
  <c r="F47" i="2"/>
  <c r="B47" i="2"/>
  <c r="C47" i="2"/>
  <c r="D47" i="2" s="1"/>
  <c r="E47" i="2" s="1"/>
  <c r="B264" i="2"/>
  <c r="F264" i="2"/>
  <c r="G264" i="2"/>
  <c r="C264" i="2"/>
  <c r="D264" i="2" s="1"/>
  <c r="E264" i="2" s="1"/>
  <c r="J264" i="2"/>
  <c r="I264" i="2"/>
  <c r="H264" i="2"/>
  <c r="J686" i="2"/>
  <c r="I686" i="2"/>
  <c r="K686" i="2" s="1"/>
  <c r="H686" i="2"/>
  <c r="C686" i="2"/>
  <c r="B686" i="2"/>
  <c r="G686" i="2"/>
  <c r="D686" i="2"/>
  <c r="E686" i="2" s="1"/>
  <c r="F686" i="2"/>
  <c r="C149" i="2"/>
  <c r="D149" i="2" s="1"/>
  <c r="E149" i="2" s="1"/>
  <c r="G149" i="2"/>
  <c r="B149" i="2"/>
  <c r="H149" i="2"/>
  <c r="F149" i="2"/>
  <c r="J149" i="2"/>
  <c r="I149" i="2"/>
  <c r="B169" i="2"/>
  <c r="I169" i="2"/>
  <c r="J169" i="2"/>
  <c r="H169" i="2"/>
  <c r="G169" i="2"/>
  <c r="F169" i="2"/>
  <c r="C169" i="2"/>
  <c r="D169" i="2" s="1"/>
  <c r="E169" i="2" s="1"/>
  <c r="F290" i="2"/>
  <c r="C290" i="2"/>
  <c r="D290" i="2" s="1"/>
  <c r="E290" i="2" s="1"/>
  <c r="I290" i="2"/>
  <c r="J290" i="2"/>
  <c r="H290" i="2"/>
  <c r="G290" i="2"/>
  <c r="B290" i="2"/>
  <c r="H400" i="2"/>
  <c r="I400" i="2"/>
  <c r="G400" i="2"/>
  <c r="F400" i="2"/>
  <c r="C400" i="2"/>
  <c r="D400" i="2" s="1"/>
  <c r="E400" i="2" s="1"/>
  <c r="B400" i="2"/>
  <c r="J400" i="2"/>
  <c r="J591" i="2"/>
  <c r="I591" i="2"/>
  <c r="K591" i="2" s="1"/>
  <c r="C591" i="2"/>
  <c r="H591" i="2"/>
  <c r="G591" i="2"/>
  <c r="F591" i="2"/>
  <c r="D591" i="2"/>
  <c r="E591" i="2" s="1"/>
  <c r="B591" i="2"/>
  <c r="F492" i="2"/>
  <c r="C492" i="2"/>
  <c r="D492" i="2"/>
  <c r="E492" i="2" s="1"/>
  <c r="B492" i="2"/>
  <c r="G492" i="2"/>
  <c r="J492" i="2"/>
  <c r="H492" i="2"/>
  <c r="I492" i="2"/>
  <c r="K492" i="2" s="1"/>
  <c r="D574" i="2"/>
  <c r="E574" i="2" s="1"/>
  <c r="H574" i="2"/>
  <c r="I574" i="2"/>
  <c r="K574" i="2" s="1"/>
  <c r="G574" i="2"/>
  <c r="F574" i="2"/>
  <c r="C574" i="2"/>
  <c r="B574" i="2"/>
  <c r="J574" i="2"/>
  <c r="C632" i="2"/>
  <c r="J632" i="2"/>
  <c r="I632" i="2"/>
  <c r="K632" i="2" s="1"/>
  <c r="H632" i="2"/>
  <c r="B632" i="2"/>
  <c r="F632" i="2"/>
  <c r="G632" i="2"/>
  <c r="D632" i="2"/>
  <c r="E632" i="2" s="1"/>
  <c r="J757" i="2"/>
  <c r="F757" i="2"/>
  <c r="D757" i="2"/>
  <c r="E757" i="2" s="1"/>
  <c r="C757" i="2"/>
  <c r="B757" i="2"/>
  <c r="I757" i="2"/>
  <c r="K757" i="2" s="1"/>
  <c r="H757" i="2"/>
  <c r="G757" i="2"/>
  <c r="F176" i="2"/>
  <c r="C176" i="2"/>
  <c r="D176" i="2" s="1"/>
  <c r="E176" i="2" s="1"/>
  <c r="B176" i="2"/>
  <c r="G176" i="2"/>
  <c r="J176" i="2"/>
  <c r="I176" i="2"/>
  <c r="H176" i="2"/>
  <c r="F146" i="2"/>
  <c r="I146" i="2"/>
  <c r="B146" i="2"/>
  <c r="J146" i="2"/>
  <c r="H146" i="2"/>
  <c r="G146" i="2"/>
  <c r="C146" i="2"/>
  <c r="D146" i="2" s="1"/>
  <c r="E146" i="2" s="1"/>
  <c r="J241" i="2"/>
  <c r="H241" i="2"/>
  <c r="C241" i="2"/>
  <c r="D241" i="2" s="1"/>
  <c r="E241" i="2" s="1"/>
  <c r="B241" i="2"/>
  <c r="G241" i="2"/>
  <c r="I241" i="2"/>
  <c r="F241" i="2"/>
  <c r="F280" i="2"/>
  <c r="J280" i="2"/>
  <c r="I280" i="2"/>
  <c r="H280" i="2"/>
  <c r="B280" i="2"/>
  <c r="G280" i="2"/>
  <c r="C280" i="2"/>
  <c r="D280" i="2" s="1"/>
  <c r="E280" i="2" s="1"/>
  <c r="J274" i="2"/>
  <c r="I274" i="2"/>
  <c r="H274" i="2"/>
  <c r="F274" i="2"/>
  <c r="B274" i="2"/>
  <c r="G274" i="2"/>
  <c r="C274" i="2"/>
  <c r="D274" i="2" s="1"/>
  <c r="E274" i="2" s="1"/>
  <c r="C246" i="2"/>
  <c r="D246" i="2" s="1"/>
  <c r="E246" i="2" s="1"/>
  <c r="H246" i="2"/>
  <c r="B246" i="2"/>
  <c r="G246" i="2"/>
  <c r="J246" i="2"/>
  <c r="I246" i="2"/>
  <c r="F246" i="2"/>
  <c r="B476" i="2"/>
  <c r="H476" i="2"/>
  <c r="G476" i="2"/>
  <c r="F476" i="2"/>
  <c r="D476" i="2"/>
  <c r="E476" i="2" s="1"/>
  <c r="I476" i="2"/>
  <c r="K476" i="2" s="1"/>
  <c r="J476" i="2"/>
  <c r="C476" i="2"/>
  <c r="G552" i="2"/>
  <c r="F552" i="2"/>
  <c r="D552" i="2"/>
  <c r="E552" i="2" s="1"/>
  <c r="C552" i="2"/>
  <c r="H552" i="2"/>
  <c r="J552" i="2"/>
  <c r="I552" i="2"/>
  <c r="K552" i="2" s="1"/>
  <c r="B552" i="2"/>
  <c r="B394" i="2"/>
  <c r="J394" i="2"/>
  <c r="H394" i="2"/>
  <c r="G394" i="2"/>
  <c r="C394" i="2"/>
  <c r="D394" i="2" s="1"/>
  <c r="E394" i="2" s="1"/>
  <c r="F394" i="2"/>
  <c r="I394" i="2"/>
  <c r="F434" i="2"/>
  <c r="C434" i="2"/>
  <c r="B434" i="2"/>
  <c r="G434" i="2"/>
  <c r="J434" i="2"/>
  <c r="I434" i="2"/>
  <c r="K434" i="2" s="1"/>
  <c r="H434" i="2"/>
  <c r="D434" i="2"/>
  <c r="E434" i="2" s="1"/>
  <c r="H452" i="2"/>
  <c r="G452" i="2"/>
  <c r="F452" i="2"/>
  <c r="D452" i="2"/>
  <c r="E452" i="2" s="1"/>
  <c r="I452" i="2"/>
  <c r="K452" i="2" s="1"/>
  <c r="C452" i="2"/>
  <c r="J452" i="2"/>
  <c r="B452" i="2"/>
  <c r="C347" i="2"/>
  <c r="D347" i="2" s="1"/>
  <c r="E347" i="2" s="1"/>
  <c r="I347" i="2"/>
  <c r="J347" i="2"/>
  <c r="H347" i="2"/>
  <c r="B347" i="2"/>
  <c r="G347" i="2"/>
  <c r="F347" i="2"/>
  <c r="J774" i="2"/>
  <c r="B774" i="2"/>
  <c r="I774" i="2"/>
  <c r="K774" i="2" s="1"/>
  <c r="H774" i="2"/>
  <c r="D774" i="2"/>
  <c r="E774" i="2" s="1"/>
  <c r="G774" i="2"/>
  <c r="F774" i="2"/>
  <c r="C774" i="2"/>
  <c r="C501" i="2"/>
  <c r="G501" i="2"/>
  <c r="F501" i="2"/>
  <c r="D501" i="2"/>
  <c r="E501" i="2" s="1"/>
  <c r="B501" i="2"/>
  <c r="H501" i="2"/>
  <c r="I501" i="2"/>
  <c r="K501" i="2" s="1"/>
  <c r="J501" i="2"/>
  <c r="D457" i="2"/>
  <c r="E457" i="2" s="1"/>
  <c r="F457" i="2"/>
  <c r="C457" i="2"/>
  <c r="B457" i="2"/>
  <c r="G457" i="2"/>
  <c r="H457" i="2"/>
  <c r="J457" i="2"/>
  <c r="I457" i="2"/>
  <c r="K457" i="2" s="1"/>
  <c r="I462" i="2"/>
  <c r="K462" i="2" s="1"/>
  <c r="C462" i="2"/>
  <c r="B462" i="2"/>
  <c r="D462" i="2"/>
  <c r="E462" i="2" s="1"/>
  <c r="H462" i="2"/>
  <c r="G462" i="2"/>
  <c r="J462" i="2"/>
  <c r="F462" i="2"/>
  <c r="B297" i="2"/>
  <c r="G297" i="2"/>
  <c r="F297" i="2"/>
  <c r="C297" i="2"/>
  <c r="D297" i="2" s="1"/>
  <c r="E297" i="2" s="1"/>
  <c r="J297" i="2"/>
  <c r="I297" i="2"/>
  <c r="H297" i="2"/>
  <c r="G600" i="2"/>
  <c r="D600" i="2"/>
  <c r="E600" i="2" s="1"/>
  <c r="C600" i="2"/>
  <c r="B600" i="2"/>
  <c r="J600" i="2"/>
  <c r="I600" i="2"/>
  <c r="K600" i="2" s="1"/>
  <c r="H600" i="2"/>
  <c r="F600" i="2"/>
  <c r="I672" i="2"/>
  <c r="K672" i="2" s="1"/>
  <c r="J672" i="2"/>
  <c r="F672" i="2"/>
  <c r="D672" i="2"/>
  <c r="E672" i="2" s="1"/>
  <c r="C672" i="2"/>
  <c r="B672" i="2"/>
  <c r="G672" i="2"/>
  <c r="H672" i="2"/>
  <c r="G612" i="2"/>
  <c r="D612" i="2"/>
  <c r="E612" i="2" s="1"/>
  <c r="C612" i="2"/>
  <c r="B612" i="2"/>
  <c r="F612" i="2"/>
  <c r="J612" i="2"/>
  <c r="I612" i="2"/>
  <c r="K612" i="2" s="1"/>
  <c r="H612" i="2"/>
  <c r="D594" i="2"/>
  <c r="E594" i="2" s="1"/>
  <c r="C594" i="2"/>
  <c r="J594" i="2"/>
  <c r="F594" i="2"/>
  <c r="B594" i="2"/>
  <c r="I594" i="2"/>
  <c r="K594" i="2" s="1"/>
  <c r="H594" i="2"/>
  <c r="G594" i="2"/>
  <c r="J896" i="2"/>
  <c r="I896" i="2"/>
  <c r="K896" i="2" s="1"/>
  <c r="H896" i="2"/>
  <c r="G896" i="2"/>
  <c r="F896" i="2"/>
  <c r="D896" i="2"/>
  <c r="E896" i="2" s="1"/>
  <c r="C896" i="2"/>
  <c r="B896" i="2"/>
  <c r="F224" i="2"/>
  <c r="C224" i="2"/>
  <c r="D224" i="2" s="1"/>
  <c r="E224" i="2" s="1"/>
  <c r="J224" i="2"/>
  <c r="I224" i="2"/>
  <c r="H224" i="2"/>
  <c r="G224" i="2"/>
  <c r="B224" i="2"/>
  <c r="C311" i="2"/>
  <c r="D311" i="2" s="1"/>
  <c r="E311" i="2" s="1"/>
  <c r="J311" i="2"/>
  <c r="I311" i="2"/>
  <c r="H311" i="2"/>
  <c r="G311" i="2"/>
  <c r="F311" i="2"/>
  <c r="B311" i="2"/>
  <c r="I143" i="2"/>
  <c r="G143" i="2"/>
  <c r="C143" i="2"/>
  <c r="D143" i="2" s="1"/>
  <c r="E143" i="2" s="1"/>
  <c r="J143" i="2"/>
  <c r="H143" i="2"/>
  <c r="F143" i="2"/>
  <c r="B143" i="2"/>
  <c r="J58" i="2"/>
  <c r="I58" i="2"/>
  <c r="H58" i="2"/>
  <c r="C58" i="2"/>
  <c r="D58" i="2" s="1"/>
  <c r="E58" i="2" s="1"/>
  <c r="G58" i="2"/>
  <c r="F58" i="2"/>
  <c r="B58" i="2"/>
  <c r="H261" i="2"/>
  <c r="G261" i="2"/>
  <c r="F261" i="2"/>
  <c r="C261" i="2"/>
  <c r="D261" i="2" s="1"/>
  <c r="E261" i="2" s="1"/>
  <c r="B261" i="2"/>
  <c r="J261" i="2"/>
  <c r="I261" i="2"/>
  <c r="B491" i="2"/>
  <c r="C491" i="2"/>
  <c r="J491" i="2"/>
  <c r="D491" i="2"/>
  <c r="E491" i="2" s="1"/>
  <c r="H491" i="2"/>
  <c r="I491" i="2"/>
  <c r="K491" i="2" s="1"/>
  <c r="G491" i="2"/>
  <c r="F491" i="2"/>
  <c r="B276" i="2"/>
  <c r="J276" i="2"/>
  <c r="C276" i="2"/>
  <c r="D276" i="2" s="1"/>
  <c r="E276" i="2" s="1"/>
  <c r="G276" i="2"/>
  <c r="I276" i="2"/>
  <c r="H276" i="2"/>
  <c r="F276" i="2"/>
  <c r="G93" i="2"/>
  <c r="H93" i="2"/>
  <c r="J93" i="2"/>
  <c r="I93" i="2"/>
  <c r="F93" i="2"/>
  <c r="B93" i="2"/>
  <c r="C93" i="2"/>
  <c r="D93" i="2" s="1"/>
  <c r="E93" i="2" s="1"/>
  <c r="C161" i="2"/>
  <c r="D161" i="2" s="1"/>
  <c r="E161" i="2" s="1"/>
  <c r="J161" i="2"/>
  <c r="F161" i="2"/>
  <c r="I161" i="2"/>
  <c r="H161" i="2"/>
  <c r="G161" i="2"/>
  <c r="B161" i="2"/>
  <c r="H226" i="2"/>
  <c r="G226" i="2"/>
  <c r="F226" i="2"/>
  <c r="C226" i="2"/>
  <c r="D226" i="2" s="1"/>
  <c r="E226" i="2" s="1"/>
  <c r="B226" i="2"/>
  <c r="J226" i="2"/>
  <c r="I226" i="2"/>
  <c r="I119" i="2"/>
  <c r="B119" i="2"/>
  <c r="J119" i="2"/>
  <c r="H119" i="2"/>
  <c r="G119" i="2"/>
  <c r="F119" i="2"/>
  <c r="C119" i="2"/>
  <c r="D119" i="2" s="1"/>
  <c r="E119" i="2" s="1"/>
  <c r="J181" i="2"/>
  <c r="H181" i="2"/>
  <c r="C181" i="2"/>
  <c r="D181" i="2" s="1"/>
  <c r="E181" i="2" s="1"/>
  <c r="I181" i="2"/>
  <c r="G181" i="2"/>
  <c r="F181" i="2"/>
  <c r="B181" i="2"/>
  <c r="H304" i="2"/>
  <c r="C304" i="2"/>
  <c r="D304" i="2" s="1"/>
  <c r="E304" i="2" s="1"/>
  <c r="B304" i="2"/>
  <c r="I304" i="2"/>
  <c r="G304" i="2"/>
  <c r="F304" i="2"/>
  <c r="J304" i="2"/>
  <c r="C277" i="2"/>
  <c r="D277" i="2" s="1"/>
  <c r="E277" i="2" s="1"/>
  <c r="B277" i="2"/>
  <c r="G277" i="2"/>
  <c r="J277" i="2"/>
  <c r="I277" i="2"/>
  <c r="H277" i="2"/>
  <c r="F277" i="2"/>
  <c r="J231" i="2"/>
  <c r="F231" i="2"/>
  <c r="C231" i="2"/>
  <c r="D231" i="2" s="1"/>
  <c r="E231" i="2" s="1"/>
  <c r="B231" i="2"/>
  <c r="I231" i="2"/>
  <c r="H231" i="2"/>
  <c r="G231" i="2"/>
  <c r="J533" i="2"/>
  <c r="I533" i="2"/>
  <c r="K533" i="2" s="1"/>
  <c r="H533" i="2"/>
  <c r="G533" i="2"/>
  <c r="F533" i="2"/>
  <c r="C533" i="2"/>
  <c r="B533" i="2"/>
  <c r="D533" i="2"/>
  <c r="E533" i="2" s="1"/>
  <c r="H392" i="2"/>
  <c r="B392" i="2"/>
  <c r="J392" i="2"/>
  <c r="C392" i="2"/>
  <c r="D392" i="2" s="1"/>
  <c r="E392" i="2" s="1"/>
  <c r="I392" i="2"/>
  <c r="F392" i="2"/>
  <c r="G392" i="2"/>
  <c r="D445" i="2"/>
  <c r="E445" i="2" s="1"/>
  <c r="G445" i="2"/>
  <c r="F445" i="2"/>
  <c r="C445" i="2"/>
  <c r="B445" i="2"/>
  <c r="H445" i="2"/>
  <c r="J445" i="2"/>
  <c r="I445" i="2"/>
  <c r="K445" i="2" s="1"/>
  <c r="J520" i="2"/>
  <c r="G520" i="2"/>
  <c r="I520" i="2"/>
  <c r="K520" i="2" s="1"/>
  <c r="H520" i="2"/>
  <c r="F520" i="2"/>
  <c r="D520" i="2"/>
  <c r="E520" i="2" s="1"/>
  <c r="C520" i="2"/>
  <c r="B520" i="2"/>
  <c r="D432" i="2"/>
  <c r="E432" i="2" s="1"/>
  <c r="C432" i="2"/>
  <c r="I432" i="2"/>
  <c r="K432" i="2" s="1"/>
  <c r="H432" i="2"/>
  <c r="G432" i="2"/>
  <c r="F432" i="2"/>
  <c r="B432" i="2"/>
  <c r="J432" i="2"/>
  <c r="B643" i="2"/>
  <c r="F643" i="2"/>
  <c r="D643" i="2"/>
  <c r="E643" i="2" s="1"/>
  <c r="C643" i="2"/>
  <c r="G643" i="2"/>
  <c r="J643" i="2"/>
  <c r="I643" i="2"/>
  <c r="K643" i="2" s="1"/>
  <c r="H643" i="2"/>
  <c r="J441" i="2"/>
  <c r="I441" i="2"/>
  <c r="K441" i="2" s="1"/>
  <c r="B441" i="2"/>
  <c r="D441" i="2"/>
  <c r="E441" i="2" s="1"/>
  <c r="C441" i="2"/>
  <c r="H441" i="2"/>
  <c r="G441" i="2"/>
  <c r="F441" i="2"/>
  <c r="J534" i="2"/>
  <c r="I534" i="2"/>
  <c r="K534" i="2" s="1"/>
  <c r="D534" i="2"/>
  <c r="E534" i="2" s="1"/>
  <c r="C534" i="2"/>
  <c r="B534" i="2"/>
  <c r="H534" i="2"/>
  <c r="G534" i="2"/>
  <c r="F534" i="2"/>
  <c r="F575" i="2"/>
  <c r="B575" i="2"/>
  <c r="H575" i="2"/>
  <c r="D575" i="2"/>
  <c r="E575" i="2" s="1"/>
  <c r="C575" i="2"/>
  <c r="G575" i="2"/>
  <c r="I575" i="2"/>
  <c r="K575" i="2" s="1"/>
  <c r="J575" i="2"/>
  <c r="B524" i="2"/>
  <c r="C524" i="2"/>
  <c r="D524" i="2"/>
  <c r="E524" i="2" s="1"/>
  <c r="J524" i="2"/>
  <c r="I524" i="2"/>
  <c r="K524" i="2" s="1"/>
  <c r="H524" i="2"/>
  <c r="G524" i="2"/>
  <c r="F524" i="2"/>
  <c r="J487" i="2"/>
  <c r="C487" i="2"/>
  <c r="B487" i="2"/>
  <c r="D487" i="2"/>
  <c r="E487" i="2" s="1"/>
  <c r="I487" i="2"/>
  <c r="K487" i="2" s="1"/>
  <c r="H487" i="2"/>
  <c r="G487" i="2"/>
  <c r="F487" i="2"/>
  <c r="H649" i="2"/>
  <c r="J649" i="2"/>
  <c r="I649" i="2"/>
  <c r="K649" i="2" s="1"/>
  <c r="C649" i="2"/>
  <c r="B649" i="2"/>
  <c r="G649" i="2"/>
  <c r="D649" i="2"/>
  <c r="E649" i="2" s="1"/>
  <c r="F649" i="2"/>
  <c r="H683" i="2"/>
  <c r="G683" i="2"/>
  <c r="F683" i="2"/>
  <c r="J683" i="2"/>
  <c r="I683" i="2"/>
  <c r="K683" i="2" s="1"/>
  <c r="D683" i="2"/>
  <c r="E683" i="2" s="1"/>
  <c r="C683" i="2"/>
  <c r="B683" i="2"/>
  <c r="I638" i="2"/>
  <c r="K638" i="2" s="1"/>
  <c r="F638" i="2"/>
  <c r="C638" i="2"/>
  <c r="B638" i="2"/>
  <c r="D638" i="2"/>
  <c r="E638" i="2" s="1"/>
  <c r="H638" i="2"/>
  <c r="G638" i="2"/>
  <c r="J638" i="2"/>
  <c r="I684" i="2"/>
  <c r="K684" i="2" s="1"/>
  <c r="H684" i="2"/>
  <c r="G684" i="2"/>
  <c r="B684" i="2"/>
  <c r="C684" i="2"/>
  <c r="J684" i="2"/>
  <c r="F684" i="2"/>
  <c r="D684" i="2"/>
  <c r="E684" i="2" s="1"/>
  <c r="J738" i="2"/>
  <c r="G738" i="2"/>
  <c r="F738" i="2"/>
  <c r="D738" i="2"/>
  <c r="E738" i="2" s="1"/>
  <c r="C738" i="2"/>
  <c r="B738" i="2"/>
  <c r="H738" i="2"/>
  <c r="I738" i="2"/>
  <c r="K738" i="2" s="1"/>
  <c r="J685" i="2"/>
  <c r="I685" i="2"/>
  <c r="K685" i="2" s="1"/>
  <c r="H685" i="2"/>
  <c r="D685" i="2"/>
  <c r="E685" i="2" s="1"/>
  <c r="G685" i="2"/>
  <c r="F685" i="2"/>
  <c r="C685" i="2"/>
  <c r="B685" i="2"/>
  <c r="F690" i="2"/>
  <c r="C690" i="2"/>
  <c r="B690" i="2"/>
  <c r="D690" i="2"/>
  <c r="E690" i="2" s="1"/>
  <c r="I690" i="2"/>
  <c r="K690" i="2" s="1"/>
  <c r="G690" i="2"/>
  <c r="H690" i="2"/>
  <c r="J690" i="2"/>
  <c r="D725" i="2"/>
  <c r="E725" i="2" s="1"/>
  <c r="C725" i="2"/>
  <c r="B725" i="2"/>
  <c r="J725" i="2"/>
  <c r="I725" i="2"/>
  <c r="K725" i="2" s="1"/>
  <c r="F725" i="2"/>
  <c r="G725" i="2"/>
  <c r="H725" i="2"/>
  <c r="D712" i="2"/>
  <c r="E712" i="2" s="1"/>
  <c r="C712" i="2"/>
  <c r="B712" i="2"/>
  <c r="J712" i="2"/>
  <c r="I712" i="2"/>
  <c r="K712" i="2" s="1"/>
  <c r="H712" i="2"/>
  <c r="G712" i="2"/>
  <c r="F712" i="2"/>
  <c r="G839" i="2"/>
  <c r="J839" i="2"/>
  <c r="H839" i="2"/>
  <c r="F839" i="2"/>
  <c r="D839" i="2"/>
  <c r="E839" i="2" s="1"/>
  <c r="C839" i="2"/>
  <c r="I839" i="2"/>
  <c r="K839" i="2" s="1"/>
  <c r="B839" i="2"/>
  <c r="J721" i="2"/>
  <c r="I721" i="2"/>
  <c r="K721" i="2" s="1"/>
  <c r="H721" i="2"/>
  <c r="D721" i="2"/>
  <c r="E721" i="2" s="1"/>
  <c r="C721" i="2"/>
  <c r="B721" i="2"/>
  <c r="F721" i="2"/>
  <c r="G721" i="2"/>
  <c r="B741" i="2"/>
  <c r="D741" i="2"/>
  <c r="E741" i="2" s="1"/>
  <c r="C741" i="2"/>
  <c r="J741" i="2"/>
  <c r="G741" i="2"/>
  <c r="F741" i="2"/>
  <c r="H741" i="2"/>
  <c r="I741" i="2"/>
  <c r="K741" i="2" s="1"/>
  <c r="H784" i="2"/>
  <c r="D784" i="2"/>
  <c r="E784" i="2" s="1"/>
  <c r="C784" i="2"/>
  <c r="B784" i="2"/>
  <c r="J784" i="2"/>
  <c r="I784" i="2"/>
  <c r="K784" i="2" s="1"/>
  <c r="G784" i="2"/>
  <c r="F784" i="2"/>
  <c r="J763" i="2"/>
  <c r="I763" i="2"/>
  <c r="K763" i="2" s="1"/>
  <c r="H763" i="2"/>
  <c r="G763" i="2"/>
  <c r="F763" i="2"/>
  <c r="D763" i="2"/>
  <c r="E763" i="2" s="1"/>
  <c r="C763" i="2"/>
  <c r="B763" i="2"/>
  <c r="J809" i="2"/>
  <c r="D809" i="2"/>
  <c r="E809" i="2" s="1"/>
  <c r="C809" i="2"/>
  <c r="H809" i="2"/>
  <c r="I809" i="2"/>
  <c r="K809" i="2" s="1"/>
  <c r="B809" i="2"/>
  <c r="G809" i="2"/>
  <c r="F809" i="2"/>
  <c r="I777" i="2"/>
  <c r="K777" i="2" s="1"/>
  <c r="G777" i="2"/>
  <c r="F777" i="2"/>
  <c r="D777" i="2"/>
  <c r="E777" i="2" s="1"/>
  <c r="J777" i="2"/>
  <c r="H777" i="2"/>
  <c r="C777" i="2"/>
  <c r="B777" i="2"/>
  <c r="I954" i="2"/>
  <c r="K954" i="2" s="1"/>
  <c r="H954" i="2"/>
  <c r="F954" i="2"/>
  <c r="J954" i="2"/>
  <c r="D954" i="2"/>
  <c r="E954" i="2" s="1"/>
  <c r="G954" i="2"/>
  <c r="C954" i="2"/>
  <c r="B954" i="2"/>
  <c r="B834" i="2"/>
  <c r="C834" i="2"/>
  <c r="J834" i="2"/>
  <c r="I834" i="2"/>
  <c r="K834" i="2" s="1"/>
  <c r="H834" i="2"/>
  <c r="G834" i="2"/>
  <c r="F834" i="2"/>
  <c r="D834" i="2"/>
  <c r="E834" i="2" s="1"/>
  <c r="C869" i="2"/>
  <c r="F869" i="2"/>
  <c r="B869" i="2"/>
  <c r="J869" i="2"/>
  <c r="I869" i="2"/>
  <c r="K869" i="2" s="1"/>
  <c r="H869" i="2"/>
  <c r="G869" i="2"/>
  <c r="D869" i="2"/>
  <c r="E869" i="2" s="1"/>
  <c r="B856" i="2"/>
  <c r="C856" i="2"/>
  <c r="J856" i="2"/>
  <c r="I856" i="2"/>
  <c r="K856" i="2" s="1"/>
  <c r="H856" i="2"/>
  <c r="D856" i="2"/>
  <c r="E856" i="2" s="1"/>
  <c r="G856" i="2"/>
  <c r="F856" i="2"/>
  <c r="B880" i="2"/>
  <c r="C880" i="2"/>
  <c r="G880" i="2"/>
  <c r="F880" i="2"/>
  <c r="J880" i="2"/>
  <c r="I880" i="2"/>
  <c r="K880" i="2" s="1"/>
  <c r="H880" i="2"/>
  <c r="D880" i="2"/>
  <c r="E880" i="2" s="1"/>
  <c r="C855" i="2"/>
  <c r="J855" i="2"/>
  <c r="I855" i="2"/>
  <c r="K855" i="2" s="1"/>
  <c r="H855" i="2"/>
  <c r="B855" i="2"/>
  <c r="G855" i="2"/>
  <c r="F855" i="2"/>
  <c r="D855" i="2"/>
  <c r="E855" i="2" s="1"/>
  <c r="H930" i="2"/>
  <c r="F930" i="2"/>
  <c r="D930" i="2"/>
  <c r="E930" i="2" s="1"/>
  <c r="C930" i="2"/>
  <c r="B930" i="2"/>
  <c r="J930" i="2"/>
  <c r="I930" i="2"/>
  <c r="K930" i="2" s="1"/>
  <c r="G930" i="2"/>
  <c r="C900" i="2"/>
  <c r="B900" i="2"/>
  <c r="J900" i="2"/>
  <c r="I900" i="2"/>
  <c r="K900" i="2" s="1"/>
  <c r="H900" i="2"/>
  <c r="G900" i="2"/>
  <c r="F900" i="2"/>
  <c r="D900" i="2"/>
  <c r="E900" i="2" s="1"/>
  <c r="B923" i="2"/>
  <c r="J923" i="2"/>
  <c r="I923" i="2"/>
  <c r="K923" i="2" s="1"/>
  <c r="H923" i="2"/>
  <c r="G923" i="2"/>
  <c r="F923" i="2"/>
  <c r="D923" i="2"/>
  <c r="E923" i="2" s="1"/>
  <c r="C923" i="2"/>
  <c r="F925" i="2"/>
  <c r="D925" i="2"/>
  <c r="E925" i="2" s="1"/>
  <c r="C925" i="2"/>
  <c r="B925" i="2"/>
  <c r="J925" i="2"/>
  <c r="I925" i="2"/>
  <c r="K925" i="2" s="1"/>
  <c r="H925" i="2"/>
  <c r="G925" i="2"/>
  <c r="D971" i="2"/>
  <c r="E971" i="2" s="1"/>
  <c r="B971" i="2"/>
  <c r="I971" i="2"/>
  <c r="K971" i="2" s="1"/>
  <c r="H971" i="2"/>
  <c r="G971" i="2"/>
  <c r="F971" i="2"/>
  <c r="C971" i="2"/>
  <c r="J971" i="2"/>
  <c r="H97" i="2"/>
  <c r="G97" i="2"/>
  <c r="C97" i="2"/>
  <c r="D97" i="2" s="1"/>
  <c r="E97" i="2" s="1"/>
  <c r="B97" i="2"/>
  <c r="J97" i="2"/>
  <c r="I97" i="2"/>
  <c r="F97" i="2"/>
  <c r="J544" i="2"/>
  <c r="I544" i="2"/>
  <c r="K544" i="2" s="1"/>
  <c r="H544" i="2"/>
  <c r="G544" i="2"/>
  <c r="F544" i="2"/>
  <c r="D544" i="2"/>
  <c r="E544" i="2" s="1"/>
  <c r="C544" i="2"/>
  <c r="B544" i="2"/>
  <c r="H158" i="2"/>
  <c r="G158" i="2"/>
  <c r="F158" i="2"/>
  <c r="C158" i="2"/>
  <c r="D158" i="2" s="1"/>
  <c r="E158" i="2" s="1"/>
  <c r="B158" i="2"/>
  <c r="J158" i="2"/>
  <c r="I158" i="2"/>
  <c r="G115" i="2"/>
  <c r="F115" i="2"/>
  <c r="J115" i="2"/>
  <c r="H115" i="2"/>
  <c r="C115" i="2"/>
  <c r="D115" i="2" s="1"/>
  <c r="E115" i="2" s="1"/>
  <c r="B115" i="2"/>
  <c r="I115" i="2"/>
  <c r="H190" i="2"/>
  <c r="F190" i="2"/>
  <c r="C190" i="2"/>
  <c r="D190" i="2" s="1"/>
  <c r="E190" i="2" s="1"/>
  <c r="J190" i="2"/>
  <c r="B190" i="2"/>
  <c r="I190" i="2"/>
  <c r="G190" i="2"/>
  <c r="I498" i="2"/>
  <c r="K498" i="2" s="1"/>
  <c r="J498" i="2"/>
  <c r="H498" i="2"/>
  <c r="G498" i="2"/>
  <c r="F498" i="2"/>
  <c r="D498" i="2"/>
  <c r="E498" i="2" s="1"/>
  <c r="C498" i="2"/>
  <c r="B498" i="2"/>
  <c r="I313" i="2"/>
  <c r="H313" i="2"/>
  <c r="C313" i="2"/>
  <c r="D313" i="2" s="1"/>
  <c r="E313" i="2" s="1"/>
  <c r="B313" i="2"/>
  <c r="G313" i="2"/>
  <c r="J313" i="2"/>
  <c r="F313" i="2"/>
  <c r="J275" i="2"/>
  <c r="H275" i="2"/>
  <c r="C275" i="2"/>
  <c r="D275" i="2" s="1"/>
  <c r="E275" i="2" s="1"/>
  <c r="I275" i="2"/>
  <c r="G275" i="2"/>
  <c r="F275" i="2"/>
  <c r="B275" i="2"/>
  <c r="I554" i="2"/>
  <c r="K554" i="2" s="1"/>
  <c r="J554" i="2"/>
  <c r="H554" i="2"/>
  <c r="G554" i="2"/>
  <c r="F554" i="2"/>
  <c r="D554" i="2"/>
  <c r="E554" i="2" s="1"/>
  <c r="C554" i="2"/>
  <c r="B554" i="2"/>
  <c r="D469" i="2"/>
  <c r="E469" i="2" s="1"/>
  <c r="C469" i="2"/>
  <c r="B469" i="2"/>
  <c r="F469" i="2"/>
  <c r="J469" i="2"/>
  <c r="I469" i="2"/>
  <c r="K469" i="2" s="1"/>
  <c r="G469" i="2"/>
  <c r="H469" i="2"/>
  <c r="B556" i="2"/>
  <c r="C556" i="2"/>
  <c r="J556" i="2"/>
  <c r="I556" i="2"/>
  <c r="K556" i="2" s="1"/>
  <c r="H556" i="2"/>
  <c r="G556" i="2"/>
  <c r="F556" i="2"/>
  <c r="D556" i="2"/>
  <c r="E556" i="2" s="1"/>
  <c r="D585" i="2"/>
  <c r="E585" i="2" s="1"/>
  <c r="J585" i="2"/>
  <c r="B585" i="2"/>
  <c r="F585" i="2"/>
  <c r="I585" i="2"/>
  <c r="K585" i="2" s="1"/>
  <c r="G585" i="2"/>
  <c r="C585" i="2"/>
  <c r="H585" i="2"/>
  <c r="F623" i="2"/>
  <c r="B623" i="2"/>
  <c r="J623" i="2"/>
  <c r="C623" i="2"/>
  <c r="D623" i="2"/>
  <c r="E623" i="2" s="1"/>
  <c r="I623" i="2"/>
  <c r="K623" i="2" s="1"/>
  <c r="H623" i="2"/>
  <c r="G623" i="2"/>
  <c r="J630" i="2"/>
  <c r="D630" i="2"/>
  <c r="E630" i="2" s="1"/>
  <c r="C630" i="2"/>
  <c r="B630" i="2"/>
  <c r="F630" i="2"/>
  <c r="I630" i="2"/>
  <c r="K630" i="2" s="1"/>
  <c r="H630" i="2"/>
  <c r="G630" i="2"/>
  <c r="I863" i="2"/>
  <c r="K863" i="2" s="1"/>
  <c r="F863" i="2"/>
  <c r="C863" i="2"/>
  <c r="J863" i="2"/>
  <c r="H863" i="2"/>
  <c r="G863" i="2"/>
  <c r="D863" i="2"/>
  <c r="E863" i="2" s="1"/>
  <c r="B863" i="2"/>
  <c r="F805" i="2"/>
  <c r="I805" i="2"/>
  <c r="K805" i="2" s="1"/>
  <c r="H805" i="2"/>
  <c r="G805" i="2"/>
  <c r="D805" i="2"/>
  <c r="E805" i="2" s="1"/>
  <c r="C805" i="2"/>
  <c r="B805" i="2"/>
  <c r="J805" i="2"/>
  <c r="J876" i="2"/>
  <c r="G876" i="2"/>
  <c r="F876" i="2"/>
  <c r="D876" i="2"/>
  <c r="E876" i="2" s="1"/>
  <c r="C876" i="2"/>
  <c r="B876" i="2"/>
  <c r="I876" i="2"/>
  <c r="K876" i="2" s="1"/>
  <c r="H876" i="2"/>
  <c r="J1002" i="2"/>
  <c r="I1002" i="2"/>
  <c r="K1002" i="2" s="1"/>
  <c r="H1002" i="2"/>
  <c r="G1002" i="2"/>
  <c r="F1002" i="2"/>
  <c r="D1002" i="2"/>
  <c r="E1002" i="2" s="1"/>
  <c r="C1002" i="2"/>
  <c r="B1002" i="2"/>
  <c r="F961" i="2"/>
  <c r="D961" i="2"/>
  <c r="E961" i="2" s="1"/>
  <c r="C961" i="2"/>
  <c r="J961" i="2"/>
  <c r="I961" i="2"/>
  <c r="K961" i="2" s="1"/>
  <c r="H961" i="2"/>
  <c r="G961" i="2"/>
  <c r="B961" i="2"/>
  <c r="C24" i="2"/>
  <c r="D24" i="2" s="1"/>
  <c r="E24" i="2" s="1"/>
  <c r="B24" i="2"/>
  <c r="H24" i="2"/>
  <c r="F24" i="2"/>
  <c r="J24" i="2"/>
  <c r="I24" i="2"/>
  <c r="G24" i="2"/>
  <c r="C373" i="2"/>
  <c r="D373" i="2" s="1"/>
  <c r="E373" i="2" s="1"/>
  <c r="B373" i="2"/>
  <c r="G373" i="2"/>
  <c r="F373" i="2"/>
  <c r="J373" i="2"/>
  <c r="I373" i="2"/>
  <c r="H373" i="2"/>
  <c r="H509" i="2"/>
  <c r="D509" i="2"/>
  <c r="E509" i="2" s="1"/>
  <c r="C509" i="2"/>
  <c r="B509" i="2"/>
  <c r="F509" i="2"/>
  <c r="J509" i="2"/>
  <c r="I509" i="2"/>
  <c r="K509" i="2" s="1"/>
  <c r="G509" i="2"/>
  <c r="C835" i="2"/>
  <c r="D835" i="2"/>
  <c r="E835" i="2" s="1"/>
  <c r="G835" i="2"/>
  <c r="H835" i="2"/>
  <c r="J835" i="2"/>
  <c r="I835" i="2"/>
  <c r="K835" i="2" s="1"/>
  <c r="F835" i="2"/>
  <c r="B835" i="2"/>
  <c r="J956" i="2"/>
  <c r="H956" i="2"/>
  <c r="I956" i="2"/>
  <c r="K956" i="2" s="1"/>
  <c r="G956" i="2"/>
  <c r="F956" i="2"/>
  <c r="D956" i="2"/>
  <c r="E956" i="2" s="1"/>
  <c r="C956" i="2"/>
  <c r="B956" i="2"/>
  <c r="G153" i="2"/>
  <c r="H153" i="2"/>
  <c r="F153" i="2"/>
  <c r="B153" i="2"/>
  <c r="C153" i="2"/>
  <c r="D153" i="2" s="1"/>
  <c r="E153" i="2" s="1"/>
  <c r="J153" i="2"/>
  <c r="I153" i="2"/>
  <c r="C431" i="2"/>
  <c r="D431" i="2"/>
  <c r="E431" i="2" s="1"/>
  <c r="I431" i="2"/>
  <c r="K431" i="2" s="1"/>
  <c r="J431" i="2"/>
  <c r="H431" i="2"/>
  <c r="G431" i="2"/>
  <c r="F431" i="2"/>
  <c r="B431" i="2"/>
  <c r="C151" i="2"/>
  <c r="D151" i="2" s="1"/>
  <c r="E151" i="2" s="1"/>
  <c r="B151" i="2"/>
  <c r="G151" i="2"/>
  <c r="F151" i="2"/>
  <c r="J151" i="2"/>
  <c r="I151" i="2"/>
  <c r="H151" i="2"/>
  <c r="B61" i="2"/>
  <c r="C61" i="2"/>
  <c r="D61" i="2" s="1"/>
  <c r="E61" i="2" s="1"/>
  <c r="J61" i="2"/>
  <c r="I61" i="2"/>
  <c r="H61" i="2"/>
  <c r="G61" i="2"/>
  <c r="F61" i="2"/>
  <c r="I174" i="2"/>
  <c r="G174" i="2"/>
  <c r="B174" i="2"/>
  <c r="J174" i="2"/>
  <c r="H174" i="2"/>
  <c r="F174" i="2"/>
  <c r="C174" i="2"/>
  <c r="D174" i="2" s="1"/>
  <c r="E174" i="2" s="1"/>
  <c r="I167" i="2"/>
  <c r="J167" i="2"/>
  <c r="G167" i="2"/>
  <c r="H167" i="2"/>
  <c r="F167" i="2"/>
  <c r="C167" i="2"/>
  <c r="D167" i="2" s="1"/>
  <c r="E167" i="2" s="1"/>
  <c r="B167" i="2"/>
  <c r="G165" i="2"/>
  <c r="F165" i="2"/>
  <c r="C165" i="2"/>
  <c r="D165" i="2" s="1"/>
  <c r="E165" i="2" s="1"/>
  <c r="J165" i="2"/>
  <c r="I165" i="2"/>
  <c r="H165" i="2"/>
  <c r="B165" i="2"/>
  <c r="C257" i="2"/>
  <c r="D257" i="2" s="1"/>
  <c r="E257" i="2" s="1"/>
  <c r="B257" i="2"/>
  <c r="G257" i="2"/>
  <c r="H257" i="2"/>
  <c r="F257" i="2"/>
  <c r="I257" i="2"/>
  <c r="J257" i="2"/>
  <c r="G472" i="2"/>
  <c r="J472" i="2"/>
  <c r="I472" i="2"/>
  <c r="K472" i="2" s="1"/>
  <c r="H472" i="2"/>
  <c r="F472" i="2"/>
  <c r="C472" i="2"/>
  <c r="B472" i="2"/>
  <c r="D472" i="2"/>
  <c r="E472" i="2" s="1"/>
  <c r="B138" i="2"/>
  <c r="F138" i="2"/>
  <c r="H138" i="2"/>
  <c r="J138" i="2"/>
  <c r="I138" i="2"/>
  <c r="G138" i="2"/>
  <c r="C138" i="2"/>
  <c r="D138" i="2" s="1"/>
  <c r="E138" i="2" s="1"/>
  <c r="G351" i="2"/>
  <c r="J351" i="2"/>
  <c r="I351" i="2"/>
  <c r="F351" i="2"/>
  <c r="H351" i="2"/>
  <c r="C351" i="2"/>
  <c r="D351" i="2" s="1"/>
  <c r="E351" i="2" s="1"/>
  <c r="B351" i="2"/>
  <c r="C233" i="2"/>
  <c r="D233" i="2" s="1"/>
  <c r="E233" i="2" s="1"/>
  <c r="B233" i="2"/>
  <c r="G233" i="2"/>
  <c r="F233" i="2"/>
  <c r="I233" i="2"/>
  <c r="H233" i="2"/>
  <c r="J233" i="2"/>
  <c r="I305" i="2"/>
  <c r="J305" i="2"/>
  <c r="H305" i="2"/>
  <c r="G305" i="2"/>
  <c r="F305" i="2"/>
  <c r="C305" i="2"/>
  <c r="D305" i="2" s="1"/>
  <c r="E305" i="2" s="1"/>
  <c r="B305" i="2"/>
  <c r="I307" i="2"/>
  <c r="H307" i="2"/>
  <c r="F307" i="2"/>
  <c r="C307" i="2"/>
  <c r="D307" i="2" s="1"/>
  <c r="E307" i="2" s="1"/>
  <c r="B307" i="2"/>
  <c r="G307" i="2"/>
  <c r="J307" i="2"/>
  <c r="C258" i="2"/>
  <c r="D258" i="2" s="1"/>
  <c r="E258" i="2" s="1"/>
  <c r="H258" i="2"/>
  <c r="J258" i="2"/>
  <c r="I258" i="2"/>
  <c r="G258" i="2"/>
  <c r="F258" i="2"/>
  <c r="B258" i="2"/>
  <c r="J673" i="2"/>
  <c r="I673" i="2"/>
  <c r="K673" i="2" s="1"/>
  <c r="H673" i="2"/>
  <c r="G673" i="2"/>
  <c r="F673" i="2"/>
  <c r="B673" i="2"/>
  <c r="D673" i="2"/>
  <c r="E673" i="2" s="1"/>
  <c r="C673" i="2"/>
  <c r="I293" i="2"/>
  <c r="F293" i="2"/>
  <c r="C293" i="2"/>
  <c r="D293" i="2" s="1"/>
  <c r="E293" i="2" s="1"/>
  <c r="B293" i="2"/>
  <c r="H293" i="2"/>
  <c r="J293" i="2"/>
  <c r="G293" i="2"/>
  <c r="J99" i="2"/>
  <c r="I99" i="2"/>
  <c r="H99" i="2"/>
  <c r="G99" i="2"/>
  <c r="F99" i="2"/>
  <c r="C99" i="2"/>
  <c r="D99" i="2" s="1"/>
  <c r="E99" i="2" s="1"/>
  <c r="B99" i="2"/>
  <c r="J243" i="2"/>
  <c r="I243" i="2"/>
  <c r="H243" i="2"/>
  <c r="G243" i="2"/>
  <c r="F243" i="2"/>
  <c r="C243" i="2"/>
  <c r="D243" i="2" s="1"/>
  <c r="E243" i="2" s="1"/>
  <c r="B243" i="2"/>
  <c r="J402" i="2"/>
  <c r="F402" i="2"/>
  <c r="G402" i="2"/>
  <c r="C402" i="2"/>
  <c r="D402" i="2" s="1"/>
  <c r="E402" i="2" s="1"/>
  <c r="B402" i="2"/>
  <c r="I402" i="2"/>
  <c r="H402" i="2"/>
  <c r="H692" i="2"/>
  <c r="D692" i="2"/>
  <c r="E692" i="2" s="1"/>
  <c r="C692" i="2"/>
  <c r="G692" i="2"/>
  <c r="F692" i="2"/>
  <c r="B692" i="2"/>
  <c r="J692" i="2"/>
  <c r="I692" i="2"/>
  <c r="K692" i="2" s="1"/>
  <c r="H458" i="2"/>
  <c r="G458" i="2"/>
  <c r="F458" i="2"/>
  <c r="D458" i="2"/>
  <c r="E458" i="2" s="1"/>
  <c r="C458" i="2"/>
  <c r="I458" i="2"/>
  <c r="K458" i="2" s="1"/>
  <c r="B458" i="2"/>
  <c r="J458" i="2"/>
  <c r="H589" i="2"/>
  <c r="F589" i="2"/>
  <c r="D589" i="2"/>
  <c r="E589" i="2" s="1"/>
  <c r="C589" i="2"/>
  <c r="J589" i="2"/>
  <c r="I589" i="2"/>
  <c r="K589" i="2" s="1"/>
  <c r="B589" i="2"/>
  <c r="G589" i="2"/>
  <c r="J396" i="2"/>
  <c r="B396" i="2"/>
  <c r="H396" i="2"/>
  <c r="G396" i="2"/>
  <c r="F396" i="2"/>
  <c r="C396" i="2"/>
  <c r="D396" i="2" s="1"/>
  <c r="E396" i="2" s="1"/>
  <c r="I396" i="2"/>
  <c r="I353" i="2"/>
  <c r="H353" i="2"/>
  <c r="J353" i="2"/>
  <c r="G353" i="2"/>
  <c r="F353" i="2"/>
  <c r="C353" i="2"/>
  <c r="D353" i="2" s="1"/>
  <c r="E353" i="2" s="1"/>
  <c r="B353" i="2"/>
  <c r="J484" i="2"/>
  <c r="G484" i="2"/>
  <c r="F484" i="2"/>
  <c r="D484" i="2"/>
  <c r="E484" i="2" s="1"/>
  <c r="C484" i="2"/>
  <c r="B484" i="2"/>
  <c r="H484" i="2"/>
  <c r="I484" i="2"/>
  <c r="K484" i="2" s="1"/>
  <c r="I465" i="2"/>
  <c r="K465" i="2" s="1"/>
  <c r="H465" i="2"/>
  <c r="G465" i="2"/>
  <c r="F465" i="2"/>
  <c r="J465" i="2"/>
  <c r="D465" i="2"/>
  <c r="E465" i="2" s="1"/>
  <c r="B465" i="2"/>
  <c r="C465" i="2"/>
  <c r="I522" i="2"/>
  <c r="K522" i="2" s="1"/>
  <c r="F522" i="2"/>
  <c r="D522" i="2"/>
  <c r="E522" i="2" s="1"/>
  <c r="C522" i="2"/>
  <c r="B522" i="2"/>
  <c r="G522" i="2"/>
  <c r="J522" i="2"/>
  <c r="H522" i="2"/>
  <c r="G529" i="2"/>
  <c r="F529" i="2"/>
  <c r="D529" i="2"/>
  <c r="E529" i="2" s="1"/>
  <c r="H529" i="2"/>
  <c r="I529" i="2"/>
  <c r="K529" i="2" s="1"/>
  <c r="C529" i="2"/>
  <c r="B529" i="2"/>
  <c r="J529" i="2"/>
  <c r="J463" i="2"/>
  <c r="D463" i="2"/>
  <c r="E463" i="2" s="1"/>
  <c r="C463" i="2"/>
  <c r="B463" i="2"/>
  <c r="F463" i="2"/>
  <c r="H463" i="2"/>
  <c r="G463" i="2"/>
  <c r="I463" i="2"/>
  <c r="K463" i="2" s="1"/>
  <c r="C444" i="2"/>
  <c r="D444" i="2"/>
  <c r="E444" i="2" s="1"/>
  <c r="B444" i="2"/>
  <c r="F444" i="2"/>
  <c r="G444" i="2"/>
  <c r="H444" i="2"/>
  <c r="J444" i="2"/>
  <c r="I444" i="2"/>
  <c r="K444" i="2" s="1"/>
  <c r="B479" i="2"/>
  <c r="D479" i="2"/>
  <c r="E479" i="2" s="1"/>
  <c r="C479" i="2"/>
  <c r="F479" i="2"/>
  <c r="J479" i="2"/>
  <c r="I479" i="2"/>
  <c r="K479" i="2" s="1"/>
  <c r="G479" i="2"/>
  <c r="H479" i="2"/>
  <c r="C687" i="2"/>
  <c r="J687" i="2"/>
  <c r="G687" i="2"/>
  <c r="F687" i="2"/>
  <c r="D687" i="2"/>
  <c r="E687" i="2" s="1"/>
  <c r="H687" i="2"/>
  <c r="I687" i="2"/>
  <c r="K687" i="2" s="1"/>
  <c r="B687" i="2"/>
  <c r="B309" i="2"/>
  <c r="J309" i="2"/>
  <c r="I309" i="2"/>
  <c r="H309" i="2"/>
  <c r="G309" i="2"/>
  <c r="F309" i="2"/>
  <c r="C309" i="2"/>
  <c r="D309" i="2" s="1"/>
  <c r="E309" i="2" s="1"/>
  <c r="B455" i="2"/>
  <c r="J455" i="2"/>
  <c r="C455" i="2"/>
  <c r="I455" i="2"/>
  <c r="K455" i="2" s="1"/>
  <c r="G455" i="2"/>
  <c r="H455" i="2"/>
  <c r="F455" i="2"/>
  <c r="D455" i="2"/>
  <c r="E455" i="2" s="1"/>
  <c r="J546" i="2"/>
  <c r="I546" i="2"/>
  <c r="K546" i="2" s="1"/>
  <c r="H546" i="2"/>
  <c r="G546" i="2"/>
  <c r="F546" i="2"/>
  <c r="D546" i="2"/>
  <c r="E546" i="2" s="1"/>
  <c r="C546" i="2"/>
  <c r="B546" i="2"/>
  <c r="J616" i="2"/>
  <c r="I616" i="2"/>
  <c r="K616" i="2" s="1"/>
  <c r="B616" i="2"/>
  <c r="F616" i="2"/>
  <c r="D616" i="2"/>
  <c r="E616" i="2" s="1"/>
  <c r="C616" i="2"/>
  <c r="G616" i="2"/>
  <c r="H616" i="2"/>
  <c r="H613" i="2"/>
  <c r="F613" i="2"/>
  <c r="D613" i="2"/>
  <c r="E613" i="2" s="1"/>
  <c r="C613" i="2"/>
  <c r="J613" i="2"/>
  <c r="I613" i="2"/>
  <c r="K613" i="2" s="1"/>
  <c r="G613" i="2"/>
  <c r="B613" i="2"/>
  <c r="B536" i="2"/>
  <c r="C536" i="2"/>
  <c r="D536" i="2"/>
  <c r="E536" i="2" s="1"/>
  <c r="J536" i="2"/>
  <c r="I536" i="2"/>
  <c r="K536" i="2" s="1"/>
  <c r="H536" i="2"/>
  <c r="G536" i="2"/>
  <c r="F536" i="2"/>
  <c r="J499" i="2"/>
  <c r="I499" i="2"/>
  <c r="K499" i="2" s="1"/>
  <c r="B499" i="2"/>
  <c r="H499" i="2"/>
  <c r="G499" i="2"/>
  <c r="F499" i="2"/>
  <c r="D499" i="2"/>
  <c r="E499" i="2" s="1"/>
  <c r="C499" i="2"/>
  <c r="G715" i="2"/>
  <c r="F715" i="2"/>
  <c r="D715" i="2"/>
  <c r="E715" i="2" s="1"/>
  <c r="C715" i="2"/>
  <c r="B715" i="2"/>
  <c r="J715" i="2"/>
  <c r="I715" i="2"/>
  <c r="K715" i="2" s="1"/>
  <c r="H715" i="2"/>
  <c r="B658" i="2"/>
  <c r="J658" i="2"/>
  <c r="D658" i="2"/>
  <c r="E658" i="2" s="1"/>
  <c r="C658" i="2"/>
  <c r="H658" i="2"/>
  <c r="G658" i="2"/>
  <c r="F658" i="2"/>
  <c r="I658" i="2"/>
  <c r="K658" i="2" s="1"/>
  <c r="H637" i="2"/>
  <c r="J637" i="2"/>
  <c r="I637" i="2"/>
  <c r="K637" i="2" s="1"/>
  <c r="G637" i="2"/>
  <c r="F637" i="2"/>
  <c r="D637" i="2"/>
  <c r="E637" i="2" s="1"/>
  <c r="C637" i="2"/>
  <c r="B637" i="2"/>
  <c r="F647" i="2"/>
  <c r="C647" i="2"/>
  <c r="D647" i="2"/>
  <c r="E647" i="2" s="1"/>
  <c r="B647" i="2"/>
  <c r="G647" i="2"/>
  <c r="I647" i="2"/>
  <c r="K647" i="2" s="1"/>
  <c r="J647" i="2"/>
  <c r="H647" i="2"/>
  <c r="B655" i="2"/>
  <c r="D655" i="2"/>
  <c r="E655" i="2" s="1"/>
  <c r="C655" i="2"/>
  <c r="J655" i="2"/>
  <c r="I655" i="2"/>
  <c r="K655" i="2" s="1"/>
  <c r="H655" i="2"/>
  <c r="F655" i="2"/>
  <c r="G655" i="2"/>
  <c r="H735" i="2"/>
  <c r="G735" i="2"/>
  <c r="J735" i="2"/>
  <c r="I735" i="2"/>
  <c r="K735" i="2" s="1"/>
  <c r="F735" i="2"/>
  <c r="B735" i="2"/>
  <c r="C735" i="2"/>
  <c r="D735" i="2"/>
  <c r="E735" i="2" s="1"/>
  <c r="I748" i="2"/>
  <c r="K748" i="2" s="1"/>
  <c r="H748" i="2"/>
  <c r="J748" i="2"/>
  <c r="G748" i="2"/>
  <c r="F748" i="2"/>
  <c r="B748" i="2"/>
  <c r="D748" i="2"/>
  <c r="E748" i="2" s="1"/>
  <c r="C748" i="2"/>
  <c r="J718" i="2"/>
  <c r="I718" i="2"/>
  <c r="K718" i="2" s="1"/>
  <c r="H718" i="2"/>
  <c r="G718" i="2"/>
  <c r="F718" i="2"/>
  <c r="D718" i="2"/>
  <c r="E718" i="2" s="1"/>
  <c r="C718" i="2"/>
  <c r="B718" i="2"/>
  <c r="D606" i="2"/>
  <c r="E606" i="2" s="1"/>
  <c r="C606" i="2"/>
  <c r="B606" i="2"/>
  <c r="H606" i="2"/>
  <c r="G606" i="2"/>
  <c r="F606" i="2"/>
  <c r="I606" i="2"/>
  <c r="K606" i="2" s="1"/>
  <c r="J606" i="2"/>
  <c r="F702" i="2"/>
  <c r="D702" i="2"/>
  <c r="E702" i="2" s="1"/>
  <c r="C702" i="2"/>
  <c r="B702" i="2"/>
  <c r="I702" i="2"/>
  <c r="K702" i="2" s="1"/>
  <c r="J702" i="2"/>
  <c r="H702" i="2"/>
  <c r="G702" i="2"/>
  <c r="C742" i="2"/>
  <c r="B742" i="2"/>
  <c r="G742" i="2"/>
  <c r="F742" i="2"/>
  <c r="D742" i="2"/>
  <c r="E742" i="2" s="1"/>
  <c r="J742" i="2"/>
  <c r="I742" i="2"/>
  <c r="K742" i="2" s="1"/>
  <c r="H742" i="2"/>
  <c r="D724" i="2"/>
  <c r="E724" i="2" s="1"/>
  <c r="C724" i="2"/>
  <c r="B724" i="2"/>
  <c r="J724" i="2"/>
  <c r="G724" i="2"/>
  <c r="F724" i="2"/>
  <c r="H724" i="2"/>
  <c r="I724" i="2"/>
  <c r="K724" i="2" s="1"/>
  <c r="B710" i="2"/>
  <c r="J710" i="2"/>
  <c r="I710" i="2"/>
  <c r="K710" i="2" s="1"/>
  <c r="H710" i="2"/>
  <c r="G710" i="2"/>
  <c r="F710" i="2"/>
  <c r="D710" i="2"/>
  <c r="E710" i="2" s="1"/>
  <c r="C710" i="2"/>
  <c r="I736" i="2"/>
  <c r="K736" i="2" s="1"/>
  <c r="H736" i="2"/>
  <c r="J736" i="2"/>
  <c r="G736" i="2"/>
  <c r="D736" i="2"/>
  <c r="E736" i="2" s="1"/>
  <c r="F736" i="2"/>
  <c r="C736" i="2"/>
  <c r="B736" i="2"/>
  <c r="G759" i="2"/>
  <c r="C759" i="2"/>
  <c r="B759" i="2"/>
  <c r="H759" i="2"/>
  <c r="F759" i="2"/>
  <c r="D759" i="2"/>
  <c r="E759" i="2" s="1"/>
  <c r="I759" i="2"/>
  <c r="K759" i="2" s="1"/>
  <c r="J759" i="2"/>
  <c r="F758" i="2"/>
  <c r="J758" i="2"/>
  <c r="I758" i="2"/>
  <c r="K758" i="2" s="1"/>
  <c r="H758" i="2"/>
  <c r="G758" i="2"/>
  <c r="D758" i="2"/>
  <c r="E758" i="2" s="1"/>
  <c r="C758" i="2"/>
  <c r="B758" i="2"/>
  <c r="C779" i="2"/>
  <c r="G779" i="2"/>
  <c r="F779" i="2"/>
  <c r="J779" i="2"/>
  <c r="I779" i="2"/>
  <c r="K779" i="2" s="1"/>
  <c r="H779" i="2"/>
  <c r="D779" i="2"/>
  <c r="E779" i="2" s="1"/>
  <c r="B779" i="2"/>
  <c r="G904" i="2"/>
  <c r="F904" i="2"/>
  <c r="D904" i="2"/>
  <c r="E904" i="2" s="1"/>
  <c r="C904" i="2"/>
  <c r="B904" i="2"/>
  <c r="J904" i="2"/>
  <c r="I904" i="2"/>
  <c r="K904" i="2" s="1"/>
  <c r="H904" i="2"/>
  <c r="D836" i="2"/>
  <c r="E836" i="2" s="1"/>
  <c r="G836" i="2"/>
  <c r="F836" i="2"/>
  <c r="C836" i="2"/>
  <c r="H836" i="2"/>
  <c r="B836" i="2"/>
  <c r="J836" i="2"/>
  <c r="I836" i="2"/>
  <c r="K836" i="2" s="1"/>
  <c r="J789" i="2"/>
  <c r="I789" i="2"/>
  <c r="K789" i="2" s="1"/>
  <c r="H789" i="2"/>
  <c r="C789" i="2"/>
  <c r="G789" i="2"/>
  <c r="F789" i="2"/>
  <c r="D789" i="2"/>
  <c r="E789" i="2" s="1"/>
  <c r="B789" i="2"/>
  <c r="G938" i="2"/>
  <c r="D938" i="2"/>
  <c r="E938" i="2" s="1"/>
  <c r="B938" i="2"/>
  <c r="J938" i="2"/>
  <c r="I938" i="2"/>
  <c r="K938" i="2" s="1"/>
  <c r="H938" i="2"/>
  <c r="F938" i="2"/>
  <c r="C938" i="2"/>
  <c r="H840" i="2"/>
  <c r="B840" i="2"/>
  <c r="J840" i="2"/>
  <c r="I840" i="2"/>
  <c r="K840" i="2" s="1"/>
  <c r="D840" i="2"/>
  <c r="E840" i="2" s="1"/>
  <c r="G840" i="2"/>
  <c r="F840" i="2"/>
  <c r="C840" i="2"/>
  <c r="D916" i="2"/>
  <c r="E916" i="2" s="1"/>
  <c r="J916" i="2"/>
  <c r="I916" i="2"/>
  <c r="K916" i="2" s="1"/>
  <c r="H916" i="2"/>
  <c r="G916" i="2"/>
  <c r="F916" i="2"/>
  <c r="C916" i="2"/>
  <c r="B916" i="2"/>
  <c r="H862" i="2"/>
  <c r="D862" i="2"/>
  <c r="E862" i="2" s="1"/>
  <c r="I862" i="2"/>
  <c r="K862" i="2" s="1"/>
  <c r="C862" i="2"/>
  <c r="B862" i="2"/>
  <c r="J862" i="2"/>
  <c r="G862" i="2"/>
  <c r="F862" i="2"/>
  <c r="H905" i="2"/>
  <c r="G905" i="2"/>
  <c r="F905" i="2"/>
  <c r="D905" i="2"/>
  <c r="E905" i="2" s="1"/>
  <c r="C905" i="2"/>
  <c r="B905" i="2"/>
  <c r="J905" i="2"/>
  <c r="I905" i="2"/>
  <c r="K905" i="2" s="1"/>
  <c r="B867" i="2"/>
  <c r="F867" i="2"/>
  <c r="D867" i="2"/>
  <c r="E867" i="2" s="1"/>
  <c r="C867" i="2"/>
  <c r="J867" i="2"/>
  <c r="I867" i="2"/>
  <c r="K867" i="2" s="1"/>
  <c r="G867" i="2"/>
  <c r="H867" i="2"/>
  <c r="J955" i="2"/>
  <c r="I955" i="2"/>
  <c r="K955" i="2" s="1"/>
  <c r="G955" i="2"/>
  <c r="D955" i="2"/>
  <c r="E955" i="2" s="1"/>
  <c r="C955" i="2"/>
  <c r="B955" i="2"/>
  <c r="H955" i="2"/>
  <c r="F955" i="2"/>
  <c r="C911" i="2"/>
  <c r="B911" i="2"/>
  <c r="J911" i="2"/>
  <c r="I911" i="2"/>
  <c r="K911" i="2" s="1"/>
  <c r="H911" i="2"/>
  <c r="G911" i="2"/>
  <c r="F911" i="2"/>
  <c r="D911" i="2"/>
  <c r="E911" i="2" s="1"/>
  <c r="G929" i="2"/>
  <c r="B929" i="2"/>
  <c r="H929" i="2"/>
  <c r="J929" i="2"/>
  <c r="I929" i="2"/>
  <c r="K929" i="2" s="1"/>
  <c r="F929" i="2"/>
  <c r="D929" i="2"/>
  <c r="E929" i="2" s="1"/>
  <c r="C929" i="2"/>
  <c r="D937" i="2"/>
  <c r="E937" i="2" s="1"/>
  <c r="C937" i="2"/>
  <c r="G937" i="2"/>
  <c r="F937" i="2"/>
  <c r="B937" i="2"/>
  <c r="J937" i="2"/>
  <c r="I937" i="2"/>
  <c r="K937" i="2" s="1"/>
  <c r="H937" i="2"/>
  <c r="D983" i="2"/>
  <c r="E983" i="2" s="1"/>
  <c r="C983" i="2"/>
  <c r="B983" i="2"/>
  <c r="J983" i="2"/>
  <c r="I983" i="2"/>
  <c r="K983" i="2" s="1"/>
  <c r="H983" i="2"/>
  <c r="G983" i="2"/>
  <c r="F983" i="2"/>
  <c r="J968" i="2"/>
  <c r="H968" i="2"/>
  <c r="F968" i="2"/>
  <c r="D968" i="2"/>
  <c r="E968" i="2" s="1"/>
  <c r="C968" i="2"/>
  <c r="B968" i="2"/>
  <c r="I968" i="2"/>
  <c r="K968" i="2" s="1"/>
  <c r="G968" i="2"/>
  <c r="C299" i="2"/>
  <c r="D299" i="2" s="1"/>
  <c r="E299" i="2" s="1"/>
  <c r="F299" i="2"/>
  <c r="J299" i="2"/>
  <c r="I299" i="2"/>
  <c r="H299" i="2"/>
  <c r="G299" i="2"/>
  <c r="B299" i="2"/>
  <c r="J168" i="2"/>
  <c r="I168" i="2"/>
  <c r="G168" i="2"/>
  <c r="C168" i="2"/>
  <c r="D168" i="2" s="1"/>
  <c r="E168" i="2" s="1"/>
  <c r="H168" i="2"/>
  <c r="F168" i="2"/>
  <c r="B168" i="2"/>
  <c r="G22" i="2"/>
  <c r="J22" i="2"/>
  <c r="H22" i="2"/>
  <c r="I22" i="2"/>
  <c r="B22" i="2"/>
  <c r="C22" i="2"/>
  <c r="D22" i="2" s="1"/>
  <c r="E22" i="2" s="1"/>
  <c r="F22" i="2"/>
  <c r="J186" i="2"/>
  <c r="H186" i="2"/>
  <c r="F186" i="2"/>
  <c r="C186" i="2"/>
  <c r="D186" i="2" s="1"/>
  <c r="E186" i="2" s="1"/>
  <c r="B186" i="2"/>
  <c r="I186" i="2"/>
  <c r="G186" i="2"/>
  <c r="B184" i="2"/>
  <c r="G184" i="2"/>
  <c r="F184" i="2"/>
  <c r="J184" i="2"/>
  <c r="C184" i="2"/>
  <c r="D184" i="2" s="1"/>
  <c r="E184" i="2" s="1"/>
  <c r="I184" i="2"/>
  <c r="H184" i="2"/>
  <c r="G363" i="2"/>
  <c r="I363" i="2"/>
  <c r="H363" i="2"/>
  <c r="C363" i="2"/>
  <c r="D363" i="2" s="1"/>
  <c r="E363" i="2" s="1"/>
  <c r="B363" i="2"/>
  <c r="J363" i="2"/>
  <c r="F363" i="2"/>
  <c r="H497" i="2"/>
  <c r="G497" i="2"/>
  <c r="F497" i="2"/>
  <c r="D497" i="2"/>
  <c r="E497" i="2" s="1"/>
  <c r="C497" i="2"/>
  <c r="I497" i="2"/>
  <c r="K497" i="2" s="1"/>
  <c r="J497" i="2"/>
  <c r="B497" i="2"/>
  <c r="J144" i="2"/>
  <c r="B144" i="2"/>
  <c r="I144" i="2"/>
  <c r="C144" i="2"/>
  <c r="D144" i="2" s="1"/>
  <c r="E144" i="2" s="1"/>
  <c r="H144" i="2"/>
  <c r="G144" i="2"/>
  <c r="F144" i="2"/>
  <c r="J453" i="2"/>
  <c r="I453" i="2"/>
  <c r="K453" i="2" s="1"/>
  <c r="H453" i="2"/>
  <c r="G453" i="2"/>
  <c r="F453" i="2"/>
  <c r="C453" i="2"/>
  <c r="D453" i="2"/>
  <c r="E453" i="2" s="1"/>
  <c r="B453" i="2"/>
  <c r="H238" i="2"/>
  <c r="G238" i="2"/>
  <c r="B238" i="2"/>
  <c r="J238" i="2"/>
  <c r="I238" i="2"/>
  <c r="F238" i="2"/>
  <c r="C238" i="2"/>
  <c r="D238" i="2" s="1"/>
  <c r="E238" i="2" s="1"/>
  <c r="J308" i="2"/>
  <c r="I308" i="2"/>
  <c r="H308" i="2"/>
  <c r="G308" i="2"/>
  <c r="F308" i="2"/>
  <c r="C308" i="2"/>
  <c r="D308" i="2" s="1"/>
  <c r="E308" i="2" s="1"/>
  <c r="B308" i="2"/>
  <c r="F324" i="2"/>
  <c r="I324" i="2"/>
  <c r="H324" i="2"/>
  <c r="G324" i="2"/>
  <c r="C324" i="2"/>
  <c r="D324" i="2" s="1"/>
  <c r="E324" i="2" s="1"/>
  <c r="B324" i="2"/>
  <c r="J324" i="2"/>
  <c r="F278" i="2"/>
  <c r="C278" i="2"/>
  <c r="D278" i="2" s="1"/>
  <c r="E278" i="2" s="1"/>
  <c r="I278" i="2"/>
  <c r="H278" i="2"/>
  <c r="J278" i="2"/>
  <c r="G278" i="2"/>
  <c r="B278" i="2"/>
  <c r="H300" i="2"/>
  <c r="G300" i="2"/>
  <c r="C300" i="2"/>
  <c r="D300" i="2" s="1"/>
  <c r="E300" i="2" s="1"/>
  <c r="B300" i="2"/>
  <c r="J300" i="2"/>
  <c r="I300" i="2"/>
  <c r="F300" i="2"/>
  <c r="C296" i="2"/>
  <c r="D296" i="2" s="1"/>
  <c r="E296" i="2" s="1"/>
  <c r="B296" i="2"/>
  <c r="J296" i="2"/>
  <c r="F296" i="2"/>
  <c r="I296" i="2"/>
  <c r="H296" i="2"/>
  <c r="G296" i="2"/>
  <c r="J111" i="2"/>
  <c r="B111" i="2"/>
  <c r="G111" i="2"/>
  <c r="F111" i="2"/>
  <c r="I111" i="2"/>
  <c r="H111" i="2"/>
  <c r="C111" i="2"/>
  <c r="D111" i="2" s="1"/>
  <c r="E111" i="2" s="1"/>
  <c r="J255" i="2"/>
  <c r="I255" i="2"/>
  <c r="H255" i="2"/>
  <c r="G255" i="2"/>
  <c r="F255" i="2"/>
  <c r="C255" i="2"/>
  <c r="D255" i="2" s="1"/>
  <c r="E255" i="2" s="1"/>
  <c r="B255" i="2"/>
  <c r="J438" i="2"/>
  <c r="I438" i="2"/>
  <c r="K438" i="2" s="1"/>
  <c r="G438" i="2"/>
  <c r="F438" i="2"/>
  <c r="D438" i="2"/>
  <c r="E438" i="2" s="1"/>
  <c r="H438" i="2"/>
  <c r="C438" i="2"/>
  <c r="B438" i="2"/>
  <c r="F362" i="2"/>
  <c r="G362" i="2"/>
  <c r="C362" i="2"/>
  <c r="D362" i="2" s="1"/>
  <c r="E362" i="2" s="1"/>
  <c r="J362" i="2"/>
  <c r="I362" i="2"/>
  <c r="H362" i="2"/>
  <c r="B362" i="2"/>
  <c r="B515" i="2"/>
  <c r="J515" i="2"/>
  <c r="I515" i="2"/>
  <c r="K515" i="2" s="1"/>
  <c r="H515" i="2"/>
  <c r="G515" i="2"/>
  <c r="F515" i="2"/>
  <c r="D515" i="2"/>
  <c r="E515" i="2" s="1"/>
  <c r="C515" i="2"/>
  <c r="I263" i="2"/>
  <c r="J263" i="2"/>
  <c r="H263" i="2"/>
  <c r="C263" i="2"/>
  <c r="D263" i="2" s="1"/>
  <c r="E263" i="2" s="1"/>
  <c r="G263" i="2"/>
  <c r="F263" i="2"/>
  <c r="B263" i="2"/>
  <c r="F410" i="2"/>
  <c r="B410" i="2"/>
  <c r="G410" i="2"/>
  <c r="C410" i="2"/>
  <c r="D410" i="2" s="1"/>
  <c r="E410" i="2" s="1"/>
  <c r="H410" i="2"/>
  <c r="J410" i="2"/>
  <c r="I410" i="2"/>
  <c r="I372" i="2"/>
  <c r="J372" i="2"/>
  <c r="H372" i="2"/>
  <c r="C372" i="2"/>
  <c r="D372" i="2" s="1"/>
  <c r="E372" i="2" s="1"/>
  <c r="G372" i="2"/>
  <c r="F372" i="2"/>
  <c r="B372" i="2"/>
  <c r="H518" i="2"/>
  <c r="G518" i="2"/>
  <c r="F518" i="2"/>
  <c r="D518" i="2"/>
  <c r="E518" i="2" s="1"/>
  <c r="C518" i="2"/>
  <c r="B518" i="2"/>
  <c r="I518" i="2"/>
  <c r="K518" i="2" s="1"/>
  <c r="J518" i="2"/>
  <c r="H485" i="2"/>
  <c r="J485" i="2"/>
  <c r="I485" i="2"/>
  <c r="K485" i="2" s="1"/>
  <c r="G485" i="2"/>
  <c r="F485" i="2"/>
  <c r="D485" i="2"/>
  <c r="E485" i="2" s="1"/>
  <c r="C485" i="2"/>
  <c r="B485" i="2"/>
  <c r="H404" i="2"/>
  <c r="B404" i="2"/>
  <c r="J404" i="2"/>
  <c r="I404" i="2"/>
  <c r="G404" i="2"/>
  <c r="F404" i="2"/>
  <c r="C404" i="2"/>
  <c r="D404" i="2" s="1"/>
  <c r="E404" i="2" s="1"/>
  <c r="D551" i="2"/>
  <c r="E551" i="2" s="1"/>
  <c r="C551" i="2"/>
  <c r="B551" i="2"/>
  <c r="F551" i="2"/>
  <c r="H551" i="2"/>
  <c r="I551" i="2"/>
  <c r="K551" i="2" s="1"/>
  <c r="G551" i="2"/>
  <c r="J551" i="2"/>
  <c r="B488" i="2"/>
  <c r="F488" i="2"/>
  <c r="D488" i="2"/>
  <c r="E488" i="2" s="1"/>
  <c r="C488" i="2"/>
  <c r="G488" i="2"/>
  <c r="J488" i="2"/>
  <c r="I488" i="2"/>
  <c r="K488" i="2" s="1"/>
  <c r="H488" i="2"/>
  <c r="I450" i="2"/>
  <c r="K450" i="2" s="1"/>
  <c r="D450" i="2"/>
  <c r="E450" i="2" s="1"/>
  <c r="C450" i="2"/>
  <c r="B450" i="2"/>
  <c r="J450" i="2"/>
  <c r="F450" i="2"/>
  <c r="H450" i="2"/>
  <c r="G450" i="2"/>
  <c r="I483" i="2"/>
  <c r="K483" i="2" s="1"/>
  <c r="F483" i="2"/>
  <c r="C483" i="2"/>
  <c r="B483" i="2"/>
  <c r="D483" i="2"/>
  <c r="E483" i="2" s="1"/>
  <c r="J483" i="2"/>
  <c r="H483" i="2"/>
  <c r="G483" i="2"/>
  <c r="B766" i="2"/>
  <c r="G766" i="2"/>
  <c r="D766" i="2"/>
  <c r="E766" i="2" s="1"/>
  <c r="C766" i="2"/>
  <c r="J766" i="2"/>
  <c r="F766" i="2"/>
  <c r="I766" i="2"/>
  <c r="K766" i="2" s="1"/>
  <c r="H766" i="2"/>
  <c r="I321" i="2"/>
  <c r="H321" i="2"/>
  <c r="G321" i="2"/>
  <c r="F321" i="2"/>
  <c r="B321" i="2"/>
  <c r="J321" i="2"/>
  <c r="C321" i="2"/>
  <c r="D321" i="2" s="1"/>
  <c r="E321" i="2" s="1"/>
  <c r="H461" i="2"/>
  <c r="J461" i="2"/>
  <c r="B461" i="2"/>
  <c r="I461" i="2"/>
  <c r="K461" i="2" s="1"/>
  <c r="G461" i="2"/>
  <c r="F461" i="2"/>
  <c r="D461" i="2"/>
  <c r="E461" i="2" s="1"/>
  <c r="C461" i="2"/>
  <c r="J555" i="2"/>
  <c r="I555" i="2"/>
  <c r="K555" i="2" s="1"/>
  <c r="C555" i="2"/>
  <c r="B555" i="2"/>
  <c r="F555" i="2"/>
  <c r="D555" i="2"/>
  <c r="E555" i="2" s="1"/>
  <c r="H555" i="2"/>
  <c r="G555" i="2"/>
  <c r="J454" i="2"/>
  <c r="I454" i="2"/>
  <c r="K454" i="2" s="1"/>
  <c r="H454" i="2"/>
  <c r="G454" i="2"/>
  <c r="F454" i="2"/>
  <c r="B454" i="2"/>
  <c r="D454" i="2"/>
  <c r="E454" i="2" s="1"/>
  <c r="C454" i="2"/>
  <c r="C644" i="2"/>
  <c r="I644" i="2"/>
  <c r="K644" i="2" s="1"/>
  <c r="H644" i="2"/>
  <c r="G644" i="2"/>
  <c r="F644" i="2"/>
  <c r="J644" i="2"/>
  <c r="D644" i="2"/>
  <c r="E644" i="2" s="1"/>
  <c r="B644" i="2"/>
  <c r="B548" i="2"/>
  <c r="C548" i="2"/>
  <c r="J548" i="2"/>
  <c r="I548" i="2"/>
  <c r="K548" i="2" s="1"/>
  <c r="H548" i="2"/>
  <c r="G548" i="2"/>
  <c r="D548" i="2"/>
  <c r="E548" i="2" s="1"/>
  <c r="F548" i="2"/>
  <c r="J511" i="2"/>
  <c r="I511" i="2"/>
  <c r="K511" i="2" s="1"/>
  <c r="H511" i="2"/>
  <c r="G511" i="2"/>
  <c r="F511" i="2"/>
  <c r="D511" i="2"/>
  <c r="E511" i="2" s="1"/>
  <c r="C511" i="2"/>
  <c r="B511" i="2"/>
  <c r="C572" i="2"/>
  <c r="I572" i="2"/>
  <c r="K572" i="2" s="1"/>
  <c r="D572" i="2"/>
  <c r="E572" i="2" s="1"/>
  <c r="B572" i="2"/>
  <c r="F572" i="2"/>
  <c r="J572" i="2"/>
  <c r="G572" i="2"/>
  <c r="H572" i="2"/>
  <c r="H704" i="2"/>
  <c r="G704" i="2"/>
  <c r="F704" i="2"/>
  <c r="D704" i="2"/>
  <c r="E704" i="2" s="1"/>
  <c r="C704" i="2"/>
  <c r="I704" i="2"/>
  <c r="K704" i="2" s="1"/>
  <c r="B704" i="2"/>
  <c r="J704" i="2"/>
  <c r="I641" i="2"/>
  <c r="K641" i="2" s="1"/>
  <c r="J641" i="2"/>
  <c r="B641" i="2"/>
  <c r="F641" i="2"/>
  <c r="D641" i="2"/>
  <c r="E641" i="2" s="1"/>
  <c r="C641" i="2"/>
  <c r="G641" i="2"/>
  <c r="H641" i="2"/>
  <c r="J651" i="2"/>
  <c r="G651" i="2"/>
  <c r="D651" i="2"/>
  <c r="E651" i="2" s="1"/>
  <c r="C651" i="2"/>
  <c r="B651" i="2"/>
  <c r="H651" i="2"/>
  <c r="F651" i="2"/>
  <c r="I651" i="2"/>
  <c r="K651" i="2" s="1"/>
  <c r="G691" i="2"/>
  <c r="D691" i="2"/>
  <c r="E691" i="2" s="1"/>
  <c r="C691" i="2"/>
  <c r="B691" i="2"/>
  <c r="I691" i="2"/>
  <c r="K691" i="2" s="1"/>
  <c r="H691" i="2"/>
  <c r="F691" i="2"/>
  <c r="J691" i="2"/>
  <c r="J604" i="2"/>
  <c r="H604" i="2"/>
  <c r="G604" i="2"/>
  <c r="F604" i="2"/>
  <c r="B604" i="2"/>
  <c r="I604" i="2"/>
  <c r="K604" i="2" s="1"/>
  <c r="D604" i="2"/>
  <c r="E604" i="2" s="1"/>
  <c r="C604" i="2"/>
  <c r="H751" i="2"/>
  <c r="G751" i="2"/>
  <c r="F751" i="2"/>
  <c r="D751" i="2"/>
  <c r="E751" i="2" s="1"/>
  <c r="C751" i="2"/>
  <c r="B751" i="2"/>
  <c r="J751" i="2"/>
  <c r="I751" i="2"/>
  <c r="K751" i="2" s="1"/>
  <c r="J739" i="2"/>
  <c r="I739" i="2"/>
  <c r="K739" i="2" s="1"/>
  <c r="H739" i="2"/>
  <c r="G739" i="2"/>
  <c r="F739" i="2"/>
  <c r="D739" i="2"/>
  <c r="E739" i="2" s="1"/>
  <c r="B739" i="2"/>
  <c r="C739" i="2"/>
  <c r="D618" i="2"/>
  <c r="E618" i="2" s="1"/>
  <c r="C618" i="2"/>
  <c r="B618" i="2"/>
  <c r="J618" i="2"/>
  <c r="I618" i="2"/>
  <c r="K618" i="2" s="1"/>
  <c r="H618" i="2"/>
  <c r="G618" i="2"/>
  <c r="F618" i="2"/>
  <c r="F714" i="2"/>
  <c r="D714" i="2"/>
  <c r="E714" i="2" s="1"/>
  <c r="C714" i="2"/>
  <c r="B714" i="2"/>
  <c r="G714" i="2"/>
  <c r="J714" i="2"/>
  <c r="I714" i="2"/>
  <c r="K714" i="2" s="1"/>
  <c r="H714" i="2"/>
  <c r="G746" i="2"/>
  <c r="F746" i="2"/>
  <c r="D746" i="2"/>
  <c r="E746" i="2" s="1"/>
  <c r="C746" i="2"/>
  <c r="B746" i="2"/>
  <c r="J746" i="2"/>
  <c r="I746" i="2"/>
  <c r="K746" i="2" s="1"/>
  <c r="H746" i="2"/>
  <c r="D732" i="2"/>
  <c r="E732" i="2" s="1"/>
  <c r="C732" i="2"/>
  <c r="B732" i="2"/>
  <c r="G732" i="2"/>
  <c r="F732" i="2"/>
  <c r="H732" i="2"/>
  <c r="I732" i="2"/>
  <c r="K732" i="2" s="1"/>
  <c r="J732" i="2"/>
  <c r="B722" i="2"/>
  <c r="J722" i="2"/>
  <c r="I722" i="2"/>
  <c r="K722" i="2" s="1"/>
  <c r="H722" i="2"/>
  <c r="G722" i="2"/>
  <c r="F722" i="2"/>
  <c r="D722" i="2"/>
  <c r="E722" i="2" s="1"/>
  <c r="C722" i="2"/>
  <c r="C791" i="2"/>
  <c r="G791" i="2"/>
  <c r="H791" i="2"/>
  <c r="F791" i="2"/>
  <c r="D791" i="2"/>
  <c r="E791" i="2" s="1"/>
  <c r="B791" i="2"/>
  <c r="J791" i="2"/>
  <c r="I791" i="2"/>
  <c r="K791" i="2" s="1"/>
  <c r="D776" i="2"/>
  <c r="E776" i="2" s="1"/>
  <c r="F776" i="2"/>
  <c r="C776" i="2"/>
  <c r="B776" i="2"/>
  <c r="J776" i="2"/>
  <c r="H776" i="2"/>
  <c r="G776" i="2"/>
  <c r="I776" i="2"/>
  <c r="K776" i="2" s="1"/>
  <c r="C764" i="2"/>
  <c r="B764" i="2"/>
  <c r="J764" i="2"/>
  <c r="I764" i="2"/>
  <c r="K764" i="2" s="1"/>
  <c r="H764" i="2"/>
  <c r="F764" i="2"/>
  <c r="G764" i="2"/>
  <c r="D764" i="2"/>
  <c r="E764" i="2" s="1"/>
  <c r="G783" i="2"/>
  <c r="J783" i="2"/>
  <c r="F783" i="2"/>
  <c r="D783" i="2"/>
  <c r="E783" i="2" s="1"/>
  <c r="C783" i="2"/>
  <c r="B783" i="2"/>
  <c r="H783" i="2"/>
  <c r="I783" i="2"/>
  <c r="K783" i="2" s="1"/>
  <c r="G986" i="2"/>
  <c r="F986" i="2"/>
  <c r="D986" i="2"/>
  <c r="E986" i="2" s="1"/>
  <c r="C986" i="2"/>
  <c r="B986" i="2"/>
  <c r="J986" i="2"/>
  <c r="I986" i="2"/>
  <c r="K986" i="2" s="1"/>
  <c r="H986" i="2"/>
  <c r="J885" i="2"/>
  <c r="I885" i="2"/>
  <c r="K885" i="2" s="1"/>
  <c r="G885" i="2"/>
  <c r="H885" i="2"/>
  <c r="F885" i="2"/>
  <c r="B885" i="2"/>
  <c r="D885" i="2"/>
  <c r="E885" i="2" s="1"/>
  <c r="C885" i="2"/>
  <c r="J801" i="2"/>
  <c r="F801" i="2"/>
  <c r="D801" i="2"/>
  <c r="E801" i="2" s="1"/>
  <c r="C801" i="2"/>
  <c r="B801" i="2"/>
  <c r="I801" i="2"/>
  <c r="K801" i="2" s="1"/>
  <c r="H801" i="2"/>
  <c r="G801" i="2"/>
  <c r="J812" i="2"/>
  <c r="I812" i="2"/>
  <c r="K812" i="2" s="1"/>
  <c r="G812" i="2"/>
  <c r="F812" i="2"/>
  <c r="B812" i="2"/>
  <c r="C812" i="2"/>
  <c r="H812" i="2"/>
  <c r="D812" i="2"/>
  <c r="E812" i="2" s="1"/>
  <c r="J852" i="2"/>
  <c r="I852" i="2"/>
  <c r="K852" i="2" s="1"/>
  <c r="B852" i="2"/>
  <c r="H852" i="2"/>
  <c r="G852" i="2"/>
  <c r="F852" i="2"/>
  <c r="D852" i="2"/>
  <c r="E852" i="2" s="1"/>
  <c r="C852" i="2"/>
  <c r="G962" i="2"/>
  <c r="D962" i="2"/>
  <c r="E962" i="2" s="1"/>
  <c r="B962" i="2"/>
  <c r="J962" i="2"/>
  <c r="I962" i="2"/>
  <c r="K962" i="2" s="1"/>
  <c r="H962" i="2"/>
  <c r="F962" i="2"/>
  <c r="C962" i="2"/>
  <c r="F881" i="2"/>
  <c r="C881" i="2"/>
  <c r="D881" i="2"/>
  <c r="E881" i="2" s="1"/>
  <c r="J881" i="2"/>
  <c r="I881" i="2"/>
  <c r="K881" i="2" s="1"/>
  <c r="H881" i="2"/>
  <c r="G881" i="2"/>
  <c r="B881" i="2"/>
  <c r="B914" i="2"/>
  <c r="I914" i="2"/>
  <c r="K914" i="2" s="1"/>
  <c r="H914" i="2"/>
  <c r="G914" i="2"/>
  <c r="F914" i="2"/>
  <c r="D914" i="2"/>
  <c r="E914" i="2" s="1"/>
  <c r="C914" i="2"/>
  <c r="J914" i="2"/>
  <c r="J879" i="2"/>
  <c r="I879" i="2"/>
  <c r="K879" i="2" s="1"/>
  <c r="H879" i="2"/>
  <c r="G879" i="2"/>
  <c r="F879" i="2"/>
  <c r="D879" i="2"/>
  <c r="E879" i="2" s="1"/>
  <c r="B879" i="2"/>
  <c r="C879" i="2"/>
  <c r="H963" i="2"/>
  <c r="F963" i="2"/>
  <c r="C963" i="2"/>
  <c r="I963" i="2"/>
  <c r="K963" i="2" s="1"/>
  <c r="G963" i="2"/>
  <c r="D963" i="2"/>
  <c r="E963" i="2" s="1"/>
  <c r="B963" i="2"/>
  <c r="J963" i="2"/>
  <c r="I933" i="2"/>
  <c r="K933" i="2" s="1"/>
  <c r="C933" i="2"/>
  <c r="B933" i="2"/>
  <c r="J933" i="2"/>
  <c r="H933" i="2"/>
  <c r="G933" i="2"/>
  <c r="F933" i="2"/>
  <c r="D933" i="2"/>
  <c r="E933" i="2" s="1"/>
  <c r="I952" i="2"/>
  <c r="K952" i="2" s="1"/>
  <c r="G952" i="2"/>
  <c r="F952" i="2"/>
  <c r="D952" i="2"/>
  <c r="E952" i="2" s="1"/>
  <c r="B952" i="2"/>
  <c r="J952" i="2"/>
  <c r="H952" i="2"/>
  <c r="C952" i="2"/>
  <c r="F949" i="2"/>
  <c r="D949" i="2"/>
  <c r="E949" i="2" s="1"/>
  <c r="C949" i="2"/>
  <c r="J949" i="2"/>
  <c r="I949" i="2"/>
  <c r="K949" i="2" s="1"/>
  <c r="H949" i="2"/>
  <c r="G949" i="2"/>
  <c r="B949" i="2"/>
  <c r="D995" i="2"/>
  <c r="E995" i="2" s="1"/>
  <c r="C995" i="2"/>
  <c r="B995" i="2"/>
  <c r="J995" i="2"/>
  <c r="I995" i="2"/>
  <c r="K995" i="2" s="1"/>
  <c r="H995" i="2"/>
  <c r="G995" i="2"/>
  <c r="F995" i="2"/>
  <c r="J980" i="2"/>
  <c r="H980" i="2"/>
  <c r="I980" i="2"/>
  <c r="K980" i="2" s="1"/>
  <c r="G980" i="2"/>
  <c r="F980" i="2"/>
  <c r="D980" i="2"/>
  <c r="E980" i="2" s="1"/>
  <c r="C980" i="2"/>
  <c r="B980" i="2"/>
  <c r="J81" i="2"/>
  <c r="B81" i="2"/>
  <c r="H81" i="2"/>
  <c r="I81" i="2"/>
  <c r="G81" i="2"/>
  <c r="F81" i="2"/>
  <c r="C81" i="2"/>
  <c r="D81" i="2" s="1"/>
  <c r="E81" i="2" s="1"/>
  <c r="B35" i="2"/>
  <c r="I35" i="2"/>
  <c r="H35" i="2"/>
  <c r="J35" i="2"/>
  <c r="C35" i="2"/>
  <c r="D35" i="2" s="1"/>
  <c r="E35" i="2" s="1"/>
  <c r="G35" i="2"/>
  <c r="F35" i="2"/>
  <c r="B10" i="2"/>
  <c r="I10" i="2"/>
  <c r="J10" i="2"/>
  <c r="H10" i="2"/>
  <c r="C10" i="2"/>
  <c r="D10" i="2" s="1"/>
  <c r="E10" i="2" s="1"/>
  <c r="G10" i="2"/>
  <c r="F10" i="2"/>
  <c r="G269" i="2"/>
  <c r="I269" i="2"/>
  <c r="C269" i="2"/>
  <c r="D269" i="2" s="1"/>
  <c r="E269" i="2" s="1"/>
  <c r="J269" i="2"/>
  <c r="H269" i="2"/>
  <c r="F269" i="2"/>
  <c r="B269" i="2"/>
  <c r="B406" i="2"/>
  <c r="J406" i="2"/>
  <c r="C406" i="2"/>
  <c r="D406" i="2" s="1"/>
  <c r="E406" i="2" s="1"/>
  <c r="I406" i="2"/>
  <c r="G406" i="2"/>
  <c r="F406" i="2"/>
  <c r="H406" i="2"/>
  <c r="I107" i="2"/>
  <c r="C107" i="2"/>
  <c r="D107" i="2" s="1"/>
  <c r="E107" i="2" s="1"/>
  <c r="B107" i="2"/>
  <c r="F107" i="2"/>
  <c r="H107" i="2"/>
  <c r="G107" i="2"/>
  <c r="J107" i="2"/>
  <c r="H214" i="2"/>
  <c r="G214" i="2"/>
  <c r="I214" i="2"/>
  <c r="F214" i="2"/>
  <c r="J214" i="2"/>
  <c r="C214" i="2"/>
  <c r="D214" i="2" s="1"/>
  <c r="E214" i="2" s="1"/>
  <c r="B214" i="2"/>
  <c r="J295" i="2"/>
  <c r="I295" i="2"/>
  <c r="H295" i="2"/>
  <c r="G295" i="2"/>
  <c r="F295" i="2"/>
  <c r="B295" i="2"/>
  <c r="C295" i="2"/>
  <c r="D295" i="2" s="1"/>
  <c r="E295" i="2" s="1"/>
  <c r="F127" i="2"/>
  <c r="I127" i="2"/>
  <c r="C127" i="2"/>
  <c r="D127" i="2" s="1"/>
  <c r="E127" i="2" s="1"/>
  <c r="J127" i="2"/>
  <c r="H127" i="2"/>
  <c r="G127" i="2"/>
  <c r="B127" i="2"/>
  <c r="A9" i="5"/>
  <c r="F28" i="7" s="1"/>
  <c r="H27" i="7" l="1"/>
  <c r="O33" i="7" s="1"/>
  <c r="Q39" i="7"/>
  <c r="N32" i="7"/>
  <c r="Q40" i="7"/>
  <c r="N33" i="7"/>
  <c r="Q41" i="7"/>
  <c r="N34" i="7"/>
  <c r="H26" i="7"/>
  <c r="K34" i="2"/>
  <c r="K173" i="2"/>
  <c r="K148" i="2"/>
  <c r="K7" i="2"/>
  <c r="K250" i="2"/>
  <c r="K95" i="2"/>
  <c r="K98" i="2"/>
  <c r="K70" i="2"/>
  <c r="K45" i="2"/>
  <c r="K8" i="2"/>
  <c r="K152" i="2"/>
  <c r="K130" i="2"/>
  <c r="K6" i="2"/>
  <c r="K54" i="2"/>
  <c r="K355" i="2"/>
  <c r="K90" i="2"/>
  <c r="K46" i="2"/>
  <c r="K369" i="2"/>
  <c r="K242" i="2"/>
  <c r="K71" i="2"/>
  <c r="K185" i="2"/>
  <c r="K4" i="2"/>
  <c r="K59" i="2"/>
  <c r="K26" i="2"/>
  <c r="K378" i="2"/>
  <c r="K74" i="2"/>
  <c r="K43" i="2"/>
  <c r="K21" i="2"/>
  <c r="K262" i="2"/>
  <c r="K197" i="2"/>
  <c r="K158" i="2"/>
  <c r="K276" i="2"/>
  <c r="K27" i="2"/>
  <c r="K113" i="2"/>
  <c r="K36" i="2"/>
  <c r="K18" i="2"/>
  <c r="K304" i="2"/>
  <c r="K403" i="2"/>
  <c r="K39" i="2"/>
  <c r="K312" i="2"/>
  <c r="K53" i="2"/>
  <c r="K154" i="2"/>
  <c r="K105" i="2"/>
  <c r="K89" i="2"/>
  <c r="K172" i="2"/>
  <c r="K351" i="2"/>
  <c r="K392" i="2"/>
  <c r="K129" i="2"/>
  <c r="K9" i="2"/>
  <c r="K79" i="2"/>
  <c r="K65" i="2"/>
  <c r="K202" i="2"/>
  <c r="K191" i="2"/>
  <c r="K49" i="2"/>
  <c r="K344" i="2"/>
  <c r="K325" i="2"/>
  <c r="K382" i="2"/>
  <c r="K102" i="2"/>
  <c r="K99" i="2"/>
  <c r="K213" i="2"/>
  <c r="K411" i="2"/>
  <c r="K354" i="2"/>
  <c r="K40" i="2"/>
  <c r="K124" i="2"/>
  <c r="K343" i="2"/>
  <c r="K302" i="2"/>
  <c r="K358" i="2"/>
  <c r="K384" i="2"/>
  <c r="K365" i="2"/>
  <c r="K32" i="2"/>
  <c r="K157" i="2"/>
  <c r="K51" i="2"/>
  <c r="C9" i="5" a="1"/>
  <c r="C9" i="5" s="1"/>
  <c r="D9" i="5" a="1"/>
  <c r="D9" i="5" s="1"/>
  <c r="K58" i="2"/>
  <c r="K316" i="2"/>
  <c r="K81" i="2"/>
  <c r="K186" i="2"/>
  <c r="K84" i="2"/>
  <c r="K223" i="2"/>
  <c r="K258" i="2"/>
  <c r="K322" i="2"/>
  <c r="K225" i="2"/>
  <c r="K253" i="2"/>
  <c r="K69" i="2"/>
  <c r="K267" i="2"/>
  <c r="K286" i="2"/>
  <c r="K104" i="2"/>
  <c r="K204" i="2"/>
  <c r="K76" i="2"/>
  <c r="K228" i="2"/>
  <c r="K118" i="2"/>
  <c r="K25" i="2"/>
  <c r="K15" i="2"/>
  <c r="K160" i="2"/>
  <c r="K260" i="2"/>
  <c r="K109" i="2"/>
  <c r="K333" i="2"/>
  <c r="K180" i="2"/>
  <c r="K395" i="2"/>
  <c r="K416" i="2"/>
  <c r="K340" i="2"/>
  <c r="K96" i="2"/>
  <c r="K153" i="2"/>
  <c r="K218" i="2"/>
  <c r="K222" i="2"/>
  <c r="K66" i="2"/>
  <c r="K112" i="2"/>
  <c r="K210" i="2"/>
  <c r="K413" i="2"/>
  <c r="K72" i="2"/>
  <c r="K387" i="2"/>
  <c r="K332" i="2"/>
  <c r="K265" i="2"/>
  <c r="K279" i="2"/>
  <c r="K252" i="2"/>
  <c r="K11" i="2"/>
  <c r="K334" i="2"/>
  <c r="K123" i="2"/>
  <c r="K367" i="2"/>
  <c r="K133" i="2"/>
  <c r="K63" i="2"/>
  <c r="K75" i="2"/>
  <c r="K299" i="2"/>
  <c r="K61" i="2"/>
  <c r="K277" i="2"/>
  <c r="K149" i="2"/>
  <c r="K335" i="2"/>
  <c r="K356" i="2"/>
  <c r="K348" i="2"/>
  <c r="K388" i="2"/>
  <c r="K352" i="2"/>
  <c r="K78" i="2"/>
  <c r="K421" i="2"/>
  <c r="K126" i="2"/>
  <c r="K285" i="2"/>
  <c r="K248" i="2"/>
  <c r="K417" i="2"/>
  <c r="K244" i="2"/>
  <c r="K423" i="2"/>
  <c r="K323" i="2"/>
  <c r="K287" i="2"/>
  <c r="K82" i="2"/>
  <c r="K55" i="2"/>
  <c r="K17" i="2"/>
  <c r="K115" i="2"/>
  <c r="K231" i="2"/>
  <c r="K42" i="2"/>
  <c r="K187" i="2"/>
  <c r="K360" i="2"/>
  <c r="K135" i="2"/>
  <c r="K391" i="2"/>
  <c r="K229" i="2"/>
  <c r="K306" i="2"/>
  <c r="K314" i="2"/>
  <c r="K37" i="2"/>
  <c r="K38" i="2"/>
  <c r="K100" i="2"/>
  <c r="K103" i="2"/>
  <c r="K259" i="2"/>
  <c r="K412" i="2"/>
  <c r="K398" i="2"/>
  <c r="K405" i="2"/>
  <c r="K131" i="2"/>
  <c r="K342" i="2"/>
  <c r="K240" i="2"/>
  <c r="K44" i="2"/>
  <c r="K209" i="2"/>
  <c r="K305" i="2"/>
  <c r="K127" i="2"/>
  <c r="K10" i="2"/>
  <c r="K404" i="2"/>
  <c r="K296" i="2"/>
  <c r="K238" i="2"/>
  <c r="K169" i="2"/>
  <c r="K397" i="2"/>
  <c r="K29" i="2"/>
  <c r="K68" i="2"/>
  <c r="K88" i="2"/>
  <c r="K230" i="2"/>
  <c r="K247" i="2"/>
  <c r="K363" i="2"/>
  <c r="K241" i="2"/>
  <c r="K162" i="2"/>
  <c r="K349" i="2"/>
  <c r="K329" i="2"/>
  <c r="K393" i="2"/>
  <c r="K291" i="2"/>
  <c r="K134" i="2"/>
  <c r="K150" i="2"/>
  <c r="K19" i="2"/>
  <c r="K313" i="2"/>
  <c r="K394" i="2"/>
  <c r="K142" i="2"/>
  <c r="K116" i="2"/>
  <c r="K182" i="2"/>
  <c r="K330" i="2"/>
  <c r="K196" i="2"/>
  <c r="K282" i="2"/>
  <c r="K188" i="2"/>
  <c r="K87" i="2"/>
  <c r="K30" i="2"/>
  <c r="K35" i="2"/>
  <c r="K353" i="2"/>
  <c r="K293" i="2"/>
  <c r="K275" i="2"/>
  <c r="K290" i="2"/>
  <c r="K271" i="2"/>
  <c r="K350" i="2"/>
  <c r="K281" i="2"/>
  <c r="K301" i="2"/>
  <c r="K203" i="2"/>
  <c r="K108" i="2"/>
  <c r="K5" i="2"/>
  <c r="K92" i="2"/>
  <c r="K33" i="2"/>
  <c r="K155" i="2"/>
  <c r="K214" i="2"/>
  <c r="K321" i="2"/>
  <c r="K278" i="2"/>
  <c r="K396" i="2"/>
  <c r="K138" i="2"/>
  <c r="K311" i="2"/>
  <c r="K215" i="2"/>
  <c r="K346" i="2"/>
  <c r="K232" i="2"/>
  <c r="K399" i="2"/>
  <c r="K91" i="2"/>
  <c r="K164" i="2"/>
  <c r="K93" i="2"/>
  <c r="K176" i="2"/>
  <c r="K47" i="2"/>
  <c r="K327" i="2"/>
  <c r="K120" i="2"/>
  <c r="K205" i="2"/>
  <c r="K283" i="2"/>
  <c r="K318" i="2"/>
  <c r="K199" i="2"/>
  <c r="K331" i="2"/>
  <c r="K128" i="2"/>
  <c r="K339" i="2"/>
  <c r="K23" i="2"/>
  <c r="E12" i="2"/>
  <c r="E7" i="4"/>
  <c r="B5" i="4"/>
  <c r="E5" i="4"/>
  <c r="A6" i="3" a="1"/>
  <c r="E9" i="4"/>
  <c r="B15" i="4"/>
  <c r="C45" i="7" s="1"/>
  <c r="E10" i="4"/>
  <c r="E10" i="6" a="1"/>
  <c r="E6" i="4"/>
  <c r="B4" i="4"/>
  <c r="E4" i="4"/>
  <c r="K300" i="2"/>
  <c r="K184" i="2"/>
  <c r="K309" i="2"/>
  <c r="K402" i="2"/>
  <c r="K257" i="2"/>
  <c r="K181" i="2"/>
  <c r="K119" i="2"/>
  <c r="K246" i="2"/>
  <c r="K236" i="2"/>
  <c r="K206" i="2"/>
  <c r="K414" i="2"/>
  <c r="K364" i="2"/>
  <c r="K156" i="2"/>
  <c r="K83" i="2"/>
  <c r="K235" i="2"/>
  <c r="K163" i="2"/>
  <c r="K371" i="2"/>
  <c r="B14" i="4"/>
  <c r="C44" i="7" s="1"/>
  <c r="K243" i="2"/>
  <c r="K24" i="2"/>
  <c r="K190" i="2"/>
  <c r="K226" i="2"/>
  <c r="K161" i="2"/>
  <c r="K274" i="2"/>
  <c r="K146" i="2"/>
  <c r="K337" i="2"/>
  <c r="K377" i="2"/>
  <c r="K136" i="2"/>
  <c r="K401" i="2"/>
  <c r="K366" i="2"/>
  <c r="K338" i="2"/>
  <c r="K193" i="2"/>
  <c r="K288" i="2"/>
  <c r="K139" i="2"/>
  <c r="K77" i="2"/>
  <c r="K147" i="2"/>
  <c r="K16" i="2"/>
  <c r="K107" i="2"/>
  <c r="K408" i="2"/>
  <c r="K380" i="2"/>
  <c r="K234" i="2"/>
  <c r="K207" i="2"/>
  <c r="K94" i="2"/>
  <c r="K289" i="2"/>
  <c r="K67" i="2"/>
  <c r="K239" i="2"/>
  <c r="K227" i="2"/>
  <c r="K385" i="2"/>
  <c r="K237" i="2"/>
  <c r="K41" i="2"/>
  <c r="K48" i="2"/>
  <c r="K415" i="2"/>
  <c r="K345" i="2"/>
  <c r="K141" i="2"/>
  <c r="K389" i="2"/>
  <c r="K194" i="2"/>
  <c r="K212" i="2"/>
  <c r="K220" i="2"/>
  <c r="K200" i="2"/>
  <c r="K144" i="2"/>
  <c r="K101" i="2"/>
  <c r="K375" i="2"/>
  <c r="K284" i="2"/>
  <c r="K249" i="2"/>
  <c r="K370" i="2"/>
  <c r="K326" i="2"/>
  <c r="K86" i="2"/>
  <c r="K73" i="2"/>
  <c r="K319" i="2"/>
  <c r="K269" i="2"/>
  <c r="K372" i="2"/>
  <c r="K255" i="2"/>
  <c r="K308" i="2"/>
  <c r="K168" i="2"/>
  <c r="K151" i="2"/>
  <c r="K373" i="2"/>
  <c r="K261" i="2"/>
  <c r="K347" i="2"/>
  <c r="K175" i="2"/>
  <c r="K359" i="2"/>
  <c r="K292" i="2"/>
  <c r="K170" i="2"/>
  <c r="K60" i="2"/>
  <c r="K211" i="2"/>
  <c r="K407" i="2"/>
  <c r="K317" i="2"/>
  <c r="K52" i="2"/>
  <c r="K307" i="2"/>
  <c r="K143" i="2"/>
  <c r="K221" i="2"/>
  <c r="K117" i="2"/>
  <c r="K341" i="2"/>
  <c r="K12" i="2"/>
  <c r="K418" i="2"/>
  <c r="K106" i="2"/>
  <c r="K361" i="2"/>
  <c r="K174" i="2"/>
  <c r="K406" i="2"/>
  <c r="K22" i="2"/>
  <c r="K328" i="2"/>
  <c r="K268" i="2"/>
  <c r="K178" i="2"/>
  <c r="K376" i="2"/>
  <c r="K419" i="2"/>
  <c r="K251" i="2"/>
  <c r="K386" i="2"/>
  <c r="K273" i="2"/>
  <c r="K295" i="2"/>
  <c r="K410" i="2"/>
  <c r="K324" i="2"/>
  <c r="K297" i="2"/>
  <c r="K280" i="2"/>
  <c r="K400" i="2"/>
  <c r="K264" i="2"/>
  <c r="K219" i="2"/>
  <c r="K266" i="2"/>
  <c r="K320" i="2"/>
  <c r="K383" i="2"/>
  <c r="K409" i="2"/>
  <c r="K303" i="2"/>
  <c r="K390" i="2"/>
  <c r="K381" i="2"/>
  <c r="K198" i="2"/>
  <c r="K171" i="2"/>
  <c r="K189" i="2"/>
  <c r="K216" i="2"/>
  <c r="K233" i="2"/>
  <c r="K420" i="2"/>
  <c r="K195" i="2"/>
  <c r="K183" i="2"/>
  <c r="K208" i="2"/>
  <c r="K125" i="2"/>
  <c r="K270" i="2"/>
  <c r="K315" i="2"/>
  <c r="K245" i="2"/>
  <c r="K357" i="2"/>
  <c r="K310" i="2"/>
  <c r="K192" i="2"/>
  <c r="K263" i="2"/>
  <c r="K362" i="2"/>
  <c r="K111" i="2"/>
  <c r="K165" i="2"/>
  <c r="K167" i="2"/>
  <c r="K97" i="2"/>
  <c r="K224" i="2"/>
  <c r="K256" i="2"/>
  <c r="K254" i="2"/>
  <c r="K374" i="2"/>
  <c r="K122" i="2"/>
  <c r="K336" i="2"/>
  <c r="K159" i="2"/>
  <c r="K298" i="2"/>
  <c r="K368" i="2"/>
  <c r="C52" i="3"/>
  <c r="B52" i="3"/>
  <c r="D52" i="3" s="1"/>
  <c r="I52" i="3" s="1"/>
  <c r="A10" i="5"/>
  <c r="F29" i="7" s="1"/>
  <c r="F7" i="5" l="1"/>
  <c r="I26" i="7" s="1"/>
  <c r="R40" i="7"/>
  <c r="B17" i="3"/>
  <c r="E9" i="5"/>
  <c r="B6" i="4"/>
  <c r="Q42" i="7"/>
  <c r="N35" i="7"/>
  <c r="R39" i="7"/>
  <c r="O32" i="7"/>
  <c r="S39" i="7"/>
  <c r="P32" i="7"/>
  <c r="B22" i="3"/>
  <c r="D22" i="3" s="1"/>
  <c r="H22" i="3" s="1"/>
  <c r="F8" i="5"/>
  <c r="E11" i="4"/>
  <c r="C10" i="5" a="1"/>
  <c r="C10" i="5" s="1"/>
  <c r="D10" i="5" a="1"/>
  <c r="D10" i="5" s="1"/>
  <c r="B9" i="4"/>
  <c r="D27" i="4" s="1"/>
  <c r="E8" i="4"/>
  <c r="B38" i="3"/>
  <c r="D38" i="3" s="1"/>
  <c r="H38" i="3" s="1"/>
  <c r="C10" i="3"/>
  <c r="B41" i="3"/>
  <c r="D41" i="3" s="1"/>
  <c r="H41" i="3" s="1"/>
  <c r="C23" i="3"/>
  <c r="B47" i="3"/>
  <c r="D47" i="3" s="1"/>
  <c r="H47" i="3" s="1"/>
  <c r="C47" i="3"/>
  <c r="B27" i="3"/>
  <c r="D27" i="3" s="1"/>
  <c r="H27" i="3" s="1"/>
  <c r="C17" i="3"/>
  <c r="B34" i="3"/>
  <c r="D34" i="3" s="1"/>
  <c r="E34" i="3" s="1"/>
  <c r="F34" i="3" s="1"/>
  <c r="B33" i="3"/>
  <c r="D33" i="3" s="1"/>
  <c r="E33" i="3" s="1"/>
  <c r="F33" i="3" s="1"/>
  <c r="B45" i="3"/>
  <c r="D45" i="3" s="1"/>
  <c r="H45" i="3" s="1"/>
  <c r="B19" i="3"/>
  <c r="D19" i="3" s="1"/>
  <c r="E19" i="3" s="1"/>
  <c r="B26" i="3"/>
  <c r="D26" i="3" s="1"/>
  <c r="E26" i="3" s="1"/>
  <c r="B15" i="3"/>
  <c r="D15" i="3" s="1"/>
  <c r="F15" i="3" s="1"/>
  <c r="B21" i="3"/>
  <c r="D21" i="3" s="1"/>
  <c r="H21" i="3" s="1"/>
  <c r="B24" i="3"/>
  <c r="D24" i="3" s="1"/>
  <c r="E24" i="3" s="1"/>
  <c r="F24" i="3" s="1"/>
  <c r="E10" i="6"/>
  <c r="F85" i="6"/>
  <c r="G85" i="6" s="1"/>
  <c r="F83" i="6"/>
  <c r="G83" i="6" s="1"/>
  <c r="F59" i="6"/>
  <c r="G59" i="6" s="1"/>
  <c r="F47" i="6"/>
  <c r="G47" i="6" s="1"/>
  <c r="F29" i="6"/>
  <c r="G29" i="6" s="1"/>
  <c r="F82" i="6"/>
  <c r="G82" i="6" s="1"/>
  <c r="F40" i="6"/>
  <c r="G40" i="6" s="1"/>
  <c r="F28" i="6"/>
  <c r="G28" i="6" s="1"/>
  <c r="F78" i="6"/>
  <c r="G78" i="6" s="1"/>
  <c r="F72" i="6"/>
  <c r="G72" i="6" s="1"/>
  <c r="F66" i="6"/>
  <c r="G66" i="6" s="1"/>
  <c r="F60" i="6"/>
  <c r="G60" i="6" s="1"/>
  <c r="F54" i="6"/>
  <c r="G54" i="6" s="1"/>
  <c r="F48" i="6"/>
  <c r="G48" i="6" s="1"/>
  <c r="F42" i="6"/>
  <c r="G42" i="6" s="1"/>
  <c r="F36" i="6"/>
  <c r="G36" i="6" s="1"/>
  <c r="F30" i="6"/>
  <c r="G30" i="6" s="1"/>
  <c r="F24" i="6"/>
  <c r="G24" i="6" s="1"/>
  <c r="F18" i="6"/>
  <c r="G18" i="6" s="1"/>
  <c r="F12" i="6"/>
  <c r="G12" i="6" s="1"/>
  <c r="F84" i="6"/>
  <c r="G84" i="6" s="1"/>
  <c r="F71" i="6"/>
  <c r="G71" i="6" s="1"/>
  <c r="F65" i="6"/>
  <c r="G65" i="6" s="1"/>
  <c r="F53" i="6"/>
  <c r="G53" i="6" s="1"/>
  <c r="F35" i="6"/>
  <c r="G35" i="6" s="1"/>
  <c r="F23" i="6"/>
  <c r="G23" i="6" s="1"/>
  <c r="F11" i="6"/>
  <c r="G11" i="6" s="1"/>
  <c r="F76" i="6"/>
  <c r="G76" i="6" s="1"/>
  <c r="F64" i="6"/>
  <c r="G64" i="6" s="1"/>
  <c r="F58" i="6"/>
  <c r="G58" i="6" s="1"/>
  <c r="F46" i="6"/>
  <c r="G46" i="6" s="1"/>
  <c r="F77" i="6"/>
  <c r="G77" i="6" s="1"/>
  <c r="F41" i="6"/>
  <c r="G41" i="6" s="1"/>
  <c r="F17" i="6"/>
  <c r="G17" i="6" s="1"/>
  <c r="F16" i="6"/>
  <c r="G16" i="6" s="1"/>
  <c r="F70" i="6"/>
  <c r="G70" i="6" s="1"/>
  <c r="F52" i="6"/>
  <c r="G52" i="6" s="1"/>
  <c r="F34" i="6"/>
  <c r="G34" i="6" s="1"/>
  <c r="F22" i="6"/>
  <c r="G22" i="6" s="1"/>
  <c r="F80" i="6"/>
  <c r="G80" i="6" s="1"/>
  <c r="F74" i="6"/>
  <c r="G74" i="6" s="1"/>
  <c r="F68" i="6"/>
  <c r="G68" i="6" s="1"/>
  <c r="F62" i="6"/>
  <c r="G62" i="6" s="1"/>
  <c r="F56" i="6"/>
  <c r="G56" i="6" s="1"/>
  <c r="F50" i="6"/>
  <c r="G50" i="6" s="1"/>
  <c r="F44" i="6"/>
  <c r="G44" i="6" s="1"/>
  <c r="F38" i="6"/>
  <c r="G38" i="6" s="1"/>
  <c r="F32" i="6"/>
  <c r="G32" i="6" s="1"/>
  <c r="F26" i="6"/>
  <c r="G26" i="6" s="1"/>
  <c r="F20" i="6"/>
  <c r="G20" i="6" s="1"/>
  <c r="F14" i="6"/>
  <c r="G14" i="6" s="1"/>
  <c r="F75" i="6"/>
  <c r="G75" i="6" s="1"/>
  <c r="F57" i="6"/>
  <c r="G57" i="6" s="1"/>
  <c r="F39" i="6"/>
  <c r="G39" i="6" s="1"/>
  <c r="F21" i="6"/>
  <c r="G21" i="6" s="1"/>
  <c r="F15" i="6"/>
  <c r="G15" i="6" s="1"/>
  <c r="F63" i="6"/>
  <c r="G63" i="6" s="1"/>
  <c r="F33" i="6"/>
  <c r="G33" i="6" s="1"/>
  <c r="F73" i="6"/>
  <c r="G73" i="6" s="1"/>
  <c r="F55" i="6"/>
  <c r="G55" i="6" s="1"/>
  <c r="F37" i="6"/>
  <c r="G37" i="6" s="1"/>
  <c r="F19" i="6"/>
  <c r="G19" i="6" s="1"/>
  <c r="F51" i="6"/>
  <c r="G51" i="6" s="1"/>
  <c r="F81" i="6"/>
  <c r="G81" i="6" s="1"/>
  <c r="F45" i="6"/>
  <c r="G45" i="6" s="1"/>
  <c r="F67" i="6"/>
  <c r="G67" i="6" s="1"/>
  <c r="F49" i="6"/>
  <c r="G49" i="6" s="1"/>
  <c r="F31" i="6"/>
  <c r="G31" i="6" s="1"/>
  <c r="F13" i="6"/>
  <c r="G13" i="6" s="1"/>
  <c r="F27" i="6"/>
  <c r="G27" i="6" s="1"/>
  <c r="F79" i="6"/>
  <c r="G79" i="6" s="1"/>
  <c r="F61" i="6"/>
  <c r="G61" i="6" s="1"/>
  <c r="F43" i="6"/>
  <c r="G43" i="6" s="1"/>
  <c r="F25" i="6"/>
  <c r="G25" i="6" s="1"/>
  <c r="F69" i="6"/>
  <c r="G69" i="6" s="1"/>
  <c r="C18" i="3"/>
  <c r="C14" i="3"/>
  <c r="B8" i="3"/>
  <c r="D8" i="3" s="1"/>
  <c r="H8" i="3" s="1"/>
  <c r="C46" i="3"/>
  <c r="B42" i="3"/>
  <c r="D42" i="3" s="1"/>
  <c r="H42" i="3" s="1"/>
  <c r="C48" i="3"/>
  <c r="A6" i="3"/>
  <c r="B32" i="3"/>
  <c r="D32" i="3" s="1"/>
  <c r="E32" i="3" s="1"/>
  <c r="F32" i="3" s="1"/>
  <c r="B20" i="3"/>
  <c r="D20" i="3" s="1"/>
  <c r="H20" i="3" s="1"/>
  <c r="C29" i="3"/>
  <c r="C15" i="3"/>
  <c r="B10" i="3"/>
  <c r="D10" i="3" s="1"/>
  <c r="H10" i="3" s="1"/>
  <c r="B13" i="3"/>
  <c r="D13" i="3" s="1"/>
  <c r="E13" i="3" s="1"/>
  <c r="F13" i="3" s="1"/>
  <c r="B36" i="3"/>
  <c r="D36" i="3" s="1"/>
  <c r="E36" i="3" s="1"/>
  <c r="F36" i="3" s="1"/>
  <c r="B7" i="3"/>
  <c r="D7" i="3" s="1"/>
  <c r="H7" i="3" s="1"/>
  <c r="B35" i="3"/>
  <c r="D35" i="3" s="1"/>
  <c r="E35" i="3" s="1"/>
  <c r="F35" i="3" s="1"/>
  <c r="C22" i="3"/>
  <c r="B12" i="3"/>
  <c r="D12" i="3" s="1"/>
  <c r="H12" i="3" s="1"/>
  <c r="C26" i="3"/>
  <c r="B51" i="3"/>
  <c r="D51" i="3" s="1"/>
  <c r="E51" i="3" s="1"/>
  <c r="F51" i="3" s="1"/>
  <c r="B40" i="3"/>
  <c r="D40" i="3" s="1"/>
  <c r="H40" i="3" s="1"/>
  <c r="B46" i="3"/>
  <c r="D46" i="3" s="1"/>
  <c r="H46" i="3" s="1"/>
  <c r="C39" i="3"/>
  <c r="C51" i="3"/>
  <c r="C44" i="3"/>
  <c r="B43" i="3"/>
  <c r="D43" i="3" s="1"/>
  <c r="E43" i="3" s="1"/>
  <c r="F43" i="3" s="1"/>
  <c r="B29" i="3"/>
  <c r="D29" i="3" s="1"/>
  <c r="E29" i="3" s="1"/>
  <c r="F29" i="3" s="1"/>
  <c r="C37" i="3"/>
  <c r="C12" i="3"/>
  <c r="C32" i="3"/>
  <c r="B28" i="3"/>
  <c r="D28" i="3" s="1"/>
  <c r="H28" i="3" s="1"/>
  <c r="B14" i="3"/>
  <c r="D14" i="3" s="1"/>
  <c r="E14" i="3" s="1"/>
  <c r="F14" i="3" s="1"/>
  <c r="C33" i="3"/>
  <c r="B49" i="3"/>
  <c r="D49" i="3" s="1"/>
  <c r="E49" i="3" s="1"/>
  <c r="F49" i="3" s="1"/>
  <c r="C30" i="3"/>
  <c r="C31" i="3"/>
  <c r="C45" i="3"/>
  <c r="C38" i="3"/>
  <c r="B16" i="3"/>
  <c r="D16" i="3" s="1"/>
  <c r="F16" i="3" s="1"/>
  <c r="C8" i="3"/>
  <c r="C40" i="3"/>
  <c r="B31" i="3"/>
  <c r="D31" i="3" s="1"/>
  <c r="E31" i="3" s="1"/>
  <c r="F31" i="3" s="1"/>
  <c r="C11" i="3"/>
  <c r="C34" i="3"/>
  <c r="B48" i="3"/>
  <c r="D48" i="3" s="1"/>
  <c r="H48" i="3" s="1"/>
  <c r="K48" i="3" s="1" a="1"/>
  <c r="K48" i="3" s="1"/>
  <c r="B18" i="3"/>
  <c r="D18" i="3" s="1"/>
  <c r="E18" i="3" s="1"/>
  <c r="B39" i="3"/>
  <c r="D39" i="3" s="1"/>
  <c r="H39" i="3" s="1"/>
  <c r="C42" i="3"/>
  <c r="D17" i="3"/>
  <c r="E17" i="3" s="1"/>
  <c r="B9" i="3"/>
  <c r="D9" i="3" s="1"/>
  <c r="E9" i="3" s="1"/>
  <c r="B23" i="3"/>
  <c r="D23" i="3" s="1"/>
  <c r="E23" i="3" s="1"/>
  <c r="C13" i="3"/>
  <c r="C21" i="3"/>
  <c r="C43" i="3"/>
  <c r="C36" i="3"/>
  <c r="C28" i="3"/>
  <c r="C50" i="3"/>
  <c r="B30" i="3"/>
  <c r="D30" i="3" s="1"/>
  <c r="H30" i="3" s="1"/>
  <c r="B50" i="3"/>
  <c r="D50" i="3" s="1"/>
  <c r="E50" i="3" s="1"/>
  <c r="F50" i="3" s="1"/>
  <c r="C27" i="3"/>
  <c r="C35" i="3"/>
  <c r="B25" i="3"/>
  <c r="D25" i="3" s="1"/>
  <c r="H25" i="3" s="1"/>
  <c r="C16" i="3"/>
  <c r="C25" i="3"/>
  <c r="C41" i="3"/>
  <c r="C19" i="3"/>
  <c r="C20" i="3"/>
  <c r="C7" i="3"/>
  <c r="B11" i="3"/>
  <c r="D11" i="3" s="1"/>
  <c r="E11" i="3" s="1"/>
  <c r="F11" i="3" s="1"/>
  <c r="C49" i="3"/>
  <c r="B37" i="3"/>
  <c r="D37" i="3" s="1"/>
  <c r="H37" i="3" s="1"/>
  <c r="C9" i="3"/>
  <c r="B44" i="3"/>
  <c r="D44" i="3" s="1"/>
  <c r="E44" i="3" s="1"/>
  <c r="F44" i="3" s="1"/>
  <c r="C24" i="3"/>
  <c r="H52" i="3"/>
  <c r="K52" i="3" s="1" a="1"/>
  <c r="K52" i="3" s="1"/>
  <c r="F52" i="3"/>
  <c r="J52" i="3" s="1"/>
  <c r="E52" i="3"/>
  <c r="A11" i="5"/>
  <c r="F30" i="7" s="1"/>
  <c r="H28" i="7" l="1"/>
  <c r="R41" i="7" s="1"/>
  <c r="O34" i="7"/>
  <c r="D6" i="7"/>
  <c r="E22" i="3"/>
  <c r="F22" i="3" s="1"/>
  <c r="I22" i="3" s="1"/>
  <c r="E27" i="4"/>
  <c r="C15" i="7"/>
  <c r="N36" i="7"/>
  <c r="Q43" i="7"/>
  <c r="F9" i="5"/>
  <c r="I28" i="7" s="1"/>
  <c r="I27" i="7"/>
  <c r="E10" i="5"/>
  <c r="H29" i="7" s="1"/>
  <c r="C6" i="3"/>
  <c r="E45" i="3"/>
  <c r="F45" i="3" s="1"/>
  <c r="I45" i="3" s="1"/>
  <c r="J45" i="3" s="1"/>
  <c r="H34" i="3"/>
  <c r="F19" i="3"/>
  <c r="H19" i="3"/>
  <c r="H51" i="3"/>
  <c r="K51" i="3" s="1" a="1"/>
  <c r="K51" i="3" s="1"/>
  <c r="H26" i="3"/>
  <c r="F26" i="3"/>
  <c r="E38" i="3"/>
  <c r="F38" i="3" s="1"/>
  <c r="I38" i="3" s="1"/>
  <c r="H32" i="3"/>
  <c r="B6" i="3"/>
  <c r="B25" i="4" s="1"/>
  <c r="B13" i="7" s="1"/>
  <c r="H33" i="3"/>
  <c r="D11" i="5" a="1"/>
  <c r="D11" i="5" s="1"/>
  <c r="C11" i="5" a="1"/>
  <c r="C11" i="5" s="1"/>
  <c r="E41" i="3"/>
  <c r="F41" i="3" s="1"/>
  <c r="I41" i="3" s="1"/>
  <c r="J41" i="3" s="1"/>
  <c r="H15" i="3"/>
  <c r="K15" i="3" s="1" a="1"/>
  <c r="K15" i="3" s="1"/>
  <c r="I51" i="3"/>
  <c r="J51" i="3" s="1"/>
  <c r="H43" i="3"/>
  <c r="E8" i="3"/>
  <c r="F8" i="3" s="1"/>
  <c r="I8" i="3" s="1"/>
  <c r="J8" i="3" s="1"/>
  <c r="H24" i="3"/>
  <c r="E15" i="3"/>
  <c r="H17" i="3"/>
  <c r="H9" i="3"/>
  <c r="H29" i="3"/>
  <c r="E39" i="3"/>
  <c r="F39" i="3" s="1"/>
  <c r="I39" i="3" s="1"/>
  <c r="J39" i="3" s="1"/>
  <c r="H11" i="3"/>
  <c r="H35" i="3"/>
  <c r="E48" i="3"/>
  <c r="F48" i="3" s="1"/>
  <c r="J48" i="3" s="1"/>
  <c r="I15" i="3"/>
  <c r="E28" i="3"/>
  <c r="F28" i="3" s="1"/>
  <c r="I28" i="3" s="1"/>
  <c r="J28" i="3" s="1"/>
  <c r="E20" i="3"/>
  <c r="F20" i="3" s="1"/>
  <c r="I20" i="3" s="1"/>
  <c r="J20" i="3" s="1"/>
  <c r="H14" i="3"/>
  <c r="F17" i="3"/>
  <c r="E10" i="3"/>
  <c r="F10" i="3" s="1"/>
  <c r="I10" i="3" s="1"/>
  <c r="J15" i="3"/>
  <c r="I48" i="3"/>
  <c r="E40" i="3"/>
  <c r="F40" i="3" s="1"/>
  <c r="I40" i="3" s="1"/>
  <c r="J40" i="3" s="1"/>
  <c r="E27" i="3"/>
  <c r="F27" i="3" s="1"/>
  <c r="I27" i="3" s="1"/>
  <c r="J27" i="3" s="1"/>
  <c r="E47" i="3"/>
  <c r="F47" i="3" s="1"/>
  <c r="I47" i="3" s="1"/>
  <c r="J47" i="3" s="1"/>
  <c r="J16" i="3"/>
  <c r="E21" i="3"/>
  <c r="F21" i="3" s="1"/>
  <c r="I21" i="3" s="1"/>
  <c r="J21" i="3" s="1"/>
  <c r="E16" i="3"/>
  <c r="F10" i="6"/>
  <c r="G10" i="6" s="1"/>
  <c r="E7" i="3"/>
  <c r="F7" i="3" s="1"/>
  <c r="I7" i="3" s="1"/>
  <c r="J7" i="3" s="1"/>
  <c r="I16" i="3"/>
  <c r="H16" i="3"/>
  <c r="K16" i="3" s="1" a="1"/>
  <c r="K16" i="3" s="1"/>
  <c r="H36" i="3"/>
  <c r="H49" i="3"/>
  <c r="E37" i="3"/>
  <c r="F37" i="3" s="1"/>
  <c r="I37" i="3" s="1"/>
  <c r="J37" i="3" s="1"/>
  <c r="J22" i="3"/>
  <c r="E12" i="3"/>
  <c r="F12" i="3" s="1"/>
  <c r="I12" i="3" s="1"/>
  <c r="J12" i="3" s="1"/>
  <c r="E30" i="3"/>
  <c r="F30" i="3" s="1"/>
  <c r="I30" i="3" s="1"/>
  <c r="J30" i="3" s="1"/>
  <c r="E25" i="3"/>
  <c r="F25" i="3" s="1"/>
  <c r="I25" i="3" s="1"/>
  <c r="J25" i="3" s="1"/>
  <c r="H23" i="3"/>
  <c r="H44" i="3"/>
  <c r="K44" i="3" s="1" a="1"/>
  <c r="K44" i="3" s="1"/>
  <c r="I44" i="3"/>
  <c r="J44" i="3" s="1"/>
  <c r="H13" i="3"/>
  <c r="E46" i="3"/>
  <c r="F46" i="3" s="1"/>
  <c r="I46" i="3" s="1"/>
  <c r="J46" i="3" s="1"/>
  <c r="H50" i="3"/>
  <c r="F23" i="3"/>
  <c r="H18" i="3"/>
  <c r="F18" i="3"/>
  <c r="F9" i="3"/>
  <c r="E42" i="3"/>
  <c r="F42" i="3" s="1"/>
  <c r="I42" i="3" s="1"/>
  <c r="J42" i="3" s="1"/>
  <c r="H31" i="3"/>
  <c r="A12" i="5"/>
  <c r="F31" i="7" s="1"/>
  <c r="E11" i="5" l="1"/>
  <c r="O15" i="7"/>
  <c r="Q44" i="7"/>
  <c r="N37" i="7"/>
  <c r="F10" i="5"/>
  <c r="I29" i="7" s="1"/>
  <c r="S42" i="7" s="1"/>
  <c r="R42" i="7"/>
  <c r="O35" i="7"/>
  <c r="S40" i="7"/>
  <c r="P33" i="7"/>
  <c r="P34" i="7"/>
  <c r="S41" i="7"/>
  <c r="J10" i="3"/>
  <c r="I17" i="3"/>
  <c r="J38" i="3"/>
  <c r="I34" i="3"/>
  <c r="J34" i="3" s="1"/>
  <c r="I26" i="3"/>
  <c r="J26" i="3" s="1"/>
  <c r="I19" i="3"/>
  <c r="J19" i="3" s="1"/>
  <c r="D6" i="3"/>
  <c r="I9" i="3"/>
  <c r="J9" i="3" s="1"/>
  <c r="I24" i="3"/>
  <c r="J24" i="3" s="1"/>
  <c r="B24" i="4"/>
  <c r="B12" i="7" s="1"/>
  <c r="B26" i="4"/>
  <c r="B14" i="7" s="1"/>
  <c r="I29" i="3"/>
  <c r="J29" i="3" s="1"/>
  <c r="I32" i="3"/>
  <c r="J32" i="3" s="1"/>
  <c r="I14" i="3"/>
  <c r="J14" i="3" s="1"/>
  <c r="I43" i="3"/>
  <c r="J43" i="3" s="1"/>
  <c r="I33" i="3"/>
  <c r="J33" i="3" s="1"/>
  <c r="I49" i="3"/>
  <c r="J49" i="3" s="1"/>
  <c r="I13" i="3"/>
  <c r="J13" i="3" s="1"/>
  <c r="I31" i="3"/>
  <c r="J31" i="3" s="1"/>
  <c r="C12" i="5" a="1"/>
  <c r="C12" i="5" s="1"/>
  <c r="D12" i="5" a="1"/>
  <c r="D12" i="5" s="1"/>
  <c r="I35" i="3"/>
  <c r="J35" i="3" s="1"/>
  <c r="I23" i="3"/>
  <c r="J23" i="3" s="1"/>
  <c r="J17" i="3"/>
  <c r="I18" i="3"/>
  <c r="J18" i="3" s="1"/>
  <c r="I11" i="3"/>
  <c r="J11" i="3" s="1"/>
  <c r="I36" i="3"/>
  <c r="J36" i="3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I50" i="3"/>
  <c r="J50" i="3" s="1"/>
  <c r="A13" i="5"/>
  <c r="F32" i="7" s="1"/>
  <c r="H30" i="7" l="1"/>
  <c r="O36" i="7" s="1"/>
  <c r="P35" i="7"/>
  <c r="R43" i="7"/>
  <c r="Q45" i="7"/>
  <c r="N38" i="7"/>
  <c r="F11" i="5"/>
  <c r="I30" i="7" s="1"/>
  <c r="P36" i="7" s="1"/>
  <c r="E12" i="5"/>
  <c r="K39" i="3" a="1"/>
  <c r="K39" i="3" s="1"/>
  <c r="K18" i="3" a="1"/>
  <c r="K18" i="3" s="1"/>
  <c r="K17" i="3" a="1"/>
  <c r="K17" i="3" s="1"/>
  <c r="E6" i="3"/>
  <c r="F6" i="3" s="1"/>
  <c r="E26" i="4" s="1" a="1"/>
  <c r="E26" i="4" s="1"/>
  <c r="B23" i="4"/>
  <c r="H6" i="3"/>
  <c r="D13" i="5" a="1"/>
  <c r="D13" i="5" s="1"/>
  <c r="C13" i="5" a="1"/>
  <c r="C13" i="5" s="1"/>
  <c r="A14" i="5"/>
  <c r="F33" i="7" s="1"/>
  <c r="B11" i="7" l="1"/>
  <c r="B16" i="7" s="1"/>
  <c r="B28" i="4"/>
  <c r="H31" i="7"/>
  <c r="O37" i="7" s="1"/>
  <c r="E13" i="5"/>
  <c r="S43" i="7"/>
  <c r="F12" i="5"/>
  <c r="I31" i="7" s="1"/>
  <c r="P37" i="7" s="1"/>
  <c r="F104" i="3" a="1"/>
  <c r="F104" i="3" s="1"/>
  <c r="F11" i="7"/>
  <c r="F20" i="7"/>
  <c r="F19" i="7"/>
  <c r="F18" i="7"/>
  <c r="F17" i="7"/>
  <c r="F16" i="7"/>
  <c r="F15" i="7"/>
  <c r="F14" i="7"/>
  <c r="F13" i="7"/>
  <c r="F12" i="7"/>
  <c r="R44" i="7"/>
  <c r="N46" i="7"/>
  <c r="Q46" i="7"/>
  <c r="N39" i="7"/>
  <c r="K45" i="3" a="1"/>
  <c r="K45" i="3" s="1"/>
  <c r="K22" i="3" a="1"/>
  <c r="K22" i="3" s="1"/>
  <c r="K14" i="3" a="1"/>
  <c r="K14" i="3" s="1"/>
  <c r="I6" i="3"/>
  <c r="J6" i="3" s="1"/>
  <c r="K50" i="3" a="1"/>
  <c r="K50" i="3" s="1"/>
  <c r="K47" i="3" a="1"/>
  <c r="K47" i="3" s="1"/>
  <c r="K49" i="3" a="1"/>
  <c r="K49" i="3" s="1"/>
  <c r="K46" i="3" a="1"/>
  <c r="K46" i="3" s="1"/>
  <c r="K12" i="3" a="1"/>
  <c r="K12" i="3" s="1"/>
  <c r="K43" i="3" a="1"/>
  <c r="K43" i="3" s="1"/>
  <c r="K42" i="3" a="1"/>
  <c r="K42" i="3" s="1"/>
  <c r="K41" i="3" a="1"/>
  <c r="K41" i="3" s="1"/>
  <c r="K40" i="3" a="1"/>
  <c r="K40" i="3" s="1"/>
  <c r="K36" i="3" a="1"/>
  <c r="K36" i="3" s="1"/>
  <c r="K38" i="3" a="1"/>
  <c r="K38" i="3" s="1"/>
  <c r="K35" i="3" a="1"/>
  <c r="K35" i="3" s="1"/>
  <c r="K37" i="3" a="1"/>
  <c r="K37" i="3" s="1"/>
  <c r="K34" i="3" a="1"/>
  <c r="K34" i="3" s="1"/>
  <c r="K33" i="3" a="1"/>
  <c r="K33" i="3" s="1"/>
  <c r="K32" i="3" a="1"/>
  <c r="K32" i="3" s="1"/>
  <c r="K30" i="3" a="1"/>
  <c r="K30" i="3" s="1"/>
  <c r="K31" i="3" a="1"/>
  <c r="K31" i="3" s="1"/>
  <c r="K29" i="3" a="1"/>
  <c r="K29" i="3" s="1"/>
  <c r="K28" i="3" a="1"/>
  <c r="K28" i="3" s="1"/>
  <c r="K27" i="3" a="1"/>
  <c r="K27" i="3" s="1"/>
  <c r="K24" i="3" a="1"/>
  <c r="K24" i="3" s="1"/>
  <c r="K26" i="3" a="1"/>
  <c r="K26" i="3" s="1"/>
  <c r="K25" i="3" a="1"/>
  <c r="K25" i="3" s="1"/>
  <c r="K20" i="3" a="1"/>
  <c r="K20" i="3" s="1"/>
  <c r="K21" i="3" a="1"/>
  <c r="K21" i="3" s="1"/>
  <c r="K23" i="3" a="1"/>
  <c r="K23" i="3" s="1"/>
  <c r="K13" i="3" a="1"/>
  <c r="K13" i="3" s="1"/>
  <c r="K19" i="3" a="1"/>
  <c r="K19" i="3" s="1"/>
  <c r="D24" i="4" a="1"/>
  <c r="D24" i="4" s="1"/>
  <c r="C12" i="7" s="1"/>
  <c r="K11" i="3" a="1"/>
  <c r="K11" i="3" s="1"/>
  <c r="D26" i="4" a="1"/>
  <c r="D26" i="4" s="1"/>
  <c r="C14" i="7" s="1"/>
  <c r="K7" i="3" a="1"/>
  <c r="K7" i="3" s="1"/>
  <c r="K9" i="3" a="1"/>
  <c r="K9" i="3" s="1"/>
  <c r="H104" i="3" a="1"/>
  <c r="H104" i="3" s="1"/>
  <c r="F4" i="6" s="1"/>
  <c r="F5" i="6" s="1" a="1"/>
  <c r="F5" i="6" s="1"/>
  <c r="D23" i="4" a="1"/>
  <c r="D23" i="4" s="1"/>
  <c r="C11" i="7" s="1"/>
  <c r="E23" i="4" a="1"/>
  <c r="E23" i="4" s="1"/>
  <c r="D25" i="4" a="1"/>
  <c r="D25" i="4" s="1"/>
  <c r="C13" i="7" s="1"/>
  <c r="E25" i="4" a="1"/>
  <c r="E25" i="4" s="1"/>
  <c r="K10" i="3" a="1"/>
  <c r="K10" i="3" s="1"/>
  <c r="K6" i="3" a="1"/>
  <c r="K6" i="3" s="1"/>
  <c r="E24" i="4" a="1"/>
  <c r="E24" i="4" s="1"/>
  <c r="C14" i="5" a="1"/>
  <c r="C14" i="5" s="1"/>
  <c r="D14" i="5" a="1"/>
  <c r="D14" i="5" s="1"/>
  <c r="A15" i="5"/>
  <c r="F34" i="7" s="1"/>
  <c r="H32" i="7" l="1"/>
  <c r="R45" i="7" s="1"/>
  <c r="S44" i="7"/>
  <c r="F13" i="5"/>
  <c r="I32" i="7" s="1"/>
  <c r="S45" i="7" s="1"/>
  <c r="E14" i="5"/>
  <c r="H33" i="7" s="1"/>
  <c r="R46" i="7" s="1"/>
  <c r="B38" i="7"/>
  <c r="B37" i="7"/>
  <c r="B36" i="7"/>
  <c r="A24" i="7" a="1"/>
  <c r="A24" i="7" s="1"/>
  <c r="A23" i="7" a="1"/>
  <c r="A23" i="7" s="1"/>
  <c r="A32" i="7" a="1"/>
  <c r="A32" i="7" s="1"/>
  <c r="A29" i="7" a="1"/>
  <c r="A29" i="7" s="1"/>
  <c r="A28" i="7" a="1"/>
  <c r="A28" i="7" s="1"/>
  <c r="A22" i="7" a="1"/>
  <c r="A22" i="7" s="1"/>
  <c r="A21" i="7" a="1"/>
  <c r="A21" i="7" s="1"/>
  <c r="A30" i="7" a="1"/>
  <c r="A30" i="7" s="1"/>
  <c r="A31" i="7" a="1"/>
  <c r="A31" i="7" s="1"/>
  <c r="A25" i="7" a="1"/>
  <c r="A25" i="7" s="1"/>
  <c r="O14" i="7"/>
  <c r="N21" i="7"/>
  <c r="G14" i="7"/>
  <c r="H14" i="7"/>
  <c r="O21" i="7" s="1"/>
  <c r="I14" i="7"/>
  <c r="O12" i="7"/>
  <c r="H15" i="7"/>
  <c r="O22" i="7" s="1"/>
  <c r="I15" i="7"/>
  <c r="N22" i="7"/>
  <c r="G15" i="7"/>
  <c r="G12" i="7"/>
  <c r="N19" i="7"/>
  <c r="H12" i="7"/>
  <c r="O19" i="7" s="1"/>
  <c r="I12" i="7"/>
  <c r="H16" i="7"/>
  <c r="O23" i="7" s="1"/>
  <c r="I16" i="7"/>
  <c r="N23" i="7"/>
  <c r="G16" i="7"/>
  <c r="G13" i="7"/>
  <c r="N20" i="7"/>
  <c r="H13" i="7"/>
  <c r="O20" i="7" s="1"/>
  <c r="I13" i="7"/>
  <c r="H17" i="7"/>
  <c r="O24" i="7" s="1"/>
  <c r="I17" i="7"/>
  <c r="N24" i="7"/>
  <c r="G17" i="7"/>
  <c r="O13" i="7"/>
  <c r="I18" i="7"/>
  <c r="N25" i="7"/>
  <c r="G18" i="7"/>
  <c r="H18" i="7"/>
  <c r="O25" i="7" s="1"/>
  <c r="I19" i="7"/>
  <c r="N26" i="7"/>
  <c r="G19" i="7"/>
  <c r="H19" i="7"/>
  <c r="O26" i="7" s="1"/>
  <c r="C16" i="7"/>
  <c r="D13" i="7" s="1"/>
  <c r="O11" i="7"/>
  <c r="N27" i="7"/>
  <c r="I20" i="7"/>
  <c r="G20" i="7"/>
  <c r="H20" i="7"/>
  <c r="O27" i="7" s="1"/>
  <c r="I11" i="7"/>
  <c r="N18" i="7"/>
  <c r="G11" i="7"/>
  <c r="H11" i="7"/>
  <c r="O18" i="7" s="1"/>
  <c r="I104" i="3" a="1"/>
  <c r="I104" i="3" s="1"/>
  <c r="B12" i="4" s="1"/>
  <c r="C42" i="7" s="1"/>
  <c r="C36" i="7" a="1"/>
  <c r="C36" i="7" s="1"/>
  <c r="C37" i="7" a="1"/>
  <c r="C37" i="7" s="1"/>
  <c r="Q47" i="7"/>
  <c r="N40" i="7"/>
  <c r="N47" i="7"/>
  <c r="P38" i="7"/>
  <c r="D28" i="4"/>
  <c r="F27" i="4" s="1"/>
  <c r="E28" i="4"/>
  <c r="B8" i="4"/>
  <c r="K104" i="3" a="1"/>
  <c r="K104" i="3" s="1"/>
  <c r="C15" i="5" a="1"/>
  <c r="C15" i="5" s="1"/>
  <c r="D15" i="5" a="1"/>
  <c r="D15" i="5" s="1"/>
  <c r="A16" i="5"/>
  <c r="F35" i="7" s="1"/>
  <c r="O38" i="7" l="1"/>
  <c r="O39" i="7"/>
  <c r="F14" i="5"/>
  <c r="I33" i="7" s="1"/>
  <c r="B33" i="4"/>
  <c r="B10" i="4"/>
  <c r="B18" i="4" s="1"/>
  <c r="H6" i="7" s="1"/>
  <c r="J104" i="3"/>
  <c r="D11" i="7"/>
  <c r="I21" i="7"/>
  <c r="C21" i="7"/>
  <c r="B21" i="7"/>
  <c r="Q11" i="7" s="1"/>
  <c r="D12" i="7"/>
  <c r="C22" i="7"/>
  <c r="B22" i="7"/>
  <c r="Q12" i="7" s="1"/>
  <c r="C28" i="7"/>
  <c r="B28" i="7"/>
  <c r="Q16" i="7" s="1"/>
  <c r="C31" i="7"/>
  <c r="B31" i="7"/>
  <c r="Q19" i="7" s="1"/>
  <c r="C30" i="7"/>
  <c r="B30" i="7"/>
  <c r="Q18" i="7" s="1"/>
  <c r="C29" i="7"/>
  <c r="B29" i="7"/>
  <c r="Q17" i="7" s="1"/>
  <c r="C32" i="7"/>
  <c r="B32" i="7"/>
  <c r="Q20" i="7" s="1"/>
  <c r="C23" i="7"/>
  <c r="B23" i="7"/>
  <c r="Q13" i="7" s="1"/>
  <c r="H21" i="7"/>
  <c r="O28" i="7" s="1"/>
  <c r="D15" i="7"/>
  <c r="C24" i="7"/>
  <c r="B24" i="7"/>
  <c r="Q14" i="7" s="1"/>
  <c r="D14" i="7"/>
  <c r="R25" i="7"/>
  <c r="Q25" i="7"/>
  <c r="R56" i="7"/>
  <c r="U1" i="7"/>
  <c r="R26" i="7"/>
  <c r="Q26" i="7"/>
  <c r="R57" i="7"/>
  <c r="U2" i="7"/>
  <c r="N29" i="7"/>
  <c r="C25" i="7"/>
  <c r="B25" i="7"/>
  <c r="Q48" i="7"/>
  <c r="N41" i="7"/>
  <c r="R21" i="7"/>
  <c r="N48" i="7"/>
  <c r="P39" i="7"/>
  <c r="S46" i="7"/>
  <c r="E15" i="5"/>
  <c r="H34" i="7" s="1"/>
  <c r="F15" i="5"/>
  <c r="I34" i="7" s="1"/>
  <c r="F26" i="4"/>
  <c r="F24" i="4"/>
  <c r="F25" i="4"/>
  <c r="F23" i="4"/>
  <c r="C16" i="5" a="1"/>
  <c r="C16" i="5" s="1"/>
  <c r="D16" i="5" a="1"/>
  <c r="D16" i="5" s="1"/>
  <c r="A17" i="5"/>
  <c r="F36" i="7" s="1"/>
  <c r="B4" i="6" l="1"/>
  <c r="B5" i="6" s="1" a="1"/>
  <c r="B5" i="6" s="1"/>
  <c r="B32" i="4" s="1"/>
  <c r="J6" i="7" s="1"/>
  <c r="B16" i="4"/>
  <c r="B13" i="4" s="1"/>
  <c r="C43" i="7" s="1"/>
  <c r="B6" i="7"/>
  <c r="D16" i="7"/>
  <c r="O29" i="7"/>
  <c r="Q15" i="7"/>
  <c r="N42" i="7"/>
  <c r="N49" i="7"/>
  <c r="R22" i="7"/>
  <c r="Q49" i="7"/>
  <c r="R47" i="7"/>
  <c r="O40" i="7"/>
  <c r="P40" i="7"/>
  <c r="S47" i="7"/>
  <c r="E16" i="5"/>
  <c r="F16" i="5" s="1"/>
  <c r="F28" i="4"/>
  <c r="C17" i="5" a="1"/>
  <c r="C17" i="5" s="1"/>
  <c r="D17" i="5" a="1"/>
  <c r="D17" i="5" s="1"/>
  <c r="A18" i="5"/>
  <c r="F37" i="7" s="1"/>
  <c r="E32" i="4" l="1"/>
  <c r="F6" i="7"/>
  <c r="C46" i="7"/>
  <c r="I35" i="7"/>
  <c r="S48" i="7" s="1"/>
  <c r="H35" i="7"/>
  <c r="R23" i="7"/>
  <c r="N50" i="7"/>
  <c r="Q50" i="7"/>
  <c r="N43" i="7"/>
  <c r="E17" i="5"/>
  <c r="C18" i="5" a="1"/>
  <c r="C18" i="5" s="1"/>
  <c r="D18" i="5" a="1"/>
  <c r="D18" i="5" s="1"/>
  <c r="A19" i="5"/>
  <c r="F38" i="7" s="1"/>
  <c r="P41" i="7" l="1"/>
  <c r="N51" i="7"/>
  <c r="Q51" i="7"/>
  <c r="N44" i="7"/>
  <c r="F17" i="5"/>
  <c r="H36" i="7"/>
  <c r="R48" i="7"/>
  <c r="O41" i="7"/>
  <c r="E18" i="5"/>
  <c r="H37" i="7" s="1"/>
  <c r="I36" i="7"/>
  <c r="C19" i="5" a="1"/>
  <c r="C19" i="5" s="1"/>
  <c r="D19" i="5" a="1"/>
  <c r="D19" i="5" s="1"/>
  <c r="A20" i="5"/>
  <c r="F39" i="7" s="1"/>
  <c r="E19" i="5" l="1"/>
  <c r="H38" i="7" s="1"/>
  <c r="R50" i="7"/>
  <c r="O43" i="7"/>
  <c r="R49" i="7"/>
  <c r="O42" i="7"/>
  <c r="F18" i="5"/>
  <c r="I37" i="7" s="1"/>
  <c r="P43" i="7" s="1"/>
  <c r="N52" i="7"/>
  <c r="Q52" i="7"/>
  <c r="N45" i="7"/>
  <c r="P42" i="7"/>
  <c r="S49" i="7"/>
  <c r="D20" i="5" a="1"/>
  <c r="D20" i="5" s="1"/>
  <c r="C20" i="5" a="1"/>
  <c r="C20" i="5" s="1"/>
  <c r="E20" i="5" l="1"/>
  <c r="F19" i="5"/>
  <c r="I38" i="7" s="1"/>
  <c r="R51" i="7"/>
  <c r="O44" i="7"/>
  <c r="S50" i="7"/>
  <c r="H39" i="7" l="1"/>
  <c r="R52" i="7" s="1"/>
  <c r="B24" i="5" a="1"/>
  <c r="B24" i="5" s="1"/>
  <c r="O45" i="7"/>
  <c r="F20" i="5"/>
  <c r="I39" i="7" s="1"/>
  <c r="S52" i="7" s="1"/>
  <c r="P44" i="7"/>
  <c r="S51" i="7"/>
  <c r="B28" i="5" l="1" a="1"/>
  <c r="B28" i="5" s="1"/>
  <c r="P45" i="7"/>
  <c r="B23" i="5" a="1"/>
  <c r="B23" i="5" s="1"/>
  <c r="B26" i="5" s="1"/>
  <c r="L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Vasco Varao</author>
  </authors>
  <commentList>
    <comment ref="G3" authorId="0" shapeId="0" xr:uid="{C6B00FE1-6717-4917-AFE7-F96B07EE3901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SituazionePatrimoniale_B6166_31032026.pdf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Vasco Varao</author>
  </authors>
  <commentList>
    <comment ref="B6" authorId="0" shapeId="0" xr:uid="{86B49635-9055-49B8-BFAE-CC8539D434AC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SituazionePatrimoniale_B6166_31012025.pdf - Totale Liquidità (367.10) + Totale Titoli Euro (8,879.32)</t>
        </r>
      </text>
    </comment>
    <comment ref="B7" authorId="0" shapeId="0" xr:uid="{1A6781DC-7125-44E6-9D6E-6EE579E495E3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SituazionePatrimoniale_B6166_28022025.pdf - Totale Liquidità (367.10) + Totale Titoli Euro (9,142.26)</t>
        </r>
      </text>
    </comment>
    <comment ref="B8" authorId="0" shapeId="0" xr:uid="{605772DD-3F16-4493-9735-3C06084525B4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SituazionePatrimoniale_B6166_31032025.pdf - Totale Liquidità (350,367.10) + Totale Titoli Euro (12,149.92)</t>
        </r>
      </text>
    </comment>
    <comment ref="B9" authorId="0" shapeId="0" xr:uid="{80B1510D-A61A-4824-8272-33F887E68FA7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SituazionePatrimoniale_B6166_30042025.pdf - Totale Liquidità (350,367.10) + Totale Titoli Euro (11,377.88)</t>
        </r>
      </text>
    </comment>
    <comment ref="B10" authorId="0" shapeId="0" xr:uid="{6065647A-AC37-401F-A5F8-FCF09E3A0021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SituazionePatrimoniale_B6166_31052025.pdf - Totale Liquidità (319,781.55) + Totale Titoli Euro (42,715.17)</t>
        </r>
      </text>
    </comment>
    <comment ref="B11" authorId="0" shapeId="0" xr:uid="{640C310F-BF61-4C40-BA22-CBAE7F745019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SituazionePatrimoniale_B6166_30062025.pdf - Totale Liquidità (418,800.79) + Totale Titoli Euro (45,406.55)</t>
        </r>
      </text>
    </comment>
    <comment ref="B12" authorId="0" shapeId="0" xr:uid="{6DDF753A-ED45-4CB2-AA67-4EAE2E1D35F0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SituazionePatrimoniale_B6166_31072025.pdf - Totale Liquidità (148,059.59) + Totale Titoli Euro (309,781.71)</t>
        </r>
      </text>
    </comment>
    <comment ref="B13" authorId="0" shapeId="0" xr:uid="{33D8ED48-72E6-4AE0-936E-0A707A4C1740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SituazionePatrimoniale_B6166_31082025.pdf - Totale Liquidità (27,017.94) + Totale Titoli Euro (447,560.04)</t>
        </r>
      </text>
    </comment>
    <comment ref="B14" authorId="0" shapeId="0" xr:uid="{8D334D0A-D49A-474A-97BE-985996CBC16B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SituazionePatrimoniale_B6166_30092025.pdf - Totale Liquidità (253,901.81) + Totale Titoli Euro (631,000.41)</t>
        </r>
      </text>
    </comment>
    <comment ref="B15" authorId="0" shapeId="0" xr:uid="{13314ECF-2598-4017-BAEB-3F5A63132D56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SituazionePatrimoniale_B6166_31102025.pdf - Totale Liquidità (398,586.78) + Totale Titoli Euro (878,443.25)</t>
        </r>
      </text>
    </comment>
    <comment ref="B16" authorId="0" shapeId="0" xr:uid="{9AE819B9-84E0-4746-A557-DA9FA259758F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SituazionePatrimoniale_B6166_30112025.pdf - Totale Liquidità (435,436.50) + Totale Titoli Euro (819,290.62)</t>
        </r>
      </text>
    </comment>
    <comment ref="B17" authorId="0" shapeId="0" xr:uid="{A5F7EF91-F98F-4B7D-A747-3622D1D044B7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SituazionePatrimoniale_B6166_31122025.pdf - Totale Liquidità (399,727.15) + Totale Titoli Euro (829,217.30)</t>
        </r>
      </text>
    </comment>
    <comment ref="B18" authorId="0" shapeId="0" xr:uid="{D40409D5-0BEF-43EF-BA7D-77BB018B2F0C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SituazionePatrimoniale_B6166_31012026.pdf - Totale Liquidità (396,495.00) + Totale Titoli Euro (832,372.14)</t>
        </r>
      </text>
    </comment>
    <comment ref="B19" authorId="0" shapeId="0" xr:uid="{C4A83BC6-0ED7-4CF3-9DDF-94ED01FBDC74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SituazionePatrimoniale_B6166_28022026.pdf - Totale Liquidità (5,818.62) + Totale Titoli Euro (1,272,935.61)</t>
        </r>
      </text>
    </comment>
    <comment ref="B20" authorId="0" shapeId="0" xr:uid="{A16927E3-B899-4E9E-95D4-2416EEF5912C}">
      <text>
        <r>
          <rPr>
            <b/>
            <sz val="9"/>
            <color indexed="81"/>
            <rFont val="Tahoma"/>
            <charset val="1"/>
          </rPr>
          <t>Vasco Varao:</t>
        </r>
        <r>
          <rPr>
            <sz val="9"/>
            <color indexed="81"/>
            <rFont val="Tahoma"/>
            <charset val="1"/>
          </rPr>
          <t xml:space="preserve">
Source: SituazionePatrimoniale_B6166_31032026.pdf - Totale Liquidità (87,386.04) + Totale Titoli Euro (1,092,256.05)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<sst xmlns="http://schemas.openxmlformats.org/spreadsheetml/2006/main" count="1359" uniqueCount="437">
  <si>
    <t>data</t>
  </si>
  <si>
    <t>valuta</t>
  </si>
  <si>
    <t>titolo</t>
  </si>
  <si>
    <t>riferim.</t>
  </si>
  <si>
    <t>Prezzo</t>
  </si>
  <si>
    <t>quantita'</t>
  </si>
  <si>
    <t>importo EUR</t>
  </si>
  <si>
    <t>comm.</t>
  </si>
  <si>
    <t>Saldo Iniziale</t>
  </si>
  <si>
    <t>Bollo Portafoglio Titoli*            35257351</t>
  </si>
  <si>
    <t>Conferimento Con Bonifico            17512895</t>
  </si>
  <si>
    <t>SANLORENZO</t>
  </si>
  <si>
    <t>V4918093488904</t>
  </si>
  <si>
    <t>EUR</t>
  </si>
  <si>
    <t>Tobin Tax Italia            32977423</t>
  </si>
  <si>
    <t>Conferimento Con Bonifico            17770736</t>
  </si>
  <si>
    <t>WisdomTree Europe Defence UCIT</t>
  </si>
  <si>
    <t>V7417282795699</t>
  </si>
  <si>
    <t>V8217285973079</t>
  </si>
  <si>
    <t>V8917282140560</t>
  </si>
  <si>
    <t>Bollo Portafoglio Titoli*            35853210</t>
  </si>
  <si>
    <t>CARRARO FINANCE FX 5.25% APR30</t>
  </si>
  <si>
    <t>V9613011703375</t>
  </si>
  <si>
    <t>Ratei Pass.obb.            03375</t>
  </si>
  <si>
    <t>BOT ZC DEC25 A EUR</t>
  </si>
  <si>
    <t>V9613263604772</t>
  </si>
  <si>
    <t>ISHARES HIGH YLD CORP UCITS ET</t>
  </si>
  <si>
    <t>V9616584824138</t>
  </si>
  <si>
    <t>V9617283242915</t>
  </si>
  <si>
    <t>ISHARES FTSE MIB UCITS ETF EUR</t>
  </si>
  <si>
    <t>V9617284645452</t>
  </si>
  <si>
    <t>EXOR NV</t>
  </si>
  <si>
    <t>V9618103651761</t>
  </si>
  <si>
    <t>FERRARI</t>
  </si>
  <si>
    <t>V9912302944415</t>
  </si>
  <si>
    <t>Bitwise Physical Bitcoin ETP</t>
  </si>
  <si>
    <t>W0212380725851</t>
  </si>
  <si>
    <t>ITALGAS</t>
  </si>
  <si>
    <t>W0216595649277</t>
  </si>
  <si>
    <t>ASML HOLDING NV</t>
  </si>
  <si>
    <t>W0217011649420</t>
  </si>
  <si>
    <t>PIAGGIO</t>
  </si>
  <si>
    <t>W0217015449494</t>
  </si>
  <si>
    <t>RAI WAY</t>
  </si>
  <si>
    <t>W0217022149541</t>
  </si>
  <si>
    <t>NEXI</t>
  </si>
  <si>
    <t>W0217024649591</t>
  </si>
  <si>
    <t>W0217103350410</t>
  </si>
  <si>
    <t>BOT ZC JAN26 A EUR</t>
  </si>
  <si>
    <t>W0217121650609</t>
  </si>
  <si>
    <t>Tobin Tax Italia            36814231</t>
  </si>
  <si>
    <t>W0312160997746</t>
  </si>
  <si>
    <t>W0409265258226</t>
  </si>
  <si>
    <t>Bitwise Ethereum Staking ETP</t>
  </si>
  <si>
    <t>W0411471375395</t>
  </si>
  <si>
    <t>Bitwise Physical Ethereum ETP</t>
  </si>
  <si>
    <t>W0411473575430</t>
  </si>
  <si>
    <t>W0417281814234</t>
  </si>
  <si>
    <t>W0417282815506</t>
  </si>
  <si>
    <t>WISDOMTREE CORE PHYSICAL GOLD</t>
  </si>
  <si>
    <t>W0417283115822</t>
  </si>
  <si>
    <t>WISDOMTREE PHYSICAL SILVER</t>
  </si>
  <si>
    <t>W0417283115825</t>
  </si>
  <si>
    <t>W0513355184739</t>
  </si>
  <si>
    <t>W0513355984744</t>
  </si>
  <si>
    <t>W0513361584764</t>
  </si>
  <si>
    <t>W0611100854571</t>
  </si>
  <si>
    <t>W0611101654591</t>
  </si>
  <si>
    <t>W0611103454611</t>
  </si>
  <si>
    <t>W0611110754656</t>
  </si>
  <si>
    <t>W0611111954679</t>
  </si>
  <si>
    <t>W1111160204369</t>
  </si>
  <si>
    <t>W1111162404403</t>
  </si>
  <si>
    <t>W1311305683615</t>
  </si>
  <si>
    <t>W1311320283720</t>
  </si>
  <si>
    <t>W1311322983757</t>
  </si>
  <si>
    <t>W1311332383839</t>
  </si>
  <si>
    <t>W1311333683858</t>
  </si>
  <si>
    <t>W1311341683922</t>
  </si>
  <si>
    <t>W1311353784070</t>
  </si>
  <si>
    <t>W1317290649663</t>
  </si>
  <si>
    <t>W1317291751002</t>
  </si>
  <si>
    <t>W1317291851154</t>
  </si>
  <si>
    <t>W1317291851156</t>
  </si>
  <si>
    <t>Interessi Prest.titoli            37597224</t>
  </si>
  <si>
    <t>Interessi Prest.titoli            37597225</t>
  </si>
  <si>
    <t>Incasso Dividendi Xetra            38161300</t>
  </si>
  <si>
    <t>W1919055470388</t>
  </si>
  <si>
    <t>W2008513888138</t>
  </si>
  <si>
    <t>W2009000889291</t>
  </si>
  <si>
    <t>W2009052690656</t>
  </si>
  <si>
    <t>W2017281747898</t>
  </si>
  <si>
    <t>W2017282849232</t>
  </si>
  <si>
    <t>W2017282949410</t>
  </si>
  <si>
    <t>W2017282949412</t>
  </si>
  <si>
    <t>W2309594994789</t>
  </si>
  <si>
    <t>BITWISE solana staking ETP</t>
  </si>
  <si>
    <t>W2310003794880</t>
  </si>
  <si>
    <t>W2414454777561</t>
  </si>
  <si>
    <t>W2414455977587</t>
  </si>
  <si>
    <t>W2414461877619</t>
  </si>
  <si>
    <t>W2414464577666</t>
  </si>
  <si>
    <t>W2414505078048</t>
  </si>
  <si>
    <t>W3017282759622</t>
  </si>
  <si>
    <t>W3017283360824</t>
  </si>
  <si>
    <t>W3017283661180</t>
  </si>
  <si>
    <t>W3017283661184</t>
  </si>
  <si>
    <t>W3717281245580</t>
  </si>
  <si>
    <t>W3717281846312</t>
  </si>
  <si>
    <t>W3717282046521</t>
  </si>
  <si>
    <t>W3717282046523</t>
  </si>
  <si>
    <t>TAMBURI</t>
  </si>
  <si>
    <t>W4012151348636</t>
  </si>
  <si>
    <t>Tobin Tax Italia            39547858</t>
  </si>
  <si>
    <t>W4417290749444</t>
  </si>
  <si>
    <t>W4417291450378</t>
  </si>
  <si>
    <t>W4417291550501</t>
  </si>
  <si>
    <t>W4417291550503</t>
  </si>
  <si>
    <t>Interessi Prest.titoli            39781202</t>
  </si>
  <si>
    <t>Interessi Prest.titoli            39781203</t>
  </si>
  <si>
    <t>W5117281560459</t>
  </si>
  <si>
    <t>W5117282361383</t>
  </si>
  <si>
    <t>W5117282361487</t>
  </si>
  <si>
    <t>W5117282361489</t>
  </si>
  <si>
    <t>Provento Etf - IHYG            60156371</t>
  </si>
  <si>
    <t>Rit.provento Etf - IHYG            60156372</t>
  </si>
  <si>
    <t>ORACLE CORP</t>
  </si>
  <si>
    <t>W5410315571432</t>
  </si>
  <si>
    <t>USD</t>
  </si>
  <si>
    <t>W5410323171500</t>
  </si>
  <si>
    <t>W5410330871580</t>
  </si>
  <si>
    <t>W5412395182965</t>
  </si>
  <si>
    <t>Tobin Tax Italia            60179233</t>
  </si>
  <si>
    <t>W5513000879000</t>
  </si>
  <si>
    <t>W5518194212526</t>
  </si>
  <si>
    <t>W5518213212633</t>
  </si>
  <si>
    <t>Conferimento Con Bonifico            18035657</t>
  </si>
  <si>
    <t>Tobin Tax Italia            60196737</t>
  </si>
  <si>
    <t>W5817282618909</t>
  </si>
  <si>
    <t>W5817283119811</t>
  </si>
  <si>
    <t>W5817283320075</t>
  </si>
  <si>
    <t>W5817283320079</t>
  </si>
  <si>
    <t>W5918095221517</t>
  </si>
  <si>
    <t>W5918111321631</t>
  </si>
  <si>
    <t>IGD</t>
  </si>
  <si>
    <t>W5918134521818</t>
  </si>
  <si>
    <t>WISDOMTREE NEW ECON REAL EST U</t>
  </si>
  <si>
    <t>W5918173622117</t>
  </si>
  <si>
    <t>Tobin Tax Italia            60268346</t>
  </si>
  <si>
    <t>Incasso Dividendi Italia            60319230</t>
  </si>
  <si>
    <t>W6617280876292</t>
  </si>
  <si>
    <t>W6617281376903</t>
  </si>
  <si>
    <t>W6617281577080</t>
  </si>
  <si>
    <t>W6617281577082</t>
  </si>
  <si>
    <t>W6709180020494</t>
  </si>
  <si>
    <t>W6920082861284</t>
  </si>
  <si>
    <t>W7213245026111</t>
  </si>
  <si>
    <t>W7213251826151</t>
  </si>
  <si>
    <t>BeC SPEAKERS</t>
  </si>
  <si>
    <t>W7214300931507</t>
  </si>
  <si>
    <t>CY4GATE</t>
  </si>
  <si>
    <t>W7214305131567</t>
  </si>
  <si>
    <t>D AMICO</t>
  </si>
  <si>
    <t>W7214313931645</t>
  </si>
  <si>
    <t>AZIMUT</t>
  </si>
  <si>
    <t>W7214332731829</t>
  </si>
  <si>
    <t>BRUNELLO CUCINELLI</t>
  </si>
  <si>
    <t>W7214340031898</t>
  </si>
  <si>
    <t>INTERPUMP GROUP</t>
  </si>
  <si>
    <t>W7214343731970</t>
  </si>
  <si>
    <t>Tobin Tax Italia            60458955</t>
  </si>
  <si>
    <t>W7417285556339</t>
  </si>
  <si>
    <t>W7417290257131</t>
  </si>
  <si>
    <t>W7417290357230</t>
  </si>
  <si>
    <t>W7417290357232</t>
  </si>
  <si>
    <t>BOT ZC OCT25 A EUR</t>
  </si>
  <si>
    <t>W7513214533513</t>
  </si>
  <si>
    <t>BOT ZC NOV25 S EUR</t>
  </si>
  <si>
    <t>W7513221233549</t>
  </si>
  <si>
    <t>W7513223133576</t>
  </si>
  <si>
    <t>W7513230333609</t>
  </si>
  <si>
    <t>BTP FX 3.2% JAN26 EUR</t>
  </si>
  <si>
    <t>W7513271633933</t>
  </si>
  <si>
    <t>Ratei Pass.obb.            33933</t>
  </si>
  <si>
    <t>W7513281534038</t>
  </si>
  <si>
    <t>Conferimento Con Bonifico            18102110</t>
  </si>
  <si>
    <t>W8117280279187</t>
  </si>
  <si>
    <t>W8117280879879</t>
  </si>
  <si>
    <t>W8117280979962</t>
  </si>
  <si>
    <t>W8117280979965</t>
  </si>
  <si>
    <t>W8216303583796</t>
  </si>
  <si>
    <t>Rimborso Obbl. A Scadenza            60667408</t>
  </si>
  <si>
    <t>Bollo Portafoglio Titoli*            60686095</t>
  </si>
  <si>
    <t>Cedola Obb.            60814163</t>
  </si>
  <si>
    <t>W8811434770253</t>
  </si>
  <si>
    <t>W8811441670289</t>
  </si>
  <si>
    <t>W8811445570349</t>
  </si>
  <si>
    <t>W8811451570366</t>
  </si>
  <si>
    <t>W8811452970391</t>
  </si>
  <si>
    <t>W8817273609066</t>
  </si>
  <si>
    <t>Tobin Tax Italia            60828273</t>
  </si>
  <si>
    <t>W8917284118565</t>
  </si>
  <si>
    <t>W8917284218724</t>
  </si>
  <si>
    <t>W8917284218727</t>
  </si>
  <si>
    <t>W9518190646541</t>
  </si>
  <si>
    <t>W9518205746647</t>
  </si>
  <si>
    <t>W9521171658145</t>
  </si>
  <si>
    <t>W9617280045328</t>
  </si>
  <si>
    <t>W9617280445804</t>
  </si>
  <si>
    <t>W9617280645961</t>
  </si>
  <si>
    <t>Tobin Tax Italia            60948313</t>
  </si>
  <si>
    <t>Incasso Dividendi Usa            40959890</t>
  </si>
  <si>
    <t>X0717284737756</t>
  </si>
  <si>
    <t>X0717285238397</t>
  </si>
  <si>
    <t>Incasso Dividendi Xetra            61254206</t>
  </si>
  <si>
    <t>X1417275910879</t>
  </si>
  <si>
    <t>X1417280411416</t>
  </si>
  <si>
    <t>X2117282927236</t>
  </si>
  <si>
    <t>X2117283327963</t>
  </si>
  <si>
    <t>Incasso Dividendi Esteri            61472566</t>
  </si>
  <si>
    <t>X2817275606154</t>
  </si>
  <si>
    <t>X2817275906540</t>
  </si>
  <si>
    <t>Rimborso Obbl. A Scadenza            61583354</t>
  </si>
  <si>
    <t>X3517284322712</t>
  </si>
  <si>
    <t>X3517284723281</t>
  </si>
  <si>
    <t>INTESA SANPAOLO</t>
  </si>
  <si>
    <t>X3720525609686</t>
  </si>
  <si>
    <t>MEDIOBANCA</t>
  </si>
  <si>
    <t>X3720533509709</t>
  </si>
  <si>
    <t>ENEL</t>
  </si>
  <si>
    <t>X3720540309724</t>
  </si>
  <si>
    <t>iShares   High Yield Corp Bond</t>
  </si>
  <si>
    <t>X3721035910018</t>
  </si>
  <si>
    <t>X3721055110079</t>
  </si>
  <si>
    <t>DE LONGHI</t>
  </si>
  <si>
    <t>X3721084510181</t>
  </si>
  <si>
    <t>BREMBO</t>
  </si>
  <si>
    <t>X3721091910198</t>
  </si>
  <si>
    <t>Tobin Tax Italia            61757763</t>
  </si>
  <si>
    <t>X4217271340148</t>
  </si>
  <si>
    <t>X4217271440294</t>
  </si>
  <si>
    <t>Rimborso Obbl. A Scadenza            61827057</t>
  </si>
  <si>
    <t>X4917283178543</t>
  </si>
  <si>
    <t>X4917283579236</t>
  </si>
  <si>
    <t>X5717271582882</t>
  </si>
  <si>
    <t>X5717271683004</t>
  </si>
  <si>
    <t>Prelievo Bonifico            18373495</t>
  </si>
  <si>
    <t>00217301246998</t>
  </si>
  <si>
    <t>00217301747545</t>
  </si>
  <si>
    <t>00817272354472</t>
  </si>
  <si>
    <t>00817272454742</t>
  </si>
  <si>
    <t>Rimborso Obbl. A Scadenza            62410515</t>
  </si>
  <si>
    <t>Bollo Portafoglio Titoli*            62433628</t>
  </si>
  <si>
    <t>01517284203849</t>
  </si>
  <si>
    <t>01517284604568</t>
  </si>
  <si>
    <t>Incasso Dividendi Italia            62629228</t>
  </si>
  <si>
    <t>MONCLER</t>
  </si>
  <si>
    <t>02216234212960</t>
  </si>
  <si>
    <t>Tobin Tax Italia            62750668</t>
  </si>
  <si>
    <t>02317272823761</t>
  </si>
  <si>
    <t>02317272923922</t>
  </si>
  <si>
    <t>Cedola Obb.            62772558</t>
  </si>
  <si>
    <t>Rimborso Obbl. A Scadenza            62772837</t>
  </si>
  <si>
    <t>Incasso Dividendi Usa            42799170</t>
  </si>
  <si>
    <t>03109190913237</t>
  </si>
  <si>
    <t>BTP FX 3.1% AUG26 EUR</t>
  </si>
  <si>
    <t>03312534584703</t>
  </si>
  <si>
    <t>Ratei Pass.obb.            84703</t>
  </si>
  <si>
    <t>03317285341348</t>
  </si>
  <si>
    <t>03317285842075</t>
  </si>
  <si>
    <t>03623205417765</t>
  </si>
  <si>
    <t>BOT ZC APR26 A EUR</t>
  </si>
  <si>
    <t>03623250817817</t>
  </si>
  <si>
    <t>BOT ZC MAR26 A EUR</t>
  </si>
  <si>
    <t>03623264017889</t>
  </si>
  <si>
    <t>03623295319774</t>
  </si>
  <si>
    <t>Tobin Tax Italia            63045621</t>
  </si>
  <si>
    <t>04017275243473</t>
  </si>
  <si>
    <t>04017275643842</t>
  </si>
  <si>
    <t>TRIGANO SA</t>
  </si>
  <si>
    <t>04510342995134</t>
  </si>
  <si>
    <t>04717284176861</t>
  </si>
  <si>
    <t>04717284677448</t>
  </si>
  <si>
    <t>Tobin Tax Francia            63184896</t>
  </si>
  <si>
    <t>04918503874347</t>
  </si>
  <si>
    <t>05015090741440</t>
  </si>
  <si>
    <t>Tobin Tax Italia            63246977</t>
  </si>
  <si>
    <t>05417274968789</t>
  </si>
  <si>
    <t>05417275169005</t>
  </si>
  <si>
    <t>05614555646201</t>
  </si>
  <si>
    <t>05614561146222</t>
  </si>
  <si>
    <t>05614562846256</t>
  </si>
  <si>
    <t>05614580846436</t>
  </si>
  <si>
    <t>05614584246497</t>
  </si>
  <si>
    <t>Cedola Obb.            63353103</t>
  </si>
  <si>
    <t>06009525900043</t>
  </si>
  <si>
    <t>iShares Glob Aerospc &amp; Defence</t>
  </si>
  <si>
    <t>06009552400072</t>
  </si>
  <si>
    <t>06117283432304</t>
  </si>
  <si>
    <t>06117283832902</t>
  </si>
  <si>
    <t>Interessi Prest.titoli            63434231</t>
  </si>
  <si>
    <t>ENI S.P.A.</t>
  </si>
  <si>
    <t>06719313983222</t>
  </si>
  <si>
    <t>06817271781711</t>
  </si>
  <si>
    <t>06817271881891</t>
  </si>
  <si>
    <t>Tobin Tax Italia            63578156</t>
  </si>
  <si>
    <t>Rimborso Obbl. A Scadenza            63601604</t>
  </si>
  <si>
    <t>07517281448870</t>
  </si>
  <si>
    <t>07517281749346</t>
  </si>
  <si>
    <t>Provento Etf - IHYG            63751392</t>
  </si>
  <si>
    <t>Rit.provento Etf - IHYG            63751393</t>
  </si>
  <si>
    <t>Date</t>
  </si>
  <si>
    <t>Settlement</t>
  </si>
  <si>
    <t>Security</t>
  </si>
  <si>
    <t>Type</t>
  </si>
  <si>
    <t>Category</t>
  </si>
  <si>
    <t>Price</t>
  </si>
  <si>
    <t>Currency</t>
  </si>
  <si>
    <t>Quantity</t>
  </si>
  <si>
    <t>Amount (EUR)</t>
  </si>
  <si>
    <t>Commission</t>
  </si>
  <si>
    <t>Net Amount</t>
  </si>
  <si>
    <t>PORTFOLIO HOLDINGS</t>
  </si>
  <si>
    <t>Asset Class</t>
  </si>
  <si>
    <t>Shares Held</t>
  </si>
  <si>
    <t>Avg Cost</t>
  </si>
  <si>
    <t>Total Cost Basis</t>
  </si>
  <si>
    <t>Current Price</t>
  </si>
  <si>
    <t>Market Value</t>
  </si>
  <si>
    <t>Unrealized P&amp;L</t>
  </si>
  <si>
    <t>P&amp;L %</t>
  </si>
  <si>
    <t>Weight %</t>
  </si>
  <si>
    <t>Stock</t>
  </si>
  <si>
    <t>Bond</t>
  </si>
  <si>
    <t>Crypto ETP</t>
  </si>
  <si>
    <t>TOTAL</t>
  </si>
  <si>
    <t>Total Invested Capital</t>
  </si>
  <si>
    <t>Total Withdrawals</t>
  </si>
  <si>
    <t>Net Capital Deployed</t>
  </si>
  <si>
    <t>Total Market Value (Holdings)</t>
  </si>
  <si>
    <t>Cash Balance (est.)</t>
  </si>
  <si>
    <t>Total Portfolio Value</t>
  </si>
  <si>
    <t>Total Unrealized P&amp;L</t>
  </si>
  <si>
    <t>Total Realized P&amp;L</t>
  </si>
  <si>
    <t>Total Income (Div+Cpn+Dist)</t>
  </si>
  <si>
    <t>Total Taxes &amp; Fees</t>
  </si>
  <si>
    <t>Net Total P&amp;L</t>
  </si>
  <si>
    <t>MOIC (Multiple on Invested Capital)</t>
  </si>
  <si>
    <t># Securities</t>
  </si>
  <si>
    <t>Cost Basis</t>
  </si>
  <si>
    <t>Cash</t>
  </si>
  <si>
    <t>-</t>
  </si>
  <si>
    <t>Dividends</t>
  </si>
  <si>
    <t>Coupons</t>
  </si>
  <si>
    <t>Distributions</t>
  </si>
  <si>
    <t>Securities Lending</t>
  </si>
  <si>
    <t>Total Income</t>
  </si>
  <si>
    <t>Taxes (Tobin/Stamp/Withholding)</t>
  </si>
  <si>
    <t>Accrued Interest Paid</t>
  </si>
  <si>
    <t>Total Costs</t>
  </si>
  <si>
    <t>Description</t>
  </si>
  <si>
    <t>Valuation Date</t>
  </si>
  <si>
    <t>Terminal Value</t>
  </si>
  <si>
    <t>Month End</t>
  </si>
  <si>
    <t>Portfolio Value</t>
  </si>
  <si>
    <t>Deposits In Month</t>
  </si>
  <si>
    <t>Withdrawals In Month</t>
  </si>
  <si>
    <t>Monthly Return</t>
  </si>
  <si>
    <t>Cumulative Return</t>
  </si>
  <si>
    <t>Annualized Return (TWR)</t>
  </si>
  <si>
    <t>Monthly Std Dev</t>
  </si>
  <si>
    <t>Risk-Free Rate (annual)</t>
  </si>
  <si>
    <t>Sharpe Ratio</t>
  </si>
  <si>
    <t>ETF / ETC</t>
  </si>
  <si>
    <t>Cash flows from the investor's perspective:</t>
  </si>
  <si>
    <t>Cash Flow (€)</t>
  </si>
  <si>
    <t>Total Portfolio Value (Mkt + Cash)</t>
  </si>
  <si>
    <t>Cash flows from the portfolio's perspective (per day):</t>
  </si>
  <si>
    <t>Cumulative (€)</t>
  </si>
  <si>
    <t>Market Value of Open Positions</t>
  </si>
  <si>
    <t>Metric</t>
  </si>
  <si>
    <t>Value</t>
  </si>
  <si>
    <t>Investor IRR</t>
  </si>
  <si>
    <t>Deposits/Withdrawals + Terminal Value</t>
  </si>
  <si>
    <t>Company IRR</t>
  </si>
  <si>
    <t>Buys/Sells/Income + Mkt Value</t>
  </si>
  <si>
    <t>Cutoff Date:</t>
  </si>
  <si>
    <t>ARIETE CAPITAL S.R.L.</t>
  </si>
  <si>
    <t>Portfolio Report</t>
  </si>
  <si>
    <t>MOIC</t>
  </si>
  <si>
    <t>ASSET ALLOCATION</t>
  </si>
  <si>
    <t># Holdings</t>
  </si>
  <si>
    <t>Weight</t>
  </si>
  <si>
    <t>Stocks</t>
  </si>
  <si>
    <t>Bonds</t>
  </si>
  <si>
    <t>ETFs / ETCs</t>
  </si>
  <si>
    <t>Crypto ETPs</t>
  </si>
  <si>
    <t>Total</t>
  </si>
  <si>
    <t>TOP 10 HOLDINGS</t>
  </si>
  <si>
    <t>Other (25 holdings)</t>
  </si>
  <si>
    <t>BEST &amp; WORST PERFORMERS</t>
  </si>
  <si>
    <t>Top 5 Winners</t>
  </si>
  <si>
    <t>P&amp;L €</t>
  </si>
  <si>
    <t>Top 5 Losers</t>
  </si>
  <si>
    <t>PORTFOLIO PERFORMANCE</t>
  </si>
  <si>
    <t>Month</t>
  </si>
  <si>
    <t>Cumul. Return</t>
  </si>
  <si>
    <t>WIN / LOSS BREAKDOWN</t>
  </si>
  <si>
    <t>Count</t>
  </si>
  <si>
    <t>Total P&amp;L</t>
  </si>
  <si>
    <t>Winners</t>
  </si>
  <si>
    <t>Losers</t>
  </si>
  <si>
    <t>Breakeven</t>
  </si>
  <si>
    <t>P&amp;L COMPONENTS</t>
  </si>
  <si>
    <t>Component</t>
  </si>
  <si>
    <t>Amount</t>
  </si>
  <si>
    <t>Realized P&amp;L</t>
  </si>
  <si>
    <t>Income (Div + Cpn + Dist)</t>
  </si>
  <si>
    <t>Taxes &amp; Fees</t>
  </si>
  <si>
    <t>Market Value (€)</t>
  </si>
  <si>
    <t>Winners (12)</t>
  </si>
  <si>
    <t>Losers (23)</t>
  </si>
  <si>
    <t>CHARTS</t>
  </si>
  <si>
    <t>The charts below visualize the portfolio data from the tables above.</t>
  </si>
  <si>
    <t>Trade Log</t>
  </si>
  <si>
    <t>Portfolio Summary</t>
  </si>
  <si>
    <t>Asset Class Breakdown</t>
  </si>
  <si>
    <t>Income Summary</t>
  </si>
  <si>
    <t>Portfolio IRR</t>
  </si>
  <si>
    <t>Monthly Returns</t>
  </si>
  <si>
    <t>Monthly NAV Tracker</t>
  </si>
  <si>
    <t>Max Drawdown</t>
  </si>
  <si>
    <t>IRR Analysis</t>
  </si>
  <si>
    <t>Portfolio Metrics Dashboard</t>
  </si>
  <si>
    <t>IRR</t>
  </si>
  <si>
    <t>Spread</t>
  </si>
  <si>
    <t>Other 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</si>
</sst>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164" formatCode="#,##0.00000"/>
    <numFmt numFmtId="165" formatCode="mm/dd/yyyy"/>
    <numFmt numFmtId="166" formatCode="#,##0.00;\(#,##0.00\);&quot;-&quot;"/>
    <numFmt numFmtId="167" formatCode="0.0%"/>
    <numFmt numFmtId="168" formatCode="\€#,##0.00;\(\€#,##0.00\);&quot;-&quot;"/>
    <numFmt numFmtId="169" formatCode="0.00\x"/>
    <numFmt numFmtId="170" formatCode="\€#,##0.00"/>
    <numFmt numFmtId="171" formatCode="mmm\ yyyy"/>
    <numFmt numFmtId="172" formatCode="dd\ mmm\ yy"/>
    <numFmt numFmtId="173" formatCode="\€#,##0"/>
    <numFmt numFmtId="174" formatCode="\€#,##0;\(\€#,##0\);\-"/>
    <numFmt numFmtId="175" formatCode="0.0%;\(0.0%\);\-"/>
    <numFmt numFmtId="176" formatCode="\€#,##0;\(\€#,##0\)"/>
    <numFmt numFmtId="177" formatCode="mmm\ yy"/>
    <numFmt numFmtId="178" formatCode="0.00%;\(0.00%\);\-"/>
  </numFmts>
  <fonts count="40" x14ac:knownFonts="1">
    <font>
      <sz val="11"/>
      <color theme="1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charset val="1"/>
    </font>
    <font>
      <b/>
      <sz val="10"/>
      <color rgb="FFFFFFFF"/>
      <name val="Aptos"/>
      <family val="2"/>
    </font>
    <font>
      <sz val="10"/>
      <color theme="1"/>
      <name val="Aptos"/>
      <family val="2"/>
    </font>
    <font>
      <b/>
      <sz val="10"/>
      <color rgb="FF1F4E79"/>
      <name val="Aptos"/>
      <family val="2"/>
    </font>
    <font>
      <b/>
      <sz val="10"/>
      <color theme="1"/>
      <name val="Aptos"/>
      <family val="2"/>
    </font>
    <font>
      <sz val="10"/>
      <color rgb="FF0432FF"/>
      <name val="Aptos"/>
      <family val="2"/>
    </font>
    <font>
      <b/>
      <sz val="18"/>
      <color rgb="FF1F4E79"/>
      <name val="Calibri"/>
    </font>
    <font>
      <b/>
      <sz val="14"/>
      <color rgb="FF4472C4"/>
      <name val="Calibri"/>
    </font>
    <font>
      <sz val="11"/>
      <color rgb="FF808080"/>
      <name val="Calibri"/>
    </font>
    <font>
      <sz val="10"/>
      <color rgb="FF808080"/>
      <name val="Calibri"/>
      <family val="2"/>
      <charset val="1"/>
    </font>
    <font>
      <b/>
      <sz val="10"/>
      <color rgb="FF808080"/>
      <name val="Calibri"/>
    </font>
    <font>
      <b/>
      <sz val="16"/>
      <color rgb="FF1F4E79"/>
      <name val="Calibri"/>
    </font>
    <font>
      <sz val="11"/>
      <color rgb="FFC00000"/>
      <name val="Calibri"/>
      <family val="2"/>
      <charset val="1"/>
    </font>
    <font>
      <b/>
      <sz val="16"/>
      <color rgb="FFC00000"/>
      <name val="Calibri"/>
    </font>
    <font>
      <b/>
      <sz val="12"/>
      <color rgb="FF1F4E79"/>
      <name val="Calibri"/>
    </font>
    <font>
      <b/>
      <sz val="10"/>
      <color rgb="FFFFFFFF"/>
      <name val="Calibri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808080"/>
      <name val="Calibri"/>
      <family val="2"/>
      <charset val="1"/>
    </font>
    <font>
      <sz val="10"/>
      <color rgb="FF548235"/>
      <name val="Calibri"/>
      <family val="2"/>
      <charset val="1"/>
    </font>
    <font>
      <sz val="10"/>
      <color rgb="FFC00000"/>
      <name val="Calibri"/>
      <family val="2"/>
      <charset val="1"/>
    </font>
    <font>
      <b/>
      <sz val="14"/>
      <color rgb="FF1F4E79"/>
      <name val="Calibri"/>
    </font>
    <font>
      <b/>
      <sz val="10"/>
      <color rgb="FF0432FF"/>
      <name val="Aptos"/>
      <family val="2"/>
    </font>
    <font>
      <b/>
      <sz val="14"/>
      <color theme="5"/>
      <name val="Aptos"/>
      <family val="2"/>
    </font>
    <font>
      <sz val="10"/>
      <color theme="5"/>
      <name val="Aptos"/>
      <family val="2"/>
    </font>
    <font>
      <sz val="11"/>
      <color theme="1"/>
      <name val="Aptos"/>
      <family val="2"/>
    </font>
    <font>
      <b/>
      <sz val="12"/>
      <color rgb="FFFFFFFF"/>
      <name val="Aptos"/>
      <family val="2"/>
    </font>
    <font>
      <b/>
      <sz val="11"/>
      <color theme="1"/>
      <name val="Aptos"/>
      <family val="2"/>
    </font>
    <font>
      <sz val="11"/>
      <color theme="5"/>
      <name val="Aptos"/>
      <family val="2"/>
    </font>
    <font>
      <i/>
      <sz val="9"/>
      <color rgb="FF808080"/>
      <name val="Aptos"/>
      <family val="2"/>
    </font>
    <font>
      <sz val="9"/>
      <color rgb="FF808080"/>
      <name val="Aptos"/>
      <family val="2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sz val="10"/>
      <color rgb="FF808080"/>
      <name val="Aptos"/>
      <family val="2"/>
    </font>
    <font>
      <sz val="10"/>
      <name val="Aptos"/>
      <family val="2"/>
    </font>
    <font>
      <i/>
      <sz val="9"/>
      <color theme="1" tint="0.499984740745262"/>
      <name val="Aptos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/>
      <top style="thin">
        <color rgb="FFD9E2F3"/>
      </top>
      <bottom style="thin">
        <color rgb="FF1F4E79"/>
      </bottom>
      <diagonal/>
    </border>
    <border>
      <left/>
      <right/>
      <top style="thin">
        <color rgb="FF1F4E79"/>
      </top>
      <bottom style="thin">
        <color rgb="FFD9E2F3"/>
      </bottom>
      <diagonal/>
    </border>
    <border>
      <left/>
      <right/>
      <top/>
      <bottom style="medium">
        <color rgb="FF4472C4"/>
      </bottom>
      <diagonal/>
    </border>
    <border>
      <left/>
      <right/>
      <top style="double">
        <color rgb="FF1F4E79"/>
      </top>
      <bottom style="thin">
        <color rgb="FF1F4E7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1">
    <xf numFmtId="0" fontId="0" fillId="0" borderId="0" xfId="0"/>
    <xf numFmtId="14" fontId="0" fillId="0" borderId="0" xfId="0" applyNumberFormat="1"/>
    <xf numFmtId="4" fontId="0" fillId="0" borderId="0" xfId="0" applyNumberFormat="1"/>
    <xf numFmtId="164" fontId="0" fillId="0" borderId="0" xfId="0" applyNumberFormat="1"/>
    <xf numFmtId="3" fontId="0" fillId="0" borderId="0" xfId="0" applyNumberFormat="1"/>
    <xf numFmtId="167" fontId="0" fillId="0" borderId="0" xfId="0" applyNumberFormat="1"/>
    <xf numFmtId="0" fontId="5" fillId="0" borderId="0" xfId="0" applyFont="1"/>
    <xf numFmtId="165" fontId="5" fillId="0" borderId="0" xfId="0" applyNumberFormat="1" applyFont="1"/>
    <xf numFmtId="4" fontId="5" fillId="0" borderId="0" xfId="0" applyNumberFormat="1" applyFont="1"/>
    <xf numFmtId="3" fontId="5" fillId="0" borderId="0" xfId="0" applyNumberFormat="1" applyFont="1"/>
    <xf numFmtId="166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right"/>
    </xf>
    <xf numFmtId="0" fontId="5" fillId="0" borderId="0" xfId="0" applyFont="1" applyAlignment="1">
      <alignment wrapText="1"/>
    </xf>
    <xf numFmtId="167" fontId="5" fillId="0" borderId="0" xfId="0" applyNumberFormat="1" applyFont="1"/>
    <xf numFmtId="4" fontId="8" fillId="4" borderId="0" xfId="0" applyNumberFormat="1" applyFont="1" applyFill="1"/>
    <xf numFmtId="0" fontId="7" fillId="0" borderId="2" xfId="0" applyFont="1" applyBorder="1"/>
    <xf numFmtId="166" fontId="7" fillId="0" borderId="2" xfId="0" applyNumberFormat="1" applyFont="1" applyBorder="1"/>
    <xf numFmtId="167" fontId="7" fillId="0" borderId="2" xfId="0" applyNumberFormat="1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7" fillId="0" borderId="0" xfId="0" applyFont="1"/>
    <xf numFmtId="0" fontId="22" fillId="0" borderId="0" xfId="0" applyFont="1"/>
    <xf numFmtId="173" fontId="0" fillId="0" borderId="0" xfId="0" applyNumberFormat="1"/>
    <xf numFmtId="177" fontId="0" fillId="0" borderId="0" xfId="0" applyNumberFormat="1"/>
    <xf numFmtId="0" fontId="19" fillId="0" borderId="3" xfId="0" applyFont="1" applyBorder="1"/>
    <xf numFmtId="0" fontId="19" fillId="0" borderId="3" xfId="0" applyFont="1" applyBorder="1" applyAlignment="1">
      <alignment horizontal="center"/>
    </xf>
    <xf numFmtId="173" fontId="19" fillId="0" borderId="3" xfId="0" applyNumberFormat="1" applyFont="1" applyBorder="1" applyAlignment="1">
      <alignment horizontal="right"/>
    </xf>
    <xf numFmtId="167" fontId="19" fillId="0" borderId="3" xfId="0" applyNumberFormat="1" applyFont="1" applyBorder="1" applyAlignment="1">
      <alignment horizontal="right"/>
    </xf>
    <xf numFmtId="0" fontId="18" fillId="2" borderId="6" xfId="0" applyFont="1" applyFill="1" applyBorder="1"/>
    <xf numFmtId="0" fontId="18" fillId="2" borderId="6" xfId="0" applyFont="1" applyFill="1" applyBorder="1" applyAlignment="1">
      <alignment horizontal="center"/>
    </xf>
    <xf numFmtId="0" fontId="18" fillId="2" borderId="6" xfId="0" applyFont="1" applyFill="1" applyBorder="1" applyAlignment="1">
      <alignment horizontal="right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1" fillId="2" borderId="6" xfId="0" applyFont="1" applyFill="1" applyBorder="1"/>
    <xf numFmtId="0" fontId="21" fillId="2" borderId="6" xfId="0" applyFont="1" applyFill="1" applyBorder="1" applyAlignment="1">
      <alignment horizontal="center"/>
    </xf>
    <xf numFmtId="0" fontId="21" fillId="2" borderId="6" xfId="0" applyFont="1" applyFill="1" applyBorder="1" applyAlignment="1">
      <alignment horizontal="right"/>
    </xf>
    <xf numFmtId="167" fontId="0" fillId="0" borderId="3" xfId="0" applyNumberFormat="1" applyBorder="1" applyAlignment="1">
      <alignment horizontal="right"/>
    </xf>
    <xf numFmtId="176" fontId="0" fillId="0" borderId="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176" fontId="0" fillId="0" borderId="5" xfId="0" applyNumberFormat="1" applyBorder="1" applyAlignment="1">
      <alignment horizontal="right"/>
    </xf>
    <xf numFmtId="0" fontId="21" fillId="5" borderId="6" xfId="0" applyFont="1" applyFill="1" applyBorder="1"/>
    <xf numFmtId="0" fontId="21" fillId="5" borderId="6" xfId="0" applyFont="1" applyFill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76" fontId="15" fillId="0" borderId="3" xfId="0" applyNumberFormat="1" applyFont="1" applyBorder="1" applyAlignment="1">
      <alignment horizontal="right"/>
    </xf>
    <xf numFmtId="167" fontId="15" fillId="0" borderId="5" xfId="0" applyNumberFormat="1" applyFont="1" applyBorder="1" applyAlignment="1">
      <alignment horizontal="right"/>
    </xf>
    <xf numFmtId="176" fontId="15" fillId="0" borderId="5" xfId="0" applyNumberFormat="1" applyFont="1" applyBorder="1" applyAlignment="1">
      <alignment horizontal="right"/>
    </xf>
    <xf numFmtId="0" fontId="21" fillId="6" borderId="6" xfId="0" applyFont="1" applyFill="1" applyBorder="1"/>
    <xf numFmtId="0" fontId="21" fillId="6" borderId="6" xfId="0" applyFont="1" applyFill="1" applyBorder="1" applyAlignment="1">
      <alignment horizontal="right"/>
    </xf>
    <xf numFmtId="0" fontId="23" fillId="0" borderId="3" xfId="0" applyFont="1" applyBorder="1"/>
    <xf numFmtId="0" fontId="23" fillId="0" borderId="3" xfId="0" applyFont="1" applyBorder="1" applyAlignment="1">
      <alignment horizontal="center"/>
    </xf>
    <xf numFmtId="173" fontId="23" fillId="0" borderId="3" xfId="0" applyNumberFormat="1" applyFont="1" applyBorder="1" applyAlignment="1">
      <alignment horizontal="right"/>
    </xf>
    <xf numFmtId="0" fontId="24" fillId="0" borderId="3" xfId="0" applyFont="1" applyBorder="1"/>
    <xf numFmtId="0" fontId="24" fillId="0" borderId="3" xfId="0" applyFont="1" applyBorder="1" applyAlignment="1">
      <alignment horizontal="center"/>
    </xf>
    <xf numFmtId="176" fontId="24" fillId="0" borderId="3" xfId="0" applyNumberFormat="1" applyFont="1" applyBorder="1" applyAlignment="1">
      <alignment horizontal="right"/>
    </xf>
    <xf numFmtId="0" fontId="12" fillId="0" borderId="5" xfId="0" applyFont="1" applyBorder="1"/>
    <xf numFmtId="0" fontId="12" fillId="0" borderId="5" xfId="0" applyFont="1" applyBorder="1" applyAlignment="1">
      <alignment horizontal="center"/>
    </xf>
    <xf numFmtId="173" fontId="12" fillId="0" borderId="5" xfId="0" applyNumberFormat="1" applyFont="1" applyBorder="1" applyAlignment="1">
      <alignment horizontal="right"/>
    </xf>
    <xf numFmtId="176" fontId="19" fillId="0" borderId="3" xfId="0" applyNumberFormat="1" applyFont="1" applyBorder="1" applyAlignment="1">
      <alignment horizontal="right"/>
    </xf>
    <xf numFmtId="0" fontId="0" fillId="0" borderId="6" xfId="0" applyBorder="1"/>
    <xf numFmtId="173" fontId="19" fillId="0" borderId="4" xfId="0" applyNumberFormat="1" applyFont="1" applyBorder="1" applyAlignment="1">
      <alignment horizontal="right"/>
    </xf>
    <xf numFmtId="0" fontId="13" fillId="0" borderId="0" xfId="0" applyFont="1"/>
    <xf numFmtId="173" fontId="14" fillId="0" borderId="7" xfId="0" applyNumberFormat="1" applyFont="1" applyBorder="1"/>
    <xf numFmtId="174" fontId="16" fillId="0" borderId="7" xfId="0" applyNumberFormat="1" applyFont="1" applyBorder="1"/>
    <xf numFmtId="169" fontId="14" fillId="0" borderId="7" xfId="0" applyNumberFormat="1" applyFont="1" applyBorder="1"/>
    <xf numFmtId="175" fontId="16" fillId="0" borderId="7" xfId="0" applyNumberFormat="1" applyFont="1" applyBorder="1"/>
    <xf numFmtId="2" fontId="16" fillId="0" borderId="7" xfId="0" applyNumberFormat="1" applyFont="1" applyBorder="1"/>
    <xf numFmtId="0" fontId="19" fillId="0" borderId="4" xfId="0" applyFont="1" applyBorder="1"/>
    <xf numFmtId="0" fontId="19" fillId="0" borderId="4" xfId="0" applyFont="1" applyBorder="1" applyAlignment="1">
      <alignment horizontal="center"/>
    </xf>
    <xf numFmtId="167" fontId="19" fillId="0" borderId="4" xfId="0" applyNumberFormat="1" applyFont="1" applyBorder="1" applyAlignment="1">
      <alignment horizontal="right"/>
    </xf>
    <xf numFmtId="0" fontId="20" fillId="0" borderId="8" xfId="0" applyFont="1" applyBorder="1"/>
    <xf numFmtId="0" fontId="20" fillId="0" borderId="8" xfId="0" applyFont="1" applyBorder="1" applyAlignment="1">
      <alignment horizontal="center"/>
    </xf>
    <xf numFmtId="173" fontId="20" fillId="0" borderId="8" xfId="0" applyNumberFormat="1" applyFont="1" applyBorder="1" applyAlignment="1">
      <alignment horizontal="right"/>
    </xf>
    <xf numFmtId="167" fontId="20" fillId="0" borderId="8" xfId="0" applyNumberFormat="1" applyFont="1" applyBorder="1" applyAlignment="1">
      <alignment horizontal="right"/>
    </xf>
    <xf numFmtId="176" fontId="24" fillId="0" borderId="4" xfId="0" applyNumberFormat="1" applyFont="1" applyBorder="1" applyAlignment="1">
      <alignment horizontal="right"/>
    </xf>
    <xf numFmtId="0" fontId="0" fillId="0" borderId="8" xfId="0" applyBorder="1"/>
    <xf numFmtId="176" fontId="20" fillId="0" borderId="8" xfId="0" applyNumberFormat="1" applyFont="1" applyBorder="1" applyAlignment="1">
      <alignment horizontal="right"/>
    </xf>
    <xf numFmtId="0" fontId="19" fillId="7" borderId="3" xfId="0" applyFont="1" applyFill="1" applyBorder="1"/>
    <xf numFmtId="0" fontId="19" fillId="7" borderId="3" xfId="0" applyFont="1" applyFill="1" applyBorder="1" applyAlignment="1">
      <alignment horizontal="center"/>
    </xf>
    <xf numFmtId="173" fontId="19" fillId="7" borderId="3" xfId="0" applyNumberFormat="1" applyFont="1" applyFill="1" applyBorder="1" applyAlignment="1">
      <alignment horizontal="right"/>
    </xf>
    <xf numFmtId="167" fontId="19" fillId="7" borderId="3" xfId="0" applyNumberFormat="1" applyFont="1" applyFill="1" applyBorder="1" applyAlignment="1">
      <alignment horizontal="right"/>
    </xf>
    <xf numFmtId="0" fontId="0" fillId="7" borderId="3" xfId="0" applyFill="1" applyBorder="1"/>
    <xf numFmtId="0" fontId="22" fillId="7" borderId="5" xfId="0" applyFont="1" applyFill="1" applyBorder="1"/>
    <xf numFmtId="0" fontId="0" fillId="7" borderId="5" xfId="0" applyFill="1" applyBorder="1"/>
    <xf numFmtId="173" fontId="22" fillId="7" borderId="5" xfId="0" applyNumberFormat="1" applyFont="1" applyFill="1" applyBorder="1" applyAlignment="1">
      <alignment horizontal="right"/>
    </xf>
    <xf numFmtId="167" fontId="22" fillId="7" borderId="5" xfId="0" applyNumberFormat="1" applyFont="1" applyFill="1" applyBorder="1" applyAlignment="1">
      <alignment horizontal="right"/>
    </xf>
    <xf numFmtId="177" fontId="19" fillId="7" borderId="3" xfId="0" applyNumberFormat="1" applyFont="1" applyFill="1" applyBorder="1"/>
    <xf numFmtId="178" fontId="19" fillId="7" borderId="3" xfId="0" applyNumberFormat="1" applyFont="1" applyFill="1" applyBorder="1" applyAlignment="1">
      <alignment horizontal="right"/>
    </xf>
    <xf numFmtId="10" fontId="19" fillId="7" borderId="3" xfId="0" applyNumberFormat="1" applyFont="1" applyFill="1" applyBorder="1" applyAlignment="1">
      <alignment horizontal="right"/>
    </xf>
    <xf numFmtId="177" fontId="19" fillId="7" borderId="5" xfId="0" applyNumberFormat="1" applyFont="1" applyFill="1" applyBorder="1"/>
    <xf numFmtId="173" fontId="19" fillId="7" borderId="5" xfId="0" applyNumberFormat="1" applyFont="1" applyFill="1" applyBorder="1" applyAlignment="1">
      <alignment horizontal="right"/>
    </xf>
    <xf numFmtId="178" fontId="19" fillId="7" borderId="5" xfId="0" applyNumberFormat="1" applyFont="1" applyFill="1" applyBorder="1" applyAlignment="1">
      <alignment horizontal="right"/>
    </xf>
    <xf numFmtId="10" fontId="19" fillId="7" borderId="5" xfId="0" applyNumberFormat="1" applyFont="1" applyFill="1" applyBorder="1" applyAlignment="1">
      <alignment horizontal="right"/>
    </xf>
    <xf numFmtId="0" fontId="25" fillId="0" borderId="0" xfId="0" applyFont="1"/>
    <xf numFmtId="172" fontId="26" fillId="4" borderId="0" xfId="0" applyNumberFormat="1" applyFont="1" applyFill="1"/>
    <xf numFmtId="0" fontId="5" fillId="0" borderId="0" xfId="0" applyFont="1" applyAlignment="1">
      <alignment vertical="center"/>
    </xf>
    <xf numFmtId="0" fontId="5" fillId="8" borderId="0" xfId="0" applyFont="1" applyFill="1" applyAlignment="1">
      <alignment horizontal="left" vertical="center" indent="1"/>
    </xf>
    <xf numFmtId="0" fontId="5" fillId="8" borderId="0" xfId="0" applyFont="1" applyFill="1"/>
    <xf numFmtId="0" fontId="4" fillId="8" borderId="0" xfId="0" applyFont="1" applyFill="1" applyAlignment="1">
      <alignment horizontal="center"/>
    </xf>
    <xf numFmtId="0" fontId="27" fillId="8" borderId="0" xfId="0" applyFont="1" applyFill="1" applyAlignment="1">
      <alignment horizontal="left" vertical="center" indent="1"/>
    </xf>
    <xf numFmtId="0" fontId="28" fillId="8" borderId="0" xfId="0" applyFont="1" applyFill="1"/>
    <xf numFmtId="0" fontId="4" fillId="8" borderId="0" xfId="0" applyFont="1" applyFill="1" applyAlignment="1">
      <alignment horizontal="center" vertical="center"/>
    </xf>
    <xf numFmtId="0" fontId="29" fillId="8" borderId="0" xfId="0" applyFont="1" applyFill="1"/>
    <xf numFmtId="0" fontId="29" fillId="0" borderId="0" xfId="0" applyFont="1"/>
    <xf numFmtId="0" fontId="31" fillId="0" borderId="0" xfId="0" applyFont="1"/>
    <xf numFmtId="0" fontId="30" fillId="8" borderId="0" xfId="0" applyFont="1" applyFill="1" applyAlignment="1">
      <alignment vertical="center"/>
    </xf>
    <xf numFmtId="0" fontId="30" fillId="8" borderId="0" xfId="0" applyFont="1" applyFill="1" applyAlignment="1">
      <alignment horizontal="left" vertical="center" indent="1"/>
    </xf>
    <xf numFmtId="10" fontId="29" fillId="0" borderId="0" xfId="0" applyNumberFormat="1" applyFont="1"/>
    <xf numFmtId="0" fontId="30" fillId="0" borderId="0" xfId="0" applyFont="1" applyAlignment="1">
      <alignment vertical="center"/>
    </xf>
    <xf numFmtId="0" fontId="31" fillId="9" borderId="0" xfId="0" applyFont="1" applyFill="1" applyAlignment="1">
      <alignment horizontal="left" indent="1"/>
    </xf>
    <xf numFmtId="0" fontId="31" fillId="9" borderId="0" xfId="0" applyFont="1" applyFill="1" applyAlignment="1">
      <alignment horizontal="right"/>
    </xf>
    <xf numFmtId="0" fontId="31" fillId="9" borderId="0" xfId="0" applyFont="1" applyFill="1"/>
    <xf numFmtId="0" fontId="32" fillId="8" borderId="0" xfId="0" applyFont="1" applyFill="1" applyAlignment="1">
      <alignment horizontal="left" vertical="center" indent="1"/>
    </xf>
    <xf numFmtId="0" fontId="33" fillId="0" borderId="0" xfId="0" applyFont="1"/>
    <xf numFmtId="165" fontId="29" fillId="0" borderId="0" xfId="0" applyNumberFormat="1" applyFont="1"/>
    <xf numFmtId="168" fontId="29" fillId="0" borderId="0" xfId="0" applyNumberFormat="1" applyFont="1"/>
    <xf numFmtId="0" fontId="34" fillId="0" borderId="0" xfId="0" applyFont="1"/>
    <xf numFmtId="0" fontId="29" fillId="0" borderId="10" xfId="0" applyFont="1" applyBorder="1"/>
    <xf numFmtId="0" fontId="7" fillId="9" borderId="0" xfId="0" applyFont="1" applyFill="1" applyAlignment="1">
      <alignment horizontal="left" indent="1"/>
    </xf>
    <xf numFmtId="0" fontId="7" fillId="9" borderId="0" xfId="0" applyFont="1" applyFill="1"/>
    <xf numFmtId="165" fontId="7" fillId="9" borderId="0" xfId="0" applyNumberFormat="1" applyFont="1" applyFill="1"/>
    <xf numFmtId="171" fontId="5" fillId="0" borderId="0" xfId="0" applyNumberFormat="1" applyFont="1"/>
    <xf numFmtId="170" fontId="8" fillId="4" borderId="0" xfId="0" applyNumberFormat="1" applyFont="1" applyFill="1"/>
    <xf numFmtId="168" fontId="5" fillId="0" borderId="0" xfId="0" applyNumberFormat="1" applyFont="1"/>
    <xf numFmtId="9" fontId="8" fillId="4" borderId="0" xfId="1" applyFont="1" applyFill="1"/>
    <xf numFmtId="10" fontId="5" fillId="0" borderId="0" xfId="0" applyNumberFormat="1" applyFont="1"/>
    <xf numFmtId="9" fontId="5" fillId="0" borderId="0" xfId="1" applyFont="1"/>
    <xf numFmtId="0" fontId="5" fillId="0" borderId="10" xfId="0" applyFont="1" applyBorder="1"/>
    <xf numFmtId="165" fontId="5" fillId="0" borderId="10" xfId="0" applyNumberFormat="1" applyFont="1" applyBorder="1"/>
    <xf numFmtId="0" fontId="5" fillId="0" borderId="0" xfId="0" applyFont="1" applyAlignment="1">
      <alignment horizontal="left" indent="1"/>
    </xf>
    <xf numFmtId="10" fontId="8" fillId="4" borderId="0" xfId="0" applyNumberFormat="1" applyFont="1" applyFill="1"/>
    <xf numFmtId="0" fontId="7" fillId="9" borderId="9" xfId="0" applyFont="1" applyFill="1" applyBorder="1" applyAlignment="1">
      <alignment horizontal="left" indent="1"/>
    </xf>
    <xf numFmtId="2" fontId="5" fillId="9" borderId="9" xfId="0" applyNumberFormat="1" applyFont="1" applyFill="1" applyBorder="1"/>
    <xf numFmtId="0" fontId="7" fillId="0" borderId="0" xfId="0" applyFont="1" applyAlignment="1">
      <alignment horizontal="left" indent="1"/>
    </xf>
    <xf numFmtId="2" fontId="5" fillId="0" borderId="0" xfId="0" applyNumberFormat="1" applyFont="1"/>
    <xf numFmtId="0" fontId="35" fillId="10" borderId="12" xfId="0" applyFont="1" applyFill="1" applyBorder="1" applyAlignment="1">
      <alignment horizontal="left" indent="1"/>
    </xf>
    <xf numFmtId="10" fontId="36" fillId="10" borderId="12" xfId="0" applyNumberFormat="1" applyFont="1" applyFill="1" applyBorder="1"/>
    <xf numFmtId="0" fontId="7" fillId="9" borderId="11" xfId="0" applyFont="1" applyFill="1" applyBorder="1" applyAlignment="1">
      <alignment horizontal="left" indent="1"/>
    </xf>
    <xf numFmtId="168" fontId="7" fillId="9" borderId="11" xfId="0" applyNumberFormat="1" applyFont="1" applyFill="1" applyBorder="1"/>
    <xf numFmtId="0" fontId="7" fillId="0" borderId="9" xfId="0" applyFont="1" applyBorder="1" applyAlignment="1">
      <alignment horizontal="left" indent="1"/>
    </xf>
    <xf numFmtId="168" fontId="7" fillId="0" borderId="9" xfId="0" applyNumberFormat="1" applyFont="1" applyBorder="1"/>
    <xf numFmtId="168" fontId="7" fillId="0" borderId="0" xfId="0" applyNumberFormat="1" applyFont="1"/>
    <xf numFmtId="169" fontId="7" fillId="0" borderId="9" xfId="0" applyNumberFormat="1" applyFont="1" applyBorder="1"/>
    <xf numFmtId="169" fontId="7" fillId="0" borderId="0" xfId="0" applyNumberFormat="1" applyFont="1"/>
    <xf numFmtId="10" fontId="5" fillId="0" borderId="10" xfId="0" applyNumberFormat="1" applyFont="1" applyBorder="1"/>
    <xf numFmtId="0" fontId="7" fillId="9" borderId="0" xfId="0" applyFont="1" applyFill="1" applyAlignment="1">
      <alignment horizontal="right"/>
    </xf>
    <xf numFmtId="0" fontId="5" fillId="0" borderId="0" xfId="0" applyFont="1" applyAlignment="1">
      <alignment horizontal="right"/>
    </xf>
    <xf numFmtId="0" fontId="7" fillId="0" borderId="1" xfId="0" applyFont="1" applyBorder="1" applyAlignment="1">
      <alignment horizontal="left" indent="1"/>
    </xf>
    <xf numFmtId="0" fontId="7" fillId="0" borderId="1" xfId="0" applyFont="1" applyBorder="1"/>
    <xf numFmtId="168" fontId="7" fillId="0" borderId="1" xfId="0" applyNumberFormat="1" applyFont="1" applyBorder="1"/>
    <xf numFmtId="167" fontId="7" fillId="0" borderId="1" xfId="0" applyNumberFormat="1" applyFont="1" applyBorder="1"/>
    <xf numFmtId="0" fontId="37" fillId="0" borderId="0" xfId="0" applyFont="1"/>
    <xf numFmtId="165" fontId="5" fillId="3" borderId="0" xfId="0" applyNumberFormat="1" applyFont="1" applyFill="1"/>
    <xf numFmtId="168" fontId="5" fillId="3" borderId="0" xfId="0" applyNumberFormat="1" applyFont="1" applyFill="1"/>
    <xf numFmtId="0" fontId="5" fillId="3" borderId="0" xfId="0" applyFont="1" applyFill="1"/>
    <xf numFmtId="0" fontId="7" fillId="0" borderId="0" xfId="0" applyFont="1"/>
    <xf numFmtId="172" fontId="38" fillId="0" borderId="0" xfId="0" applyNumberFormat="1" applyFont="1"/>
    <xf numFmtId="170" fontId="5" fillId="0" borderId="0" xfId="0" applyNumberFormat="1" applyFont="1"/>
    <xf numFmtId="0" fontId="7" fillId="9" borderId="9" xfId="0" applyFont="1" applyFill="1" applyBorder="1"/>
    <xf numFmtId="10" fontId="5" fillId="9" borderId="9" xfId="0" applyNumberFormat="1" applyFont="1" applyFill="1" applyBorder="1"/>
    <xf numFmtId="0" fontId="29" fillId="9" borderId="0" xfId="0" applyFont="1" applyFill="1"/>
    <xf numFmtId="0" fontId="5" fillId="0" borderId="10" xfId="0" applyFont="1" applyBorder="1" applyAlignment="1">
      <alignment horizontal="left" indent="1"/>
    </xf>
    <xf numFmtId="10" fontId="29" fillId="0" borderId="0" xfId="0" applyNumberFormat="1" applyFont="1" applyAlignment="1">
      <alignment vertical="center"/>
    </xf>
    <xf numFmtId="0" fontId="29" fillId="0" borderId="10" xfId="0" applyFont="1" applyBorder="1" applyAlignment="1">
      <alignment vertical="center"/>
    </xf>
    <xf numFmtId="2" fontId="29" fillId="0" borderId="0" xfId="0" applyNumberFormat="1" applyFont="1"/>
    <xf numFmtId="167" fontId="29" fillId="0" borderId="0" xfId="1" applyNumberFormat="1" applyFont="1"/>
    <xf numFmtId="0" fontId="36" fillId="0" borderId="10" xfId="0" applyFont="1" applyBorder="1" applyAlignment="1">
      <alignment horizontal="left" indent="1"/>
    </xf>
    <xf numFmtId="167" fontId="29" fillId="0" borderId="10" xfId="1" applyNumberFormat="1" applyFont="1" applyBorder="1"/>
    <xf numFmtId="172" fontId="5" fillId="3" borderId="0" xfId="0" applyNumberFormat="1" applyFont="1" applyFill="1"/>
    <xf numFmtId="172" fontId="5" fillId="0" borderId="0" xfId="0" applyNumberFormat="1" applyFont="1"/>
    <xf numFmtId="172" fontId="29" fillId="0" borderId="0" xfId="0" applyNumberFormat="1" applyFont="1"/>
    <xf numFmtId="0" fontId="39" fillId="0" borderId="0" xfId="0" applyFont="1"/>
    <xf numFmtId="0" fontId="39" fillId="0" borderId="10" xfId="0" applyFont="1" applyBorder="1"/>
    <xf numFmtId="0" fontId="30" fillId="8" borderId="0" xfId="0" applyFont="1" applyFill="1" applyAlignment="1">
      <alignment horizontal="left" vertical="center" indent="1"/>
    </xf>
    <xf numFmtId="0" fontId="30" fillId="0" borderId="0" xfId="0" applyFont="1"/>
    <xf numFmtId="10" fontId="29" fillId="0" borderId="0" xfId="0" applyNumberFormat="1" applyFont="1" applyAlignment="1">
      <alignment vertical="center"/>
    </xf>
    <xf numFmtId="10" fontId="29" fillId="0" borderId="10" xfId="0" applyNumberFormat="1" applyFont="1" applyBorder="1" applyAlignment="1">
      <alignment vertical="center"/>
    </xf>
    <xf numFmtId="0" fontId="4" fillId="8" borderId="0" xfId="0" applyFont="1" applyFill="1" applyAlignment="1">
      <alignment horizontal="left" vertical="center" indent="1"/>
    </xf>
    <xf numFmtId="165" fontId="4" fillId="8" borderId="0" xfId="0" applyNumberFormat="1" applyFont="1" applyFill="1" applyAlignment="1">
      <alignment horizontal="left" vertical="center" indent="1"/>
    </xf>
  </cellXfs>
  <cellStyles count="2">
    <cellStyle name="Normal" xfId="0" builtinId="0"/>
    <cellStyle name="Per cent" xfId="1" builtinId="5"/>
  </cellStyles>
  <dxfs count="16">
    <dxf>
      <font>
        <color rgb="FFC0C0C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6" formatCode="#,##0.00;\(#,##0.00\);&quot;-&quot;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6" formatCode="#,##0.00;\(#,##0.00\);&quot;-&quot;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6" formatCode="#,##0.00;\(#,##0.00\);&quot;-&quot;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65" formatCode="mm/d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numFmt numFmtId="172" formatCode="dd\ mmm\ 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family val="2"/>
        <scheme val="none"/>
      </font>
      <fill>
        <patternFill patternType="solid">
          <fgColor indexed="64"/>
          <bgColor theme="3"/>
        </patternFill>
      </fill>
      <alignment horizontal="center" vertical="bottom" textRotation="0" wrapText="0" indent="0" justifyLastLine="0" shrinkToFit="0" readingOrder="0"/>
    </dxf>
    <dxf>
      <fill>
        <patternFill>
          <bgColor rgb="FFE7EEF5"/>
        </patternFill>
      </fill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Table Style 1" pivot="0" count="2" xr9:uid="{0F11C1EE-5DF5-4E07-8F0F-B346AE015056}">
      <tableStyleElement type="firstRowStripe" dxfId="15"/>
      <tableStyleElement type="secondRowStripe" dxfId="14"/>
    </tableStyle>
  </tableStyles>
  <colors>
    <mruColors>
      <color rgb="FFE7EE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Holdings by Market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'Investor Report'!$O$17</c:f>
              <c:strCache>
                <c:ptCount val="1"/>
                <c:pt idx="0">
                  <c:v>Market Value (€)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dLbls>
            <c:numFmt formatCode="\€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'Investor Report'!$N$18:$N$28</c:f>
              <c:strCache>
                <c:ptCount val="11"/>
                <c:pt idx="0">
                  <c:v>MONCLER</c:v>
                </c:pt>
                <c:pt idx="1">
                  <c:v>BTP FX 3.1% AUG26 EUR</c:v>
                </c:pt>
                <c:pt idx="2">
                  <c:v>BOT ZC APR26 A EUR</c:v>
                </c:pt>
                <c:pt idx="3">
                  <c:v>FERRARI</c:v>
                </c:pt>
                <c:pt idx="4">
                  <c:v>ISHARES FTSE MIB UCITS ETF EUR</c:v>
                </c:pt>
                <c:pt idx="5">
                  <c:v>INTESA SANPAOLO</c:v>
                </c:pt>
                <c:pt idx="6">
                  <c:v>INTERPUMP GROUP</c:v>
                </c:pt>
                <c:pt idx="7">
                  <c:v>WisdomTree Europe Defence UCIT</c:v>
                </c:pt>
                <c:pt idx="8">
                  <c:v>EXOR NV</c:v>
                </c:pt>
                <c:pt idx="9">
                  <c:v>SANLORENZO</c:v>
                </c:pt>
                <c:pt idx="10">
                  <c:v>Other (25 holdings)</c:v>
                </c:pt>
              </c:strCache>
            </c:strRef>
          </c:cat>
          <c:val>
            <c:numRef>
              <c:f>'Investor Report'!$O$18:$O$28</c:f>
              <c:numCache>
                <c:formatCode>General</c:formatCode>
                <c:ptCount val="11"/>
                <c:pt idx="0">
                  <c:v>154200</c:v>
                </c:pt>
                <c:pt idx="1">
                  <c:v>100303.00000000001</c:v>
                </c:pt>
                <c:pt idx="2">
                  <c:v>99933</c:v>
                </c:pt>
                <c:pt idx="3">
                  <c:v>86700</c:v>
                </c:pt>
                <c:pt idx="4">
                  <c:v>81288.900000000009</c:v>
                </c:pt>
                <c:pt idx="5">
                  <c:v>51609.999999999993</c:v>
                </c:pt>
                <c:pt idx="6">
                  <c:v>42120</c:v>
                </c:pt>
                <c:pt idx="7">
                  <c:v>35669.79</c:v>
                </c:pt>
                <c:pt idx="8">
                  <c:v>34086</c:v>
                </c:pt>
                <c:pt idx="9">
                  <c:v>33880</c:v>
                </c:pt>
                <c:pt idx="10">
                  <c:v>448060.98799999978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4-487B-A7DF-052C07401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49232992"/>
        <c:axId val="749236352"/>
      </c:barChart>
      <c:catAx>
        <c:axId val="749232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236352"/>
        <c:crosses val="autoZero"/>
        <c:auto val="1"/>
        <c:lblAlgn val="ctr"/>
        <c:lblOffset val="100"/>
        <c:noMultiLvlLbl val="0"/>
      </c:catAx>
      <c:valAx>
        <c:axId val="749236352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€#.##0.\K" sourceLinked="0"/>
        <c:majorTickMark val="none"/>
        <c:minorTickMark val="none"/>
        <c:tickLblPos val="nextTo"/>
        <c:crossAx val="74923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Asset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'Investor Report'!$O$10</c:f>
              <c:strCache>
                <c:ptCount val="1"/>
                <c:pt idx="0">
                  <c:v>Market Value</c:v>
                </c:pt>
              </c:strCache>
            </c:strRef>
          </c:tx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24-4EC6-A1D2-BE16CB80E97C}"/>
              </c:ext>
            </c:extLst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E24-4EC6-A1D2-BE16CB80E97C}"/>
              </c:ext>
            </c:extLst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4-4EC6-A1D2-BE16CB80E97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E24-4EC6-A1D2-BE16CB80E97C}"/>
              </c:ext>
            </c:extLst>
          </c:dPt>
          <c:dPt>
            <c:idx val="4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24-4EC6-A1D2-BE16CB80E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'Investor Report'!$N$11:$N$15</c:f>
              <c:strCache>
                <c:ptCount val="5"/>
                <c:pt idx="0">
                  <c:v>Stocks</c:v>
                </c:pt>
                <c:pt idx="1">
                  <c:v>Bonds</c:v>
                </c:pt>
                <c:pt idx="2">
                  <c:v>ETFs / ETCs</c:v>
                </c:pt>
                <c:pt idx="3">
                  <c:v>Crypto ETPs</c:v>
                </c:pt>
                <c:pt idx="4">
                  <c:v>Cash</c:v>
                </c:pt>
              </c:strCache>
            </c:strRef>
          </c:cat>
          <c:val>
            <c:numRef>
              <c:f>'Investor Report'!$O$11:$O$15</c:f>
              <c:numCache>
                <c:formatCode>\€#,##0</c:formatCode>
                <c:ptCount val="5"/>
                <c:pt idx="0">
                  <c:v>620994.1939999999</c:v>
                </c:pt>
                <c:pt idx="1">
                  <c:v>220510</c:v>
                </c:pt>
                <c:pt idx="2">
                  <c:v>181704.69</c:v>
                </c:pt>
                <c:pt idx="3">
                  <c:v>47095.053999999996</c:v>
                </c:pt>
                <c:pt idx="4">
                  <c:v>97547.740000000049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24-4EC6-A1D2-BE16CB80E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NAV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'Investor Report'!$S$10</c:f>
              <c:strCache>
                <c:ptCount val="1"/>
                <c:pt idx="0">
                  <c:v>Portfolio Value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cat>
            <c:strRef>
              <c:f>'Investor Report'!$R$11:$R$24</c:f>
              <c:strCache>
                <c:ptCount val="14"/>
                <c:pt idx="10">
                  <c:v>Nov 25</c:v>
                </c:pt>
                <c:pt idx="11">
                  <c:v>Dec 25</c:v>
                </c:pt>
                <c:pt idx="12">
                  <c:v>Jan 26</c:v>
                </c:pt>
                <c:pt idx="13">
                  <c:v>Count</c:v>
                </c:pt>
              </c:strCache>
            </c:strRef>
          </c:cat>
          <c:val>
            <c:numRef>
              <c:f>'Investor Report'!$S$11:$S$24</c:f>
              <c:numCache>
                <c:formatCode>General</c:formatCode>
                <c:ptCount val="14"/>
                <c:pt idx="0">
                  <c:v>9246.42</c:v>
                </c:pt>
                <c:pt idx="1">
                  <c:v>9509.36</c:v>
                </c:pt>
                <c:pt idx="2">
                  <c:v>362517.02</c:v>
                </c:pt>
                <c:pt idx="3">
                  <c:v>361744.98</c:v>
                </c:pt>
                <c:pt idx="4">
                  <c:v>362496.72</c:v>
                </c:pt>
                <c:pt idx="5">
                  <c:v>464207.34</c:v>
                </c:pt>
                <c:pt idx="6">
                  <c:v>457841.3</c:v>
                </c:pt>
                <c:pt idx="7">
                  <c:v>474577.98</c:v>
                </c:pt>
                <c:pt idx="8">
                  <c:v>884902.22</c:v>
                </c:pt>
                <c:pt idx="9">
                  <c:v>1277030.03</c:v>
                </c:pt>
                <c:pt idx="10">
                  <c:v>1254727.1200000001</c:v>
                </c:pt>
                <c:pt idx="11">
                  <c:v>1228944.45</c:v>
                </c:pt>
                <c:pt idx="12">
                  <c:v>1228867.1399999999</c:v>
                </c:pt>
                <c:pt idx="13">
                  <c:v>1278754.23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9-4184-ADC2-1F77C6399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6755056"/>
        <c:axId val="2076755536"/>
      </c:areaChart>
      <c:catAx>
        <c:axId val="2076755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6755536"/>
        <c:crosses val="autoZero"/>
        <c:auto val="1"/>
        <c:lblAlgn val="ctr"/>
        <c:lblOffset val="100"/>
        <c:noMultiLvlLbl val="0"/>
      </c:catAx>
      <c:valAx>
        <c:axId val="207675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rgbClr val="80808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€ (thousands)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rgbClr val="80808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.##0.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6755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&amp; Cumulative Returns (TWR)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'Investor Report'!$O$30</c:f>
              <c:strCache>
                <c:ptCount val="1"/>
                <c:pt idx="0">
                  <c:v>Monthly Return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958-4CD5-8D77-966D1BB15203}"/>
              </c:ext>
            </c:extLst>
          </c:dPt>
          <c:dPt>
            <c:idx val="1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958-4CD5-8D77-966D1BB15203}"/>
              </c:ext>
            </c:extLst>
          </c:dPt>
          <c:dPt>
            <c:idx val="2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958-4CD5-8D77-966D1BB15203}"/>
              </c:ext>
            </c:extLst>
          </c:dPt>
          <c:dPt>
            <c:idx val="3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958-4CD5-8D77-966D1BB15203}"/>
              </c:ext>
            </c:extLst>
          </c:dPt>
          <c:dPt>
            <c:idx val="4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958-4CD5-8D77-966D1BB15203}"/>
              </c:ext>
            </c:extLst>
          </c:dPt>
          <c:dPt>
            <c:idx val="5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958-4CD5-8D77-966D1BB15203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958-4CD5-8D77-966D1BB15203}"/>
              </c:ext>
            </c:extLst>
          </c:dPt>
          <c:dPt>
            <c:idx val="7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958-4CD5-8D77-966D1BB15203}"/>
              </c:ext>
            </c:extLst>
          </c:dPt>
          <c:dPt>
            <c:idx val="8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958-4CD5-8D77-966D1BB15203}"/>
              </c:ext>
            </c:extLst>
          </c:dPt>
          <c:dPt>
            <c:idx val="9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958-4CD5-8D77-966D1BB15203}"/>
              </c:ext>
            </c:extLst>
          </c:dPt>
          <c:dPt>
            <c:idx val="1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C958-4CD5-8D77-966D1BB15203}"/>
              </c:ext>
            </c:extLst>
          </c:dPt>
          <c:dPt>
            <c:idx val="11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958-4CD5-8D77-966D1BB15203}"/>
              </c:ext>
            </c:extLst>
          </c:dPt>
          <c:dPt>
            <c:idx val="1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958-4CD5-8D77-966D1BB15203}"/>
              </c:ext>
            </c:extLst>
          </c:dPt>
          <c:dPt>
            <c:idx val="13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958-4CD5-8D77-966D1BB15203}"/>
              </c:ext>
            </c:extLst>
          </c:dPt>
          <c:cat>
            <c:numRef>
              <c:f>'Investor Report'!$N$31:$N$44</c:f>
              <c:numCache>
                <c:formatCode>mmm\ yy</c:formatCode>
                <c:ptCount val="14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  <c:pt idx="12">
                  <c:v>46053</c:v>
                </c:pt>
                <c:pt idx="13">
                  <c:v>46081</c:v>
                </c:pt>
              </c:numCache>
            </c:numRef>
          </c:cat>
          <c:val>
            <c:numRef>
              <c:f>'Investor Report'!$O$31:$O$44</c:f>
              <c:numCache>
                <c:formatCode>General</c:formatCode>
                <c:ptCount val="14"/>
                <c:pt idx="0">
                  <c:v>0</c:v>
                </c:pt>
                <c:pt idx="1">
                  <c:v>2.8436951814864608E-2</c:v>
                </c:pt>
                <c:pt idx="2">
                  <c:v>8.3660130573512959E-3</c:v>
                </c:pt>
                <c:pt idx="3">
                  <c:v>-2.1296655257732056E-3</c:v>
                </c:pt>
                <c:pt idx="4">
                  <c:v>2.0780937996707216E-3</c:v>
                </c:pt>
                <c:pt idx="5">
                  <c:v>3.6986640683636107E-3</c:v>
                </c:pt>
                <c:pt idx="6">
                  <c:v>-1.3713785740656403E-2</c:v>
                </c:pt>
                <c:pt idx="7">
                  <c:v>3.6555636199705033E-2</c:v>
                </c:pt>
                <c:pt idx="8">
                  <c:v>1.1804824996851648E-2</c:v>
                </c:pt>
                <c:pt idx="9">
                  <c:v>-6.1266840989658844E-3</c:v>
                </c:pt>
                <c:pt idx="10">
                  <c:v>-1.746467152381681E-2</c:v>
                </c:pt>
                <c:pt idx="11">
                  <c:v>3.4434854353513344E-3</c:v>
                </c:pt>
                <c:pt idx="12">
                  <c:v>-6.2907644035492538E-5</c:v>
                </c:pt>
                <c:pt idx="13">
                  <c:v>4.0595999661932503E-2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58-4CD5-8D77-966D1BB15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120272"/>
        <c:axId val="874117392"/>
      </c:barChart>
      <c:lineChart>
        <c:grouping val="standard"/>
        <c:varyColors val="0"/>
        <c:ser>
          <c:idx val="1"/>
          <c:order val="1"/>
          <c:tx>
            <c:strRef>
              <c:f>'Investor Report'!$P$30</c:f>
              <c:strCache>
                <c:ptCount val="1"/>
                <c:pt idx="0">
                  <c:v>Cumul. Return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'Investor Report'!$N$31:$N$44</c:f>
              <c:numCache>
                <c:formatCode>mmm\ yy</c:formatCode>
                <c:ptCount val="14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  <c:pt idx="12">
                  <c:v>46053</c:v>
                </c:pt>
                <c:pt idx="13">
                  <c:v>46081</c:v>
                </c:pt>
              </c:numCache>
            </c:numRef>
          </c:cat>
          <c:val>
            <c:numRef>
              <c:f>'Investor Report'!$P$31:$P$44</c:f>
              <c:numCache>
                <c:formatCode>General</c:formatCode>
                <c:ptCount val="14"/>
                <c:pt idx="0">
                  <c:v>0</c:v>
                </c:pt>
                <c:pt idx="1">
                  <c:v>2.8436951814864608E-2</c:v>
                </c:pt>
                <c:pt idx="2">
                  <c:v>3.7040868782410419E-2</c:v>
                </c:pt>
                <c:pt idx="3">
                  <c:v>3.4832318595346523E-2</c:v>
                </c:pt>
                <c:pt idx="4">
                  <c:v>3.6982797220318497E-2</c:v>
                </c:pt>
                <c:pt idx="5">
                  <c:v>4.0818248231908383E-2</c:v>
                </c:pt>
                <c:pt idx="6">
                  <c:v>2.6544689780690689E-2</c:v>
                </c:pt>
                <c:pt idx="7">
                  <c:v>6.4070684003052714E-2</c:v>
                </c:pt>
                <c:pt idx="8">
                  <c:v>7.6631852211988871E-2</c:v>
                </c:pt>
                <c:pt idx="9">
                  <c:v>7.0035668962601383E-2</c:v>
                </c:pt>
                <c:pt idx="10">
                  <c:v>5.1347847485401887E-2</c:v>
                </c:pt>
                <c:pt idx="11">
                  <c:v>5.4968148485705859E-2</c:v>
                </c:pt>
                <c:pt idx="12">
                  <c:v>5.4901782924952069E-2</c:v>
                </c:pt>
                <c:pt idx="13">
                  <c:v>9.7726575347945488E-2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8-4CD5-8D77-966D1BB15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5951680"/>
        <c:axId val="875950720"/>
      </c:lineChart>
      <c:dateAx>
        <c:axId val="874120272"/>
        <c:scaling>
          <c:orientation val="minMax"/>
        </c:scaling>
        <c:delete val="0"/>
        <c:axPos val="b"/>
        <c:numFmt formatCode="mmm\ 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17392"/>
        <c:crosses val="autoZero"/>
        <c:auto val="1"/>
        <c:lblOffset val="100"/>
        <c:baseTimeUnit val="months"/>
      </c:dateAx>
      <c:valAx>
        <c:axId val="87411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\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120272"/>
        <c:crosses val="autoZero"/>
        <c:crossBetween val="between"/>
      </c:valAx>
      <c:valAx>
        <c:axId val="875950720"/>
        <c:scaling>
          <c:orientation val="minMax"/>
        </c:scaling>
        <c:delete val="0"/>
        <c:axPos val="r"/>
        <c:numFmt formatCode="0\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951680"/>
        <c:crosses val="max"/>
        <c:crossBetween val="between"/>
      </c:valAx>
      <c:dateAx>
        <c:axId val="875951680"/>
        <c:scaling>
          <c:orientation val="minMax"/>
        </c:scaling>
        <c:delete val="1"/>
        <c:axPos val="b"/>
        <c:numFmt formatCode="mmm\ yy" sourceLinked="1"/>
        <c:majorTickMark val="out"/>
        <c:minorTickMark val="none"/>
        <c:tickLblPos val="nextTo"/>
        <c:crossAx val="8759507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 / Loss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54823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58-48B0-8E7B-3570233696E3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58-48B0-8E7B-3570233696E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'Investor Report'!$T$1:$T$2</c:f>
              <c:strCache>
                <c:ptCount val="2"/>
                <c:pt idx="0">
                  <c:v>Winners (12)</c:v>
                </c:pt>
                <c:pt idx="1">
                  <c:v>Losers (23)</c:v>
                </c:pt>
              </c:strCache>
            </c:strRef>
          </c:cat>
          <c:val>
            <c:numRef>
              <c:f>'Investor Report'!$U$1:$U$2</c:f>
              <c:numCache>
                <c:formatCode>General</c:formatCode>
                <c:ptCount val="2"/>
                <c:pt idx="0">
                  <c:v>12</c:v>
                </c:pt>
                <c:pt idx="1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8-48B0-8E7B-357023369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&amp; Worst Performers (P&amp;L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'Investor Report'!$Q$10</c:f>
              <c:strCache>
                <c:ptCount val="1"/>
                <c:pt idx="0">
                  <c:v>P&amp;L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A80-A420-B5773BEA36EF}"/>
              </c:ext>
            </c:extLst>
          </c:dPt>
          <c:dPt>
            <c:idx val="1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A16-4A80-A420-B5773BEA36EF}"/>
              </c:ext>
            </c:extLst>
          </c:dPt>
          <c:dPt>
            <c:idx val="2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16-4A80-A420-B5773BEA36EF}"/>
              </c:ext>
            </c:extLst>
          </c:dPt>
          <c:dPt>
            <c:idx val="3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A16-4A80-A420-B5773BEA36EF}"/>
              </c:ext>
            </c:extLst>
          </c:dPt>
          <c:dPt>
            <c:idx val="4"/>
            <c:invertIfNegative val="0"/>
            <c:bubble3D val="0"/>
            <c:spPr>
              <a:solidFill>
                <a:srgbClr val="54823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A16-4A80-A420-B5773BEA36EF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EA16-4A80-A420-B5773BEA36EF}"/>
              </c:ext>
            </c:extLst>
          </c:dPt>
          <c:dPt>
            <c:idx val="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A16-4A80-A420-B5773BEA36EF}"/>
              </c:ext>
            </c:extLst>
          </c:dPt>
          <c:dPt>
            <c:idx val="7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A16-4A80-A420-B5773BEA36EF}"/>
              </c:ext>
            </c:extLst>
          </c:dPt>
          <c:dPt>
            <c:idx val="8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A16-4A80-A420-B5773BEA36EF}"/>
              </c:ext>
            </c:extLst>
          </c:dPt>
          <c:dPt>
            <c:idx val="9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EA16-4A80-A420-B5773BEA36EF}"/>
              </c:ext>
            </c:extLst>
          </c:dPt>
          <c:dLbls>
            <c:dLbl>
              <c:idx val="0"/>
              <c:layout>
                <c:manualLayout>
                  <c:x val="-0.57938701719210794"/>
                  <c:y val="1.6523771202990069E-17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16-4A80-A420-B5773BEA36EF}"/>
                </c:ext>
              </c:extLst>
            </c:dLbl>
            <c:dLbl>
              <c:idx val="1"/>
              <c:layout>
                <c:manualLayout>
                  <c:x val="-0.35506024899721483"/>
                  <c:y val="0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16-4A80-A420-B5773BEA36EF}"/>
                </c:ext>
              </c:extLst>
            </c:dLbl>
            <c:dLbl>
              <c:idx val="2"/>
              <c:layout>
                <c:manualLayout>
                  <c:x val="-0.25701013839547343"/>
                  <c:y val="0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16-4A80-A420-B5773BEA36EF}"/>
                </c:ext>
              </c:extLst>
            </c:dLbl>
            <c:dLbl>
              <c:idx val="3"/>
              <c:layout>
                <c:manualLayout>
                  <c:x val="-0.23175480687684316"/>
                  <c:y val="0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16-4A80-A420-B5773BEA36EF}"/>
                </c:ext>
              </c:extLst>
            </c:dLbl>
            <c:dLbl>
              <c:idx val="4"/>
              <c:layout>
                <c:manualLayout>
                  <c:x val="-0.19015779025792262"/>
                  <c:y val="6.6095084811960275E-17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54823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16-4A80-A420-B5773BEA36EF}"/>
                </c:ext>
              </c:extLst>
            </c:dLbl>
            <c:dLbl>
              <c:idx val="5"/>
              <c:layout>
                <c:manualLayout>
                  <c:x val="-0.44027079994265794"/>
                  <c:y val="7.225818444435108E-6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8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4782432294754978"/>
                      <c:h val="8.10796336198346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EA16-4A80-A420-B5773BEA36EF}"/>
                </c:ext>
              </c:extLst>
            </c:dLbl>
            <c:dLbl>
              <c:idx val="6"/>
              <c:layout>
                <c:manualLayout>
                  <c:x val="-0.44271110544422604"/>
                  <c:y val="0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16-4A80-A420-B5773BEA36EF}"/>
                </c:ext>
              </c:extLst>
            </c:dLbl>
            <c:dLbl>
              <c:idx val="7"/>
              <c:layout>
                <c:manualLayout>
                  <c:x val="-0.44390706121562667"/>
                  <c:y val="4.2581434154057356E-7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8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2846962089317538"/>
                      <c:h val="4.602087852879441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EA16-4A80-A420-B5773BEA36EF}"/>
                </c:ext>
              </c:extLst>
            </c:dLbl>
            <c:dLbl>
              <c:idx val="8"/>
              <c:layout>
                <c:manualLayout>
                  <c:x val="-0.44257860714713976"/>
                  <c:y val="7.2258184443691326E-6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8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>
                  <c15:layout>
                    <c:manualLayout>
                      <c:w val="0.34667928512373469"/>
                      <c:h val="8.10796336198346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EA16-4A80-A420-B5773BEA36EF}"/>
                </c:ext>
              </c:extLst>
            </c:dLbl>
            <c:dLbl>
              <c:idx val="9"/>
              <c:layout>
                <c:manualLayout>
                  <c:x val="-0.44217123214184284"/>
                  <c:y val="-1.7990871099333185E-3"/>
                </c:manualLayout>
              </c:layout>
              <c:numFmt formatCode="0\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l">
                    <a:defRPr sz="8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separator> 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6097320401117868"/>
                      <c:h val="4.233932896799444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EA16-4A80-A420-B5773BEA36EF}"/>
                </c:ext>
              </c:extLst>
            </c:dLbl>
            <c:numFmt formatCode="0\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'Investor Report'!$P$11:$P$20</c:f>
              <c:strCache>
                <c:ptCount val="10"/>
                <c:pt idx="0">
                  <c:v>D AMICO</c:v>
                </c:pt>
                <c:pt idx="1">
                  <c:v>ITALGAS</c:v>
                </c:pt>
                <c:pt idx="2">
                  <c:v>CY4GATE</c:v>
                </c:pt>
                <c:pt idx="3">
                  <c:v>ENI S.P.A.</c:v>
                </c:pt>
                <c:pt idx="4">
                  <c:v>IGD</c:v>
                </c:pt>
                <c:pt idx="5">
                  <c:v>Bitwise Physical Ethereum ETP</c:v>
                </c:pt>
                <c:pt idx="6">
                  <c:v>ORACLE CORP</c:v>
                </c:pt>
                <c:pt idx="7">
                  <c:v>NEXI</c:v>
                </c:pt>
                <c:pt idx="8">
                  <c:v>Bitwise Ethereum Staking ETP</c:v>
                </c:pt>
                <c:pt idx="9">
                  <c:v>BeC SPEAKERS</c:v>
                </c:pt>
              </c:strCache>
            </c:strRef>
          </c:cat>
          <c:val>
            <c:numRef>
              <c:f>'Investor Report'!$Q$11:$Q$20</c:f>
              <c:numCache>
                <c:formatCode>0.0%</c:formatCode>
                <c:ptCount val="10"/>
                <c:pt idx="0">
                  <c:v>0.72948243465500529</c:v>
                </c:pt>
                <c:pt idx="1">
                  <c:v>0.38919667590027701</c:v>
                </c:pt>
                <c:pt idx="2">
                  <c:v>0.24238733252131547</c:v>
                </c:pt>
                <c:pt idx="3">
                  <c:v>0.2053354890864996</c:v>
                </c:pt>
                <c:pt idx="4">
                  <c:v>0.18422746748988705</c:v>
                </c:pt>
                <c:pt idx="5">
                  <c:v>-0.51983059209043325</c:v>
                </c:pt>
                <c:pt idx="6">
                  <c:v>-0.50655212783278158</c:v>
                </c:pt>
                <c:pt idx="7">
                  <c:v>-0.34050306639409827</c:v>
                </c:pt>
                <c:pt idx="8">
                  <c:v>-0.31450756919979173</c:v>
                </c:pt>
                <c:pt idx="9">
                  <c:v>-0.26922722741158622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16-4A80-A420-B5773BEA3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71826800"/>
        <c:axId val="2071827760"/>
      </c:barChart>
      <c:catAx>
        <c:axId val="207182680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2071827760"/>
        <c:crosses val="autoZero"/>
        <c:auto val="1"/>
        <c:lblAlgn val="ctr"/>
        <c:lblOffset val="100"/>
        <c:noMultiLvlLbl val="0"/>
      </c:catAx>
      <c:valAx>
        <c:axId val="207182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18268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58</xdr:row>
      <xdr:rowOff>95249</xdr:rowOff>
    </xdr:from>
    <xdr:to>
      <xdr:col>3</xdr:col>
      <xdr:colOff>622299</xdr:colOff>
      <xdr:row>77</xdr:row>
      <xdr:rowOff>149224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9F4F63B-D198-6828-9EAA-01D31D276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882650</xdr:colOff>
      <xdr:row>58</xdr:row>
      <xdr:rowOff>95249</xdr:rowOff>
    </xdr:from>
    <xdr:to>
      <xdr:col>7</xdr:col>
      <xdr:colOff>1139825</xdr:colOff>
      <xdr:row>77</xdr:row>
      <xdr:rowOff>149224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D1D32D1-C7D5-8951-6154-F13781FC8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882650</xdr:colOff>
      <xdr:row>79</xdr:row>
      <xdr:rowOff>53974</xdr:rowOff>
    </xdr:from>
    <xdr:to>
      <xdr:col>7</xdr:col>
      <xdr:colOff>1139825</xdr:colOff>
      <xdr:row>98</xdr:row>
      <xdr:rowOff>107949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77618D2-203A-A7D0-DBE6-AD4B147CC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126999</xdr:colOff>
      <xdr:row>99</xdr:row>
      <xdr:rowOff>130174</xdr:rowOff>
    </xdr:from>
    <xdr:to>
      <xdr:col>3</xdr:col>
      <xdr:colOff>1384299</xdr:colOff>
      <xdr:row>119</xdr:row>
      <xdr:rowOff>3174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59F7534-7A29-4222-5CA4-D62640C5D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145806</xdr:colOff>
      <xdr:row>99</xdr:row>
      <xdr:rowOff>122848</xdr:rowOff>
    </xdr:from>
    <xdr:to>
      <xdr:col>7</xdr:col>
      <xdr:colOff>1161806</xdr:colOff>
      <xdr:row>118</xdr:row>
      <xdr:rowOff>182196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DA7054C-20E5-EB4F-8C3C-92E346197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126998</xdr:colOff>
      <xdr:row>79</xdr:row>
      <xdr:rowOff>47624</xdr:rowOff>
    </xdr:from>
    <xdr:to>
      <xdr:col>3</xdr:col>
      <xdr:colOff>666750</xdr:colOff>
      <xdr:row>98</xdr:row>
      <xdr:rowOff>107949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D126EBA-37EE-FE63-68E2-4B7B67B2A0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DF0F9-1F87-48E1-84DA-966F909C016A}" name="Table1" displayName="Table1" ref="A3:K1002" totalsRowShown="0" headerRowDxfId="13" dataDxfId="12">
  <autoFilter ref="A3:K1002" xr:uid="{929DF0F9-1F87-48E1-84DA-966F909C016A}"/>
  <tableColumns count="11">
    <tableColumn id="1" xr3:uid="{D1F8DB58-2A27-4C3D-91C7-2E95113A6BC6}" name="Date" dataDxfId="11">
      <calculatedColumnFormula>IF(OR('Statements (Raw)'!A2="",'Statements (Raw)'!A2&gt;Holdings!$G$3),"",'Statements (Raw)'!A2)</calculatedColumnFormula>
    </tableColumn>
    <tableColumn id="2" xr3:uid="{14887502-9A13-4ADC-93F8-9A1E726CC716}" name="Settlement" dataDxfId="10">
      <calculatedColumnFormula>IF(A4="","",IF('Statements (Raw)'!B2="","",'Statements (Raw)'!B2))</calculatedColumnFormula>
    </tableColumn>
    <tableColumn id="3" xr3:uid="{2F5B8EAF-E647-4A95-8D73-71E8F752E6A6}" name="Security" dataDxfId="9">
      <calculatedColumnFormula>IF(A4="","",IF('Statements (Raw)'!C2&lt;&gt;"",'Statements (Raw)'!C2,IF(ISNUMBER(SEARCH("Conferimento",'Statements (Raw)'!D2)),"CASH DEPOSIT",IF(ISNUMBER(SEARCH("Prelievo",'Statements (Raw)'!D2)),"CASH WITHDRAWAL",IF(ISNUMBER(SEARCH("Bollo",'Statements (Raw)'!D2)),"STAMP DUTY",IF(ISNUMBER(SEARCH("Tobin Tax",'Statements (Raw)'!D2)),"TOBIN TAX",IF(ISNUMBER(SEARCH("Rit.provento",'Statements (Raw)'!D2)),"WITHHOLDING TAX",IF(ISNUMBER(SEARCH("Incasso Dividendi",'Statements (Raw)'!D2)),"DIVIDEND",IF(ISNUMBER(SEARCH("Cedola",'Statements (Raw)'!D2)),"COUPON",IF(ISNUMBER(SEARCH("Ratei Pass",'Statements (Raw)'!D2)),"ACCRUED INT",IF(ISNUMBER(SEARCH("Interessi Prest",'Statements (Raw)'!D2)),"SEC LENDING",IF(ISNUMBER(SEARCH("Rimborso",'Statements (Raw)'!D2)),"REDEMPTION",IF(ISNUMBER(SEARCH("Provento",'Statements (Raw)'!D2)),"DISTRIBUTION","OTHER")))))))))))))</calculatedColumnFormula>
    </tableColumn>
    <tableColumn id="4" xr3:uid="{D120A7D9-7D28-4FD8-974A-865F93C2DCFF}" name="Type" dataDxfId="8">
      <calculatedColumnFormula>IF(A4="","",IF(C4="Saldo Iniziale","Balance",IF(C4="CASH DEPOSIT","Deposit",IF(C4="CASH WITHDRAWAL","Withdrawal",IF(C4="STAMP DUTY","Tax",IF(C4="TOBIN TAX","Tax",IF(C4="WITHHOLDING TAX","Tax",IF(C4="DIVIDEND","Dividend",IF(C4="COUPON","Coupon",IF(C4="ACCRUED INT","Accrued Int.",IF(C4="SEC LENDING","Sec. Lending",IF(C4="REDEMPTION","Redemption",IF(C4="DISTRIBUTION","Distribution",IF(ISNUMBER(SEARCH("Rimborso",'Statements (Raw)'!D2)),"Redemption",IF(ISNUMBER(SEARCH("Cedola",'Statements (Raw)'!D2)),"Coupon",IF(ISNUMBER(SEARCH("Incasso Dividendi",'Statements (Raw)'!D2)),"Dividend",IF(ISNUMBER(SEARCH("Provento Etf",'Statements (Raw)'!D2)),"Distribution",IF(ISNUMBER(SEARCH("Rit.provento",'Statements (Raw)'!D2)),"Tax",IF(ISNUMBER(SEARCH("Ratei Pass",'Statements (Raw)'!D2)),"Accrued Int.",IF(ISNUMBER(SEARCH("Interessi Prest",'Statements (Raw)'!D2)),"Sec. Lending",IF('Statements (Raw)'!G2="","Other",IF('Statements (Raw)'!G2&gt;0,"Buy","Sell"))))))))))))))))))))))</calculatedColumnFormula>
    </tableColumn>
    <tableColumn id="5" xr3:uid="{C38F01F9-1EF6-4E68-BC20-5575A3160927}" name="Category" dataDxfId="7">
      <calculatedColumnFormula>IF(D4="","",IF(OR(D4="Balance",D4="Deposit",D4="Withdrawal"),"Cash",IF(D4="Tax","Tax/Fee",IF(OR(D4="Dividend",D4="Coupon",D4="Distribution",D4="Sec. Lending",D4="Accrued Int."),"Income",IF(D4="Redemption","Bond",IF(OR(D4="Buy",D4="Sell"),IF(OR(ISNUMBER(SEARCH("BOT ",C4)),ISNUMBER(SEARCH("BTP ",C4)),ISNUMBER(SEARCH("CARRARO",C4))),"Bond",IF(OR(ISNUMBER(SEARCH("isdom",C4)),ISNUMBER(SEARCH("ISHARES",C4)),ISNUMBER(SEARCH("iShares",C4))),"ETF/ETC",IF(OR(ISNUMBER(SEARCH("Bitwise",C4)),ISNUMBER(SEARCH("BITWISE",C4))),"Crypto ETP","Stock"))),"Other"))))))</calculatedColumnFormula>
    </tableColumn>
    <tableColumn id="6" xr3:uid="{94B6E4A9-7FA1-46AA-B579-3D56F4674916}" name="Price" dataDxfId="6">
      <calculatedColumnFormula>IF(A4="","",IF('Statements (Raw)'!E2="","",'Statements (Raw)'!E2))</calculatedColumnFormula>
    </tableColumn>
    <tableColumn id="7" xr3:uid="{8802CFE5-FA50-480D-B4CE-1381663DCF67}" name="Currency" dataDxfId="5">
      <calculatedColumnFormula>IF(A4="","",IF('Statements (Raw)'!F2="","",'Statements (Raw)'!F2))</calculatedColumnFormula>
    </tableColumn>
    <tableColumn id="8" xr3:uid="{1B257C7B-FB22-489D-A69D-C5FA5F36015C}" name="Quantity" dataDxfId="4">
      <calculatedColumnFormula>IF(A4="","",IF('Statements (Raw)'!G2="","",'Statements (Raw)'!G2))</calculatedColumnFormula>
    </tableColumn>
    <tableColumn id="9" xr3:uid="{F84FD704-64EA-4A85-ABE5-D8ED03FB2F37}" name="Amount (EUR)" dataDxfId="3">
      <calculatedColumnFormula>IF(A4="","",IF('Statements (Raw)'!H2="","",'Statements (Raw)'!H2))</calculatedColumnFormula>
    </tableColumn>
    <tableColumn id="10" xr3:uid="{F04919C7-CEF0-4782-8E6C-9B108E7010E9}" name="Commission" dataDxfId="2">
      <calculatedColumnFormula>IF(A4="",0,IF('Statements (Raw)'!I2="",0,'Statements (Raw)'!I2))</calculatedColumnFormula>
    </tableColumn>
    <tableColumn id="11" xr3:uid="{54C20E8F-2ABB-4EB2-91BD-7A9AF762DEEA}" name="Net Amount" dataDxfId="1">
      <calculatedColumnFormula>IF(I4="","",I4+J4)</calculatedColumnFormula>
    </tableColumn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8500C1-68A7-478B-B6ED-E575B6D96930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d7dcb424-322b-4e31-aa66-a9fdc5d2794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CF22B-5008-4B60-AA3F-DA8DBEE0A19C}">
  <sheetPr>
    <tabColor rgb="FF1B3A5C"/>
  </sheetPr>
  <dimension ref="A1:I422"/>
  <sheetViews>
    <sheetView zoomScaleNormal="100" workbookViewId="0"/>
  </sheetViews>
  <sheetFormatPr defaultColWidth="8.6328125" defaultRowHeight="14.5" x14ac:dyDescent="0.35"/>
  <cols>
    <col min="1" max="2" width="14" customWidth="1"/>
    <col min="3" max="3" width="38" customWidth="1"/>
    <col min="4" max="4" width="45" customWidth="1"/>
    <col min="5" max="5" width="14" customWidth="1"/>
    <col min="6" max="6" width="6" customWidth="1"/>
    <col min="7" max="7" width="12" customWidth="1"/>
    <col min="8" max="8" width="16" customWidth="1"/>
    <col min="9" max="9" width="10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</row>
    <row r="2" spans="1:9" x14ac:dyDescent="0.35">
      <c r="A2" s="1">
        <v>45658</v>
      </c>
      <c r="C2" t="s">
        <v>8</v>
      </c>
      <c r="H2" s="2">
        <v>371.8</v>
      </c>
    </row>
    <row r="3" spans="1:9" x14ac:dyDescent="0.35">
      <c r="A3" s="1">
        <v>45667</v>
      </c>
      <c r="B3" s="1">
        <v>45657</v>
      </c>
      <c r="D3" t="s">
        <v>9</v>
      </c>
      <c r="H3" s="2">
        <v>-4.7</v>
      </c>
    </row>
    <row r="4" spans="1:9" x14ac:dyDescent="0.35">
      <c r="A4" s="1">
        <v>45689</v>
      </c>
      <c r="C4" t="s">
        <v>8</v>
      </c>
      <c r="H4" s="2">
        <v>367.1</v>
      </c>
    </row>
    <row r="5" spans="1:9" x14ac:dyDescent="0.35">
      <c r="A5" s="1">
        <v>45717</v>
      </c>
      <c r="C5" t="s">
        <v>8</v>
      </c>
      <c r="H5" s="2">
        <v>367.1</v>
      </c>
    </row>
    <row r="6" spans="1:9" x14ac:dyDescent="0.35">
      <c r="A6" s="1">
        <v>45742</v>
      </c>
      <c r="B6" s="1">
        <v>45742</v>
      </c>
      <c r="D6" t="s">
        <v>10</v>
      </c>
      <c r="H6" s="2">
        <v>350000</v>
      </c>
    </row>
    <row r="7" spans="1:9" x14ac:dyDescent="0.35">
      <c r="A7" s="1">
        <v>45748</v>
      </c>
      <c r="C7" t="s">
        <v>8</v>
      </c>
      <c r="H7" s="2">
        <v>350367.1</v>
      </c>
    </row>
    <row r="8" spans="1:9" x14ac:dyDescent="0.35">
      <c r="A8" s="1">
        <v>45778</v>
      </c>
      <c r="C8" t="s">
        <v>8</v>
      </c>
      <c r="H8" s="2">
        <v>350367.1</v>
      </c>
    </row>
    <row r="9" spans="1:9" x14ac:dyDescent="0.35">
      <c r="A9" s="1">
        <v>45807</v>
      </c>
      <c r="B9" s="1">
        <v>45811</v>
      </c>
      <c r="C9" t="s">
        <v>11</v>
      </c>
      <c r="D9" t="s">
        <v>12</v>
      </c>
      <c r="E9" s="3">
        <v>30.55</v>
      </c>
      <c r="F9" t="s">
        <v>13</v>
      </c>
      <c r="G9" s="4">
        <v>3</v>
      </c>
      <c r="H9" s="2">
        <v>-91.65</v>
      </c>
      <c r="I9" s="2">
        <v>-5</v>
      </c>
    </row>
    <row r="10" spans="1:9" x14ac:dyDescent="0.35">
      <c r="A10" s="1">
        <v>45807</v>
      </c>
      <c r="B10" s="1">
        <v>45811</v>
      </c>
      <c r="C10" t="s">
        <v>11</v>
      </c>
      <c r="D10" t="s">
        <v>12</v>
      </c>
      <c r="E10" s="3">
        <v>30.55</v>
      </c>
      <c r="F10" t="s">
        <v>13</v>
      </c>
      <c r="G10" s="4">
        <v>99</v>
      </c>
      <c r="H10" s="2">
        <v>-3024.45</v>
      </c>
    </row>
    <row r="11" spans="1:9" x14ac:dyDescent="0.35">
      <c r="A11" s="1">
        <v>45807</v>
      </c>
      <c r="B11" s="1">
        <v>45811</v>
      </c>
      <c r="C11" t="s">
        <v>11</v>
      </c>
      <c r="D11" t="s">
        <v>12</v>
      </c>
      <c r="E11" s="3">
        <v>30.55</v>
      </c>
      <c r="F11" t="s">
        <v>13</v>
      </c>
      <c r="G11" s="4">
        <v>89</v>
      </c>
      <c r="H11" s="2">
        <v>-2718.95</v>
      </c>
    </row>
    <row r="12" spans="1:9" x14ac:dyDescent="0.35">
      <c r="A12" s="1">
        <v>45807</v>
      </c>
      <c r="B12" s="1">
        <v>45811</v>
      </c>
      <c r="C12" t="s">
        <v>11</v>
      </c>
      <c r="D12" t="s">
        <v>12</v>
      </c>
      <c r="E12" s="3">
        <v>30.55</v>
      </c>
      <c r="F12" t="s">
        <v>13</v>
      </c>
      <c r="G12" s="4">
        <v>3</v>
      </c>
      <c r="H12" s="2">
        <v>-91.65</v>
      </c>
    </row>
    <row r="13" spans="1:9" x14ac:dyDescent="0.35">
      <c r="A13" s="1">
        <v>45807</v>
      </c>
      <c r="B13" s="1">
        <v>45811</v>
      </c>
      <c r="C13" t="s">
        <v>11</v>
      </c>
      <c r="D13" t="s">
        <v>12</v>
      </c>
      <c r="E13" s="3">
        <v>30.55</v>
      </c>
      <c r="F13" t="s">
        <v>13</v>
      </c>
      <c r="G13" s="4">
        <v>11</v>
      </c>
      <c r="H13" s="2">
        <v>-336.05</v>
      </c>
    </row>
    <row r="14" spans="1:9" x14ac:dyDescent="0.35">
      <c r="A14" s="1">
        <v>45807</v>
      </c>
      <c r="B14" s="1">
        <v>45811</v>
      </c>
      <c r="C14" t="s">
        <v>11</v>
      </c>
      <c r="D14" t="s">
        <v>12</v>
      </c>
      <c r="E14" s="3">
        <v>30.55</v>
      </c>
      <c r="F14" t="s">
        <v>13</v>
      </c>
      <c r="G14" s="4">
        <v>29</v>
      </c>
      <c r="H14" s="2">
        <v>-885.95</v>
      </c>
    </row>
    <row r="15" spans="1:9" x14ac:dyDescent="0.35">
      <c r="A15" s="1">
        <v>45807</v>
      </c>
      <c r="B15" s="1">
        <v>45811</v>
      </c>
      <c r="C15" t="s">
        <v>11</v>
      </c>
      <c r="D15" t="s">
        <v>12</v>
      </c>
      <c r="E15" s="3">
        <v>30.55</v>
      </c>
      <c r="F15" t="s">
        <v>13</v>
      </c>
      <c r="G15" s="4">
        <v>5</v>
      </c>
      <c r="H15" s="2">
        <v>-152.75</v>
      </c>
    </row>
    <row r="16" spans="1:9" x14ac:dyDescent="0.35">
      <c r="A16" s="1">
        <v>45807</v>
      </c>
      <c r="B16" s="1">
        <v>45811</v>
      </c>
      <c r="C16" t="s">
        <v>11</v>
      </c>
      <c r="D16" t="s">
        <v>12</v>
      </c>
      <c r="E16" s="3">
        <v>30.55</v>
      </c>
      <c r="F16" t="s">
        <v>13</v>
      </c>
      <c r="G16" s="4">
        <v>267</v>
      </c>
      <c r="H16" s="2">
        <v>-8156.85</v>
      </c>
    </row>
    <row r="17" spans="1:8" x14ac:dyDescent="0.35">
      <c r="A17" s="1">
        <v>45807</v>
      </c>
      <c r="B17" s="1">
        <v>45811</v>
      </c>
      <c r="C17" t="s">
        <v>11</v>
      </c>
      <c r="D17" t="s">
        <v>12</v>
      </c>
      <c r="E17" s="3">
        <v>30.55</v>
      </c>
      <c r="F17" t="s">
        <v>13</v>
      </c>
      <c r="G17" s="4">
        <v>9</v>
      </c>
      <c r="H17" s="2">
        <v>-274.95</v>
      </c>
    </row>
    <row r="18" spans="1:8" x14ac:dyDescent="0.35">
      <c r="A18" s="1">
        <v>45807</v>
      </c>
      <c r="B18" s="1">
        <v>45811</v>
      </c>
      <c r="C18" t="s">
        <v>11</v>
      </c>
      <c r="D18" t="s">
        <v>12</v>
      </c>
      <c r="E18" s="3">
        <v>30.55</v>
      </c>
      <c r="F18" t="s">
        <v>13</v>
      </c>
      <c r="G18" s="4">
        <v>8</v>
      </c>
      <c r="H18" s="2">
        <v>-244.4</v>
      </c>
    </row>
    <row r="19" spans="1:8" x14ac:dyDescent="0.35">
      <c r="A19" s="1">
        <v>45807</v>
      </c>
      <c r="B19" s="1">
        <v>45811</v>
      </c>
      <c r="C19" t="s">
        <v>11</v>
      </c>
      <c r="D19" t="s">
        <v>12</v>
      </c>
      <c r="E19" s="3">
        <v>30.55</v>
      </c>
      <c r="F19" t="s">
        <v>13</v>
      </c>
      <c r="G19" s="4">
        <v>31</v>
      </c>
      <c r="H19" s="2">
        <v>-947.05</v>
      </c>
    </row>
    <row r="20" spans="1:8" x14ac:dyDescent="0.35">
      <c r="A20" s="1">
        <v>45807</v>
      </c>
      <c r="B20" s="1">
        <v>45811</v>
      </c>
      <c r="C20" t="s">
        <v>11</v>
      </c>
      <c r="D20" t="s">
        <v>12</v>
      </c>
      <c r="E20" s="3">
        <v>30.55</v>
      </c>
      <c r="F20" t="s">
        <v>13</v>
      </c>
      <c r="G20" s="4">
        <v>12</v>
      </c>
      <c r="H20" s="2">
        <v>-366.6</v>
      </c>
    </row>
    <row r="21" spans="1:8" x14ac:dyDescent="0.35">
      <c r="A21" s="1">
        <v>45807</v>
      </c>
      <c r="B21" s="1">
        <v>45811</v>
      </c>
      <c r="C21" t="s">
        <v>11</v>
      </c>
      <c r="D21" t="s">
        <v>12</v>
      </c>
      <c r="E21" s="3">
        <v>30.55</v>
      </c>
      <c r="F21" t="s">
        <v>13</v>
      </c>
      <c r="G21" s="4">
        <v>8</v>
      </c>
      <c r="H21" s="2">
        <v>-244.4</v>
      </c>
    </row>
    <row r="22" spans="1:8" x14ac:dyDescent="0.35">
      <c r="A22" s="1">
        <v>45807</v>
      </c>
      <c r="B22" s="1">
        <v>45811</v>
      </c>
      <c r="C22" t="s">
        <v>11</v>
      </c>
      <c r="D22" t="s">
        <v>12</v>
      </c>
      <c r="E22" s="3">
        <v>30.55</v>
      </c>
      <c r="F22" t="s">
        <v>13</v>
      </c>
      <c r="G22" s="4">
        <v>227</v>
      </c>
      <c r="H22" s="2">
        <v>-6934.85</v>
      </c>
    </row>
    <row r="23" spans="1:8" x14ac:dyDescent="0.35">
      <c r="A23" s="1">
        <v>45807</v>
      </c>
      <c r="B23" s="1">
        <v>45811</v>
      </c>
      <c r="C23" t="s">
        <v>11</v>
      </c>
      <c r="D23" t="s">
        <v>12</v>
      </c>
      <c r="E23" s="3">
        <v>30.55</v>
      </c>
      <c r="F23" t="s">
        <v>13</v>
      </c>
      <c r="G23" s="4">
        <v>113</v>
      </c>
      <c r="H23" s="2">
        <v>-3452.15</v>
      </c>
    </row>
    <row r="24" spans="1:8" x14ac:dyDescent="0.35">
      <c r="A24" s="1">
        <v>45807</v>
      </c>
      <c r="B24" s="1">
        <v>45811</v>
      </c>
      <c r="C24" t="s">
        <v>11</v>
      </c>
      <c r="D24" t="s">
        <v>12</v>
      </c>
      <c r="E24" s="3">
        <v>30.55</v>
      </c>
      <c r="F24" t="s">
        <v>13</v>
      </c>
      <c r="G24" s="4">
        <v>86</v>
      </c>
      <c r="H24" s="2">
        <v>-2627.3</v>
      </c>
    </row>
    <row r="25" spans="1:8" x14ac:dyDescent="0.35">
      <c r="A25" s="1">
        <v>45807</v>
      </c>
      <c r="B25" s="1">
        <v>45811</v>
      </c>
      <c r="D25" t="s">
        <v>14</v>
      </c>
      <c r="H25" s="2">
        <v>-30.55</v>
      </c>
    </row>
    <row r="26" spans="1:8" x14ac:dyDescent="0.35">
      <c r="A26" s="1">
        <v>45809</v>
      </c>
      <c r="C26" t="s">
        <v>8</v>
      </c>
      <c r="H26" s="2">
        <v>319781.55</v>
      </c>
    </row>
    <row r="27" spans="1:8" x14ac:dyDescent="0.35">
      <c r="A27" s="1">
        <v>45825</v>
      </c>
      <c r="B27" s="1">
        <v>45825</v>
      </c>
      <c r="D27" t="s">
        <v>15</v>
      </c>
      <c r="H27" s="2">
        <v>100000</v>
      </c>
    </row>
    <row r="28" spans="1:8" x14ac:dyDescent="0.35">
      <c r="A28" s="1">
        <v>45831</v>
      </c>
      <c r="B28" s="1">
        <v>45833</v>
      </c>
      <c r="C28" t="s">
        <v>16</v>
      </c>
      <c r="D28" t="s">
        <v>17</v>
      </c>
      <c r="E28" s="3">
        <v>29.72</v>
      </c>
      <c r="F28" t="s">
        <v>13</v>
      </c>
      <c r="G28" s="4">
        <v>33</v>
      </c>
      <c r="H28" s="2">
        <v>-980.76</v>
      </c>
    </row>
    <row r="29" spans="1:8" x14ac:dyDescent="0.35">
      <c r="A29" s="1">
        <v>45839</v>
      </c>
      <c r="C29" t="s">
        <v>8</v>
      </c>
      <c r="H29" s="2">
        <v>418800.79</v>
      </c>
    </row>
    <row r="30" spans="1:8" x14ac:dyDescent="0.35">
      <c r="A30" s="1">
        <v>45839</v>
      </c>
      <c r="B30" s="1">
        <v>45841</v>
      </c>
      <c r="C30" t="s">
        <v>16</v>
      </c>
      <c r="D30" t="s">
        <v>18</v>
      </c>
      <c r="E30" s="3">
        <v>29.68</v>
      </c>
      <c r="F30" t="s">
        <v>13</v>
      </c>
      <c r="G30" s="4">
        <v>33</v>
      </c>
      <c r="H30" s="2">
        <v>-979.44</v>
      </c>
    </row>
    <row r="31" spans="1:8" x14ac:dyDescent="0.35">
      <c r="A31" s="1">
        <v>45846</v>
      </c>
      <c r="B31" s="1">
        <v>45848</v>
      </c>
      <c r="C31" t="s">
        <v>16</v>
      </c>
      <c r="D31" t="s">
        <v>19</v>
      </c>
      <c r="E31" s="3">
        <v>30.625</v>
      </c>
      <c r="F31" t="s">
        <v>13</v>
      </c>
      <c r="G31" s="4">
        <v>32</v>
      </c>
      <c r="H31" s="2">
        <v>-980</v>
      </c>
    </row>
    <row r="32" spans="1:8" x14ac:dyDescent="0.35">
      <c r="A32" s="1">
        <v>45847</v>
      </c>
      <c r="B32" s="1">
        <v>45838</v>
      </c>
      <c r="D32" t="s">
        <v>20</v>
      </c>
      <c r="H32" s="2">
        <v>-45</v>
      </c>
    </row>
    <row r="33" spans="1:9" x14ac:dyDescent="0.35">
      <c r="A33" s="1">
        <v>45853</v>
      </c>
      <c r="B33" s="1">
        <v>45855</v>
      </c>
      <c r="C33" t="s">
        <v>21</v>
      </c>
      <c r="D33" t="s">
        <v>22</v>
      </c>
      <c r="E33" s="3">
        <v>101.74</v>
      </c>
      <c r="F33" t="s">
        <v>13</v>
      </c>
      <c r="G33" s="4">
        <v>12000</v>
      </c>
      <c r="H33" s="2">
        <v>-12208.8</v>
      </c>
      <c r="I33" s="2">
        <v>-5</v>
      </c>
    </row>
    <row r="34" spans="1:9" x14ac:dyDescent="0.35">
      <c r="A34" s="1">
        <v>45853</v>
      </c>
      <c r="B34" s="1">
        <v>45855</v>
      </c>
      <c r="C34" t="s">
        <v>21</v>
      </c>
      <c r="D34" t="s">
        <v>22</v>
      </c>
      <c r="E34" s="3">
        <v>101.74</v>
      </c>
      <c r="F34" t="s">
        <v>13</v>
      </c>
      <c r="G34" s="4">
        <v>8000</v>
      </c>
      <c r="H34" s="2">
        <v>-8139.2</v>
      </c>
    </row>
    <row r="35" spans="1:9" x14ac:dyDescent="0.35">
      <c r="A35" s="1">
        <v>45853</v>
      </c>
      <c r="B35" s="1">
        <v>45855</v>
      </c>
      <c r="C35" t="s">
        <v>21</v>
      </c>
      <c r="D35" t="s">
        <v>23</v>
      </c>
      <c r="H35" s="2">
        <v>-261.07</v>
      </c>
    </row>
    <row r="36" spans="1:9" x14ac:dyDescent="0.35">
      <c r="A36" s="1">
        <v>45853</v>
      </c>
      <c r="B36" s="1">
        <v>45855</v>
      </c>
      <c r="C36" t="s">
        <v>24</v>
      </c>
      <c r="D36" t="s">
        <v>25</v>
      </c>
      <c r="E36" s="3">
        <v>99.227999999999994</v>
      </c>
      <c r="F36" t="s">
        <v>13</v>
      </c>
      <c r="G36" s="4">
        <v>50000</v>
      </c>
      <c r="H36" s="2">
        <v>-49614</v>
      </c>
      <c r="I36" s="2">
        <v>-5</v>
      </c>
    </row>
    <row r="37" spans="1:9" x14ac:dyDescent="0.35">
      <c r="A37" s="1">
        <v>45853</v>
      </c>
      <c r="B37" s="1">
        <v>45855</v>
      </c>
      <c r="C37" t="s">
        <v>26</v>
      </c>
      <c r="D37" t="s">
        <v>27</v>
      </c>
      <c r="E37" s="3">
        <v>94.07</v>
      </c>
      <c r="F37" t="s">
        <v>13</v>
      </c>
      <c r="G37" s="4">
        <v>250</v>
      </c>
      <c r="H37" s="2">
        <v>-23517.5</v>
      </c>
    </row>
    <row r="38" spans="1:9" x14ac:dyDescent="0.35">
      <c r="A38" s="1">
        <v>45853</v>
      </c>
      <c r="B38" s="1">
        <v>45855</v>
      </c>
      <c r="C38" t="s">
        <v>16</v>
      </c>
      <c r="D38" t="s">
        <v>28</v>
      </c>
      <c r="E38" s="3">
        <v>30.55</v>
      </c>
      <c r="F38" t="s">
        <v>13</v>
      </c>
      <c r="G38" s="4">
        <v>32</v>
      </c>
      <c r="H38" s="2">
        <v>-977.6</v>
      </c>
    </row>
    <row r="39" spans="1:9" x14ac:dyDescent="0.35">
      <c r="A39" s="1">
        <v>45853</v>
      </c>
      <c r="B39" s="1">
        <v>45855</v>
      </c>
      <c r="C39" t="s">
        <v>29</v>
      </c>
      <c r="D39" t="s">
        <v>30</v>
      </c>
      <c r="E39" s="3">
        <v>190.28</v>
      </c>
      <c r="F39" t="s">
        <v>13</v>
      </c>
      <c r="G39" s="4">
        <v>13</v>
      </c>
      <c r="H39" s="2">
        <v>-2473.64</v>
      </c>
    </row>
    <row r="40" spans="1:9" x14ac:dyDescent="0.35">
      <c r="A40" s="1">
        <v>45854</v>
      </c>
      <c r="B40" s="1">
        <v>45856</v>
      </c>
      <c r="C40" t="s">
        <v>31</v>
      </c>
      <c r="D40" t="s">
        <v>32</v>
      </c>
      <c r="E40" s="3">
        <v>88.3</v>
      </c>
      <c r="F40" t="s">
        <v>13</v>
      </c>
      <c r="G40" s="4">
        <v>91</v>
      </c>
      <c r="H40" s="2">
        <v>-8035.3</v>
      </c>
      <c r="I40" s="2">
        <v>-9.5</v>
      </c>
    </row>
    <row r="41" spans="1:9" x14ac:dyDescent="0.35">
      <c r="A41" s="1">
        <v>45854</v>
      </c>
      <c r="B41" s="1">
        <v>45856</v>
      </c>
      <c r="C41" t="s">
        <v>31</v>
      </c>
      <c r="D41" t="s">
        <v>32</v>
      </c>
      <c r="E41" s="3">
        <v>88.3</v>
      </c>
      <c r="F41" t="s">
        <v>13</v>
      </c>
      <c r="G41" s="4">
        <v>9</v>
      </c>
      <c r="H41" s="2">
        <v>-794.7</v>
      </c>
    </row>
    <row r="42" spans="1:9" x14ac:dyDescent="0.35">
      <c r="A42" s="1">
        <v>45856</v>
      </c>
      <c r="B42" s="1">
        <v>45860</v>
      </c>
      <c r="C42" t="s">
        <v>33</v>
      </c>
      <c r="D42" t="s">
        <v>34</v>
      </c>
      <c r="E42" s="3">
        <v>435.4</v>
      </c>
      <c r="F42" t="s">
        <v>13</v>
      </c>
      <c r="G42" s="4">
        <v>12</v>
      </c>
      <c r="H42" s="2">
        <v>-5224.8</v>
      </c>
      <c r="I42" s="2">
        <v>-5</v>
      </c>
    </row>
    <row r="43" spans="1:9" x14ac:dyDescent="0.35">
      <c r="A43" s="1">
        <v>45856</v>
      </c>
      <c r="B43" s="1">
        <v>45860</v>
      </c>
      <c r="C43" t="s">
        <v>33</v>
      </c>
      <c r="D43" t="s">
        <v>34</v>
      </c>
      <c r="E43" s="3">
        <v>435.4</v>
      </c>
      <c r="F43" t="s">
        <v>13</v>
      </c>
      <c r="G43" s="4">
        <v>42</v>
      </c>
      <c r="H43" s="2">
        <v>-18286.8</v>
      </c>
    </row>
    <row r="44" spans="1:9" x14ac:dyDescent="0.35">
      <c r="A44" s="1">
        <v>45856</v>
      </c>
      <c r="B44" s="1">
        <v>45860</v>
      </c>
      <c r="C44" t="s">
        <v>33</v>
      </c>
      <c r="D44" t="s">
        <v>34</v>
      </c>
      <c r="E44" s="3">
        <v>435.4</v>
      </c>
      <c r="F44" t="s">
        <v>13</v>
      </c>
      <c r="G44" s="4">
        <v>7</v>
      </c>
      <c r="H44" s="2">
        <v>-3047.8</v>
      </c>
    </row>
    <row r="45" spans="1:9" x14ac:dyDescent="0.35">
      <c r="A45" s="1">
        <v>45856</v>
      </c>
      <c r="B45" s="1">
        <v>45860</v>
      </c>
      <c r="C45" t="s">
        <v>33</v>
      </c>
      <c r="D45" t="s">
        <v>34</v>
      </c>
      <c r="E45" s="3">
        <v>435.4</v>
      </c>
      <c r="F45" t="s">
        <v>13</v>
      </c>
      <c r="G45" s="4">
        <v>13</v>
      </c>
      <c r="H45" s="2">
        <v>-5660.2</v>
      </c>
    </row>
    <row r="46" spans="1:9" x14ac:dyDescent="0.35">
      <c r="A46" s="1">
        <v>45856</v>
      </c>
      <c r="B46" s="1">
        <v>45860</v>
      </c>
      <c r="C46" t="s">
        <v>33</v>
      </c>
      <c r="D46" t="s">
        <v>34</v>
      </c>
      <c r="E46" s="3">
        <v>435.5</v>
      </c>
      <c r="F46" t="s">
        <v>13</v>
      </c>
      <c r="G46" s="4">
        <v>12</v>
      </c>
      <c r="H46" s="2">
        <v>-5226</v>
      </c>
    </row>
    <row r="47" spans="1:9" x14ac:dyDescent="0.35">
      <c r="A47" s="1">
        <v>45856</v>
      </c>
      <c r="B47" s="1">
        <v>45860</v>
      </c>
      <c r="C47" t="s">
        <v>33</v>
      </c>
      <c r="D47" t="s">
        <v>34</v>
      </c>
      <c r="E47" s="3">
        <v>435.5</v>
      </c>
      <c r="F47" t="s">
        <v>13</v>
      </c>
      <c r="G47" s="4">
        <v>14</v>
      </c>
      <c r="H47" s="2">
        <v>-6097</v>
      </c>
    </row>
    <row r="48" spans="1:9" x14ac:dyDescent="0.35">
      <c r="A48" s="1">
        <v>45859</v>
      </c>
      <c r="B48" s="1">
        <v>45861</v>
      </c>
      <c r="C48" t="s">
        <v>35</v>
      </c>
      <c r="D48" t="s">
        <v>36</v>
      </c>
      <c r="E48" s="3">
        <v>91.864999999999995</v>
      </c>
      <c r="F48" t="s">
        <v>13</v>
      </c>
      <c r="G48" s="4">
        <v>1</v>
      </c>
      <c r="H48" s="2">
        <v>-91.87</v>
      </c>
      <c r="I48" s="2">
        <v>-9.5</v>
      </c>
    </row>
    <row r="49" spans="1:9" x14ac:dyDescent="0.35">
      <c r="A49" s="1">
        <v>45859</v>
      </c>
      <c r="B49" s="1">
        <v>45861</v>
      </c>
      <c r="C49" t="s">
        <v>37</v>
      </c>
      <c r="D49" t="s">
        <v>38</v>
      </c>
      <c r="E49" s="3">
        <v>7.2149999999999999</v>
      </c>
      <c r="F49" t="s">
        <v>13</v>
      </c>
      <c r="G49" s="4">
        <v>622</v>
      </c>
      <c r="H49" s="2">
        <v>-4487.7299999999996</v>
      </c>
      <c r="I49" s="2">
        <v>-5</v>
      </c>
    </row>
    <row r="50" spans="1:9" x14ac:dyDescent="0.35">
      <c r="A50" s="1">
        <v>45859</v>
      </c>
      <c r="B50" s="1">
        <v>45861</v>
      </c>
      <c r="C50" t="s">
        <v>37</v>
      </c>
      <c r="D50" t="s">
        <v>38</v>
      </c>
      <c r="E50" s="3">
        <v>7.2149999999999999</v>
      </c>
      <c r="F50" t="s">
        <v>13</v>
      </c>
      <c r="G50" s="4">
        <v>378</v>
      </c>
      <c r="H50" s="2">
        <v>-2727.27</v>
      </c>
    </row>
    <row r="51" spans="1:9" x14ac:dyDescent="0.35">
      <c r="A51" s="1">
        <v>45859</v>
      </c>
      <c r="B51" s="1">
        <v>45861</v>
      </c>
      <c r="C51" t="s">
        <v>39</v>
      </c>
      <c r="D51" t="s">
        <v>40</v>
      </c>
      <c r="E51" s="3">
        <v>624.29999999999995</v>
      </c>
      <c r="F51" t="s">
        <v>13</v>
      </c>
      <c r="G51" s="4">
        <v>20</v>
      </c>
      <c r="H51" s="2">
        <v>-12486</v>
      </c>
      <c r="I51" s="2">
        <v>-9.5</v>
      </c>
    </row>
    <row r="52" spans="1:9" x14ac:dyDescent="0.35">
      <c r="A52" s="1">
        <v>45859</v>
      </c>
      <c r="B52" s="1">
        <v>45861</v>
      </c>
      <c r="C52" t="s">
        <v>41</v>
      </c>
      <c r="D52" t="s">
        <v>42</v>
      </c>
      <c r="E52" s="3">
        <v>1.9339999999999999</v>
      </c>
      <c r="F52" t="s">
        <v>13</v>
      </c>
      <c r="G52" s="4">
        <v>1000</v>
      </c>
      <c r="H52" s="2">
        <v>-1934</v>
      </c>
      <c r="I52" s="2">
        <v>-5</v>
      </c>
    </row>
    <row r="53" spans="1:9" x14ac:dyDescent="0.35">
      <c r="A53" s="1">
        <v>45859</v>
      </c>
      <c r="B53" s="1">
        <v>45861</v>
      </c>
      <c r="C53" t="s">
        <v>41</v>
      </c>
      <c r="D53" t="s">
        <v>42</v>
      </c>
      <c r="E53" s="3">
        <v>1.9350000000000001</v>
      </c>
      <c r="F53" t="s">
        <v>13</v>
      </c>
      <c r="G53" s="4">
        <v>4000</v>
      </c>
      <c r="H53" s="2">
        <v>-7740</v>
      </c>
    </row>
    <row r="54" spans="1:9" x14ac:dyDescent="0.35">
      <c r="A54" s="1">
        <v>45859</v>
      </c>
      <c r="B54" s="1">
        <v>45861</v>
      </c>
      <c r="C54" t="s">
        <v>43</v>
      </c>
      <c r="D54" t="s">
        <v>44</v>
      </c>
      <c r="E54" s="3">
        <v>5.96</v>
      </c>
      <c r="F54" t="s">
        <v>13</v>
      </c>
      <c r="G54" s="4">
        <v>379</v>
      </c>
      <c r="H54" s="2">
        <v>-2258.84</v>
      </c>
      <c r="I54" s="2">
        <v>-5</v>
      </c>
    </row>
    <row r="55" spans="1:9" x14ac:dyDescent="0.35">
      <c r="A55" s="1">
        <v>45859</v>
      </c>
      <c r="B55" s="1">
        <v>45861</v>
      </c>
      <c r="C55" t="s">
        <v>43</v>
      </c>
      <c r="D55" t="s">
        <v>44</v>
      </c>
      <c r="E55" s="3">
        <v>5.97</v>
      </c>
      <c r="F55" t="s">
        <v>13</v>
      </c>
      <c r="G55" s="4">
        <v>400</v>
      </c>
      <c r="H55" s="2">
        <v>-2388</v>
      </c>
    </row>
    <row r="56" spans="1:9" x14ac:dyDescent="0.35">
      <c r="A56" s="1">
        <v>45859</v>
      </c>
      <c r="B56" s="1">
        <v>45861</v>
      </c>
      <c r="C56" t="s">
        <v>43</v>
      </c>
      <c r="D56" t="s">
        <v>44</v>
      </c>
      <c r="E56" s="3">
        <v>5.97</v>
      </c>
      <c r="F56" t="s">
        <v>13</v>
      </c>
      <c r="G56" s="4">
        <v>221</v>
      </c>
      <c r="H56" s="2">
        <v>-1319.37</v>
      </c>
    </row>
    <row r="57" spans="1:9" x14ac:dyDescent="0.35">
      <c r="A57" s="1">
        <v>45859</v>
      </c>
      <c r="B57" s="1">
        <v>45861</v>
      </c>
      <c r="C57" t="s">
        <v>45</v>
      </c>
      <c r="D57" t="s">
        <v>46</v>
      </c>
      <c r="E57" s="3">
        <v>5.1340000000000003</v>
      </c>
      <c r="F57" t="s">
        <v>13</v>
      </c>
      <c r="G57" s="4">
        <v>1000</v>
      </c>
      <c r="H57" s="2">
        <v>-5134</v>
      </c>
      <c r="I57" s="2">
        <v>-5</v>
      </c>
    </row>
    <row r="58" spans="1:9" x14ac:dyDescent="0.35">
      <c r="A58" s="1">
        <v>45859</v>
      </c>
      <c r="B58" s="1">
        <v>45861</v>
      </c>
      <c r="C58" t="s">
        <v>24</v>
      </c>
      <c r="D58" t="s">
        <v>47</v>
      </c>
      <c r="E58" s="3">
        <v>99.254999999999995</v>
      </c>
      <c r="F58" t="s">
        <v>13</v>
      </c>
      <c r="G58" s="4">
        <v>50000</v>
      </c>
      <c r="H58" s="2">
        <v>-49627.5</v>
      </c>
      <c r="I58" s="2">
        <v>-5</v>
      </c>
    </row>
    <row r="59" spans="1:9" x14ac:dyDescent="0.35">
      <c r="A59" s="1">
        <v>45859</v>
      </c>
      <c r="B59" s="1">
        <v>45861</v>
      </c>
      <c r="C59" t="s">
        <v>48</v>
      </c>
      <c r="D59" t="s">
        <v>49</v>
      </c>
      <c r="E59" s="3">
        <v>99.078999999999994</v>
      </c>
      <c r="F59" t="s">
        <v>13</v>
      </c>
      <c r="G59" s="4">
        <v>20000</v>
      </c>
      <c r="H59" s="2">
        <v>-19815.8</v>
      </c>
      <c r="I59" s="2">
        <v>-5</v>
      </c>
    </row>
    <row r="60" spans="1:9" x14ac:dyDescent="0.35">
      <c r="A60" s="1">
        <v>45859</v>
      </c>
      <c r="B60" s="1">
        <v>45861</v>
      </c>
      <c r="D60" t="s">
        <v>50</v>
      </c>
      <c r="H60" s="2">
        <v>-27.99</v>
      </c>
    </row>
    <row r="61" spans="1:9" x14ac:dyDescent="0.35">
      <c r="A61" s="1">
        <v>45860</v>
      </c>
      <c r="B61" s="1">
        <v>45862</v>
      </c>
      <c r="C61" t="s">
        <v>35</v>
      </c>
      <c r="D61" t="s">
        <v>51</v>
      </c>
      <c r="E61" s="3">
        <v>91.295000000000002</v>
      </c>
      <c r="F61" t="s">
        <v>13</v>
      </c>
      <c r="G61" s="4">
        <v>1</v>
      </c>
      <c r="H61" s="2">
        <v>-91.3</v>
      </c>
      <c r="I61" s="2">
        <v>-9.5</v>
      </c>
    </row>
    <row r="62" spans="1:9" x14ac:dyDescent="0.35">
      <c r="A62" s="1">
        <v>45861</v>
      </c>
      <c r="B62" s="1">
        <v>45863</v>
      </c>
      <c r="C62" t="s">
        <v>35</v>
      </c>
      <c r="D62" t="s">
        <v>52</v>
      </c>
      <c r="E62" s="3">
        <v>91.064999999999998</v>
      </c>
      <c r="F62" t="s">
        <v>13</v>
      </c>
      <c r="G62" s="4">
        <v>1</v>
      </c>
      <c r="H62" s="2">
        <v>-91.07</v>
      </c>
      <c r="I62" s="2">
        <v>-9.5</v>
      </c>
    </row>
    <row r="63" spans="1:9" x14ac:dyDescent="0.35">
      <c r="A63" s="1">
        <v>45861</v>
      </c>
      <c r="B63" s="1">
        <v>45863</v>
      </c>
      <c r="C63" t="s">
        <v>53</v>
      </c>
      <c r="D63" t="s">
        <v>54</v>
      </c>
      <c r="E63" s="3">
        <v>6.3810000000000002</v>
      </c>
      <c r="F63" t="s">
        <v>13</v>
      </c>
      <c r="G63" s="4">
        <v>100</v>
      </c>
      <c r="H63" s="2">
        <v>-638.1</v>
      </c>
    </row>
    <row r="64" spans="1:9" x14ac:dyDescent="0.35">
      <c r="A64" s="1">
        <v>45861</v>
      </c>
      <c r="B64" s="1">
        <v>45863</v>
      </c>
      <c r="C64" t="s">
        <v>55</v>
      </c>
      <c r="D64" t="s">
        <v>56</v>
      </c>
      <c r="E64" s="3">
        <v>29.154</v>
      </c>
      <c r="F64" t="s">
        <v>13</v>
      </c>
      <c r="G64" s="4">
        <v>4</v>
      </c>
      <c r="H64" s="2">
        <v>-116.62</v>
      </c>
      <c r="I64" s="2">
        <v>-9.5</v>
      </c>
    </row>
    <row r="65" spans="1:9" x14ac:dyDescent="0.35">
      <c r="A65" s="1">
        <v>45861</v>
      </c>
      <c r="B65" s="1">
        <v>45863</v>
      </c>
      <c r="C65" t="s">
        <v>16</v>
      </c>
      <c r="D65" t="s">
        <v>57</v>
      </c>
      <c r="E65" s="3">
        <v>30.445</v>
      </c>
      <c r="F65" t="s">
        <v>13</v>
      </c>
      <c r="G65" s="4">
        <v>32</v>
      </c>
      <c r="H65" s="2">
        <v>-974.24</v>
      </c>
    </row>
    <row r="66" spans="1:9" x14ac:dyDescent="0.35">
      <c r="A66" s="1">
        <v>45861</v>
      </c>
      <c r="B66" s="1">
        <v>45863</v>
      </c>
      <c r="C66" t="s">
        <v>29</v>
      </c>
      <c r="D66" t="s">
        <v>58</v>
      </c>
      <c r="E66" s="3">
        <v>194.54</v>
      </c>
      <c r="F66" t="s">
        <v>13</v>
      </c>
      <c r="G66" s="4">
        <v>12</v>
      </c>
      <c r="H66" s="2">
        <v>-2334.48</v>
      </c>
    </row>
    <row r="67" spans="1:9" x14ac:dyDescent="0.35">
      <c r="A67" s="1">
        <v>45861</v>
      </c>
      <c r="B67" s="1">
        <v>45863</v>
      </c>
      <c r="C67" t="s">
        <v>59</v>
      </c>
      <c r="D67" t="s">
        <v>60</v>
      </c>
      <c r="E67" s="3">
        <v>289.55</v>
      </c>
      <c r="F67" t="s">
        <v>13</v>
      </c>
      <c r="G67" s="4">
        <v>1</v>
      </c>
      <c r="H67" s="2">
        <v>-289.55</v>
      </c>
    </row>
    <row r="68" spans="1:9" x14ac:dyDescent="0.35">
      <c r="A68" s="1">
        <v>45861</v>
      </c>
      <c r="B68" s="1">
        <v>45863</v>
      </c>
      <c r="C68" t="s">
        <v>61</v>
      </c>
      <c r="D68" t="s">
        <v>62</v>
      </c>
      <c r="E68" s="3">
        <v>30.83</v>
      </c>
      <c r="F68" t="s">
        <v>13</v>
      </c>
      <c r="G68" s="4">
        <v>16</v>
      </c>
      <c r="H68" s="2">
        <v>-493.28</v>
      </c>
    </row>
    <row r="69" spans="1:9" x14ac:dyDescent="0.35">
      <c r="A69" s="1">
        <v>45862</v>
      </c>
      <c r="B69" s="1">
        <v>45866</v>
      </c>
      <c r="C69" t="s">
        <v>53</v>
      </c>
      <c r="D69" t="s">
        <v>63</v>
      </c>
      <c r="E69" s="3">
        <v>6.3464999999999998</v>
      </c>
      <c r="F69" t="s">
        <v>13</v>
      </c>
      <c r="G69" s="4">
        <v>10</v>
      </c>
      <c r="H69" s="2">
        <v>-63.47</v>
      </c>
      <c r="I69" s="2">
        <v>-9.5</v>
      </c>
    </row>
    <row r="70" spans="1:9" x14ac:dyDescent="0.35">
      <c r="A70" s="1">
        <v>45862</v>
      </c>
      <c r="B70" s="1">
        <v>45866</v>
      </c>
      <c r="C70" t="s">
        <v>35</v>
      </c>
      <c r="D70" t="s">
        <v>64</v>
      </c>
      <c r="E70" s="3">
        <v>91.105000000000004</v>
      </c>
      <c r="F70" t="s">
        <v>13</v>
      </c>
      <c r="G70" s="4">
        <v>1</v>
      </c>
      <c r="H70" s="2">
        <v>-91.11</v>
      </c>
      <c r="I70" s="2">
        <v>-9.5</v>
      </c>
    </row>
    <row r="71" spans="1:9" x14ac:dyDescent="0.35">
      <c r="A71" s="1">
        <v>45862</v>
      </c>
      <c r="B71" s="1">
        <v>45866</v>
      </c>
      <c r="C71" t="s">
        <v>55</v>
      </c>
      <c r="D71" t="s">
        <v>65</v>
      </c>
      <c r="E71" s="3">
        <v>29.044</v>
      </c>
      <c r="F71" t="s">
        <v>13</v>
      </c>
      <c r="G71" s="4">
        <v>10</v>
      </c>
      <c r="H71" s="2">
        <v>-290.44</v>
      </c>
      <c r="I71" s="2">
        <v>-9.5</v>
      </c>
    </row>
    <row r="72" spans="1:9" x14ac:dyDescent="0.35">
      <c r="A72" s="1">
        <v>45863</v>
      </c>
      <c r="B72" s="1">
        <v>45867</v>
      </c>
      <c r="C72" t="s">
        <v>53</v>
      </c>
      <c r="D72" t="s">
        <v>66</v>
      </c>
      <c r="E72" s="3">
        <v>6.3689999999999998</v>
      </c>
      <c r="F72" t="s">
        <v>13</v>
      </c>
      <c r="G72" s="4">
        <v>10</v>
      </c>
      <c r="H72" s="2">
        <v>-63.69</v>
      </c>
      <c r="I72" s="2">
        <v>-9.5</v>
      </c>
    </row>
    <row r="73" spans="1:9" x14ac:dyDescent="0.35">
      <c r="A73" s="1">
        <v>45863</v>
      </c>
      <c r="B73" s="1">
        <v>45867</v>
      </c>
      <c r="C73" t="s">
        <v>35</v>
      </c>
      <c r="D73" t="s">
        <v>67</v>
      </c>
      <c r="E73" s="3">
        <v>88.444999999999993</v>
      </c>
      <c r="F73" t="s">
        <v>13</v>
      </c>
      <c r="G73" s="4">
        <v>1</v>
      </c>
      <c r="H73" s="2">
        <v>-88.45</v>
      </c>
      <c r="I73" s="2">
        <v>-9.5</v>
      </c>
    </row>
    <row r="74" spans="1:9" x14ac:dyDescent="0.35">
      <c r="A74" s="1">
        <v>45863</v>
      </c>
      <c r="B74" s="1">
        <v>45867</v>
      </c>
      <c r="C74" t="s">
        <v>55</v>
      </c>
      <c r="D74" t="s">
        <v>68</v>
      </c>
      <c r="E74" s="3">
        <v>29.206</v>
      </c>
      <c r="F74" t="s">
        <v>13</v>
      </c>
      <c r="G74" s="4">
        <v>1</v>
      </c>
      <c r="H74" s="2">
        <v>-29.21</v>
      </c>
      <c r="I74" s="2">
        <v>-9.5</v>
      </c>
    </row>
    <row r="75" spans="1:9" x14ac:dyDescent="0.35">
      <c r="A75" s="1">
        <v>45863</v>
      </c>
      <c r="B75" s="1">
        <v>45867</v>
      </c>
      <c r="C75" t="s">
        <v>59</v>
      </c>
      <c r="D75" t="s">
        <v>69</v>
      </c>
      <c r="E75" s="3">
        <v>283.37</v>
      </c>
      <c r="F75" t="s">
        <v>13</v>
      </c>
      <c r="G75" s="4">
        <v>10</v>
      </c>
      <c r="H75" s="2">
        <v>-2833.7</v>
      </c>
    </row>
    <row r="76" spans="1:9" x14ac:dyDescent="0.35">
      <c r="A76" s="1">
        <v>45863</v>
      </c>
      <c r="B76" s="1">
        <v>45867</v>
      </c>
      <c r="C76" t="s">
        <v>61</v>
      </c>
      <c r="D76" t="s">
        <v>70</v>
      </c>
      <c r="E76" s="3">
        <v>30.274999999999999</v>
      </c>
      <c r="F76" t="s">
        <v>13</v>
      </c>
      <c r="G76" s="4">
        <v>10</v>
      </c>
      <c r="H76" s="2">
        <v>-302.75</v>
      </c>
      <c r="I76" s="2">
        <v>-5</v>
      </c>
    </row>
    <row r="77" spans="1:9" x14ac:dyDescent="0.35">
      <c r="A77" s="1">
        <v>45868</v>
      </c>
      <c r="B77" s="1">
        <v>45870</v>
      </c>
      <c r="C77" t="s">
        <v>35</v>
      </c>
      <c r="D77" t="s">
        <v>71</v>
      </c>
      <c r="E77" s="3">
        <v>92.26</v>
      </c>
      <c r="F77" t="s">
        <v>13</v>
      </c>
      <c r="G77" s="4">
        <v>1</v>
      </c>
      <c r="H77" s="2">
        <v>-92.26</v>
      </c>
      <c r="I77" s="2">
        <v>-9.5</v>
      </c>
    </row>
    <row r="78" spans="1:9" x14ac:dyDescent="0.35">
      <c r="A78" s="1">
        <v>45868</v>
      </c>
      <c r="B78" s="1">
        <v>45870</v>
      </c>
      <c r="C78" t="s">
        <v>53</v>
      </c>
      <c r="D78" t="s">
        <v>72</v>
      </c>
      <c r="E78" s="3">
        <v>6.726</v>
      </c>
      <c r="F78" t="s">
        <v>13</v>
      </c>
      <c r="G78" s="4">
        <v>10</v>
      </c>
      <c r="H78" s="2">
        <v>-67.260000000000005</v>
      </c>
      <c r="I78" s="2">
        <v>-9.5</v>
      </c>
    </row>
    <row r="79" spans="1:9" x14ac:dyDescent="0.35">
      <c r="A79" s="1">
        <v>45870</v>
      </c>
      <c r="C79" t="s">
        <v>8</v>
      </c>
      <c r="H79" s="2">
        <v>148059.59</v>
      </c>
    </row>
    <row r="80" spans="1:9" x14ac:dyDescent="0.35">
      <c r="A80" s="1">
        <v>45870</v>
      </c>
      <c r="B80" s="1">
        <v>45874</v>
      </c>
      <c r="C80" t="s">
        <v>33</v>
      </c>
      <c r="D80" t="s">
        <v>73</v>
      </c>
      <c r="E80" s="3">
        <v>371.8</v>
      </c>
      <c r="F80" t="s">
        <v>13</v>
      </c>
      <c r="G80" s="4">
        <v>14</v>
      </c>
      <c r="H80" s="2">
        <v>-5205.2</v>
      </c>
      <c r="I80" s="2">
        <v>-5</v>
      </c>
    </row>
    <row r="81" spans="1:9" x14ac:dyDescent="0.35">
      <c r="A81" s="1">
        <v>45870</v>
      </c>
      <c r="B81" s="1">
        <v>45874</v>
      </c>
      <c r="C81" t="s">
        <v>33</v>
      </c>
      <c r="D81" t="s">
        <v>73</v>
      </c>
      <c r="E81" s="3">
        <v>371.8</v>
      </c>
      <c r="F81" t="s">
        <v>13</v>
      </c>
      <c r="G81" s="4">
        <v>7</v>
      </c>
      <c r="H81" s="2">
        <v>-2602.6</v>
      </c>
    </row>
    <row r="82" spans="1:9" x14ac:dyDescent="0.35">
      <c r="A82" s="1">
        <v>45870</v>
      </c>
      <c r="B82" s="1">
        <v>45874</v>
      </c>
      <c r="C82" t="s">
        <v>33</v>
      </c>
      <c r="D82" t="s">
        <v>73</v>
      </c>
      <c r="E82" s="3">
        <v>371.9</v>
      </c>
      <c r="F82" t="s">
        <v>13</v>
      </c>
      <c r="G82" s="4">
        <v>79</v>
      </c>
      <c r="H82" s="2">
        <v>-29380.1</v>
      </c>
    </row>
    <row r="83" spans="1:9" x14ac:dyDescent="0.35">
      <c r="A83" s="1">
        <v>45870</v>
      </c>
      <c r="B83" s="1">
        <v>45874</v>
      </c>
      <c r="C83" t="s">
        <v>31</v>
      </c>
      <c r="D83" t="s">
        <v>74</v>
      </c>
      <c r="E83" s="3">
        <v>83.7</v>
      </c>
      <c r="F83" t="s">
        <v>13</v>
      </c>
      <c r="G83" s="4">
        <v>7</v>
      </c>
      <c r="H83" s="2">
        <v>-585.9</v>
      </c>
      <c r="I83" s="2">
        <v>-9.5</v>
      </c>
    </row>
    <row r="84" spans="1:9" x14ac:dyDescent="0.35">
      <c r="A84" s="1">
        <v>45870</v>
      </c>
      <c r="B84" s="1">
        <v>45874</v>
      </c>
      <c r="C84" t="s">
        <v>31</v>
      </c>
      <c r="D84" t="s">
        <v>74</v>
      </c>
      <c r="E84" s="3">
        <v>83.7</v>
      </c>
      <c r="F84" t="s">
        <v>13</v>
      </c>
      <c r="G84" s="4">
        <v>1</v>
      </c>
      <c r="H84" s="2">
        <v>-83.7</v>
      </c>
    </row>
    <row r="85" spans="1:9" x14ac:dyDescent="0.35">
      <c r="A85" s="1">
        <v>45870</v>
      </c>
      <c r="B85" s="1">
        <v>45874</v>
      </c>
      <c r="C85" t="s">
        <v>31</v>
      </c>
      <c r="D85" t="s">
        <v>74</v>
      </c>
      <c r="E85" s="3">
        <v>83.7</v>
      </c>
      <c r="F85" t="s">
        <v>13</v>
      </c>
      <c r="G85" s="4">
        <v>52</v>
      </c>
      <c r="H85" s="2">
        <v>-4352.3999999999996</v>
      </c>
    </row>
    <row r="86" spans="1:9" x14ac:dyDescent="0.35">
      <c r="A86" s="1">
        <v>45870</v>
      </c>
      <c r="B86" s="1">
        <v>45874</v>
      </c>
      <c r="C86" t="s">
        <v>31</v>
      </c>
      <c r="D86" t="s">
        <v>75</v>
      </c>
      <c r="E86" s="3">
        <v>83.7</v>
      </c>
      <c r="F86" t="s">
        <v>13</v>
      </c>
      <c r="G86" s="4">
        <v>7</v>
      </c>
      <c r="H86" s="2">
        <v>-585.9</v>
      </c>
      <c r="I86" s="2">
        <v>-9.5</v>
      </c>
    </row>
    <row r="87" spans="1:9" x14ac:dyDescent="0.35">
      <c r="A87" s="1">
        <v>45870</v>
      </c>
      <c r="B87" s="1">
        <v>45874</v>
      </c>
      <c r="C87" t="s">
        <v>31</v>
      </c>
      <c r="D87" t="s">
        <v>75</v>
      </c>
      <c r="E87" s="3">
        <v>83.7</v>
      </c>
      <c r="F87" t="s">
        <v>13</v>
      </c>
      <c r="G87" s="4">
        <v>53</v>
      </c>
      <c r="H87" s="2">
        <v>-4436.1000000000004</v>
      </c>
    </row>
    <row r="88" spans="1:9" x14ac:dyDescent="0.35">
      <c r="A88" s="1">
        <v>45870</v>
      </c>
      <c r="B88" s="1">
        <v>45874</v>
      </c>
      <c r="C88" t="s">
        <v>35</v>
      </c>
      <c r="D88" t="s">
        <v>76</v>
      </c>
      <c r="E88" s="3">
        <v>90.805000000000007</v>
      </c>
      <c r="F88" t="s">
        <v>13</v>
      </c>
      <c r="G88" s="4">
        <v>1</v>
      </c>
      <c r="H88" s="2">
        <v>-90.81</v>
      </c>
      <c r="I88" s="2">
        <v>-9.5</v>
      </c>
    </row>
    <row r="89" spans="1:9" x14ac:dyDescent="0.35">
      <c r="A89" s="1">
        <v>45870</v>
      </c>
      <c r="B89" s="1">
        <v>45874</v>
      </c>
      <c r="C89" t="s">
        <v>53</v>
      </c>
      <c r="D89" t="s">
        <v>77</v>
      </c>
      <c r="E89" s="3">
        <v>6.4974999999999996</v>
      </c>
      <c r="F89" t="s">
        <v>13</v>
      </c>
      <c r="G89" s="4">
        <v>10</v>
      </c>
      <c r="H89" s="2">
        <v>-64.98</v>
      </c>
      <c r="I89" s="2">
        <v>-9.5</v>
      </c>
    </row>
    <row r="90" spans="1:9" x14ac:dyDescent="0.35">
      <c r="A90" s="1">
        <v>45870</v>
      </c>
      <c r="B90" s="1">
        <v>45874</v>
      </c>
      <c r="C90" t="s">
        <v>55</v>
      </c>
      <c r="D90" t="s">
        <v>78</v>
      </c>
      <c r="E90" s="3">
        <v>29.724</v>
      </c>
      <c r="F90" t="s">
        <v>13</v>
      </c>
      <c r="G90" s="4">
        <v>10</v>
      </c>
      <c r="H90" s="2">
        <v>-297.24</v>
      </c>
      <c r="I90" s="2">
        <v>-9.5</v>
      </c>
    </row>
    <row r="91" spans="1:9" x14ac:dyDescent="0.35">
      <c r="A91" s="1">
        <v>45870</v>
      </c>
      <c r="B91" s="1">
        <v>45874</v>
      </c>
      <c r="C91" t="s">
        <v>39</v>
      </c>
      <c r="D91" t="s">
        <v>79</v>
      </c>
      <c r="E91" s="3">
        <v>598.5</v>
      </c>
      <c r="F91" t="s">
        <v>13</v>
      </c>
      <c r="G91" s="4">
        <v>10</v>
      </c>
      <c r="H91" s="2">
        <v>-5985</v>
      </c>
      <c r="I91" s="2">
        <v>-9.5</v>
      </c>
    </row>
    <row r="92" spans="1:9" x14ac:dyDescent="0.35">
      <c r="A92" s="1">
        <v>45870</v>
      </c>
      <c r="B92" s="1">
        <v>45874</v>
      </c>
      <c r="C92" t="s">
        <v>16</v>
      </c>
      <c r="D92" t="s">
        <v>80</v>
      </c>
      <c r="E92" s="3">
        <v>29.664999999999999</v>
      </c>
      <c r="F92" t="s">
        <v>13</v>
      </c>
      <c r="G92" s="4">
        <v>33</v>
      </c>
      <c r="H92" s="2">
        <v>-978.95</v>
      </c>
    </row>
    <row r="93" spans="1:9" x14ac:dyDescent="0.35">
      <c r="A93" s="1">
        <v>45870</v>
      </c>
      <c r="B93" s="1">
        <v>45874</v>
      </c>
      <c r="C93" t="s">
        <v>29</v>
      </c>
      <c r="D93" t="s">
        <v>81</v>
      </c>
      <c r="E93" s="3">
        <v>190.92</v>
      </c>
      <c r="F93" t="s">
        <v>13</v>
      </c>
      <c r="G93" s="4">
        <v>13</v>
      </c>
      <c r="H93" s="2">
        <v>-2481.96</v>
      </c>
    </row>
    <row r="94" spans="1:9" x14ac:dyDescent="0.35">
      <c r="A94" s="1">
        <v>45870</v>
      </c>
      <c r="B94" s="1">
        <v>45874</v>
      </c>
      <c r="C94" t="s">
        <v>59</v>
      </c>
      <c r="D94" t="s">
        <v>82</v>
      </c>
      <c r="E94" s="3">
        <v>288.52999999999997</v>
      </c>
      <c r="F94" t="s">
        <v>13</v>
      </c>
      <c r="G94" s="4">
        <v>1</v>
      </c>
      <c r="H94" s="2">
        <v>-288.52999999999997</v>
      </c>
    </row>
    <row r="95" spans="1:9" x14ac:dyDescent="0.35">
      <c r="A95" s="1">
        <v>45870</v>
      </c>
      <c r="B95" s="1">
        <v>45874</v>
      </c>
      <c r="C95" t="s">
        <v>61</v>
      </c>
      <c r="D95" t="s">
        <v>83</v>
      </c>
      <c r="E95" s="3">
        <v>29.285</v>
      </c>
      <c r="F95" t="s">
        <v>13</v>
      </c>
      <c r="G95" s="4">
        <v>17</v>
      </c>
      <c r="H95" s="2">
        <v>-497.85</v>
      </c>
    </row>
    <row r="96" spans="1:9" x14ac:dyDescent="0.35">
      <c r="A96" s="1">
        <v>45870</v>
      </c>
      <c r="B96" s="1">
        <v>45869</v>
      </c>
      <c r="C96" t="s">
        <v>11</v>
      </c>
      <c r="D96" t="s">
        <v>84</v>
      </c>
      <c r="H96" s="2">
        <v>7.47</v>
      </c>
    </row>
    <row r="97" spans="1:8" x14ac:dyDescent="0.35">
      <c r="A97" s="1">
        <v>45870</v>
      </c>
      <c r="B97" s="1">
        <v>45869</v>
      </c>
      <c r="C97" t="s">
        <v>24</v>
      </c>
      <c r="D97" t="s">
        <v>85</v>
      </c>
      <c r="H97" s="2">
        <v>1.08</v>
      </c>
    </row>
    <row r="98" spans="1:8" x14ac:dyDescent="0.35">
      <c r="A98" s="1">
        <v>45875</v>
      </c>
      <c r="B98" s="1">
        <v>45875</v>
      </c>
      <c r="C98" t="s">
        <v>39</v>
      </c>
      <c r="D98" t="s">
        <v>86</v>
      </c>
      <c r="H98" s="2">
        <v>27.2</v>
      </c>
    </row>
    <row r="99" spans="1:8" x14ac:dyDescent="0.35">
      <c r="A99" s="1">
        <v>45877</v>
      </c>
      <c r="B99" s="1">
        <v>45881</v>
      </c>
      <c r="C99" t="s">
        <v>35</v>
      </c>
      <c r="D99" t="s">
        <v>87</v>
      </c>
      <c r="E99" s="3">
        <v>90.25</v>
      </c>
      <c r="F99" t="s">
        <v>13</v>
      </c>
      <c r="G99" s="4">
        <v>10</v>
      </c>
      <c r="H99" s="2">
        <v>-902.5</v>
      </c>
    </row>
    <row r="100" spans="1:8" x14ac:dyDescent="0.35">
      <c r="A100" s="1">
        <v>45877</v>
      </c>
      <c r="B100" s="1">
        <v>45881</v>
      </c>
      <c r="C100" t="s">
        <v>53</v>
      </c>
      <c r="D100" t="s">
        <v>88</v>
      </c>
      <c r="E100" s="3">
        <v>6.8540000000000001</v>
      </c>
      <c r="F100" t="s">
        <v>13</v>
      </c>
      <c r="G100" s="4">
        <v>100</v>
      </c>
      <c r="H100" s="2">
        <v>-685.4</v>
      </c>
    </row>
    <row r="101" spans="1:8" x14ac:dyDescent="0.35">
      <c r="A101" s="1">
        <v>45877</v>
      </c>
      <c r="B101" s="1">
        <v>45881</v>
      </c>
      <c r="C101" t="s">
        <v>35</v>
      </c>
      <c r="D101" t="s">
        <v>89</v>
      </c>
      <c r="E101" s="3">
        <v>90.25</v>
      </c>
      <c r="F101" t="s">
        <v>13</v>
      </c>
      <c r="G101" s="4">
        <v>50</v>
      </c>
      <c r="H101" s="2">
        <v>-4512.5</v>
      </c>
    </row>
    <row r="102" spans="1:8" x14ac:dyDescent="0.35">
      <c r="A102" s="1">
        <v>45877</v>
      </c>
      <c r="B102" s="1">
        <v>45881</v>
      </c>
      <c r="C102" t="s">
        <v>35</v>
      </c>
      <c r="D102" t="s">
        <v>90</v>
      </c>
      <c r="E102" s="3">
        <v>90.22</v>
      </c>
      <c r="F102" t="s">
        <v>13</v>
      </c>
      <c r="G102" s="4">
        <v>100</v>
      </c>
      <c r="H102" s="2">
        <v>-9022</v>
      </c>
    </row>
    <row r="103" spans="1:8" x14ac:dyDescent="0.35">
      <c r="A103" s="1">
        <v>45877</v>
      </c>
      <c r="B103" s="1">
        <v>45881</v>
      </c>
      <c r="C103" t="s">
        <v>16</v>
      </c>
      <c r="D103" t="s">
        <v>91</v>
      </c>
      <c r="E103" s="3">
        <v>29.15</v>
      </c>
      <c r="F103" t="s">
        <v>13</v>
      </c>
      <c r="G103" s="4">
        <v>34</v>
      </c>
      <c r="H103" s="2">
        <v>-991.1</v>
      </c>
    </row>
    <row r="104" spans="1:8" x14ac:dyDescent="0.35">
      <c r="A104" s="1">
        <v>45877</v>
      </c>
      <c r="B104" s="1">
        <v>45881</v>
      </c>
      <c r="C104" t="s">
        <v>29</v>
      </c>
      <c r="D104" t="s">
        <v>92</v>
      </c>
      <c r="E104" s="3">
        <v>199.02</v>
      </c>
      <c r="F104" t="s">
        <v>13</v>
      </c>
      <c r="G104" s="4">
        <v>12</v>
      </c>
      <c r="H104" s="2">
        <v>-2388.2399999999998</v>
      </c>
    </row>
    <row r="105" spans="1:8" x14ac:dyDescent="0.35">
      <c r="A105" s="1">
        <v>45877</v>
      </c>
      <c r="B105" s="1">
        <v>45881</v>
      </c>
      <c r="C105" t="s">
        <v>59</v>
      </c>
      <c r="D105" t="s">
        <v>93</v>
      </c>
      <c r="E105" s="3">
        <v>289.27</v>
      </c>
      <c r="F105" t="s">
        <v>13</v>
      </c>
      <c r="G105" s="4">
        <v>1</v>
      </c>
      <c r="H105" s="2">
        <v>-289.27</v>
      </c>
    </row>
    <row r="106" spans="1:8" x14ac:dyDescent="0.35">
      <c r="A106" s="1">
        <v>45877</v>
      </c>
      <c r="B106" s="1">
        <v>45881</v>
      </c>
      <c r="C106" t="s">
        <v>61</v>
      </c>
      <c r="D106" t="s">
        <v>94</v>
      </c>
      <c r="E106" s="3">
        <v>30.07</v>
      </c>
      <c r="F106" t="s">
        <v>13</v>
      </c>
      <c r="G106" s="4">
        <v>16</v>
      </c>
      <c r="H106" s="2">
        <v>-481.12</v>
      </c>
    </row>
    <row r="107" spans="1:8" x14ac:dyDescent="0.35">
      <c r="A107" s="1">
        <v>45880</v>
      </c>
      <c r="B107" s="1">
        <v>45882</v>
      </c>
      <c r="C107" t="s">
        <v>53</v>
      </c>
      <c r="D107" t="s">
        <v>95</v>
      </c>
      <c r="E107" s="3">
        <v>7.4974999999999996</v>
      </c>
      <c r="F107" t="s">
        <v>13</v>
      </c>
      <c r="G107" s="4">
        <v>200</v>
      </c>
      <c r="H107" s="2">
        <v>-1499.5</v>
      </c>
    </row>
    <row r="108" spans="1:8" x14ac:dyDescent="0.35">
      <c r="A108" s="1">
        <v>45880</v>
      </c>
      <c r="B108" s="1">
        <v>45882</v>
      </c>
      <c r="C108" t="s">
        <v>96</v>
      </c>
      <c r="D108" t="s">
        <v>97</v>
      </c>
      <c r="E108" s="3">
        <v>8.0634999999999994</v>
      </c>
      <c r="F108" t="s">
        <v>13</v>
      </c>
      <c r="G108" s="4">
        <v>200</v>
      </c>
      <c r="H108" s="2">
        <v>-1612.7</v>
      </c>
    </row>
    <row r="109" spans="1:8" x14ac:dyDescent="0.35">
      <c r="A109" s="1">
        <v>45881</v>
      </c>
      <c r="B109" s="1">
        <v>45883</v>
      </c>
      <c r="C109" t="s">
        <v>96</v>
      </c>
      <c r="D109" t="s">
        <v>98</v>
      </c>
      <c r="E109" s="3">
        <v>7.8440000000000003</v>
      </c>
      <c r="F109" t="s">
        <v>13</v>
      </c>
      <c r="G109" s="4">
        <v>200</v>
      </c>
      <c r="H109" s="2">
        <v>-1568.8</v>
      </c>
    </row>
    <row r="110" spans="1:8" x14ac:dyDescent="0.35">
      <c r="A110" s="1">
        <v>45881</v>
      </c>
      <c r="B110" s="1">
        <v>45883</v>
      </c>
      <c r="C110" t="s">
        <v>53</v>
      </c>
      <c r="D110" t="s">
        <v>99</v>
      </c>
      <c r="E110" s="3">
        <v>7.7164999999999999</v>
      </c>
      <c r="F110" t="s">
        <v>13</v>
      </c>
      <c r="G110" s="4">
        <v>200</v>
      </c>
      <c r="H110" s="2">
        <v>-1543.3</v>
      </c>
    </row>
    <row r="111" spans="1:8" x14ac:dyDescent="0.35">
      <c r="A111" s="1">
        <v>45881</v>
      </c>
      <c r="B111" s="1">
        <v>45883</v>
      </c>
      <c r="C111" t="s">
        <v>55</v>
      </c>
      <c r="D111" t="s">
        <v>100</v>
      </c>
      <c r="E111" s="3">
        <v>34.950000000000003</v>
      </c>
      <c r="F111" t="s">
        <v>13</v>
      </c>
      <c r="G111" s="4">
        <v>100</v>
      </c>
      <c r="H111" s="2">
        <v>-3495</v>
      </c>
    </row>
    <row r="112" spans="1:8" x14ac:dyDescent="0.35">
      <c r="A112" s="1">
        <v>45881</v>
      </c>
      <c r="B112" s="1">
        <v>45883</v>
      </c>
      <c r="C112" t="s">
        <v>53</v>
      </c>
      <c r="D112" t="s">
        <v>101</v>
      </c>
      <c r="E112" s="3">
        <v>7.7154999999999996</v>
      </c>
      <c r="F112" t="s">
        <v>13</v>
      </c>
      <c r="G112" s="4">
        <v>200</v>
      </c>
      <c r="H112" s="2">
        <v>-1543.1</v>
      </c>
    </row>
    <row r="113" spans="1:9" x14ac:dyDescent="0.35">
      <c r="A113" s="1">
        <v>45881</v>
      </c>
      <c r="B113" s="1">
        <v>45883</v>
      </c>
      <c r="C113" t="s">
        <v>55</v>
      </c>
      <c r="D113" t="s">
        <v>102</v>
      </c>
      <c r="E113" s="3">
        <v>34.97</v>
      </c>
      <c r="F113" t="s">
        <v>13</v>
      </c>
      <c r="G113" s="4">
        <v>100</v>
      </c>
      <c r="H113" s="2">
        <v>-3497</v>
      </c>
    </row>
    <row r="114" spans="1:9" x14ac:dyDescent="0.35">
      <c r="A114" s="1">
        <v>45887</v>
      </c>
      <c r="B114" s="1">
        <v>45889</v>
      </c>
      <c r="C114" t="s">
        <v>16</v>
      </c>
      <c r="D114" t="s">
        <v>103</v>
      </c>
      <c r="E114" s="3">
        <v>30.204999999999998</v>
      </c>
      <c r="F114" t="s">
        <v>13</v>
      </c>
      <c r="G114" s="4">
        <v>32</v>
      </c>
      <c r="H114" s="2">
        <v>-966.56</v>
      </c>
    </row>
    <row r="115" spans="1:9" x14ac:dyDescent="0.35">
      <c r="A115" s="1">
        <v>45887</v>
      </c>
      <c r="B115" s="1">
        <v>45889</v>
      </c>
      <c r="C115" t="s">
        <v>29</v>
      </c>
      <c r="D115" t="s">
        <v>104</v>
      </c>
      <c r="E115" s="3">
        <v>203.95</v>
      </c>
      <c r="F115" t="s">
        <v>13</v>
      </c>
      <c r="G115" s="4">
        <v>12</v>
      </c>
      <c r="H115" s="2">
        <v>-2447.4</v>
      </c>
    </row>
    <row r="116" spans="1:9" x14ac:dyDescent="0.35">
      <c r="A116" s="1">
        <v>45887</v>
      </c>
      <c r="B116" s="1">
        <v>45889</v>
      </c>
      <c r="C116" t="s">
        <v>59</v>
      </c>
      <c r="D116" t="s">
        <v>105</v>
      </c>
      <c r="E116" s="3">
        <v>284.06</v>
      </c>
      <c r="F116" t="s">
        <v>13</v>
      </c>
      <c r="G116" s="4">
        <v>1</v>
      </c>
      <c r="H116" s="2">
        <v>-284.06</v>
      </c>
    </row>
    <row r="117" spans="1:9" x14ac:dyDescent="0.35">
      <c r="A117" s="1">
        <v>45887</v>
      </c>
      <c r="B117" s="1">
        <v>45889</v>
      </c>
      <c r="C117" t="s">
        <v>61</v>
      </c>
      <c r="D117" t="s">
        <v>106</v>
      </c>
      <c r="E117" s="3">
        <v>29.82</v>
      </c>
      <c r="F117" t="s">
        <v>13</v>
      </c>
      <c r="G117" s="4">
        <v>16</v>
      </c>
      <c r="H117" s="2">
        <v>-477.12</v>
      </c>
    </row>
    <row r="118" spans="1:9" x14ac:dyDescent="0.35">
      <c r="A118" s="1">
        <v>45894</v>
      </c>
      <c r="B118" s="1">
        <v>45896</v>
      </c>
      <c r="C118" t="s">
        <v>16</v>
      </c>
      <c r="D118" t="s">
        <v>107</v>
      </c>
      <c r="E118" s="3">
        <v>29.725000000000001</v>
      </c>
      <c r="F118" t="s">
        <v>13</v>
      </c>
      <c r="G118" s="4">
        <v>33</v>
      </c>
      <c r="H118" s="2">
        <v>-980.93</v>
      </c>
    </row>
    <row r="119" spans="1:9" x14ac:dyDescent="0.35">
      <c r="A119" s="1">
        <v>45894</v>
      </c>
      <c r="B119" s="1">
        <v>45896</v>
      </c>
      <c r="C119" t="s">
        <v>29</v>
      </c>
      <c r="D119" t="s">
        <v>108</v>
      </c>
      <c r="E119" s="3">
        <v>206.75</v>
      </c>
      <c r="F119" t="s">
        <v>13</v>
      </c>
      <c r="G119" s="4">
        <v>12</v>
      </c>
      <c r="H119" s="2">
        <v>-2481</v>
      </c>
    </row>
    <row r="120" spans="1:9" x14ac:dyDescent="0.35">
      <c r="A120" s="1">
        <v>45894</v>
      </c>
      <c r="B120" s="1">
        <v>45896</v>
      </c>
      <c r="C120" t="s">
        <v>59</v>
      </c>
      <c r="D120" t="s">
        <v>109</v>
      </c>
      <c r="E120" s="3">
        <v>287.08</v>
      </c>
      <c r="F120" t="s">
        <v>13</v>
      </c>
      <c r="G120" s="4">
        <v>1</v>
      </c>
      <c r="H120" s="2">
        <v>-287.08</v>
      </c>
    </row>
    <row r="121" spans="1:9" x14ac:dyDescent="0.35">
      <c r="A121" s="1">
        <v>45894</v>
      </c>
      <c r="B121" s="1">
        <v>45896</v>
      </c>
      <c r="C121" t="s">
        <v>61</v>
      </c>
      <c r="D121" t="s">
        <v>110</v>
      </c>
      <c r="E121" s="3">
        <v>30.39</v>
      </c>
      <c r="F121" t="s">
        <v>13</v>
      </c>
      <c r="G121" s="4">
        <v>16</v>
      </c>
      <c r="H121" s="2">
        <v>-486.24</v>
      </c>
    </row>
    <row r="122" spans="1:9" x14ac:dyDescent="0.35">
      <c r="A122" s="1">
        <v>45897</v>
      </c>
      <c r="B122" s="1">
        <v>45901</v>
      </c>
      <c r="C122" t="s">
        <v>111</v>
      </c>
      <c r="D122" t="s">
        <v>112</v>
      </c>
      <c r="E122" s="3">
        <v>8.25</v>
      </c>
      <c r="F122" t="s">
        <v>13</v>
      </c>
      <c r="G122" s="4">
        <v>485</v>
      </c>
      <c r="H122" s="2">
        <v>-4001.25</v>
      </c>
      <c r="I122" s="2">
        <v>-5</v>
      </c>
    </row>
    <row r="123" spans="1:9" x14ac:dyDescent="0.35">
      <c r="A123" s="1">
        <v>45897</v>
      </c>
      <c r="B123" s="1">
        <v>45901</v>
      </c>
      <c r="C123" t="s">
        <v>111</v>
      </c>
      <c r="D123" t="s">
        <v>112</v>
      </c>
      <c r="E123" s="3">
        <v>8.25</v>
      </c>
      <c r="F123" t="s">
        <v>13</v>
      </c>
      <c r="G123" s="4">
        <v>139</v>
      </c>
      <c r="H123" s="2">
        <v>-1146.75</v>
      </c>
    </row>
    <row r="124" spans="1:9" x14ac:dyDescent="0.35">
      <c r="A124" s="1">
        <v>45897</v>
      </c>
      <c r="B124" s="1">
        <v>45901</v>
      </c>
      <c r="C124" t="s">
        <v>111</v>
      </c>
      <c r="D124" t="s">
        <v>112</v>
      </c>
      <c r="E124" s="3">
        <v>8.25</v>
      </c>
      <c r="F124" t="s">
        <v>13</v>
      </c>
      <c r="G124" s="4">
        <v>250</v>
      </c>
      <c r="H124" s="2">
        <v>-2062.5</v>
      </c>
    </row>
    <row r="125" spans="1:9" x14ac:dyDescent="0.35">
      <c r="A125" s="1">
        <v>45897</v>
      </c>
      <c r="B125" s="1">
        <v>45901</v>
      </c>
      <c r="C125" t="s">
        <v>111</v>
      </c>
      <c r="D125" t="s">
        <v>112</v>
      </c>
      <c r="E125" s="3">
        <v>8.25</v>
      </c>
      <c r="F125" t="s">
        <v>13</v>
      </c>
      <c r="G125" s="4">
        <v>393</v>
      </c>
      <c r="H125" s="2">
        <v>-3242.25</v>
      </c>
    </row>
    <row r="126" spans="1:9" x14ac:dyDescent="0.35">
      <c r="A126" s="1">
        <v>45897</v>
      </c>
      <c r="B126" s="1">
        <v>45901</v>
      </c>
      <c r="C126" t="s">
        <v>111</v>
      </c>
      <c r="D126" t="s">
        <v>112</v>
      </c>
      <c r="E126" s="3">
        <v>8.25</v>
      </c>
      <c r="F126" t="s">
        <v>13</v>
      </c>
      <c r="G126" s="4">
        <v>650</v>
      </c>
      <c r="H126" s="2">
        <v>-5362.5</v>
      </c>
    </row>
    <row r="127" spans="1:9" x14ac:dyDescent="0.35">
      <c r="A127" s="1">
        <v>45897</v>
      </c>
      <c r="B127" s="1">
        <v>45901</v>
      </c>
      <c r="C127" t="s">
        <v>111</v>
      </c>
      <c r="D127" t="s">
        <v>112</v>
      </c>
      <c r="E127" s="3">
        <v>8.25</v>
      </c>
      <c r="F127" t="s">
        <v>13</v>
      </c>
      <c r="G127" s="4">
        <v>20</v>
      </c>
      <c r="H127" s="2">
        <v>-165</v>
      </c>
    </row>
    <row r="128" spans="1:9" x14ac:dyDescent="0.35">
      <c r="A128" s="1">
        <v>45897</v>
      </c>
      <c r="B128" s="1">
        <v>45901</v>
      </c>
      <c r="C128" t="s">
        <v>111</v>
      </c>
      <c r="D128" t="s">
        <v>112</v>
      </c>
      <c r="E128" s="3">
        <v>8.26</v>
      </c>
      <c r="F128" t="s">
        <v>13</v>
      </c>
      <c r="G128" s="4">
        <v>250</v>
      </c>
      <c r="H128" s="2">
        <v>-2065</v>
      </c>
    </row>
    <row r="129" spans="1:9" x14ac:dyDescent="0.35">
      <c r="A129" s="1">
        <v>45897</v>
      </c>
      <c r="B129" s="1">
        <v>45901</v>
      </c>
      <c r="C129" t="s">
        <v>111</v>
      </c>
      <c r="D129" t="s">
        <v>112</v>
      </c>
      <c r="E129" s="3">
        <v>8.26</v>
      </c>
      <c r="F129" t="s">
        <v>13</v>
      </c>
      <c r="G129" s="4">
        <v>313</v>
      </c>
      <c r="H129" s="2">
        <v>-2585.38</v>
      </c>
    </row>
    <row r="130" spans="1:9" x14ac:dyDescent="0.35">
      <c r="A130" s="1">
        <v>45897</v>
      </c>
      <c r="B130" s="1">
        <v>45901</v>
      </c>
      <c r="D130" t="s">
        <v>113</v>
      </c>
      <c r="H130" s="2">
        <v>-20.63</v>
      </c>
    </row>
    <row r="131" spans="1:9" x14ac:dyDescent="0.35">
      <c r="A131" s="1">
        <v>45901</v>
      </c>
      <c r="C131" t="s">
        <v>8</v>
      </c>
      <c r="H131" s="2">
        <v>27017.94</v>
      </c>
    </row>
    <row r="132" spans="1:9" x14ac:dyDescent="0.35">
      <c r="A132" s="1">
        <v>45901</v>
      </c>
      <c r="B132" s="1">
        <v>45903</v>
      </c>
      <c r="C132" t="s">
        <v>16</v>
      </c>
      <c r="D132" t="s">
        <v>114</v>
      </c>
      <c r="E132" s="3">
        <v>30.545000000000002</v>
      </c>
      <c r="F132" t="s">
        <v>13</v>
      </c>
      <c r="G132" s="4">
        <v>32</v>
      </c>
      <c r="H132" s="2">
        <v>-977.44</v>
      </c>
    </row>
    <row r="133" spans="1:9" x14ac:dyDescent="0.35">
      <c r="A133" s="1">
        <v>45901</v>
      </c>
      <c r="B133" s="1">
        <v>45903</v>
      </c>
      <c r="C133" t="s">
        <v>29</v>
      </c>
      <c r="D133" t="s">
        <v>115</v>
      </c>
      <c r="E133" s="3">
        <v>202.8</v>
      </c>
      <c r="F133" t="s">
        <v>13</v>
      </c>
      <c r="G133" s="4">
        <v>12</v>
      </c>
      <c r="H133" s="2">
        <v>-2433.6</v>
      </c>
    </row>
    <row r="134" spans="1:9" x14ac:dyDescent="0.35">
      <c r="A134" s="1">
        <v>45901</v>
      </c>
      <c r="B134" s="1">
        <v>45903</v>
      </c>
      <c r="C134" t="s">
        <v>59</v>
      </c>
      <c r="D134" t="s">
        <v>116</v>
      </c>
      <c r="E134" s="3">
        <v>295.39999999999998</v>
      </c>
      <c r="F134" t="s">
        <v>13</v>
      </c>
      <c r="G134" s="4">
        <v>1</v>
      </c>
      <c r="H134" s="2">
        <v>-295.39999999999998</v>
      </c>
    </row>
    <row r="135" spans="1:9" x14ac:dyDescent="0.35">
      <c r="A135" s="1">
        <v>45901</v>
      </c>
      <c r="B135" s="1">
        <v>45903</v>
      </c>
      <c r="C135" t="s">
        <v>61</v>
      </c>
      <c r="D135" t="s">
        <v>117</v>
      </c>
      <c r="E135" s="3">
        <v>31.805</v>
      </c>
      <c r="F135" t="s">
        <v>13</v>
      </c>
      <c r="G135" s="4">
        <v>15</v>
      </c>
      <c r="H135" s="2">
        <v>-477.08</v>
      </c>
    </row>
    <row r="136" spans="1:9" x14ac:dyDescent="0.35">
      <c r="A136" s="1">
        <v>45901</v>
      </c>
      <c r="B136" s="1">
        <v>45900</v>
      </c>
      <c r="C136" t="s">
        <v>11</v>
      </c>
      <c r="D136" t="s">
        <v>118</v>
      </c>
      <c r="H136" s="2">
        <v>3.06</v>
      </c>
    </row>
    <row r="137" spans="1:9" x14ac:dyDescent="0.35">
      <c r="A137" s="1">
        <v>45901</v>
      </c>
      <c r="B137" s="1">
        <v>45900</v>
      </c>
      <c r="C137" t="s">
        <v>24</v>
      </c>
      <c r="D137" t="s">
        <v>119</v>
      </c>
      <c r="H137" s="2">
        <v>4.8600000000000003</v>
      </c>
    </row>
    <row r="138" spans="1:9" x14ac:dyDescent="0.35">
      <c r="A138" s="1">
        <v>45908</v>
      </c>
      <c r="B138" s="1">
        <v>45910</v>
      </c>
      <c r="C138" t="s">
        <v>16</v>
      </c>
      <c r="D138" t="s">
        <v>120</v>
      </c>
      <c r="E138" s="3">
        <v>30.25</v>
      </c>
      <c r="F138" t="s">
        <v>13</v>
      </c>
      <c r="G138" s="4">
        <v>32</v>
      </c>
      <c r="H138" s="2">
        <v>-968</v>
      </c>
    </row>
    <row r="139" spans="1:9" x14ac:dyDescent="0.35">
      <c r="A139" s="1">
        <v>45908</v>
      </c>
      <c r="B139" s="1">
        <v>45910</v>
      </c>
      <c r="C139" t="s">
        <v>29</v>
      </c>
      <c r="D139" t="s">
        <v>121</v>
      </c>
      <c r="E139" s="3">
        <v>199.5</v>
      </c>
      <c r="F139" t="s">
        <v>13</v>
      </c>
      <c r="G139" s="4">
        <v>12</v>
      </c>
      <c r="H139" s="2">
        <v>-2394</v>
      </c>
    </row>
    <row r="140" spans="1:9" x14ac:dyDescent="0.35">
      <c r="A140" s="1">
        <v>45908</v>
      </c>
      <c r="B140" s="1">
        <v>45910</v>
      </c>
      <c r="C140" t="s">
        <v>59</v>
      </c>
      <c r="D140" t="s">
        <v>122</v>
      </c>
      <c r="E140" s="3">
        <v>307.70999999999998</v>
      </c>
      <c r="F140" t="s">
        <v>13</v>
      </c>
      <c r="G140" s="4">
        <v>1</v>
      </c>
      <c r="H140" s="2">
        <v>-307.70999999999998</v>
      </c>
    </row>
    <row r="141" spans="1:9" x14ac:dyDescent="0.35">
      <c r="A141" s="1">
        <v>45908</v>
      </c>
      <c r="B141" s="1">
        <v>45910</v>
      </c>
      <c r="C141" t="s">
        <v>61</v>
      </c>
      <c r="D141" t="s">
        <v>123</v>
      </c>
      <c r="E141" s="3">
        <v>32.130000000000003</v>
      </c>
      <c r="F141" t="s">
        <v>13</v>
      </c>
      <c r="G141" s="4">
        <v>15</v>
      </c>
      <c r="H141" s="2">
        <v>-481.95</v>
      </c>
    </row>
    <row r="142" spans="1:9" x14ac:dyDescent="0.35">
      <c r="A142" s="1">
        <v>45910</v>
      </c>
      <c r="B142" s="1">
        <v>45924</v>
      </c>
      <c r="C142" t="s">
        <v>26</v>
      </c>
      <c r="D142" t="s">
        <v>124</v>
      </c>
      <c r="H142" s="2">
        <v>604.33000000000004</v>
      </c>
    </row>
    <row r="143" spans="1:9" x14ac:dyDescent="0.35">
      <c r="A143" s="1">
        <v>45910</v>
      </c>
      <c r="B143" s="1">
        <v>45924</v>
      </c>
      <c r="C143" t="s">
        <v>26</v>
      </c>
      <c r="D143" t="s">
        <v>125</v>
      </c>
      <c r="H143" s="2">
        <v>-156.72999999999999</v>
      </c>
    </row>
    <row r="144" spans="1:9" x14ac:dyDescent="0.35">
      <c r="A144" s="1">
        <v>45911</v>
      </c>
      <c r="B144" s="1">
        <v>45912</v>
      </c>
      <c r="C144" t="s">
        <v>126</v>
      </c>
      <c r="D144" t="s">
        <v>127</v>
      </c>
      <c r="E144" s="3">
        <v>330</v>
      </c>
      <c r="F144" t="s">
        <v>128</v>
      </c>
      <c r="G144" s="4">
        <v>10</v>
      </c>
      <c r="H144" s="2">
        <v>-2811.14</v>
      </c>
      <c r="I144" s="2">
        <v>-7.67</v>
      </c>
    </row>
    <row r="145" spans="1:9" x14ac:dyDescent="0.35">
      <c r="A145" s="1">
        <v>45911</v>
      </c>
      <c r="B145" s="1">
        <v>45915</v>
      </c>
      <c r="C145" t="s">
        <v>45</v>
      </c>
      <c r="D145" t="s">
        <v>129</v>
      </c>
      <c r="E145" s="3">
        <v>4.7380000000000004</v>
      </c>
      <c r="F145" t="s">
        <v>13</v>
      </c>
      <c r="G145" s="4">
        <v>500</v>
      </c>
      <c r="H145" s="2">
        <v>-2369</v>
      </c>
      <c r="I145" s="2">
        <v>-5</v>
      </c>
    </row>
    <row r="146" spans="1:9" x14ac:dyDescent="0.35">
      <c r="A146" s="1">
        <v>45911</v>
      </c>
      <c r="B146" s="1">
        <v>45915</v>
      </c>
      <c r="C146" t="s">
        <v>31</v>
      </c>
      <c r="D146" t="s">
        <v>130</v>
      </c>
      <c r="E146" s="3">
        <v>83.45</v>
      </c>
      <c r="F146" t="s">
        <v>13</v>
      </c>
      <c r="G146" s="4">
        <v>80</v>
      </c>
      <c r="H146" s="2">
        <v>-6676</v>
      </c>
      <c r="I146" s="2">
        <v>-9.5</v>
      </c>
    </row>
    <row r="147" spans="1:9" x14ac:dyDescent="0.35">
      <c r="A147" s="1">
        <v>45911</v>
      </c>
      <c r="B147" s="1">
        <v>45915</v>
      </c>
      <c r="C147" t="s">
        <v>31</v>
      </c>
      <c r="D147" t="s">
        <v>130</v>
      </c>
      <c r="E147" s="3">
        <v>83.45</v>
      </c>
      <c r="F147" t="s">
        <v>13</v>
      </c>
      <c r="G147" s="4">
        <v>20</v>
      </c>
      <c r="H147" s="2">
        <v>-1669</v>
      </c>
    </row>
    <row r="148" spans="1:9" x14ac:dyDescent="0.35">
      <c r="A148" s="1">
        <v>45911</v>
      </c>
      <c r="B148" s="1">
        <v>45915</v>
      </c>
      <c r="C148" t="s">
        <v>45</v>
      </c>
      <c r="D148" t="s">
        <v>131</v>
      </c>
      <c r="E148" s="3">
        <v>4.6909999999999998</v>
      </c>
      <c r="F148" t="s">
        <v>13</v>
      </c>
      <c r="G148" s="4">
        <v>138</v>
      </c>
      <c r="H148" s="2">
        <v>-647.36</v>
      </c>
      <c r="I148" s="2">
        <v>-5</v>
      </c>
    </row>
    <row r="149" spans="1:9" x14ac:dyDescent="0.35">
      <c r="A149" s="1">
        <v>45911</v>
      </c>
      <c r="B149" s="1">
        <v>45915</v>
      </c>
      <c r="C149" t="s">
        <v>45</v>
      </c>
      <c r="D149" t="s">
        <v>131</v>
      </c>
      <c r="E149" s="3">
        <v>4.6909999999999998</v>
      </c>
      <c r="F149" t="s">
        <v>13</v>
      </c>
      <c r="G149" s="4">
        <v>362</v>
      </c>
      <c r="H149" s="2">
        <v>-1698.14</v>
      </c>
    </row>
    <row r="150" spans="1:9" x14ac:dyDescent="0.35">
      <c r="A150" s="1">
        <v>45911</v>
      </c>
      <c r="B150" s="1">
        <v>45915</v>
      </c>
      <c r="D150" t="s">
        <v>132</v>
      </c>
      <c r="H150" s="2">
        <v>-4.71</v>
      </c>
    </row>
    <row r="151" spans="1:9" x14ac:dyDescent="0.35">
      <c r="A151" s="1">
        <v>45912</v>
      </c>
      <c r="B151" s="1">
        <v>45915</v>
      </c>
      <c r="C151" t="s">
        <v>126</v>
      </c>
      <c r="D151" t="s">
        <v>133</v>
      </c>
      <c r="E151" s="3">
        <v>306</v>
      </c>
      <c r="F151" t="s">
        <v>128</v>
      </c>
      <c r="G151" s="4">
        <v>5</v>
      </c>
      <c r="H151" s="2">
        <v>-1303.57</v>
      </c>
      <c r="I151" s="2">
        <v>-7.67</v>
      </c>
    </row>
    <row r="152" spans="1:9" x14ac:dyDescent="0.35">
      <c r="A152" s="1">
        <v>45912</v>
      </c>
      <c r="B152" s="1">
        <v>45915</v>
      </c>
      <c r="C152" t="s">
        <v>126</v>
      </c>
      <c r="D152" t="s">
        <v>134</v>
      </c>
      <c r="E152" s="3">
        <v>294.47449999999998</v>
      </c>
      <c r="F152" t="s">
        <v>128</v>
      </c>
      <c r="G152" s="4">
        <v>10</v>
      </c>
      <c r="H152" s="2">
        <v>-2508.9499999999998</v>
      </c>
      <c r="I152" s="2">
        <v>-7.67</v>
      </c>
    </row>
    <row r="153" spans="1:9" x14ac:dyDescent="0.35">
      <c r="A153" s="1">
        <v>45912</v>
      </c>
      <c r="B153" s="1">
        <v>45916</v>
      </c>
      <c r="C153" t="s">
        <v>45</v>
      </c>
      <c r="D153" t="s">
        <v>135</v>
      </c>
      <c r="E153" s="3">
        <v>4.6559999999999997</v>
      </c>
      <c r="F153" t="s">
        <v>13</v>
      </c>
      <c r="G153" s="4">
        <v>500</v>
      </c>
      <c r="H153" s="2">
        <v>-2328</v>
      </c>
      <c r="I153" s="2">
        <v>-5</v>
      </c>
    </row>
    <row r="154" spans="1:9" x14ac:dyDescent="0.35">
      <c r="A154" s="1">
        <v>45912</v>
      </c>
      <c r="B154" s="1">
        <v>45912</v>
      </c>
      <c r="D154" t="s">
        <v>136</v>
      </c>
      <c r="H154" s="2">
        <v>400000</v>
      </c>
    </row>
    <row r="155" spans="1:9" x14ac:dyDescent="0.35">
      <c r="A155" s="1">
        <v>45912</v>
      </c>
      <c r="B155" s="1">
        <v>45916</v>
      </c>
      <c r="D155" t="s">
        <v>137</v>
      </c>
      <c r="H155" s="2">
        <v>-2.33</v>
      </c>
    </row>
    <row r="156" spans="1:9" x14ac:dyDescent="0.35">
      <c r="A156" s="1">
        <v>45915</v>
      </c>
      <c r="B156" s="1">
        <v>45917</v>
      </c>
      <c r="C156" t="s">
        <v>16</v>
      </c>
      <c r="D156" t="s">
        <v>138</v>
      </c>
      <c r="E156" s="3">
        <v>32.700000000000003</v>
      </c>
      <c r="F156" t="s">
        <v>13</v>
      </c>
      <c r="G156" s="4">
        <v>30</v>
      </c>
      <c r="H156" s="2">
        <v>-981</v>
      </c>
    </row>
    <row r="157" spans="1:9" x14ac:dyDescent="0.35">
      <c r="A157" s="1">
        <v>45915</v>
      </c>
      <c r="B157" s="1">
        <v>45917</v>
      </c>
      <c r="C157" t="s">
        <v>29</v>
      </c>
      <c r="D157" t="s">
        <v>139</v>
      </c>
      <c r="E157" s="3">
        <v>205.8</v>
      </c>
      <c r="F157" t="s">
        <v>13</v>
      </c>
      <c r="G157" s="4">
        <v>12</v>
      </c>
      <c r="H157" s="2">
        <v>-2469.6</v>
      </c>
    </row>
    <row r="158" spans="1:9" x14ac:dyDescent="0.35">
      <c r="A158" s="1">
        <v>45915</v>
      </c>
      <c r="B158" s="1">
        <v>45917</v>
      </c>
      <c r="C158" t="s">
        <v>59</v>
      </c>
      <c r="D158" t="s">
        <v>140</v>
      </c>
      <c r="E158" s="3">
        <v>309.85000000000002</v>
      </c>
      <c r="F158" t="s">
        <v>13</v>
      </c>
      <c r="G158" s="4">
        <v>1</v>
      </c>
      <c r="H158" s="2">
        <v>-309.85000000000002</v>
      </c>
    </row>
    <row r="159" spans="1:9" x14ac:dyDescent="0.35">
      <c r="A159" s="1">
        <v>45915</v>
      </c>
      <c r="B159" s="1">
        <v>45917</v>
      </c>
      <c r="C159" t="s">
        <v>61</v>
      </c>
      <c r="D159" t="s">
        <v>141</v>
      </c>
      <c r="E159" s="3">
        <v>32.965000000000003</v>
      </c>
      <c r="F159" t="s">
        <v>13</v>
      </c>
      <c r="G159" s="4">
        <v>15</v>
      </c>
      <c r="H159" s="2">
        <v>-494.48</v>
      </c>
    </row>
    <row r="160" spans="1:9" x14ac:dyDescent="0.35">
      <c r="A160" s="1">
        <v>45916</v>
      </c>
      <c r="B160" s="1">
        <v>45917</v>
      </c>
      <c r="C160" t="s">
        <v>126</v>
      </c>
      <c r="D160" t="s">
        <v>142</v>
      </c>
      <c r="E160" s="3">
        <v>304.16000000000003</v>
      </c>
      <c r="F160" t="s">
        <v>128</v>
      </c>
      <c r="G160" s="4">
        <v>10</v>
      </c>
      <c r="H160" s="2">
        <v>-2564.37</v>
      </c>
      <c r="I160" s="2">
        <v>-7.59</v>
      </c>
    </row>
    <row r="161" spans="1:9" x14ac:dyDescent="0.35">
      <c r="A161" s="1">
        <v>45917</v>
      </c>
      <c r="B161" s="1">
        <v>45919</v>
      </c>
      <c r="C161" t="s">
        <v>111</v>
      </c>
      <c r="D161" t="s">
        <v>143</v>
      </c>
      <c r="E161" s="3">
        <v>8.36</v>
      </c>
      <c r="F161" t="s">
        <v>13</v>
      </c>
      <c r="G161" s="4">
        <v>1000</v>
      </c>
      <c r="H161" s="2">
        <v>-8360</v>
      </c>
      <c r="I161" s="2">
        <v>-5</v>
      </c>
    </row>
    <row r="162" spans="1:9" x14ac:dyDescent="0.35">
      <c r="A162" s="1">
        <v>45917</v>
      </c>
      <c r="B162" s="1">
        <v>45919</v>
      </c>
      <c r="C162" t="s">
        <v>144</v>
      </c>
      <c r="D162" t="s">
        <v>145</v>
      </c>
      <c r="E162" s="3">
        <v>3.34</v>
      </c>
      <c r="F162" t="s">
        <v>13</v>
      </c>
      <c r="G162" s="4">
        <v>293</v>
      </c>
      <c r="H162" s="2">
        <v>-978.62</v>
      </c>
      <c r="I162" s="2">
        <v>-5</v>
      </c>
    </row>
    <row r="163" spans="1:9" x14ac:dyDescent="0.35">
      <c r="A163" s="1">
        <v>45917</v>
      </c>
      <c r="B163" s="1">
        <v>45919</v>
      </c>
      <c r="C163" t="s">
        <v>144</v>
      </c>
      <c r="D163" t="s">
        <v>145</v>
      </c>
      <c r="E163" s="3">
        <v>3.34</v>
      </c>
      <c r="F163" t="s">
        <v>13</v>
      </c>
      <c r="G163" s="4">
        <v>366</v>
      </c>
      <c r="H163" s="2">
        <v>-1222.44</v>
      </c>
    </row>
    <row r="164" spans="1:9" x14ac:dyDescent="0.35">
      <c r="A164" s="1">
        <v>45917</v>
      </c>
      <c r="B164" s="1">
        <v>45919</v>
      </c>
      <c r="C164" t="s">
        <v>144</v>
      </c>
      <c r="D164" t="s">
        <v>145</v>
      </c>
      <c r="E164" s="3">
        <v>3.34</v>
      </c>
      <c r="F164" t="s">
        <v>13</v>
      </c>
      <c r="G164" s="4">
        <v>341</v>
      </c>
      <c r="H164" s="2">
        <v>-1138.94</v>
      </c>
    </row>
    <row r="165" spans="1:9" x14ac:dyDescent="0.35">
      <c r="A165" s="1">
        <v>45917</v>
      </c>
      <c r="B165" s="1">
        <v>45919</v>
      </c>
      <c r="C165" t="s">
        <v>146</v>
      </c>
      <c r="D165" t="s">
        <v>147</v>
      </c>
      <c r="E165" s="3">
        <v>23.45</v>
      </c>
      <c r="F165" t="s">
        <v>13</v>
      </c>
      <c r="G165" s="4">
        <v>78</v>
      </c>
      <c r="H165" s="2">
        <v>-1829.1</v>
      </c>
    </row>
    <row r="166" spans="1:9" x14ac:dyDescent="0.35">
      <c r="A166" s="1">
        <v>45917</v>
      </c>
      <c r="B166" s="1">
        <v>45919</v>
      </c>
      <c r="C166" t="s">
        <v>146</v>
      </c>
      <c r="D166" t="s">
        <v>147</v>
      </c>
      <c r="E166" s="3">
        <v>23.45</v>
      </c>
      <c r="F166" t="s">
        <v>13</v>
      </c>
      <c r="G166" s="4">
        <v>922</v>
      </c>
      <c r="H166" s="2">
        <v>-21620.9</v>
      </c>
    </row>
    <row r="167" spans="1:9" x14ac:dyDescent="0.35">
      <c r="A167" s="1">
        <v>45917</v>
      </c>
      <c r="B167" s="1">
        <v>45919</v>
      </c>
      <c r="D167" t="s">
        <v>148</v>
      </c>
      <c r="H167" s="2">
        <v>-8.36</v>
      </c>
    </row>
    <row r="168" spans="1:9" x14ac:dyDescent="0.35">
      <c r="A168" s="1">
        <v>45919</v>
      </c>
      <c r="B168" s="1">
        <v>45924</v>
      </c>
      <c r="C168" t="s">
        <v>41</v>
      </c>
      <c r="D168" t="s">
        <v>149</v>
      </c>
      <c r="H168" s="2">
        <v>200</v>
      </c>
    </row>
    <row r="169" spans="1:9" x14ac:dyDescent="0.35">
      <c r="A169" s="1">
        <v>45923</v>
      </c>
      <c r="B169" s="1">
        <v>45925</v>
      </c>
      <c r="C169" t="s">
        <v>16</v>
      </c>
      <c r="D169" t="s">
        <v>150</v>
      </c>
      <c r="E169" s="3">
        <v>32.104999999999997</v>
      </c>
      <c r="F169" t="s">
        <v>13</v>
      </c>
      <c r="G169" s="4">
        <v>30</v>
      </c>
      <c r="H169" s="2">
        <v>-963.15</v>
      </c>
    </row>
    <row r="170" spans="1:9" x14ac:dyDescent="0.35">
      <c r="A170" s="1">
        <v>45923</v>
      </c>
      <c r="B170" s="1">
        <v>45925</v>
      </c>
      <c r="C170" t="s">
        <v>29</v>
      </c>
      <c r="D170" t="s">
        <v>151</v>
      </c>
      <c r="E170" s="3">
        <v>203.3</v>
      </c>
      <c r="F170" t="s">
        <v>13</v>
      </c>
      <c r="G170" s="4">
        <v>12</v>
      </c>
      <c r="H170" s="2">
        <v>-2439.6</v>
      </c>
    </row>
    <row r="171" spans="1:9" x14ac:dyDescent="0.35">
      <c r="A171" s="1">
        <v>45923</v>
      </c>
      <c r="B171" s="1">
        <v>45925</v>
      </c>
      <c r="C171" t="s">
        <v>59</v>
      </c>
      <c r="D171" t="s">
        <v>152</v>
      </c>
      <c r="E171" s="3">
        <v>318.86</v>
      </c>
      <c r="F171" t="s">
        <v>13</v>
      </c>
      <c r="G171" s="4">
        <v>1</v>
      </c>
      <c r="H171" s="2">
        <v>-318.86</v>
      </c>
    </row>
    <row r="172" spans="1:9" x14ac:dyDescent="0.35">
      <c r="A172" s="1">
        <v>45923</v>
      </c>
      <c r="B172" s="1">
        <v>45925</v>
      </c>
      <c r="C172" t="s">
        <v>61</v>
      </c>
      <c r="D172" t="s">
        <v>153</v>
      </c>
      <c r="E172" s="3">
        <v>34.314999999999998</v>
      </c>
      <c r="F172" t="s">
        <v>13</v>
      </c>
      <c r="G172" s="4">
        <v>14</v>
      </c>
      <c r="H172" s="2">
        <v>-480.41</v>
      </c>
    </row>
    <row r="173" spans="1:9" x14ac:dyDescent="0.35">
      <c r="A173" s="1">
        <v>45924</v>
      </c>
      <c r="B173" s="1">
        <v>45926</v>
      </c>
      <c r="C173" t="s">
        <v>144</v>
      </c>
      <c r="D173" t="s">
        <v>154</v>
      </c>
      <c r="E173" s="3">
        <v>3.33</v>
      </c>
      <c r="F173" t="s">
        <v>13</v>
      </c>
      <c r="G173" s="4">
        <v>309</v>
      </c>
      <c r="H173" s="2">
        <v>-1028.97</v>
      </c>
      <c r="I173" s="2">
        <v>-5</v>
      </c>
    </row>
    <row r="174" spans="1:9" x14ac:dyDescent="0.35">
      <c r="A174" s="1">
        <v>45924</v>
      </c>
      <c r="B174" s="1">
        <v>45926</v>
      </c>
      <c r="C174" t="s">
        <v>144</v>
      </c>
      <c r="D174" t="s">
        <v>154</v>
      </c>
      <c r="E174" s="3">
        <v>3.33</v>
      </c>
      <c r="F174" t="s">
        <v>13</v>
      </c>
      <c r="G174" s="4">
        <v>200</v>
      </c>
      <c r="H174" s="2">
        <v>-666</v>
      </c>
    </row>
    <row r="175" spans="1:9" x14ac:dyDescent="0.35">
      <c r="A175" s="1">
        <v>45924</v>
      </c>
      <c r="B175" s="1">
        <v>45926</v>
      </c>
      <c r="C175" t="s">
        <v>144</v>
      </c>
      <c r="D175" t="s">
        <v>154</v>
      </c>
      <c r="E175" s="3">
        <v>3.335</v>
      </c>
      <c r="F175" t="s">
        <v>13</v>
      </c>
      <c r="G175" s="4">
        <v>1145</v>
      </c>
      <c r="H175" s="2">
        <v>-3818.58</v>
      </c>
    </row>
    <row r="176" spans="1:9" x14ac:dyDescent="0.35">
      <c r="A176" s="1">
        <v>45924</v>
      </c>
      <c r="B176" s="1">
        <v>45926</v>
      </c>
      <c r="C176" t="s">
        <v>144</v>
      </c>
      <c r="D176" t="s">
        <v>154</v>
      </c>
      <c r="E176" s="3">
        <v>3.34</v>
      </c>
      <c r="F176" t="s">
        <v>13</v>
      </c>
      <c r="G176" s="4">
        <v>346</v>
      </c>
      <c r="H176" s="2">
        <v>-1155.6400000000001</v>
      </c>
    </row>
    <row r="177" spans="1:9" x14ac:dyDescent="0.35">
      <c r="A177" s="1">
        <v>45929</v>
      </c>
      <c r="B177" s="1">
        <v>45931</v>
      </c>
      <c r="C177" t="s">
        <v>53</v>
      </c>
      <c r="D177" t="s">
        <v>155</v>
      </c>
      <c r="E177" s="3">
        <v>7.1555</v>
      </c>
      <c r="F177" t="s">
        <v>13</v>
      </c>
      <c r="G177" s="4">
        <v>500</v>
      </c>
      <c r="H177" s="2">
        <v>-3577.75</v>
      </c>
    </row>
    <row r="178" spans="1:9" x14ac:dyDescent="0.35">
      <c r="A178" s="1">
        <v>45929</v>
      </c>
      <c r="B178" s="1">
        <v>45931</v>
      </c>
      <c r="C178" t="s">
        <v>59</v>
      </c>
      <c r="D178" t="s">
        <v>156</v>
      </c>
      <c r="E178" s="3">
        <v>324.45999999999998</v>
      </c>
      <c r="F178" t="s">
        <v>13</v>
      </c>
      <c r="G178" s="4">
        <v>30</v>
      </c>
      <c r="H178" s="2">
        <v>-9733.7999999999993</v>
      </c>
    </row>
    <row r="179" spans="1:9" x14ac:dyDescent="0.35">
      <c r="A179" s="1">
        <v>45929</v>
      </c>
      <c r="B179" s="1">
        <v>45931</v>
      </c>
      <c r="C179" t="s">
        <v>61</v>
      </c>
      <c r="D179" t="s">
        <v>157</v>
      </c>
      <c r="E179" s="3">
        <v>36.695</v>
      </c>
      <c r="F179" t="s">
        <v>13</v>
      </c>
      <c r="G179" s="4">
        <v>200</v>
      </c>
      <c r="H179" s="2">
        <v>-7339</v>
      </c>
      <c r="I179" s="2">
        <v>-5</v>
      </c>
    </row>
    <row r="180" spans="1:9" x14ac:dyDescent="0.35">
      <c r="A180" s="1">
        <v>45929</v>
      </c>
      <c r="B180" s="1">
        <v>45931</v>
      </c>
      <c r="C180" t="s">
        <v>158</v>
      </c>
      <c r="D180" t="s">
        <v>159</v>
      </c>
      <c r="E180" s="3">
        <v>16.350000000000001</v>
      </c>
      <c r="F180" t="s">
        <v>13</v>
      </c>
      <c r="G180" s="4">
        <v>53</v>
      </c>
      <c r="H180" s="2">
        <v>-866.55</v>
      </c>
      <c r="I180" s="2">
        <v>-2.1800000000000002</v>
      </c>
    </row>
    <row r="181" spans="1:9" x14ac:dyDescent="0.35">
      <c r="A181" s="1">
        <v>45929</v>
      </c>
      <c r="B181" s="1">
        <v>45931</v>
      </c>
      <c r="C181" t="s">
        <v>158</v>
      </c>
      <c r="D181" t="s">
        <v>159</v>
      </c>
      <c r="E181" s="3">
        <v>16.350000000000001</v>
      </c>
      <c r="F181" t="s">
        <v>13</v>
      </c>
      <c r="G181" s="4">
        <v>8</v>
      </c>
      <c r="H181" s="2">
        <v>-130.80000000000001</v>
      </c>
    </row>
    <row r="182" spans="1:9" x14ac:dyDescent="0.35">
      <c r="A182" s="1">
        <v>45929</v>
      </c>
      <c r="B182" s="1">
        <v>45931</v>
      </c>
      <c r="C182" t="s">
        <v>158</v>
      </c>
      <c r="D182" t="s">
        <v>159</v>
      </c>
      <c r="E182" s="3">
        <v>16.350000000000001</v>
      </c>
      <c r="F182" t="s">
        <v>13</v>
      </c>
      <c r="G182" s="4">
        <v>254</v>
      </c>
      <c r="H182" s="2">
        <v>-4152.8999999999996</v>
      </c>
    </row>
    <row r="183" spans="1:9" x14ac:dyDescent="0.35">
      <c r="A183" s="1">
        <v>45929</v>
      </c>
      <c r="B183" s="1">
        <v>45931</v>
      </c>
      <c r="C183" t="s">
        <v>158</v>
      </c>
      <c r="D183" t="s">
        <v>159</v>
      </c>
      <c r="E183" s="3">
        <v>16.350000000000001</v>
      </c>
      <c r="F183" t="s">
        <v>13</v>
      </c>
      <c r="G183" s="4">
        <v>7</v>
      </c>
      <c r="H183" s="2">
        <v>-114.45</v>
      </c>
    </row>
    <row r="184" spans="1:9" x14ac:dyDescent="0.35">
      <c r="A184" s="1">
        <v>45929</v>
      </c>
      <c r="B184" s="1">
        <v>45931</v>
      </c>
      <c r="C184" t="s">
        <v>158</v>
      </c>
      <c r="D184" t="s">
        <v>159</v>
      </c>
      <c r="E184" s="3">
        <v>16.350000000000001</v>
      </c>
      <c r="F184" t="s">
        <v>13</v>
      </c>
      <c r="G184" s="4">
        <v>114</v>
      </c>
      <c r="H184" s="2">
        <v>-1863.9</v>
      </c>
    </row>
    <row r="185" spans="1:9" x14ac:dyDescent="0.35">
      <c r="A185" s="1">
        <v>45929</v>
      </c>
      <c r="B185" s="1">
        <v>45931</v>
      </c>
      <c r="C185" t="s">
        <v>160</v>
      </c>
      <c r="D185" t="s">
        <v>161</v>
      </c>
      <c r="E185" s="3">
        <v>5.47</v>
      </c>
      <c r="F185" t="s">
        <v>13</v>
      </c>
      <c r="G185" s="4">
        <v>985</v>
      </c>
      <c r="H185" s="2">
        <v>-5387.95</v>
      </c>
      <c r="I185" s="2">
        <v>-5</v>
      </c>
    </row>
    <row r="186" spans="1:9" x14ac:dyDescent="0.35">
      <c r="A186" s="1">
        <v>45929</v>
      </c>
      <c r="B186" s="1">
        <v>45931</v>
      </c>
      <c r="C186" t="s">
        <v>160</v>
      </c>
      <c r="D186" t="s">
        <v>161</v>
      </c>
      <c r="E186" s="3">
        <v>5.47</v>
      </c>
      <c r="F186" t="s">
        <v>13</v>
      </c>
      <c r="G186" s="4">
        <v>515</v>
      </c>
      <c r="H186" s="2">
        <v>-2817.05</v>
      </c>
    </row>
    <row r="187" spans="1:9" x14ac:dyDescent="0.35">
      <c r="A187" s="1">
        <v>45929</v>
      </c>
      <c r="B187" s="1">
        <v>45931</v>
      </c>
      <c r="C187" t="s">
        <v>162</v>
      </c>
      <c r="D187" t="s">
        <v>163</v>
      </c>
      <c r="E187" s="3">
        <v>4.3860000000000001</v>
      </c>
      <c r="F187" t="s">
        <v>13</v>
      </c>
      <c r="G187" s="4">
        <v>300</v>
      </c>
      <c r="H187" s="2">
        <v>-1315.8</v>
      </c>
      <c r="I187" s="2">
        <v>-5</v>
      </c>
    </row>
    <row r="188" spans="1:9" x14ac:dyDescent="0.35">
      <c r="A188" s="1">
        <v>45929</v>
      </c>
      <c r="B188" s="1">
        <v>45931</v>
      </c>
      <c r="C188" t="s">
        <v>162</v>
      </c>
      <c r="D188" t="s">
        <v>163</v>
      </c>
      <c r="E188" s="3">
        <v>4.3860000000000001</v>
      </c>
      <c r="F188" t="s">
        <v>13</v>
      </c>
      <c r="G188" s="4">
        <v>143</v>
      </c>
      <c r="H188" s="2">
        <v>-627.20000000000005</v>
      </c>
    </row>
    <row r="189" spans="1:9" x14ac:dyDescent="0.35">
      <c r="A189" s="1">
        <v>45929</v>
      </c>
      <c r="B189" s="1">
        <v>45931</v>
      </c>
      <c r="C189" t="s">
        <v>162</v>
      </c>
      <c r="D189" t="s">
        <v>163</v>
      </c>
      <c r="E189" s="3">
        <v>4.3860000000000001</v>
      </c>
      <c r="F189" t="s">
        <v>13</v>
      </c>
      <c r="G189" s="4">
        <v>338</v>
      </c>
      <c r="H189" s="2">
        <v>-1482.47</v>
      </c>
    </row>
    <row r="190" spans="1:9" x14ac:dyDescent="0.35">
      <c r="A190" s="1">
        <v>45929</v>
      </c>
      <c r="B190" s="1">
        <v>45931</v>
      </c>
      <c r="C190" t="s">
        <v>162</v>
      </c>
      <c r="D190" t="s">
        <v>163</v>
      </c>
      <c r="E190" s="3">
        <v>4.3879999999999999</v>
      </c>
      <c r="F190" t="s">
        <v>13</v>
      </c>
      <c r="G190" s="4">
        <v>134</v>
      </c>
      <c r="H190" s="2">
        <v>-587.99</v>
      </c>
    </row>
    <row r="191" spans="1:9" x14ac:dyDescent="0.35">
      <c r="A191" s="1">
        <v>45929</v>
      </c>
      <c r="B191" s="1">
        <v>45931</v>
      </c>
      <c r="C191" t="s">
        <v>162</v>
      </c>
      <c r="D191" t="s">
        <v>163</v>
      </c>
      <c r="E191" s="3">
        <v>4.3879999999999999</v>
      </c>
      <c r="F191" t="s">
        <v>13</v>
      </c>
      <c r="G191" s="4">
        <v>281</v>
      </c>
      <c r="H191" s="2">
        <v>-1233.03</v>
      </c>
    </row>
    <row r="192" spans="1:9" x14ac:dyDescent="0.35">
      <c r="A192" s="1">
        <v>45929</v>
      </c>
      <c r="B192" s="1">
        <v>45931</v>
      </c>
      <c r="C192" t="s">
        <v>162</v>
      </c>
      <c r="D192" t="s">
        <v>163</v>
      </c>
      <c r="E192" s="3">
        <v>4.3899999999999997</v>
      </c>
      <c r="F192" t="s">
        <v>13</v>
      </c>
      <c r="G192" s="4">
        <v>400</v>
      </c>
      <c r="H192" s="2">
        <v>-1756</v>
      </c>
    </row>
    <row r="193" spans="1:9" x14ac:dyDescent="0.35">
      <c r="A193" s="1">
        <v>45929</v>
      </c>
      <c r="B193" s="1">
        <v>45931</v>
      </c>
      <c r="C193" t="s">
        <v>162</v>
      </c>
      <c r="D193" t="s">
        <v>163</v>
      </c>
      <c r="E193" s="3">
        <v>4.3899999999999997</v>
      </c>
      <c r="F193" t="s">
        <v>13</v>
      </c>
      <c r="G193" s="4">
        <v>134</v>
      </c>
      <c r="H193" s="2">
        <v>-588.26</v>
      </c>
    </row>
    <row r="194" spans="1:9" x14ac:dyDescent="0.35">
      <c r="A194" s="1">
        <v>45929</v>
      </c>
      <c r="B194" s="1">
        <v>45931</v>
      </c>
      <c r="C194" t="s">
        <v>162</v>
      </c>
      <c r="D194" t="s">
        <v>163</v>
      </c>
      <c r="E194" s="3">
        <v>4.3920000000000003</v>
      </c>
      <c r="F194" t="s">
        <v>13</v>
      </c>
      <c r="G194" s="4">
        <v>270</v>
      </c>
      <c r="H194" s="2">
        <v>-1185.8399999999999</v>
      </c>
    </row>
    <row r="195" spans="1:9" x14ac:dyDescent="0.35">
      <c r="A195" s="1">
        <v>45929</v>
      </c>
      <c r="B195" s="1">
        <v>45931</v>
      </c>
      <c r="C195" t="s">
        <v>164</v>
      </c>
      <c r="D195" t="s">
        <v>165</v>
      </c>
      <c r="E195" s="3">
        <v>31.52</v>
      </c>
      <c r="F195" t="s">
        <v>13</v>
      </c>
      <c r="G195" s="4">
        <v>257</v>
      </c>
      <c r="H195" s="2">
        <v>-8100.64</v>
      </c>
      <c r="I195" s="2">
        <v>-5</v>
      </c>
    </row>
    <row r="196" spans="1:9" x14ac:dyDescent="0.35">
      <c r="A196" s="1">
        <v>45929</v>
      </c>
      <c r="B196" s="1">
        <v>45931</v>
      </c>
      <c r="C196" t="s">
        <v>164</v>
      </c>
      <c r="D196" t="s">
        <v>165</v>
      </c>
      <c r="E196" s="3">
        <v>31.52</v>
      </c>
      <c r="F196" t="s">
        <v>13</v>
      </c>
      <c r="G196" s="4">
        <v>100</v>
      </c>
      <c r="H196" s="2">
        <v>-3152</v>
      </c>
    </row>
    <row r="197" spans="1:9" x14ac:dyDescent="0.35">
      <c r="A197" s="1">
        <v>45929</v>
      </c>
      <c r="B197" s="1">
        <v>45931</v>
      </c>
      <c r="C197" t="s">
        <v>164</v>
      </c>
      <c r="D197" t="s">
        <v>165</v>
      </c>
      <c r="E197" s="3">
        <v>31.52</v>
      </c>
      <c r="F197" t="s">
        <v>13</v>
      </c>
      <c r="G197" s="4">
        <v>143</v>
      </c>
      <c r="H197" s="2">
        <v>-4507.3599999999997</v>
      </c>
    </row>
    <row r="198" spans="1:9" x14ac:dyDescent="0.35">
      <c r="A198" s="1">
        <v>45929</v>
      </c>
      <c r="B198" s="1">
        <v>45931</v>
      </c>
      <c r="C198" t="s">
        <v>166</v>
      </c>
      <c r="D198" t="s">
        <v>167</v>
      </c>
      <c r="E198" s="3">
        <v>91.18</v>
      </c>
      <c r="F198" t="s">
        <v>13</v>
      </c>
      <c r="G198" s="4">
        <v>124</v>
      </c>
      <c r="H198" s="2">
        <v>-11306.32</v>
      </c>
      <c r="I198" s="2">
        <v>-5</v>
      </c>
    </row>
    <row r="199" spans="1:9" x14ac:dyDescent="0.35">
      <c r="A199" s="1">
        <v>45929</v>
      </c>
      <c r="B199" s="1">
        <v>45931</v>
      </c>
      <c r="C199" t="s">
        <v>166</v>
      </c>
      <c r="D199" t="s">
        <v>167</v>
      </c>
      <c r="E199" s="3">
        <v>91.18</v>
      </c>
      <c r="F199" t="s">
        <v>13</v>
      </c>
      <c r="G199" s="4">
        <v>40</v>
      </c>
      <c r="H199" s="2">
        <v>-3647.2</v>
      </c>
    </row>
    <row r="200" spans="1:9" x14ac:dyDescent="0.35">
      <c r="A200" s="1">
        <v>45929</v>
      </c>
      <c r="B200" s="1">
        <v>45931</v>
      </c>
      <c r="C200" t="s">
        <v>166</v>
      </c>
      <c r="D200" t="s">
        <v>167</v>
      </c>
      <c r="E200" s="3">
        <v>91.2</v>
      </c>
      <c r="F200" t="s">
        <v>13</v>
      </c>
      <c r="G200" s="4">
        <v>36</v>
      </c>
      <c r="H200" s="2">
        <v>-3283.2</v>
      </c>
    </row>
    <row r="201" spans="1:9" x14ac:dyDescent="0.35">
      <c r="A201" s="1">
        <v>45929</v>
      </c>
      <c r="B201" s="1">
        <v>45931</v>
      </c>
      <c r="C201" t="s">
        <v>168</v>
      </c>
      <c r="D201" t="s">
        <v>169</v>
      </c>
      <c r="E201" s="3">
        <v>38.880000000000003</v>
      </c>
      <c r="F201" t="s">
        <v>13</v>
      </c>
      <c r="G201" s="4">
        <v>245</v>
      </c>
      <c r="H201" s="2">
        <v>-9525.6</v>
      </c>
      <c r="I201" s="2">
        <v>-5</v>
      </c>
    </row>
    <row r="202" spans="1:9" x14ac:dyDescent="0.35">
      <c r="A202" s="1">
        <v>45929</v>
      </c>
      <c r="B202" s="1">
        <v>45931</v>
      </c>
      <c r="C202" t="s">
        <v>168</v>
      </c>
      <c r="D202" t="s">
        <v>169</v>
      </c>
      <c r="E202" s="3">
        <v>38.880000000000003</v>
      </c>
      <c r="F202" t="s">
        <v>13</v>
      </c>
      <c r="G202" s="4">
        <v>1</v>
      </c>
      <c r="H202" s="2">
        <v>-38.880000000000003</v>
      </c>
    </row>
    <row r="203" spans="1:9" x14ac:dyDescent="0.35">
      <c r="A203" s="1">
        <v>45929</v>
      </c>
      <c r="B203" s="1">
        <v>45931</v>
      </c>
      <c r="C203" t="s">
        <v>168</v>
      </c>
      <c r="D203" t="s">
        <v>169</v>
      </c>
      <c r="E203" s="3">
        <v>38.880000000000003</v>
      </c>
      <c r="F203" t="s">
        <v>13</v>
      </c>
      <c r="G203" s="4">
        <v>50</v>
      </c>
      <c r="H203" s="2">
        <v>-1944</v>
      </c>
    </row>
    <row r="204" spans="1:9" x14ac:dyDescent="0.35">
      <c r="A204" s="1">
        <v>45929</v>
      </c>
      <c r="B204" s="1">
        <v>45931</v>
      </c>
      <c r="C204" t="s">
        <v>168</v>
      </c>
      <c r="D204" t="s">
        <v>169</v>
      </c>
      <c r="E204" s="3">
        <v>38.880000000000003</v>
      </c>
      <c r="F204" t="s">
        <v>13</v>
      </c>
      <c r="G204" s="4">
        <v>4</v>
      </c>
      <c r="H204" s="2">
        <v>-155.52000000000001</v>
      </c>
    </row>
    <row r="205" spans="1:9" x14ac:dyDescent="0.35">
      <c r="A205" s="1">
        <v>45929</v>
      </c>
      <c r="B205" s="1">
        <v>45931</v>
      </c>
      <c r="D205" t="s">
        <v>170</v>
      </c>
      <c r="H205" s="2">
        <v>-45.66</v>
      </c>
    </row>
    <row r="206" spans="1:9" x14ac:dyDescent="0.35">
      <c r="A206" s="1">
        <v>45931</v>
      </c>
      <c r="C206" t="s">
        <v>8</v>
      </c>
      <c r="H206" s="2">
        <v>253901.81</v>
      </c>
    </row>
    <row r="207" spans="1:9" x14ac:dyDescent="0.35">
      <c r="A207" s="1">
        <v>45931</v>
      </c>
      <c r="B207" s="1">
        <v>45933</v>
      </c>
      <c r="C207" t="s">
        <v>16</v>
      </c>
      <c r="D207" t="s">
        <v>171</v>
      </c>
      <c r="E207" s="3">
        <v>33.445</v>
      </c>
      <c r="F207" t="s">
        <v>13</v>
      </c>
      <c r="G207" s="4">
        <v>29</v>
      </c>
      <c r="H207" s="2">
        <v>-969.91</v>
      </c>
    </row>
    <row r="208" spans="1:9" x14ac:dyDescent="0.35">
      <c r="A208" s="1">
        <v>45931</v>
      </c>
      <c r="B208" s="1">
        <v>45933</v>
      </c>
      <c r="C208" t="s">
        <v>29</v>
      </c>
      <c r="D208" t="s">
        <v>172</v>
      </c>
      <c r="E208" s="3">
        <v>206.4</v>
      </c>
      <c r="F208" t="s">
        <v>13</v>
      </c>
      <c r="G208" s="4">
        <v>12</v>
      </c>
      <c r="H208" s="2">
        <v>-2476.8000000000002</v>
      </c>
    </row>
    <row r="209" spans="1:9" x14ac:dyDescent="0.35">
      <c r="A209" s="1">
        <v>45931</v>
      </c>
      <c r="B209" s="1">
        <v>45933</v>
      </c>
      <c r="C209" t="s">
        <v>59</v>
      </c>
      <c r="D209" t="s">
        <v>173</v>
      </c>
      <c r="E209" s="3">
        <v>327.5</v>
      </c>
      <c r="F209" t="s">
        <v>13</v>
      </c>
      <c r="G209" s="4">
        <v>3</v>
      </c>
      <c r="H209" s="2">
        <v>-982.5</v>
      </c>
    </row>
    <row r="210" spans="1:9" x14ac:dyDescent="0.35">
      <c r="A210" s="1">
        <v>45931</v>
      </c>
      <c r="B210" s="1">
        <v>45933</v>
      </c>
      <c r="C210" t="s">
        <v>61</v>
      </c>
      <c r="D210" t="s">
        <v>174</v>
      </c>
      <c r="E210" s="3">
        <v>36.844999999999999</v>
      </c>
      <c r="F210" t="s">
        <v>13</v>
      </c>
      <c r="G210" s="4">
        <v>13</v>
      </c>
      <c r="H210" s="2">
        <v>-478.99</v>
      </c>
    </row>
    <row r="211" spans="1:9" x14ac:dyDescent="0.35">
      <c r="A211" s="1">
        <v>45932</v>
      </c>
      <c r="B211" s="1">
        <v>45936</v>
      </c>
      <c r="C211" t="s">
        <v>175</v>
      </c>
      <c r="D211" t="s">
        <v>176</v>
      </c>
      <c r="E211" s="3">
        <v>99.974000000000004</v>
      </c>
      <c r="F211" t="s">
        <v>13</v>
      </c>
      <c r="G211" s="4">
        <v>50000</v>
      </c>
      <c r="H211" s="2">
        <v>-49987</v>
      </c>
      <c r="I211" s="2">
        <v>-5</v>
      </c>
    </row>
    <row r="212" spans="1:9" x14ac:dyDescent="0.35">
      <c r="A212" s="1">
        <v>45932</v>
      </c>
      <c r="B212" s="1">
        <v>45936</v>
      </c>
      <c r="C212" t="s">
        <v>177</v>
      </c>
      <c r="D212" t="s">
        <v>178</v>
      </c>
      <c r="E212" s="3">
        <v>99.72</v>
      </c>
      <c r="F212" t="s">
        <v>13</v>
      </c>
      <c r="G212" s="4">
        <v>50000</v>
      </c>
      <c r="H212" s="2">
        <v>-49860</v>
      </c>
      <c r="I212" s="2">
        <v>-5</v>
      </c>
    </row>
    <row r="213" spans="1:9" x14ac:dyDescent="0.35">
      <c r="A213" s="1">
        <v>45932</v>
      </c>
      <c r="B213" s="1">
        <v>45936</v>
      </c>
      <c r="C213" t="s">
        <v>24</v>
      </c>
      <c r="D213" t="s">
        <v>179</v>
      </c>
      <c r="E213" s="3">
        <v>99.673000000000002</v>
      </c>
      <c r="F213" t="s">
        <v>13</v>
      </c>
      <c r="G213" s="4">
        <v>39000</v>
      </c>
      <c r="H213" s="2">
        <v>-38872.47</v>
      </c>
      <c r="I213" s="2">
        <v>-5</v>
      </c>
    </row>
    <row r="214" spans="1:9" x14ac:dyDescent="0.35">
      <c r="A214" s="1">
        <v>45932</v>
      </c>
      <c r="B214" s="1">
        <v>45936</v>
      </c>
      <c r="C214" t="s">
        <v>24</v>
      </c>
      <c r="D214" t="s">
        <v>179</v>
      </c>
      <c r="E214" s="3">
        <v>99.674000000000007</v>
      </c>
      <c r="F214" t="s">
        <v>13</v>
      </c>
      <c r="G214" s="4">
        <v>11000</v>
      </c>
      <c r="H214" s="2">
        <v>-10964.14</v>
      </c>
    </row>
    <row r="215" spans="1:9" x14ac:dyDescent="0.35">
      <c r="A215" s="1">
        <v>45932</v>
      </c>
      <c r="B215" s="1">
        <v>45936</v>
      </c>
      <c r="C215" t="s">
        <v>48</v>
      </c>
      <c r="D215" t="s">
        <v>180</v>
      </c>
      <c r="E215" s="3">
        <v>99.477000000000004</v>
      </c>
      <c r="F215" t="s">
        <v>13</v>
      </c>
      <c r="G215" s="4">
        <v>5000</v>
      </c>
      <c r="H215" s="2">
        <v>-4973.8500000000004</v>
      </c>
      <c r="I215" s="2">
        <v>-5</v>
      </c>
    </row>
    <row r="216" spans="1:9" x14ac:dyDescent="0.35">
      <c r="A216" s="1">
        <v>45932</v>
      </c>
      <c r="B216" s="1">
        <v>45936</v>
      </c>
      <c r="C216" t="s">
        <v>48</v>
      </c>
      <c r="D216" t="s">
        <v>180</v>
      </c>
      <c r="E216" s="3">
        <v>99.477000000000004</v>
      </c>
      <c r="F216" t="s">
        <v>13</v>
      </c>
      <c r="G216" s="4">
        <v>45000</v>
      </c>
      <c r="H216" s="2">
        <v>-44764.65</v>
      </c>
    </row>
    <row r="217" spans="1:9" x14ac:dyDescent="0.35">
      <c r="A217" s="1">
        <v>45932</v>
      </c>
      <c r="B217" s="1">
        <v>45936</v>
      </c>
      <c r="C217" t="s">
        <v>181</v>
      </c>
      <c r="D217" t="s">
        <v>182</v>
      </c>
      <c r="E217" s="3">
        <v>100.35899999999999</v>
      </c>
      <c r="F217" t="s">
        <v>13</v>
      </c>
      <c r="G217" s="4">
        <v>40000</v>
      </c>
      <c r="H217" s="2">
        <v>-40143.599999999999</v>
      </c>
      <c r="I217" s="2">
        <v>-5</v>
      </c>
    </row>
    <row r="218" spans="1:9" x14ac:dyDescent="0.35">
      <c r="A218" s="1">
        <v>45932</v>
      </c>
      <c r="B218" s="1">
        <v>45936</v>
      </c>
      <c r="C218" t="s">
        <v>181</v>
      </c>
      <c r="D218" t="s">
        <v>183</v>
      </c>
      <c r="H218" s="2">
        <v>-243.48</v>
      </c>
    </row>
    <row r="219" spans="1:9" x14ac:dyDescent="0.35">
      <c r="A219" s="1">
        <v>45932</v>
      </c>
      <c r="B219" s="1">
        <v>45933</v>
      </c>
      <c r="C219" t="s">
        <v>126</v>
      </c>
      <c r="D219" t="s">
        <v>184</v>
      </c>
      <c r="E219" s="3">
        <v>290.7</v>
      </c>
      <c r="F219" t="s">
        <v>128</v>
      </c>
      <c r="G219" s="4">
        <v>20</v>
      </c>
      <c r="H219" s="2">
        <v>-4961.6000000000004</v>
      </c>
      <c r="I219" s="2">
        <v>-7.68</v>
      </c>
    </row>
    <row r="220" spans="1:9" x14ac:dyDescent="0.35">
      <c r="A220" s="1">
        <v>45933</v>
      </c>
      <c r="B220" s="1">
        <v>45933</v>
      </c>
      <c r="D220" t="s">
        <v>185</v>
      </c>
      <c r="H220" s="2">
        <v>400000</v>
      </c>
    </row>
    <row r="221" spans="1:9" x14ac:dyDescent="0.35">
      <c r="A221" s="1">
        <v>45938</v>
      </c>
      <c r="B221" s="1">
        <v>45940</v>
      </c>
      <c r="C221" t="s">
        <v>16</v>
      </c>
      <c r="D221" t="s">
        <v>186</v>
      </c>
      <c r="E221" s="3">
        <v>33.770000000000003</v>
      </c>
      <c r="F221" t="s">
        <v>13</v>
      </c>
      <c r="G221" s="4">
        <v>29</v>
      </c>
      <c r="H221" s="2">
        <v>-979.33</v>
      </c>
    </row>
    <row r="222" spans="1:9" x14ac:dyDescent="0.35">
      <c r="A222" s="1">
        <v>45938</v>
      </c>
      <c r="B222" s="1">
        <v>45940</v>
      </c>
      <c r="C222" t="s">
        <v>29</v>
      </c>
      <c r="D222" t="s">
        <v>187</v>
      </c>
      <c r="E222" s="3">
        <v>208.4</v>
      </c>
      <c r="F222" t="s">
        <v>13</v>
      </c>
      <c r="G222" s="4">
        <v>11</v>
      </c>
      <c r="H222" s="2">
        <v>-2292.4</v>
      </c>
    </row>
    <row r="223" spans="1:9" x14ac:dyDescent="0.35">
      <c r="A223" s="1">
        <v>45938</v>
      </c>
      <c r="B223" s="1">
        <v>45940</v>
      </c>
      <c r="C223" t="s">
        <v>59</v>
      </c>
      <c r="D223" t="s">
        <v>188</v>
      </c>
      <c r="E223" s="3">
        <v>346.19</v>
      </c>
      <c r="F223" t="s">
        <v>13</v>
      </c>
      <c r="G223" s="4">
        <v>2</v>
      </c>
      <c r="H223" s="2">
        <v>-692.38</v>
      </c>
    </row>
    <row r="224" spans="1:9" x14ac:dyDescent="0.35">
      <c r="A224" s="1">
        <v>45938</v>
      </c>
      <c r="B224" s="1">
        <v>45940</v>
      </c>
      <c r="C224" t="s">
        <v>61</v>
      </c>
      <c r="D224" t="s">
        <v>189</v>
      </c>
      <c r="E224" s="3">
        <v>38.82</v>
      </c>
      <c r="F224" t="s">
        <v>13</v>
      </c>
      <c r="G224" s="4">
        <v>12</v>
      </c>
      <c r="H224" s="2">
        <v>-465.84</v>
      </c>
    </row>
    <row r="225" spans="1:9" x14ac:dyDescent="0.35">
      <c r="A225" s="1">
        <v>45939</v>
      </c>
      <c r="B225" s="1">
        <v>45943</v>
      </c>
      <c r="C225" t="s">
        <v>33</v>
      </c>
      <c r="D225" t="s">
        <v>190</v>
      </c>
      <c r="E225" s="3">
        <v>360.4</v>
      </c>
      <c r="F225" t="s">
        <v>13</v>
      </c>
      <c r="G225" s="4">
        <v>6</v>
      </c>
      <c r="H225" s="2">
        <v>-2162.4</v>
      </c>
      <c r="I225" s="2">
        <v>-5</v>
      </c>
    </row>
    <row r="226" spans="1:9" x14ac:dyDescent="0.35">
      <c r="A226" s="1">
        <v>45939</v>
      </c>
      <c r="B226" s="1">
        <v>45943</v>
      </c>
      <c r="C226" t="s">
        <v>33</v>
      </c>
      <c r="D226" t="s">
        <v>190</v>
      </c>
      <c r="E226" s="3">
        <v>360.4</v>
      </c>
      <c r="F226" t="s">
        <v>13</v>
      </c>
      <c r="G226" s="4">
        <v>25</v>
      </c>
      <c r="H226" s="2">
        <v>-9010</v>
      </c>
    </row>
    <row r="227" spans="1:9" x14ac:dyDescent="0.35">
      <c r="A227" s="1">
        <v>45939</v>
      </c>
      <c r="B227" s="1">
        <v>45943</v>
      </c>
      <c r="C227" t="s">
        <v>33</v>
      </c>
      <c r="D227" t="s">
        <v>190</v>
      </c>
      <c r="E227" s="3">
        <v>360.4</v>
      </c>
      <c r="F227" t="s">
        <v>13</v>
      </c>
      <c r="G227" s="4">
        <v>13</v>
      </c>
      <c r="H227" s="2">
        <v>-4685.2</v>
      </c>
    </row>
    <row r="228" spans="1:9" x14ac:dyDescent="0.35">
      <c r="A228" s="1">
        <v>45939</v>
      </c>
      <c r="B228" s="1">
        <v>45943</v>
      </c>
      <c r="C228" t="s">
        <v>33</v>
      </c>
      <c r="D228" t="s">
        <v>190</v>
      </c>
      <c r="E228" s="3">
        <v>360.4</v>
      </c>
      <c r="F228" t="s">
        <v>13</v>
      </c>
      <c r="G228" s="4">
        <v>38</v>
      </c>
      <c r="H228" s="2">
        <v>-13695.2</v>
      </c>
    </row>
    <row r="229" spans="1:9" x14ac:dyDescent="0.35">
      <c r="A229" s="1">
        <v>45939</v>
      </c>
      <c r="B229" s="1">
        <v>45943</v>
      </c>
      <c r="C229" t="s">
        <v>33</v>
      </c>
      <c r="D229" t="s">
        <v>190</v>
      </c>
      <c r="E229" s="3">
        <v>360.5</v>
      </c>
      <c r="F229" t="s">
        <v>13</v>
      </c>
      <c r="G229" s="4">
        <v>18</v>
      </c>
      <c r="H229" s="2">
        <v>-6489</v>
      </c>
    </row>
    <row r="230" spans="1:9" x14ac:dyDescent="0.35">
      <c r="A230" s="1">
        <v>45939</v>
      </c>
      <c r="B230" s="1">
        <v>45944</v>
      </c>
      <c r="C230" t="s">
        <v>175</v>
      </c>
      <c r="D230" t="s">
        <v>191</v>
      </c>
      <c r="H230" s="2">
        <v>50000</v>
      </c>
    </row>
    <row r="231" spans="1:9" x14ac:dyDescent="0.35">
      <c r="A231" s="1">
        <v>45940</v>
      </c>
      <c r="B231" s="1">
        <v>45930</v>
      </c>
      <c r="D231" t="s">
        <v>192</v>
      </c>
      <c r="H231" s="2">
        <v>-272.2</v>
      </c>
    </row>
    <row r="232" spans="1:9" x14ac:dyDescent="0.35">
      <c r="A232" s="1">
        <v>45944</v>
      </c>
      <c r="B232" s="1">
        <v>45947</v>
      </c>
      <c r="C232" t="s">
        <v>21</v>
      </c>
      <c r="D232" t="s">
        <v>193</v>
      </c>
      <c r="H232" s="2">
        <v>525</v>
      </c>
    </row>
    <row r="233" spans="1:9" x14ac:dyDescent="0.35">
      <c r="A233" s="1">
        <v>45945</v>
      </c>
      <c r="B233" s="1">
        <v>45947</v>
      </c>
      <c r="C233" t="s">
        <v>158</v>
      </c>
      <c r="D233" t="s">
        <v>194</v>
      </c>
      <c r="E233" s="3">
        <v>15.7</v>
      </c>
      <c r="F233" t="s">
        <v>13</v>
      </c>
      <c r="G233" s="4">
        <v>232</v>
      </c>
      <c r="H233" s="2">
        <v>-3642.4</v>
      </c>
      <c r="I233" s="2">
        <v>-5</v>
      </c>
    </row>
    <row r="234" spans="1:9" x14ac:dyDescent="0.35">
      <c r="A234" s="1">
        <v>45945</v>
      </c>
      <c r="B234" s="1">
        <v>45947</v>
      </c>
      <c r="C234" t="s">
        <v>158</v>
      </c>
      <c r="D234" t="s">
        <v>194</v>
      </c>
      <c r="E234" s="3">
        <v>15.7</v>
      </c>
      <c r="F234" t="s">
        <v>13</v>
      </c>
      <c r="G234" s="4">
        <v>112</v>
      </c>
      <c r="H234" s="2">
        <v>-1758.4</v>
      </c>
    </row>
    <row r="235" spans="1:9" x14ac:dyDescent="0.35">
      <c r="A235" s="1">
        <v>45945</v>
      </c>
      <c r="B235" s="1">
        <v>45947</v>
      </c>
      <c r="C235" t="s">
        <v>158</v>
      </c>
      <c r="D235" t="s">
        <v>194</v>
      </c>
      <c r="E235" s="3">
        <v>15.7</v>
      </c>
      <c r="F235" t="s">
        <v>13</v>
      </c>
      <c r="G235" s="4">
        <v>156</v>
      </c>
      <c r="H235" s="2">
        <v>-2449.1999999999998</v>
      </c>
    </row>
    <row r="236" spans="1:9" x14ac:dyDescent="0.35">
      <c r="A236" s="1">
        <v>45945</v>
      </c>
      <c r="B236" s="1">
        <v>45947</v>
      </c>
      <c r="C236" t="s">
        <v>31</v>
      </c>
      <c r="D236" t="s">
        <v>195</v>
      </c>
      <c r="E236" s="3">
        <v>75.900000000000006</v>
      </c>
      <c r="F236" t="s">
        <v>13</v>
      </c>
      <c r="G236" s="4">
        <v>66</v>
      </c>
      <c r="H236" s="2">
        <v>-5009.3999999999996</v>
      </c>
      <c r="I236" s="2">
        <v>-9.5</v>
      </c>
    </row>
    <row r="237" spans="1:9" x14ac:dyDescent="0.35">
      <c r="A237" s="1">
        <v>45945</v>
      </c>
      <c r="B237" s="1">
        <v>45947</v>
      </c>
      <c r="C237" t="s">
        <v>31</v>
      </c>
      <c r="D237" t="s">
        <v>195</v>
      </c>
      <c r="E237" s="3">
        <v>75.900000000000006</v>
      </c>
      <c r="F237" t="s">
        <v>13</v>
      </c>
      <c r="G237" s="4">
        <v>2</v>
      </c>
      <c r="H237" s="2">
        <v>-151.80000000000001</v>
      </c>
    </row>
    <row r="238" spans="1:9" x14ac:dyDescent="0.35">
      <c r="A238" s="1">
        <v>45945</v>
      </c>
      <c r="B238" s="1">
        <v>45947</v>
      </c>
      <c r="C238" t="s">
        <v>31</v>
      </c>
      <c r="D238" t="s">
        <v>195</v>
      </c>
      <c r="E238" s="3">
        <v>75.900000000000006</v>
      </c>
      <c r="F238" t="s">
        <v>13</v>
      </c>
      <c r="G238" s="4">
        <v>27</v>
      </c>
      <c r="H238" s="2">
        <v>-2049.3000000000002</v>
      </c>
    </row>
    <row r="239" spans="1:9" x14ac:dyDescent="0.35">
      <c r="A239" s="1">
        <v>45945</v>
      </c>
      <c r="B239" s="1">
        <v>45947</v>
      </c>
      <c r="C239" t="s">
        <v>31</v>
      </c>
      <c r="D239" t="s">
        <v>195</v>
      </c>
      <c r="E239" s="3">
        <v>75.900000000000006</v>
      </c>
      <c r="F239" t="s">
        <v>13</v>
      </c>
      <c r="G239" s="4">
        <v>46</v>
      </c>
      <c r="H239" s="2">
        <v>-3491.4</v>
      </c>
    </row>
    <row r="240" spans="1:9" x14ac:dyDescent="0.35">
      <c r="A240" s="1">
        <v>45945</v>
      </c>
      <c r="B240" s="1">
        <v>45947</v>
      </c>
      <c r="C240" t="s">
        <v>31</v>
      </c>
      <c r="D240" t="s">
        <v>195</v>
      </c>
      <c r="E240" s="3">
        <v>75.95</v>
      </c>
      <c r="F240" t="s">
        <v>13</v>
      </c>
      <c r="G240" s="4">
        <v>59</v>
      </c>
      <c r="H240" s="2">
        <v>-4481.05</v>
      </c>
    </row>
    <row r="241" spans="1:9" x14ac:dyDescent="0.35">
      <c r="A241" s="1">
        <v>45945</v>
      </c>
      <c r="B241" s="1">
        <v>45947</v>
      </c>
      <c r="C241" t="s">
        <v>162</v>
      </c>
      <c r="D241" t="s">
        <v>196</v>
      </c>
      <c r="E241" s="3">
        <v>4.1879999999999997</v>
      </c>
      <c r="F241" t="s">
        <v>13</v>
      </c>
      <c r="G241" s="4">
        <v>338</v>
      </c>
      <c r="H241" s="2">
        <v>-1415.54</v>
      </c>
      <c r="I241" s="2">
        <v>-5</v>
      </c>
    </row>
    <row r="242" spans="1:9" x14ac:dyDescent="0.35">
      <c r="A242" s="1">
        <v>45945</v>
      </c>
      <c r="B242" s="1">
        <v>45947</v>
      </c>
      <c r="C242" t="s">
        <v>162</v>
      </c>
      <c r="D242" t="s">
        <v>196</v>
      </c>
      <c r="E242" s="3">
        <v>4.1879999999999997</v>
      </c>
      <c r="F242" t="s">
        <v>13</v>
      </c>
      <c r="G242" s="4">
        <v>465</v>
      </c>
      <c r="H242" s="2">
        <v>-1947.42</v>
      </c>
    </row>
    <row r="243" spans="1:9" x14ac:dyDescent="0.35">
      <c r="A243" s="1">
        <v>45945</v>
      </c>
      <c r="B243" s="1">
        <v>45947</v>
      </c>
      <c r="C243" t="s">
        <v>162</v>
      </c>
      <c r="D243" t="s">
        <v>196</v>
      </c>
      <c r="E243" s="3">
        <v>4.1900000000000004</v>
      </c>
      <c r="F243" t="s">
        <v>13</v>
      </c>
      <c r="G243" s="4">
        <v>197</v>
      </c>
      <c r="H243" s="2">
        <v>-825.43</v>
      </c>
    </row>
    <row r="244" spans="1:9" x14ac:dyDescent="0.35">
      <c r="A244" s="1">
        <v>45945</v>
      </c>
      <c r="B244" s="1">
        <v>45947</v>
      </c>
      <c r="C244" t="s">
        <v>45</v>
      </c>
      <c r="D244" t="s">
        <v>197</v>
      </c>
      <c r="E244" s="3">
        <v>4.6749999999999998</v>
      </c>
      <c r="F244" t="s">
        <v>13</v>
      </c>
      <c r="G244" s="4">
        <v>1000</v>
      </c>
      <c r="H244" s="2">
        <v>-4675</v>
      </c>
      <c r="I244" s="2">
        <v>-5</v>
      </c>
    </row>
    <row r="245" spans="1:9" x14ac:dyDescent="0.35">
      <c r="A245" s="1">
        <v>45945</v>
      </c>
      <c r="B245" s="1">
        <v>45947</v>
      </c>
      <c r="C245" t="s">
        <v>43</v>
      </c>
      <c r="D245" t="s">
        <v>198</v>
      </c>
      <c r="E245" s="3">
        <v>5.99</v>
      </c>
      <c r="F245" t="s">
        <v>13</v>
      </c>
      <c r="G245" s="4">
        <v>355</v>
      </c>
      <c r="H245" s="2">
        <v>-2126.4499999999998</v>
      </c>
      <c r="I245" s="2">
        <v>-5</v>
      </c>
    </row>
    <row r="246" spans="1:9" x14ac:dyDescent="0.35">
      <c r="A246" s="1">
        <v>45945</v>
      </c>
      <c r="B246" s="1">
        <v>45947</v>
      </c>
      <c r="C246" t="s">
        <v>43</v>
      </c>
      <c r="D246" t="s">
        <v>198</v>
      </c>
      <c r="E246" s="3">
        <v>5.99</v>
      </c>
      <c r="F246" t="s">
        <v>13</v>
      </c>
      <c r="G246" s="4">
        <v>645</v>
      </c>
      <c r="H246" s="2">
        <v>-3863.55</v>
      </c>
    </row>
    <row r="247" spans="1:9" x14ac:dyDescent="0.35">
      <c r="A247" s="1">
        <v>45945</v>
      </c>
      <c r="B247" s="1">
        <v>45947</v>
      </c>
      <c r="C247" t="s">
        <v>16</v>
      </c>
      <c r="D247" t="s">
        <v>199</v>
      </c>
      <c r="E247" s="3">
        <v>31.39</v>
      </c>
      <c r="F247" t="s">
        <v>13</v>
      </c>
      <c r="G247" s="4">
        <v>31</v>
      </c>
      <c r="H247" s="2">
        <v>-973.09</v>
      </c>
    </row>
    <row r="248" spans="1:9" x14ac:dyDescent="0.35">
      <c r="A248" s="1">
        <v>45945</v>
      </c>
      <c r="B248" s="1">
        <v>45947</v>
      </c>
      <c r="D248" t="s">
        <v>200</v>
      </c>
      <c r="H248" s="2">
        <v>-10.67</v>
      </c>
    </row>
    <row r="249" spans="1:9" x14ac:dyDescent="0.35">
      <c r="A249" s="1">
        <v>45946</v>
      </c>
      <c r="B249" s="1">
        <v>45950</v>
      </c>
      <c r="C249" t="s">
        <v>29</v>
      </c>
      <c r="D249" t="s">
        <v>201</v>
      </c>
      <c r="E249" s="3">
        <v>203</v>
      </c>
      <c r="F249" t="s">
        <v>13</v>
      </c>
      <c r="G249" s="4">
        <v>12</v>
      </c>
      <c r="H249" s="2">
        <v>-2436</v>
      </c>
    </row>
    <row r="250" spans="1:9" x14ac:dyDescent="0.35">
      <c r="A250" s="1">
        <v>45946</v>
      </c>
      <c r="B250" s="1">
        <v>45950</v>
      </c>
      <c r="C250" t="s">
        <v>59</v>
      </c>
      <c r="D250" t="s">
        <v>202</v>
      </c>
      <c r="E250" s="3">
        <v>363.8</v>
      </c>
      <c r="F250" t="s">
        <v>13</v>
      </c>
      <c r="G250" s="4">
        <v>2</v>
      </c>
      <c r="H250" s="2">
        <v>-727.6</v>
      </c>
    </row>
    <row r="251" spans="1:9" x14ac:dyDescent="0.35">
      <c r="A251" s="1">
        <v>45946</v>
      </c>
      <c r="B251" s="1">
        <v>45950</v>
      </c>
      <c r="C251" t="s">
        <v>61</v>
      </c>
      <c r="D251" t="s">
        <v>203</v>
      </c>
      <c r="E251" s="3">
        <v>42.204999999999998</v>
      </c>
      <c r="F251" t="s">
        <v>13</v>
      </c>
      <c r="G251" s="4">
        <v>11</v>
      </c>
      <c r="H251" s="2">
        <v>-464.26</v>
      </c>
    </row>
    <row r="252" spans="1:9" x14ac:dyDescent="0.35">
      <c r="A252" s="1">
        <v>45953</v>
      </c>
      <c r="B252" s="1">
        <v>45957</v>
      </c>
      <c r="C252" t="s">
        <v>11</v>
      </c>
      <c r="D252" t="s">
        <v>204</v>
      </c>
      <c r="E252" s="3">
        <v>34.200000000000003</v>
      </c>
      <c r="F252" t="s">
        <v>13</v>
      </c>
      <c r="G252" s="4">
        <v>14</v>
      </c>
      <c r="H252" s="2">
        <v>-478.8</v>
      </c>
      <c r="I252" s="2">
        <v>-5</v>
      </c>
    </row>
    <row r="253" spans="1:9" x14ac:dyDescent="0.35">
      <c r="A253" s="1">
        <v>45953</v>
      </c>
      <c r="B253" s="1">
        <v>45957</v>
      </c>
      <c r="C253" t="s">
        <v>11</v>
      </c>
      <c r="D253" t="s">
        <v>204</v>
      </c>
      <c r="E253" s="3">
        <v>34.200000000000003</v>
      </c>
      <c r="F253" t="s">
        <v>13</v>
      </c>
      <c r="G253" s="4">
        <v>29</v>
      </c>
      <c r="H253" s="2">
        <v>-991.8</v>
      </c>
    </row>
    <row r="254" spans="1:9" x14ac:dyDescent="0.35">
      <c r="A254" s="1">
        <v>45953</v>
      </c>
      <c r="B254" s="1">
        <v>45957</v>
      </c>
      <c r="C254" t="s">
        <v>11</v>
      </c>
      <c r="D254" t="s">
        <v>204</v>
      </c>
      <c r="E254" s="3">
        <v>34.200000000000003</v>
      </c>
      <c r="F254" t="s">
        <v>13</v>
      </c>
      <c r="G254" s="4">
        <v>16</v>
      </c>
      <c r="H254" s="2">
        <v>-547.20000000000005</v>
      </c>
    </row>
    <row r="255" spans="1:9" x14ac:dyDescent="0.35">
      <c r="A255" s="1">
        <v>45953</v>
      </c>
      <c r="B255" s="1">
        <v>45957</v>
      </c>
      <c r="C255" t="s">
        <v>11</v>
      </c>
      <c r="D255" t="s">
        <v>204</v>
      </c>
      <c r="E255" s="3">
        <v>34.200000000000003</v>
      </c>
      <c r="F255" t="s">
        <v>13</v>
      </c>
      <c r="G255" s="4">
        <v>3</v>
      </c>
      <c r="H255" s="2">
        <v>-102.6</v>
      </c>
    </row>
    <row r="256" spans="1:9" x14ac:dyDescent="0.35">
      <c r="A256" s="1">
        <v>45953</v>
      </c>
      <c r="B256" s="1">
        <v>45957</v>
      </c>
      <c r="C256" t="s">
        <v>11</v>
      </c>
      <c r="D256" t="s">
        <v>204</v>
      </c>
      <c r="E256" s="3">
        <v>34.200000000000003</v>
      </c>
      <c r="F256" t="s">
        <v>13</v>
      </c>
      <c r="G256" s="4">
        <v>30</v>
      </c>
      <c r="H256" s="2">
        <v>-1026</v>
      </c>
    </row>
    <row r="257" spans="1:9" x14ac:dyDescent="0.35">
      <c r="A257" s="1">
        <v>45953</v>
      </c>
      <c r="B257" s="1">
        <v>45957</v>
      </c>
      <c r="C257" t="s">
        <v>11</v>
      </c>
      <c r="D257" t="s">
        <v>204</v>
      </c>
      <c r="E257" s="3">
        <v>34.200000000000003</v>
      </c>
      <c r="F257" t="s">
        <v>13</v>
      </c>
      <c r="G257" s="4">
        <v>8</v>
      </c>
      <c r="H257" s="2">
        <v>-273.60000000000002</v>
      </c>
    </row>
    <row r="258" spans="1:9" x14ac:dyDescent="0.35">
      <c r="A258" s="1">
        <v>45953</v>
      </c>
      <c r="B258" s="1">
        <v>45957</v>
      </c>
      <c r="C258" t="s">
        <v>61</v>
      </c>
      <c r="D258" t="s">
        <v>205</v>
      </c>
      <c r="E258" s="3">
        <v>38.695</v>
      </c>
      <c r="F258" t="s">
        <v>13</v>
      </c>
      <c r="G258" s="4">
        <v>-2</v>
      </c>
      <c r="H258" s="2">
        <v>77.39</v>
      </c>
      <c r="I258" s="2">
        <v>-5</v>
      </c>
    </row>
    <row r="259" spans="1:9" x14ac:dyDescent="0.35">
      <c r="A259" s="1">
        <v>45953</v>
      </c>
      <c r="B259" s="1">
        <v>45957</v>
      </c>
      <c r="C259" t="s">
        <v>61</v>
      </c>
      <c r="D259" t="s">
        <v>205</v>
      </c>
      <c r="E259" s="3">
        <v>38.695</v>
      </c>
      <c r="F259" t="s">
        <v>13</v>
      </c>
      <c r="G259" s="4">
        <v>-20</v>
      </c>
      <c r="H259" s="2">
        <v>773.9</v>
      </c>
    </row>
    <row r="260" spans="1:9" x14ac:dyDescent="0.35">
      <c r="A260" s="1">
        <v>45953</v>
      </c>
      <c r="B260" s="1">
        <v>45957</v>
      </c>
      <c r="C260" t="s">
        <v>61</v>
      </c>
      <c r="D260" t="s">
        <v>205</v>
      </c>
      <c r="E260" s="3">
        <v>38.695</v>
      </c>
      <c r="F260" t="s">
        <v>13</v>
      </c>
      <c r="G260" s="4">
        <v>-55</v>
      </c>
      <c r="H260" s="2">
        <v>2128.23</v>
      </c>
    </row>
    <row r="261" spans="1:9" x14ac:dyDescent="0.35">
      <c r="A261" s="1">
        <v>45953</v>
      </c>
      <c r="B261" s="1">
        <v>45957</v>
      </c>
      <c r="C261" t="s">
        <v>61</v>
      </c>
      <c r="D261" t="s">
        <v>205</v>
      </c>
      <c r="E261" s="3">
        <v>38.695</v>
      </c>
      <c r="F261" t="s">
        <v>13</v>
      </c>
      <c r="G261" s="4">
        <v>-70</v>
      </c>
      <c r="H261" s="2">
        <v>2708.65</v>
      </c>
    </row>
    <row r="262" spans="1:9" x14ac:dyDescent="0.35">
      <c r="A262" s="1">
        <v>45953</v>
      </c>
      <c r="B262" s="1">
        <v>45957</v>
      </c>
      <c r="C262" t="s">
        <v>61</v>
      </c>
      <c r="D262" t="s">
        <v>205</v>
      </c>
      <c r="E262" s="3">
        <v>38.695</v>
      </c>
      <c r="F262" t="s">
        <v>13</v>
      </c>
      <c r="G262" s="4">
        <v>-78</v>
      </c>
      <c r="H262" s="2">
        <v>3018.21</v>
      </c>
    </row>
    <row r="263" spans="1:9" x14ac:dyDescent="0.35">
      <c r="A263" s="1">
        <v>45953</v>
      </c>
      <c r="B263" s="1">
        <v>45957</v>
      </c>
      <c r="C263" t="s">
        <v>61</v>
      </c>
      <c r="D263" t="s">
        <v>205</v>
      </c>
      <c r="E263" s="3">
        <v>38.695</v>
      </c>
      <c r="F263" t="s">
        <v>13</v>
      </c>
      <c r="G263" s="4">
        <v>-55</v>
      </c>
      <c r="H263" s="2">
        <v>2128.23</v>
      </c>
    </row>
    <row r="264" spans="1:9" x14ac:dyDescent="0.35">
      <c r="A264" s="1">
        <v>45953</v>
      </c>
      <c r="B264" s="1">
        <v>45957</v>
      </c>
      <c r="C264" t="s">
        <v>61</v>
      </c>
      <c r="D264" t="s">
        <v>205</v>
      </c>
      <c r="E264" s="3">
        <v>38.695</v>
      </c>
      <c r="F264" t="s">
        <v>13</v>
      </c>
      <c r="G264" s="4">
        <v>-7</v>
      </c>
      <c r="H264" s="2">
        <v>270.87</v>
      </c>
    </row>
    <row r="265" spans="1:9" x14ac:dyDescent="0.35">
      <c r="A265" s="1">
        <v>45953</v>
      </c>
      <c r="B265" s="1">
        <v>45957</v>
      </c>
      <c r="C265" t="s">
        <v>61</v>
      </c>
      <c r="D265" t="s">
        <v>205</v>
      </c>
      <c r="E265" s="3">
        <v>38.695</v>
      </c>
      <c r="F265" t="s">
        <v>13</v>
      </c>
      <c r="G265" s="4">
        <v>-99</v>
      </c>
      <c r="H265" s="2">
        <v>3830.81</v>
      </c>
    </row>
    <row r="266" spans="1:9" x14ac:dyDescent="0.35">
      <c r="A266" s="1">
        <v>45953</v>
      </c>
      <c r="B266" s="1">
        <v>45957</v>
      </c>
      <c r="C266" t="s">
        <v>59</v>
      </c>
      <c r="D266" t="s">
        <v>206</v>
      </c>
      <c r="E266" s="3">
        <v>352.97</v>
      </c>
      <c r="F266" t="s">
        <v>13</v>
      </c>
      <c r="G266" s="4">
        <v>-10</v>
      </c>
      <c r="H266" s="2">
        <v>3529.7</v>
      </c>
      <c r="I266" s="2">
        <v>-5</v>
      </c>
    </row>
    <row r="267" spans="1:9" x14ac:dyDescent="0.35">
      <c r="A267" s="1">
        <v>45953</v>
      </c>
      <c r="B267" s="1">
        <v>45957</v>
      </c>
      <c r="C267" t="s">
        <v>59</v>
      </c>
      <c r="D267" t="s">
        <v>206</v>
      </c>
      <c r="E267" s="3">
        <v>352.97</v>
      </c>
      <c r="F267" t="s">
        <v>13</v>
      </c>
      <c r="G267" s="4">
        <v>-46</v>
      </c>
      <c r="H267" s="2">
        <v>16236.62</v>
      </c>
    </row>
    <row r="268" spans="1:9" x14ac:dyDescent="0.35">
      <c r="A268" s="1">
        <v>45953</v>
      </c>
      <c r="B268" s="1">
        <v>45957</v>
      </c>
      <c r="C268" t="s">
        <v>16</v>
      </c>
      <c r="D268" t="s">
        <v>207</v>
      </c>
      <c r="E268" s="3">
        <v>31.94</v>
      </c>
      <c r="F268" t="s">
        <v>13</v>
      </c>
      <c r="G268" s="4">
        <v>31</v>
      </c>
      <c r="H268" s="2">
        <v>-990.14</v>
      </c>
    </row>
    <row r="269" spans="1:9" x14ac:dyDescent="0.35">
      <c r="A269" s="1">
        <v>45953</v>
      </c>
      <c r="B269" s="1">
        <v>45957</v>
      </c>
      <c r="C269" t="s">
        <v>29</v>
      </c>
      <c r="D269" t="s">
        <v>208</v>
      </c>
      <c r="E269" s="3">
        <v>203</v>
      </c>
      <c r="F269" t="s">
        <v>13</v>
      </c>
      <c r="G269" s="4">
        <v>12</v>
      </c>
      <c r="H269" s="2">
        <v>-2436</v>
      </c>
    </row>
    <row r="270" spans="1:9" x14ac:dyDescent="0.35">
      <c r="A270" s="1">
        <v>45953</v>
      </c>
      <c r="B270" s="1">
        <v>45957</v>
      </c>
      <c r="C270" t="s">
        <v>59</v>
      </c>
      <c r="D270" t="s">
        <v>209</v>
      </c>
      <c r="E270" s="3">
        <v>355.06</v>
      </c>
      <c r="F270" t="s">
        <v>13</v>
      </c>
      <c r="G270" s="4">
        <v>2</v>
      </c>
      <c r="H270" s="2">
        <v>-710.12</v>
      </c>
    </row>
    <row r="271" spans="1:9" x14ac:dyDescent="0.35">
      <c r="A271" s="1">
        <v>45953</v>
      </c>
      <c r="B271" s="1">
        <v>45957</v>
      </c>
      <c r="D271" t="s">
        <v>210</v>
      </c>
      <c r="H271" s="2">
        <v>-3.42</v>
      </c>
    </row>
    <row r="272" spans="1:9" x14ac:dyDescent="0.35">
      <c r="A272" s="1">
        <v>45954</v>
      </c>
      <c r="B272" s="1">
        <v>45954</v>
      </c>
      <c r="C272" t="s">
        <v>126</v>
      </c>
      <c r="D272" t="s">
        <v>211</v>
      </c>
      <c r="H272" s="2">
        <v>20.12</v>
      </c>
    </row>
    <row r="273" spans="1:9" x14ac:dyDescent="0.35">
      <c r="A273" s="1">
        <v>45962</v>
      </c>
      <c r="C273" t="s">
        <v>8</v>
      </c>
      <c r="H273" s="2">
        <v>398586.78</v>
      </c>
    </row>
    <row r="274" spans="1:9" x14ac:dyDescent="0.35">
      <c r="A274" s="1">
        <v>45964</v>
      </c>
      <c r="B274" s="1">
        <v>45966</v>
      </c>
      <c r="C274" t="s">
        <v>16</v>
      </c>
      <c r="D274" t="s">
        <v>212</v>
      </c>
      <c r="E274" s="3">
        <v>31.934999999999999</v>
      </c>
      <c r="F274" t="s">
        <v>13</v>
      </c>
      <c r="G274" s="4">
        <v>31</v>
      </c>
      <c r="H274" s="2">
        <v>-989.99</v>
      </c>
    </row>
    <row r="275" spans="1:9" x14ac:dyDescent="0.35">
      <c r="A275" s="1">
        <v>45964</v>
      </c>
      <c r="B275" s="1">
        <v>45966</v>
      </c>
      <c r="C275" t="s">
        <v>29</v>
      </c>
      <c r="D275" t="s">
        <v>213</v>
      </c>
      <c r="E275" s="3">
        <v>207</v>
      </c>
      <c r="F275" t="s">
        <v>13</v>
      </c>
      <c r="G275" s="4">
        <v>12</v>
      </c>
      <c r="H275" s="2">
        <v>-2484</v>
      </c>
    </row>
    <row r="276" spans="1:9" x14ac:dyDescent="0.35">
      <c r="A276" s="1">
        <v>45968</v>
      </c>
      <c r="B276" s="1">
        <v>45967</v>
      </c>
      <c r="C276" t="s">
        <v>39</v>
      </c>
      <c r="D276" t="s">
        <v>214</v>
      </c>
      <c r="H276" s="2">
        <v>40.799999999999997</v>
      </c>
    </row>
    <row r="277" spans="1:9" x14ac:dyDescent="0.35">
      <c r="A277" s="1">
        <v>45971</v>
      </c>
      <c r="B277" s="1">
        <v>45973</v>
      </c>
      <c r="C277" t="s">
        <v>16</v>
      </c>
      <c r="D277" t="s">
        <v>215</v>
      </c>
      <c r="E277" s="3">
        <v>31.355</v>
      </c>
      <c r="F277" t="s">
        <v>13</v>
      </c>
      <c r="G277" s="4">
        <v>31</v>
      </c>
      <c r="H277" s="2">
        <v>-972.01</v>
      </c>
    </row>
    <row r="278" spans="1:9" x14ac:dyDescent="0.35">
      <c r="A278" s="1">
        <v>45971</v>
      </c>
      <c r="B278" s="1">
        <v>45973</v>
      </c>
      <c r="C278" t="s">
        <v>29</v>
      </c>
      <c r="D278" t="s">
        <v>216</v>
      </c>
      <c r="E278" s="3">
        <v>210.15</v>
      </c>
      <c r="F278" t="s">
        <v>13</v>
      </c>
      <c r="G278" s="4">
        <v>11</v>
      </c>
      <c r="H278" s="2">
        <v>-2311.65</v>
      </c>
    </row>
    <row r="279" spans="1:9" x14ac:dyDescent="0.35">
      <c r="A279" s="1">
        <v>45978</v>
      </c>
      <c r="B279" s="1">
        <v>45980</v>
      </c>
      <c r="C279" t="s">
        <v>16</v>
      </c>
      <c r="D279" t="s">
        <v>217</v>
      </c>
      <c r="E279" s="3">
        <v>30.905000000000001</v>
      </c>
      <c r="F279" t="s">
        <v>13</v>
      </c>
      <c r="G279" s="4">
        <v>32</v>
      </c>
      <c r="H279" s="2">
        <v>-988.96</v>
      </c>
    </row>
    <row r="280" spans="1:9" x14ac:dyDescent="0.35">
      <c r="A280" s="1">
        <v>45978</v>
      </c>
      <c r="B280" s="1">
        <v>45980</v>
      </c>
      <c r="C280" t="s">
        <v>29</v>
      </c>
      <c r="D280" t="s">
        <v>218</v>
      </c>
      <c r="E280" s="3">
        <v>209.65</v>
      </c>
      <c r="F280" t="s">
        <v>13</v>
      </c>
      <c r="G280" s="4">
        <v>11</v>
      </c>
      <c r="H280" s="2">
        <v>-2306.15</v>
      </c>
    </row>
    <row r="281" spans="1:9" x14ac:dyDescent="0.35">
      <c r="A281" s="1">
        <v>45981</v>
      </c>
      <c r="B281" s="1">
        <v>45981</v>
      </c>
      <c r="C281" t="s">
        <v>162</v>
      </c>
      <c r="D281" t="s">
        <v>219</v>
      </c>
      <c r="H281" s="2">
        <v>296.38</v>
      </c>
    </row>
    <row r="282" spans="1:9" x14ac:dyDescent="0.35">
      <c r="A282" s="1">
        <v>45985</v>
      </c>
      <c r="B282" s="1">
        <v>45987</v>
      </c>
      <c r="C282" t="s">
        <v>16</v>
      </c>
      <c r="D282" t="s">
        <v>220</v>
      </c>
      <c r="E282" s="3">
        <v>27.9</v>
      </c>
      <c r="F282" t="s">
        <v>13</v>
      </c>
      <c r="G282" s="4">
        <v>35</v>
      </c>
      <c r="H282" s="2">
        <v>-976.5</v>
      </c>
    </row>
    <row r="283" spans="1:9" x14ac:dyDescent="0.35">
      <c r="A283" s="1">
        <v>45985</v>
      </c>
      <c r="B283" s="1">
        <v>45987</v>
      </c>
      <c r="C283" t="s">
        <v>29</v>
      </c>
      <c r="D283" t="s">
        <v>221</v>
      </c>
      <c r="E283" s="3">
        <v>204.85</v>
      </c>
      <c r="F283" t="s">
        <v>13</v>
      </c>
      <c r="G283" s="4">
        <v>12</v>
      </c>
      <c r="H283" s="2">
        <v>-2458.1999999999998</v>
      </c>
    </row>
    <row r="284" spans="1:9" x14ac:dyDescent="0.35">
      <c r="A284" s="1">
        <v>45986</v>
      </c>
      <c r="B284" s="1">
        <v>45989</v>
      </c>
      <c r="C284" t="s">
        <v>177</v>
      </c>
      <c r="D284" t="s">
        <v>222</v>
      </c>
      <c r="H284" s="2">
        <v>50000</v>
      </c>
    </row>
    <row r="285" spans="1:9" x14ac:dyDescent="0.35">
      <c r="A285" s="1">
        <v>45992</v>
      </c>
      <c r="C285" t="s">
        <v>8</v>
      </c>
      <c r="H285" s="2">
        <v>435436.5</v>
      </c>
    </row>
    <row r="286" spans="1:9" x14ac:dyDescent="0.35">
      <c r="A286" s="1">
        <v>45992</v>
      </c>
      <c r="B286" s="1">
        <v>45994</v>
      </c>
      <c r="C286" t="s">
        <v>16</v>
      </c>
      <c r="D286" t="s">
        <v>223</v>
      </c>
      <c r="E286" s="3">
        <v>27.785</v>
      </c>
      <c r="F286" t="s">
        <v>13</v>
      </c>
      <c r="G286" s="4">
        <v>35</v>
      </c>
      <c r="H286" s="2">
        <v>-972.48</v>
      </c>
    </row>
    <row r="287" spans="1:9" x14ac:dyDescent="0.35">
      <c r="A287" s="1">
        <v>45992</v>
      </c>
      <c r="B287" s="1">
        <v>45994</v>
      </c>
      <c r="C287" t="s">
        <v>29</v>
      </c>
      <c r="D287" t="s">
        <v>224</v>
      </c>
      <c r="E287" s="3">
        <v>209.35</v>
      </c>
      <c r="F287" t="s">
        <v>13</v>
      </c>
      <c r="G287" s="4">
        <v>11</v>
      </c>
      <c r="H287" s="2">
        <v>-2302.85</v>
      </c>
    </row>
    <row r="288" spans="1:9" x14ac:dyDescent="0.35">
      <c r="A288" s="1">
        <v>45995</v>
      </c>
      <c r="B288" s="1">
        <v>45999</v>
      </c>
      <c r="C288" t="s">
        <v>225</v>
      </c>
      <c r="D288" t="s">
        <v>226</v>
      </c>
      <c r="E288" s="3">
        <v>5.609</v>
      </c>
      <c r="F288" t="s">
        <v>13</v>
      </c>
      <c r="G288" s="4">
        <v>60</v>
      </c>
      <c r="H288" s="2">
        <v>-336.54</v>
      </c>
      <c r="I288" s="2">
        <v>-5</v>
      </c>
    </row>
    <row r="289" spans="1:9" x14ac:dyDescent="0.35">
      <c r="A289" s="1">
        <v>45995</v>
      </c>
      <c r="B289" s="1">
        <v>45999</v>
      </c>
      <c r="C289" t="s">
        <v>225</v>
      </c>
      <c r="D289" t="s">
        <v>226</v>
      </c>
      <c r="E289" s="3">
        <v>5.609</v>
      </c>
      <c r="F289" t="s">
        <v>13</v>
      </c>
      <c r="G289" s="4">
        <v>100</v>
      </c>
      <c r="H289" s="2">
        <v>-560.9</v>
      </c>
    </row>
    <row r="290" spans="1:9" x14ac:dyDescent="0.35">
      <c r="A290" s="1">
        <v>45995</v>
      </c>
      <c r="B290" s="1">
        <v>45999</v>
      </c>
      <c r="C290" t="s">
        <v>225</v>
      </c>
      <c r="D290" t="s">
        <v>226</v>
      </c>
      <c r="E290" s="3">
        <v>5.609</v>
      </c>
      <c r="F290" t="s">
        <v>13</v>
      </c>
      <c r="G290" s="4">
        <v>1416</v>
      </c>
      <c r="H290" s="2">
        <v>-7942.34</v>
      </c>
    </row>
    <row r="291" spans="1:9" x14ac:dyDescent="0.35">
      <c r="A291" s="1">
        <v>45995</v>
      </c>
      <c r="B291" s="1">
        <v>45999</v>
      </c>
      <c r="C291" t="s">
        <v>225</v>
      </c>
      <c r="D291" t="s">
        <v>226</v>
      </c>
      <c r="E291" s="3">
        <v>5.609</v>
      </c>
      <c r="F291" t="s">
        <v>13</v>
      </c>
      <c r="G291" s="4">
        <v>69</v>
      </c>
      <c r="H291" s="2">
        <v>-387.02</v>
      </c>
    </row>
    <row r="292" spans="1:9" x14ac:dyDescent="0.35">
      <c r="A292" s="1">
        <v>45995</v>
      </c>
      <c r="B292" s="1">
        <v>45999</v>
      </c>
      <c r="C292" t="s">
        <v>225</v>
      </c>
      <c r="D292" t="s">
        <v>226</v>
      </c>
      <c r="E292" s="3">
        <v>5.609</v>
      </c>
      <c r="F292" t="s">
        <v>13</v>
      </c>
      <c r="G292" s="4">
        <v>1650</v>
      </c>
      <c r="H292" s="2">
        <v>-9254.85</v>
      </c>
    </row>
    <row r="293" spans="1:9" x14ac:dyDescent="0.35">
      <c r="A293" s="1">
        <v>45995</v>
      </c>
      <c r="B293" s="1">
        <v>45999</v>
      </c>
      <c r="C293" t="s">
        <v>225</v>
      </c>
      <c r="D293" t="s">
        <v>226</v>
      </c>
      <c r="E293" s="3">
        <v>5.609</v>
      </c>
      <c r="F293" t="s">
        <v>13</v>
      </c>
      <c r="G293" s="4">
        <v>3640</v>
      </c>
      <c r="H293" s="2">
        <v>-20416.759999999998</v>
      </c>
    </row>
    <row r="294" spans="1:9" x14ac:dyDescent="0.35">
      <c r="A294" s="1">
        <v>45995</v>
      </c>
      <c r="B294" s="1">
        <v>45999</v>
      </c>
      <c r="C294" t="s">
        <v>225</v>
      </c>
      <c r="D294" t="s">
        <v>226</v>
      </c>
      <c r="E294" s="3">
        <v>5.609</v>
      </c>
      <c r="F294" t="s">
        <v>13</v>
      </c>
      <c r="G294" s="4">
        <v>28</v>
      </c>
      <c r="H294" s="2">
        <v>-157.05000000000001</v>
      </c>
    </row>
    <row r="295" spans="1:9" x14ac:dyDescent="0.35">
      <c r="A295" s="1">
        <v>45995</v>
      </c>
      <c r="B295" s="1">
        <v>45999</v>
      </c>
      <c r="C295" t="s">
        <v>225</v>
      </c>
      <c r="D295" t="s">
        <v>226</v>
      </c>
      <c r="E295" s="3">
        <v>5.609</v>
      </c>
      <c r="F295" t="s">
        <v>13</v>
      </c>
      <c r="G295" s="4">
        <v>957</v>
      </c>
      <c r="H295" s="2">
        <v>-5367.81</v>
      </c>
    </row>
    <row r="296" spans="1:9" x14ac:dyDescent="0.35">
      <c r="A296" s="1">
        <v>45995</v>
      </c>
      <c r="B296" s="1">
        <v>45999</v>
      </c>
      <c r="C296" t="s">
        <v>225</v>
      </c>
      <c r="D296" t="s">
        <v>226</v>
      </c>
      <c r="E296" s="3">
        <v>5.609</v>
      </c>
      <c r="F296" t="s">
        <v>13</v>
      </c>
      <c r="G296" s="4">
        <v>172</v>
      </c>
      <c r="H296" s="2">
        <v>-964.75</v>
      </c>
    </row>
    <row r="297" spans="1:9" x14ac:dyDescent="0.35">
      <c r="A297" s="1">
        <v>45995</v>
      </c>
      <c r="B297" s="1">
        <v>45999</v>
      </c>
      <c r="C297" t="s">
        <v>225</v>
      </c>
      <c r="D297" t="s">
        <v>226</v>
      </c>
      <c r="E297" s="3">
        <v>5.609</v>
      </c>
      <c r="F297" t="s">
        <v>13</v>
      </c>
      <c r="G297" s="4">
        <v>82</v>
      </c>
      <c r="H297" s="2">
        <v>-459.94</v>
      </c>
    </row>
    <row r="298" spans="1:9" x14ac:dyDescent="0.35">
      <c r="A298" s="1">
        <v>45995</v>
      </c>
      <c r="B298" s="1">
        <v>45999</v>
      </c>
      <c r="C298" t="s">
        <v>225</v>
      </c>
      <c r="D298" t="s">
        <v>226</v>
      </c>
      <c r="E298" s="3">
        <v>5.609</v>
      </c>
      <c r="F298" t="s">
        <v>13</v>
      </c>
      <c r="G298" s="4">
        <v>1826</v>
      </c>
      <c r="H298" s="2">
        <v>-10242.030000000001</v>
      </c>
    </row>
    <row r="299" spans="1:9" x14ac:dyDescent="0.35">
      <c r="A299" s="1">
        <v>45995</v>
      </c>
      <c r="B299" s="1">
        <v>45999</v>
      </c>
      <c r="C299" t="s">
        <v>227</v>
      </c>
      <c r="D299" t="s">
        <v>228</v>
      </c>
      <c r="E299" s="3">
        <v>16.875</v>
      </c>
      <c r="F299" t="s">
        <v>13</v>
      </c>
      <c r="G299" s="4">
        <v>250</v>
      </c>
      <c r="H299" s="2">
        <v>-4218.75</v>
      </c>
      <c r="I299" s="2">
        <v>-5</v>
      </c>
    </row>
    <row r="300" spans="1:9" x14ac:dyDescent="0.35">
      <c r="A300" s="1">
        <v>45995</v>
      </c>
      <c r="B300" s="1">
        <v>45999</v>
      </c>
      <c r="C300" t="s">
        <v>227</v>
      </c>
      <c r="D300" t="s">
        <v>228</v>
      </c>
      <c r="E300" s="3">
        <v>16.875</v>
      </c>
      <c r="F300" t="s">
        <v>13</v>
      </c>
      <c r="G300" s="4">
        <v>400</v>
      </c>
      <c r="H300" s="2">
        <v>-6750</v>
      </c>
    </row>
    <row r="301" spans="1:9" x14ac:dyDescent="0.35">
      <c r="A301" s="1">
        <v>45995</v>
      </c>
      <c r="B301" s="1">
        <v>45999</v>
      </c>
      <c r="C301" t="s">
        <v>227</v>
      </c>
      <c r="D301" t="s">
        <v>228</v>
      </c>
      <c r="E301" s="3">
        <v>16.875</v>
      </c>
      <c r="F301" t="s">
        <v>13</v>
      </c>
      <c r="G301" s="4">
        <v>102</v>
      </c>
      <c r="H301" s="2">
        <v>-1721.25</v>
      </c>
    </row>
    <row r="302" spans="1:9" x14ac:dyDescent="0.35">
      <c r="A302" s="1">
        <v>45995</v>
      </c>
      <c r="B302" s="1">
        <v>45999</v>
      </c>
      <c r="C302" t="s">
        <v>227</v>
      </c>
      <c r="D302" t="s">
        <v>228</v>
      </c>
      <c r="E302" s="3">
        <v>16.875</v>
      </c>
      <c r="F302" t="s">
        <v>13</v>
      </c>
      <c r="G302" s="4">
        <v>117</v>
      </c>
      <c r="H302" s="2">
        <v>-1974.38</v>
      </c>
    </row>
    <row r="303" spans="1:9" x14ac:dyDescent="0.35">
      <c r="A303" s="1">
        <v>45995</v>
      </c>
      <c r="B303" s="1">
        <v>45999</v>
      </c>
      <c r="C303" t="s">
        <v>227</v>
      </c>
      <c r="D303" t="s">
        <v>228</v>
      </c>
      <c r="E303" s="3">
        <v>16.875</v>
      </c>
      <c r="F303" t="s">
        <v>13</v>
      </c>
      <c r="G303" s="4">
        <v>131</v>
      </c>
      <c r="H303" s="2">
        <v>-2210.63</v>
      </c>
    </row>
    <row r="304" spans="1:9" x14ac:dyDescent="0.35">
      <c r="A304" s="1">
        <v>45995</v>
      </c>
      <c r="B304" s="1">
        <v>45999</v>
      </c>
      <c r="C304" t="s">
        <v>229</v>
      </c>
      <c r="D304" t="s">
        <v>230</v>
      </c>
      <c r="E304" s="3">
        <v>8.843</v>
      </c>
      <c r="F304" t="s">
        <v>13</v>
      </c>
      <c r="G304" s="4">
        <v>350</v>
      </c>
      <c r="H304" s="2">
        <v>-3095.05</v>
      </c>
      <c r="I304" s="2">
        <v>-5</v>
      </c>
    </row>
    <row r="305" spans="1:9" x14ac:dyDescent="0.35">
      <c r="A305" s="1">
        <v>45995</v>
      </c>
      <c r="B305" s="1">
        <v>45999</v>
      </c>
      <c r="C305" t="s">
        <v>229</v>
      </c>
      <c r="D305" t="s">
        <v>230</v>
      </c>
      <c r="E305" s="3">
        <v>8.843</v>
      </c>
      <c r="F305" t="s">
        <v>13</v>
      </c>
      <c r="G305" s="4">
        <v>81</v>
      </c>
      <c r="H305" s="2">
        <v>-716.28</v>
      </c>
    </row>
    <row r="306" spans="1:9" x14ac:dyDescent="0.35">
      <c r="A306" s="1">
        <v>45995</v>
      </c>
      <c r="B306" s="1">
        <v>45999</v>
      </c>
      <c r="C306" t="s">
        <v>229</v>
      </c>
      <c r="D306" t="s">
        <v>230</v>
      </c>
      <c r="E306" s="3">
        <v>8.843</v>
      </c>
      <c r="F306" t="s">
        <v>13</v>
      </c>
      <c r="G306" s="4">
        <v>569</v>
      </c>
      <c r="H306" s="2">
        <v>-5031.67</v>
      </c>
    </row>
    <row r="307" spans="1:9" x14ac:dyDescent="0.35">
      <c r="A307" s="1">
        <v>45995</v>
      </c>
      <c r="B307" s="1">
        <v>45999</v>
      </c>
      <c r="C307" t="s">
        <v>231</v>
      </c>
      <c r="D307" t="s">
        <v>232</v>
      </c>
      <c r="E307" s="3">
        <v>5.8209999999999997</v>
      </c>
      <c r="F307" t="s">
        <v>13</v>
      </c>
      <c r="G307" s="4">
        <v>1000</v>
      </c>
      <c r="H307" s="2">
        <v>-5821</v>
      </c>
    </row>
    <row r="308" spans="1:9" x14ac:dyDescent="0.35">
      <c r="A308" s="1">
        <v>45995</v>
      </c>
      <c r="B308" s="1">
        <v>45999</v>
      </c>
      <c r="C308" t="s">
        <v>26</v>
      </c>
      <c r="D308" t="s">
        <v>233</v>
      </c>
      <c r="E308" s="3">
        <v>92.9</v>
      </c>
      <c r="F308" t="s">
        <v>13</v>
      </c>
      <c r="G308" s="4">
        <v>100</v>
      </c>
      <c r="H308" s="2">
        <v>-9290</v>
      </c>
    </row>
    <row r="309" spans="1:9" x14ac:dyDescent="0.35">
      <c r="A309" s="1">
        <v>45995</v>
      </c>
      <c r="B309" s="1">
        <v>45999</v>
      </c>
      <c r="C309" t="s">
        <v>234</v>
      </c>
      <c r="D309" t="s">
        <v>235</v>
      </c>
      <c r="E309" s="3">
        <v>36.06</v>
      </c>
      <c r="F309" t="s">
        <v>13</v>
      </c>
      <c r="G309" s="4">
        <v>56</v>
      </c>
      <c r="H309" s="2">
        <v>-2019.36</v>
      </c>
      <c r="I309" s="2">
        <v>-5</v>
      </c>
    </row>
    <row r="310" spans="1:9" x14ac:dyDescent="0.35">
      <c r="A310" s="1">
        <v>45995</v>
      </c>
      <c r="B310" s="1">
        <v>45999</v>
      </c>
      <c r="C310" t="s">
        <v>234</v>
      </c>
      <c r="D310" t="s">
        <v>235</v>
      </c>
      <c r="E310" s="3">
        <v>36.06</v>
      </c>
      <c r="F310" t="s">
        <v>13</v>
      </c>
      <c r="G310" s="4">
        <v>212</v>
      </c>
      <c r="H310" s="2">
        <v>-7644.72</v>
      </c>
    </row>
    <row r="311" spans="1:9" x14ac:dyDescent="0.35">
      <c r="A311" s="1">
        <v>45995</v>
      </c>
      <c r="B311" s="1">
        <v>45999</v>
      </c>
      <c r="C311" t="s">
        <v>234</v>
      </c>
      <c r="D311" t="s">
        <v>235</v>
      </c>
      <c r="E311" s="3">
        <v>36.06</v>
      </c>
      <c r="F311" t="s">
        <v>13</v>
      </c>
      <c r="G311" s="4">
        <v>47</v>
      </c>
      <c r="H311" s="2">
        <v>-1694.82</v>
      </c>
    </row>
    <row r="312" spans="1:9" x14ac:dyDescent="0.35">
      <c r="A312" s="1">
        <v>45995</v>
      </c>
      <c r="B312" s="1">
        <v>45999</v>
      </c>
      <c r="C312" t="s">
        <v>234</v>
      </c>
      <c r="D312" t="s">
        <v>235</v>
      </c>
      <c r="E312" s="3">
        <v>36.06</v>
      </c>
      <c r="F312" t="s">
        <v>13</v>
      </c>
      <c r="G312" s="4">
        <v>84</v>
      </c>
      <c r="H312" s="2">
        <v>-3029.04</v>
      </c>
    </row>
    <row r="313" spans="1:9" x14ac:dyDescent="0.35">
      <c r="A313" s="1">
        <v>45995</v>
      </c>
      <c r="B313" s="1">
        <v>45999</v>
      </c>
      <c r="C313" t="s">
        <v>234</v>
      </c>
      <c r="D313" t="s">
        <v>235</v>
      </c>
      <c r="E313" s="3">
        <v>36.06</v>
      </c>
      <c r="F313" t="s">
        <v>13</v>
      </c>
      <c r="G313" s="4">
        <v>57</v>
      </c>
      <c r="H313" s="2">
        <v>-2055.42</v>
      </c>
    </row>
    <row r="314" spans="1:9" x14ac:dyDescent="0.35">
      <c r="A314" s="1">
        <v>45995</v>
      </c>
      <c r="B314" s="1">
        <v>45999</v>
      </c>
      <c r="C314" t="s">
        <v>234</v>
      </c>
      <c r="D314" t="s">
        <v>235</v>
      </c>
      <c r="E314" s="3">
        <v>36.06</v>
      </c>
      <c r="F314" t="s">
        <v>13</v>
      </c>
      <c r="G314" s="4">
        <v>130</v>
      </c>
      <c r="H314" s="2">
        <v>-4687.8</v>
      </c>
    </row>
    <row r="315" spans="1:9" x14ac:dyDescent="0.35">
      <c r="A315" s="1">
        <v>45995</v>
      </c>
      <c r="B315" s="1">
        <v>45999</v>
      </c>
      <c r="C315" t="s">
        <v>234</v>
      </c>
      <c r="D315" t="s">
        <v>235</v>
      </c>
      <c r="E315" s="3">
        <v>36.06</v>
      </c>
      <c r="F315" t="s">
        <v>13</v>
      </c>
      <c r="G315" s="4">
        <v>25</v>
      </c>
      <c r="H315" s="2">
        <v>-901.5</v>
      </c>
    </row>
    <row r="316" spans="1:9" x14ac:dyDescent="0.35">
      <c r="A316" s="1">
        <v>45995</v>
      </c>
      <c r="B316" s="1">
        <v>45999</v>
      </c>
      <c r="C316" t="s">
        <v>234</v>
      </c>
      <c r="D316" t="s">
        <v>235</v>
      </c>
      <c r="E316" s="3">
        <v>36.06</v>
      </c>
      <c r="F316" t="s">
        <v>13</v>
      </c>
      <c r="G316" s="4">
        <v>132</v>
      </c>
      <c r="H316" s="2">
        <v>-4759.92</v>
      </c>
    </row>
    <row r="317" spans="1:9" x14ac:dyDescent="0.35">
      <c r="A317" s="1">
        <v>45995</v>
      </c>
      <c r="B317" s="1">
        <v>45999</v>
      </c>
      <c r="C317" t="s">
        <v>234</v>
      </c>
      <c r="D317" t="s">
        <v>235</v>
      </c>
      <c r="E317" s="3">
        <v>36.06</v>
      </c>
      <c r="F317" t="s">
        <v>13</v>
      </c>
      <c r="G317" s="4">
        <v>80</v>
      </c>
      <c r="H317" s="2">
        <v>-2884.8</v>
      </c>
    </row>
    <row r="318" spans="1:9" x14ac:dyDescent="0.35">
      <c r="A318" s="1">
        <v>45995</v>
      </c>
      <c r="B318" s="1">
        <v>45999</v>
      </c>
      <c r="C318" t="s">
        <v>234</v>
      </c>
      <c r="D318" t="s">
        <v>235</v>
      </c>
      <c r="E318" s="3">
        <v>36.06</v>
      </c>
      <c r="F318" t="s">
        <v>13</v>
      </c>
      <c r="G318" s="4">
        <v>177</v>
      </c>
      <c r="H318" s="2">
        <v>-6382.62</v>
      </c>
    </row>
    <row r="319" spans="1:9" x14ac:dyDescent="0.35">
      <c r="A319" s="1">
        <v>45995</v>
      </c>
      <c r="B319" s="1">
        <v>45999</v>
      </c>
      <c r="C319" t="s">
        <v>236</v>
      </c>
      <c r="D319" t="s">
        <v>237</v>
      </c>
      <c r="E319" s="3">
        <v>9.35</v>
      </c>
      <c r="F319" t="s">
        <v>13</v>
      </c>
      <c r="G319" s="4">
        <v>14</v>
      </c>
      <c r="H319" s="2">
        <v>-130.9</v>
      </c>
      <c r="I319" s="2">
        <v>-5</v>
      </c>
    </row>
    <row r="320" spans="1:9" x14ac:dyDescent="0.35">
      <c r="A320" s="1">
        <v>45995</v>
      </c>
      <c r="B320" s="1">
        <v>45999</v>
      </c>
      <c r="C320" t="s">
        <v>236</v>
      </c>
      <c r="D320" t="s">
        <v>237</v>
      </c>
      <c r="E320" s="3">
        <v>9.35</v>
      </c>
      <c r="F320" t="s">
        <v>13</v>
      </c>
      <c r="G320" s="4">
        <v>1</v>
      </c>
      <c r="H320" s="2">
        <v>-9.35</v>
      </c>
    </row>
    <row r="321" spans="1:8" x14ac:dyDescent="0.35">
      <c r="A321" s="1">
        <v>45995</v>
      </c>
      <c r="B321" s="1">
        <v>45999</v>
      </c>
      <c r="C321" t="s">
        <v>236</v>
      </c>
      <c r="D321" t="s">
        <v>237</v>
      </c>
      <c r="E321" s="3">
        <v>9.35</v>
      </c>
      <c r="F321" t="s">
        <v>13</v>
      </c>
      <c r="G321" s="4">
        <v>157</v>
      </c>
      <c r="H321" s="2">
        <v>-1467.95</v>
      </c>
    </row>
    <row r="322" spans="1:8" x14ac:dyDescent="0.35">
      <c r="A322" s="1">
        <v>45995</v>
      </c>
      <c r="B322" s="1">
        <v>45999</v>
      </c>
      <c r="C322" t="s">
        <v>236</v>
      </c>
      <c r="D322" t="s">
        <v>237</v>
      </c>
      <c r="E322" s="3">
        <v>9.35</v>
      </c>
      <c r="F322" t="s">
        <v>13</v>
      </c>
      <c r="G322" s="4">
        <v>64</v>
      </c>
      <c r="H322" s="2">
        <v>-598.4</v>
      </c>
    </row>
    <row r="323" spans="1:8" x14ac:dyDescent="0.35">
      <c r="A323" s="1">
        <v>45995</v>
      </c>
      <c r="B323" s="1">
        <v>45999</v>
      </c>
      <c r="C323" t="s">
        <v>236</v>
      </c>
      <c r="D323" t="s">
        <v>237</v>
      </c>
      <c r="E323" s="3">
        <v>9.35</v>
      </c>
      <c r="F323" t="s">
        <v>13</v>
      </c>
      <c r="G323" s="4">
        <v>544</v>
      </c>
      <c r="H323" s="2">
        <v>-5086.3999999999996</v>
      </c>
    </row>
    <row r="324" spans="1:8" x14ac:dyDescent="0.35">
      <c r="A324" s="1">
        <v>45995</v>
      </c>
      <c r="B324" s="1">
        <v>45999</v>
      </c>
      <c r="C324" t="s">
        <v>236</v>
      </c>
      <c r="D324" t="s">
        <v>237</v>
      </c>
      <c r="E324" s="3">
        <v>9.35</v>
      </c>
      <c r="F324" t="s">
        <v>13</v>
      </c>
      <c r="G324" s="4">
        <v>9</v>
      </c>
      <c r="H324" s="2">
        <v>-84.15</v>
      </c>
    </row>
    <row r="325" spans="1:8" x14ac:dyDescent="0.35">
      <c r="A325" s="1">
        <v>45995</v>
      </c>
      <c r="B325" s="1">
        <v>45999</v>
      </c>
      <c r="C325" t="s">
        <v>236</v>
      </c>
      <c r="D325" t="s">
        <v>237</v>
      </c>
      <c r="E325" s="3">
        <v>9.35</v>
      </c>
      <c r="F325" t="s">
        <v>13</v>
      </c>
      <c r="G325" s="4">
        <v>72</v>
      </c>
      <c r="H325" s="2">
        <v>-673.2</v>
      </c>
    </row>
    <row r="326" spans="1:8" x14ac:dyDescent="0.35">
      <c r="A326" s="1">
        <v>45995</v>
      </c>
      <c r="B326" s="1">
        <v>45999</v>
      </c>
      <c r="C326" t="s">
        <v>236</v>
      </c>
      <c r="D326" t="s">
        <v>237</v>
      </c>
      <c r="E326" s="3">
        <v>9.35</v>
      </c>
      <c r="F326" t="s">
        <v>13</v>
      </c>
      <c r="G326" s="4">
        <v>124</v>
      </c>
      <c r="H326" s="2">
        <v>-1159.4000000000001</v>
      </c>
    </row>
    <row r="327" spans="1:8" x14ac:dyDescent="0.35">
      <c r="A327" s="1">
        <v>45995</v>
      </c>
      <c r="B327" s="1">
        <v>45999</v>
      </c>
      <c r="C327" t="s">
        <v>236</v>
      </c>
      <c r="D327" t="s">
        <v>237</v>
      </c>
      <c r="E327" s="3">
        <v>9.35</v>
      </c>
      <c r="F327" t="s">
        <v>13</v>
      </c>
      <c r="G327" s="4">
        <v>15</v>
      </c>
      <c r="H327" s="2">
        <v>-140.25</v>
      </c>
    </row>
    <row r="328" spans="1:8" x14ac:dyDescent="0.35">
      <c r="A328" s="1">
        <v>45995</v>
      </c>
      <c r="B328" s="1">
        <v>45999</v>
      </c>
      <c r="D328" t="s">
        <v>238</v>
      </c>
      <c r="H328" s="2">
        <v>-117.87</v>
      </c>
    </row>
    <row r="329" spans="1:8" x14ac:dyDescent="0.35">
      <c r="A329" s="1">
        <v>45999</v>
      </c>
      <c r="B329" s="1">
        <v>46001</v>
      </c>
      <c r="C329" t="s">
        <v>16</v>
      </c>
      <c r="D329" t="s">
        <v>239</v>
      </c>
      <c r="E329" s="3">
        <v>29.35</v>
      </c>
      <c r="F329" t="s">
        <v>13</v>
      </c>
      <c r="G329" s="4">
        <v>33</v>
      </c>
      <c r="H329" s="2">
        <v>-968.55</v>
      </c>
    </row>
    <row r="330" spans="1:8" x14ac:dyDescent="0.35">
      <c r="A330" s="1">
        <v>45999</v>
      </c>
      <c r="B330" s="1">
        <v>46001</v>
      </c>
      <c r="C330" t="s">
        <v>29</v>
      </c>
      <c r="D330" t="s">
        <v>240</v>
      </c>
      <c r="E330" s="3">
        <v>210.25</v>
      </c>
      <c r="F330" t="s">
        <v>13</v>
      </c>
      <c r="G330" s="4">
        <v>11</v>
      </c>
      <c r="H330" s="2">
        <v>-2312.75</v>
      </c>
    </row>
    <row r="331" spans="1:8" x14ac:dyDescent="0.35">
      <c r="A331" s="1">
        <v>46000</v>
      </c>
      <c r="B331" s="1">
        <v>46003</v>
      </c>
      <c r="C331" t="s">
        <v>24</v>
      </c>
      <c r="D331" t="s">
        <v>241</v>
      </c>
      <c r="H331" s="2">
        <v>150000</v>
      </c>
    </row>
    <row r="332" spans="1:8" x14ac:dyDescent="0.35">
      <c r="A332" s="1">
        <v>46006</v>
      </c>
      <c r="B332" s="1">
        <v>46008</v>
      </c>
      <c r="C332" t="s">
        <v>16</v>
      </c>
      <c r="D332" t="s">
        <v>242</v>
      </c>
      <c r="E332" s="3">
        <v>29.43</v>
      </c>
      <c r="F332" t="s">
        <v>13</v>
      </c>
      <c r="G332" s="4">
        <v>33</v>
      </c>
      <c r="H332" s="2">
        <v>-971.19</v>
      </c>
    </row>
    <row r="333" spans="1:8" x14ac:dyDescent="0.35">
      <c r="A333" s="1">
        <v>46006</v>
      </c>
      <c r="B333" s="1">
        <v>46008</v>
      </c>
      <c r="C333" t="s">
        <v>29</v>
      </c>
      <c r="D333" t="s">
        <v>243</v>
      </c>
      <c r="E333" s="3">
        <v>213.55</v>
      </c>
      <c r="F333" t="s">
        <v>13</v>
      </c>
      <c r="G333" s="4">
        <v>11</v>
      </c>
      <c r="H333" s="2">
        <v>-2349.0500000000002</v>
      </c>
    </row>
    <row r="334" spans="1:8" x14ac:dyDescent="0.35">
      <c r="A334" s="1">
        <v>46014</v>
      </c>
      <c r="B334" s="1">
        <v>46020</v>
      </c>
      <c r="C334" t="s">
        <v>16</v>
      </c>
      <c r="D334" t="s">
        <v>244</v>
      </c>
      <c r="E334" s="3">
        <v>29.77</v>
      </c>
      <c r="F334" t="s">
        <v>13</v>
      </c>
      <c r="G334" s="4">
        <v>33</v>
      </c>
      <c r="H334" s="2">
        <v>-982.41</v>
      </c>
    </row>
    <row r="335" spans="1:8" x14ac:dyDescent="0.35">
      <c r="A335" s="1">
        <v>46014</v>
      </c>
      <c r="B335" s="1">
        <v>46020</v>
      </c>
      <c r="C335" t="s">
        <v>29</v>
      </c>
      <c r="D335" t="s">
        <v>245</v>
      </c>
      <c r="E335" s="3">
        <v>216.2</v>
      </c>
      <c r="F335" t="s">
        <v>13</v>
      </c>
      <c r="G335" s="4">
        <v>11</v>
      </c>
      <c r="H335" s="2">
        <v>-2378.1999999999998</v>
      </c>
    </row>
    <row r="336" spans="1:8" x14ac:dyDescent="0.35">
      <c r="A336" s="1">
        <v>46014</v>
      </c>
      <c r="B336" s="1">
        <v>46015</v>
      </c>
      <c r="D336" t="s">
        <v>246</v>
      </c>
      <c r="H336" s="2">
        <v>-30000</v>
      </c>
    </row>
    <row r="337" spans="1:9" x14ac:dyDescent="0.35">
      <c r="A337" s="1">
        <v>46023</v>
      </c>
      <c r="C337" t="s">
        <v>8</v>
      </c>
      <c r="H337" s="2">
        <v>399727.15</v>
      </c>
    </row>
    <row r="338" spans="1:9" x14ac:dyDescent="0.35">
      <c r="A338" s="1">
        <v>46024</v>
      </c>
      <c r="B338" s="1">
        <v>46028</v>
      </c>
      <c r="C338" t="s">
        <v>16</v>
      </c>
      <c r="D338" t="s">
        <v>247</v>
      </c>
      <c r="E338" s="3">
        <v>30.795000000000002</v>
      </c>
      <c r="F338" t="s">
        <v>13</v>
      </c>
      <c r="G338" s="4">
        <v>32</v>
      </c>
      <c r="H338" s="2">
        <v>-985.44</v>
      </c>
    </row>
    <row r="339" spans="1:9" x14ac:dyDescent="0.35">
      <c r="A339" s="1">
        <v>46024</v>
      </c>
      <c r="B339" s="1">
        <v>46028</v>
      </c>
      <c r="C339" t="s">
        <v>29</v>
      </c>
      <c r="D339" t="s">
        <v>248</v>
      </c>
      <c r="E339" s="3">
        <v>219.85</v>
      </c>
      <c r="F339" t="s">
        <v>13</v>
      </c>
      <c r="G339" s="4">
        <v>11</v>
      </c>
      <c r="H339" s="2">
        <v>-2418.35</v>
      </c>
    </row>
    <row r="340" spans="1:9" x14ac:dyDescent="0.35">
      <c r="A340" s="1">
        <v>46030</v>
      </c>
      <c r="B340" s="1">
        <v>46034</v>
      </c>
      <c r="C340" t="s">
        <v>16</v>
      </c>
      <c r="D340" t="s">
        <v>249</v>
      </c>
      <c r="E340" s="3">
        <v>34.255000000000003</v>
      </c>
      <c r="F340" t="s">
        <v>13</v>
      </c>
      <c r="G340" s="4">
        <v>29</v>
      </c>
      <c r="H340" s="2">
        <v>-993.4</v>
      </c>
    </row>
    <row r="341" spans="1:9" x14ac:dyDescent="0.35">
      <c r="A341" s="1">
        <v>46030</v>
      </c>
      <c r="B341" s="1">
        <v>46034</v>
      </c>
      <c r="C341" t="s">
        <v>29</v>
      </c>
      <c r="D341" t="s">
        <v>250</v>
      </c>
      <c r="E341" s="3">
        <v>221.4</v>
      </c>
      <c r="F341" t="s">
        <v>13</v>
      </c>
      <c r="G341" s="4">
        <v>11</v>
      </c>
      <c r="H341" s="2">
        <v>-2435.4</v>
      </c>
    </row>
    <row r="342" spans="1:9" x14ac:dyDescent="0.35">
      <c r="A342" s="1">
        <v>46031</v>
      </c>
      <c r="B342" s="1">
        <v>46036</v>
      </c>
      <c r="C342" t="s">
        <v>48</v>
      </c>
      <c r="D342" t="s">
        <v>251</v>
      </c>
      <c r="H342" s="2">
        <v>70000</v>
      </c>
    </row>
    <row r="343" spans="1:9" x14ac:dyDescent="0.35">
      <c r="A343" s="1">
        <v>46034</v>
      </c>
      <c r="B343" s="1">
        <v>46022</v>
      </c>
      <c r="D343" t="s">
        <v>252</v>
      </c>
      <c r="H343" s="2">
        <v>-418</v>
      </c>
    </row>
    <row r="344" spans="1:9" x14ac:dyDescent="0.35">
      <c r="A344" s="1">
        <v>46037</v>
      </c>
      <c r="B344" s="1">
        <v>46041</v>
      </c>
      <c r="C344" t="s">
        <v>16</v>
      </c>
      <c r="D344" t="s">
        <v>253</v>
      </c>
      <c r="E344" s="3">
        <v>34.65</v>
      </c>
      <c r="F344" t="s">
        <v>13</v>
      </c>
      <c r="G344" s="4">
        <v>28</v>
      </c>
      <c r="H344" s="2">
        <v>-970.2</v>
      </c>
    </row>
    <row r="345" spans="1:9" x14ac:dyDescent="0.35">
      <c r="A345" s="1">
        <v>46037</v>
      </c>
      <c r="B345" s="1">
        <v>46041</v>
      </c>
      <c r="C345" t="s">
        <v>29</v>
      </c>
      <c r="D345" t="s">
        <v>254</v>
      </c>
      <c r="E345" s="3">
        <v>222.2</v>
      </c>
      <c r="F345" t="s">
        <v>13</v>
      </c>
      <c r="G345" s="4">
        <v>11</v>
      </c>
      <c r="H345" s="2">
        <v>-2444.1999999999998</v>
      </c>
    </row>
    <row r="346" spans="1:9" x14ac:dyDescent="0.35">
      <c r="A346" s="1">
        <v>46038</v>
      </c>
      <c r="B346" s="1">
        <v>46043</v>
      </c>
      <c r="C346" t="s">
        <v>229</v>
      </c>
      <c r="D346" t="s">
        <v>255</v>
      </c>
      <c r="H346" s="2">
        <v>230</v>
      </c>
    </row>
    <row r="347" spans="1:9" x14ac:dyDescent="0.35">
      <c r="A347" s="1">
        <v>46044</v>
      </c>
      <c r="B347" s="1">
        <v>46048</v>
      </c>
      <c r="C347" t="s">
        <v>256</v>
      </c>
      <c r="D347" t="s">
        <v>257</v>
      </c>
      <c r="E347" s="3">
        <v>49.94</v>
      </c>
      <c r="F347" t="s">
        <v>13</v>
      </c>
      <c r="G347" s="4">
        <v>280</v>
      </c>
      <c r="H347" s="2">
        <v>-13983.2</v>
      </c>
      <c r="I347" s="2">
        <v>-5</v>
      </c>
    </row>
    <row r="348" spans="1:9" x14ac:dyDescent="0.35">
      <c r="A348" s="1">
        <v>46044</v>
      </c>
      <c r="B348" s="1">
        <v>46048</v>
      </c>
      <c r="C348" t="s">
        <v>256</v>
      </c>
      <c r="D348" t="s">
        <v>257</v>
      </c>
      <c r="E348" s="3">
        <v>49.94</v>
      </c>
      <c r="F348" t="s">
        <v>13</v>
      </c>
      <c r="G348" s="4">
        <v>516</v>
      </c>
      <c r="H348" s="2">
        <v>-25769.040000000001</v>
      </c>
    </row>
    <row r="349" spans="1:9" x14ac:dyDescent="0.35">
      <c r="A349" s="1">
        <v>46044</v>
      </c>
      <c r="B349" s="1">
        <v>46048</v>
      </c>
      <c r="C349" t="s">
        <v>256</v>
      </c>
      <c r="D349" t="s">
        <v>257</v>
      </c>
      <c r="E349" s="3">
        <v>49.94</v>
      </c>
      <c r="F349" t="s">
        <v>13</v>
      </c>
      <c r="G349" s="4">
        <v>428</v>
      </c>
      <c r="H349" s="2">
        <v>-21374.32</v>
      </c>
    </row>
    <row r="350" spans="1:9" x14ac:dyDescent="0.35">
      <c r="A350" s="1">
        <v>46044</v>
      </c>
      <c r="B350" s="1">
        <v>46048</v>
      </c>
      <c r="C350" t="s">
        <v>256</v>
      </c>
      <c r="D350" t="s">
        <v>257</v>
      </c>
      <c r="E350" s="3">
        <v>49.94</v>
      </c>
      <c r="F350" t="s">
        <v>13</v>
      </c>
      <c r="G350" s="4">
        <v>103</v>
      </c>
      <c r="H350" s="2">
        <v>-5143.82</v>
      </c>
    </row>
    <row r="351" spans="1:9" x14ac:dyDescent="0.35">
      <c r="A351" s="1">
        <v>46044</v>
      </c>
      <c r="B351" s="1">
        <v>46048</v>
      </c>
      <c r="C351" t="s">
        <v>256</v>
      </c>
      <c r="D351" t="s">
        <v>257</v>
      </c>
      <c r="E351" s="3">
        <v>49.95</v>
      </c>
      <c r="F351" t="s">
        <v>13</v>
      </c>
      <c r="G351" s="4">
        <v>280</v>
      </c>
      <c r="H351" s="2">
        <v>-13986</v>
      </c>
    </row>
    <row r="352" spans="1:9" x14ac:dyDescent="0.35">
      <c r="A352" s="1">
        <v>46044</v>
      </c>
      <c r="B352" s="1">
        <v>46048</v>
      </c>
      <c r="C352" t="s">
        <v>256</v>
      </c>
      <c r="D352" t="s">
        <v>257</v>
      </c>
      <c r="E352" s="3">
        <v>49.95</v>
      </c>
      <c r="F352" t="s">
        <v>13</v>
      </c>
      <c r="G352" s="4">
        <v>393</v>
      </c>
      <c r="H352" s="2">
        <v>-19630.349999999999</v>
      </c>
    </row>
    <row r="353" spans="1:9" x14ac:dyDescent="0.35">
      <c r="A353" s="1">
        <v>46044</v>
      </c>
      <c r="B353" s="1">
        <v>46048</v>
      </c>
      <c r="D353" t="s">
        <v>258</v>
      </c>
      <c r="H353" s="2">
        <v>-199.77</v>
      </c>
    </row>
    <row r="354" spans="1:9" x14ac:dyDescent="0.35">
      <c r="A354" s="1">
        <v>46045</v>
      </c>
      <c r="B354" s="1">
        <v>46049</v>
      </c>
      <c r="C354" t="s">
        <v>16</v>
      </c>
      <c r="D354" t="s">
        <v>259</v>
      </c>
      <c r="E354" s="3">
        <v>34.61</v>
      </c>
      <c r="F354" t="s">
        <v>13</v>
      </c>
      <c r="G354" s="4">
        <v>28</v>
      </c>
      <c r="H354" s="2">
        <v>-969.08</v>
      </c>
    </row>
    <row r="355" spans="1:9" x14ac:dyDescent="0.35">
      <c r="A355" s="1">
        <v>46045</v>
      </c>
      <c r="B355" s="1">
        <v>46049</v>
      </c>
      <c r="C355" t="s">
        <v>29</v>
      </c>
      <c r="D355" t="s">
        <v>260</v>
      </c>
      <c r="E355" s="3">
        <v>217.85</v>
      </c>
      <c r="F355" t="s">
        <v>13</v>
      </c>
      <c r="G355" s="4">
        <v>11</v>
      </c>
      <c r="H355" s="2">
        <v>-2396.35</v>
      </c>
    </row>
    <row r="356" spans="1:9" x14ac:dyDescent="0.35">
      <c r="A356" s="1">
        <v>46045</v>
      </c>
      <c r="B356" s="1">
        <v>46050</v>
      </c>
      <c r="C356" t="s">
        <v>181</v>
      </c>
      <c r="D356" t="s">
        <v>261</v>
      </c>
      <c r="H356" s="2">
        <v>640</v>
      </c>
    </row>
    <row r="357" spans="1:9" x14ac:dyDescent="0.35">
      <c r="A357" s="1">
        <v>46045</v>
      </c>
      <c r="B357" s="1">
        <v>46050</v>
      </c>
      <c r="C357" t="s">
        <v>181</v>
      </c>
      <c r="D357" t="s">
        <v>262</v>
      </c>
      <c r="H357" s="2">
        <v>40000</v>
      </c>
    </row>
    <row r="358" spans="1:9" x14ac:dyDescent="0.35">
      <c r="A358" s="1">
        <v>46048</v>
      </c>
      <c r="B358" s="1">
        <v>46048</v>
      </c>
      <c r="C358" t="s">
        <v>126</v>
      </c>
      <c r="D358" t="s">
        <v>263</v>
      </c>
      <c r="H358" s="2">
        <v>19.77</v>
      </c>
    </row>
    <row r="359" spans="1:9" x14ac:dyDescent="0.35">
      <c r="A359" s="1">
        <v>46054</v>
      </c>
      <c r="C359" t="s">
        <v>8</v>
      </c>
      <c r="H359" s="2">
        <v>396495</v>
      </c>
    </row>
    <row r="360" spans="1:9" x14ac:dyDescent="0.35">
      <c r="A360" s="1">
        <v>46055</v>
      </c>
      <c r="B360" s="1">
        <v>46057</v>
      </c>
      <c r="C360" t="s">
        <v>59</v>
      </c>
      <c r="D360" t="s">
        <v>264</v>
      </c>
      <c r="E360" s="3">
        <v>383.63</v>
      </c>
      <c r="F360" t="s">
        <v>13</v>
      </c>
      <c r="G360" s="4">
        <v>-2</v>
      </c>
      <c r="H360" s="2">
        <v>767.26</v>
      </c>
      <c r="I360" s="2">
        <v>-5</v>
      </c>
    </row>
    <row r="361" spans="1:9" x14ac:dyDescent="0.35">
      <c r="A361" s="1">
        <v>46055</v>
      </c>
      <c r="B361" s="1">
        <v>46057</v>
      </c>
      <c r="C361" t="s">
        <v>265</v>
      </c>
      <c r="D361" t="s">
        <v>266</v>
      </c>
      <c r="E361" s="3">
        <v>100.589</v>
      </c>
      <c r="F361" t="s">
        <v>13</v>
      </c>
      <c r="G361" s="4">
        <v>100000</v>
      </c>
      <c r="H361" s="2">
        <v>-100589</v>
      </c>
      <c r="I361" s="2">
        <v>-5</v>
      </c>
    </row>
    <row r="362" spans="1:9" x14ac:dyDescent="0.35">
      <c r="A362" s="1">
        <v>46055</v>
      </c>
      <c r="B362" s="1">
        <v>46057</v>
      </c>
      <c r="C362" t="s">
        <v>265</v>
      </c>
      <c r="D362" t="s">
        <v>267</v>
      </c>
      <c r="H362" s="2">
        <v>-1347.83</v>
      </c>
    </row>
    <row r="363" spans="1:9" x14ac:dyDescent="0.35">
      <c r="A363" s="1">
        <v>46055</v>
      </c>
      <c r="B363" s="1">
        <v>46057</v>
      </c>
      <c r="C363" t="s">
        <v>16</v>
      </c>
      <c r="D363" t="s">
        <v>268</v>
      </c>
      <c r="E363" s="3">
        <v>33.305</v>
      </c>
      <c r="F363" t="s">
        <v>13</v>
      </c>
      <c r="G363" s="4">
        <v>29</v>
      </c>
      <c r="H363" s="2">
        <v>-965.85</v>
      </c>
    </row>
    <row r="364" spans="1:9" x14ac:dyDescent="0.35">
      <c r="A364" s="1">
        <v>46055</v>
      </c>
      <c r="B364" s="1">
        <v>46057</v>
      </c>
      <c r="C364" t="s">
        <v>29</v>
      </c>
      <c r="D364" t="s">
        <v>269</v>
      </c>
      <c r="E364" s="3">
        <v>223.6</v>
      </c>
      <c r="F364" t="s">
        <v>13</v>
      </c>
      <c r="G364" s="4">
        <v>11</v>
      </c>
      <c r="H364" s="2">
        <v>-2459.6</v>
      </c>
    </row>
    <row r="365" spans="1:9" x14ac:dyDescent="0.35">
      <c r="A365" s="1">
        <v>46059</v>
      </c>
      <c r="B365" s="1">
        <v>46063</v>
      </c>
      <c r="C365" t="s">
        <v>39</v>
      </c>
      <c r="D365" t="s">
        <v>270</v>
      </c>
      <c r="E365" s="3">
        <v>1141.2</v>
      </c>
      <c r="F365" t="s">
        <v>13</v>
      </c>
      <c r="G365" s="4">
        <v>-30</v>
      </c>
      <c r="H365" s="2">
        <v>34236</v>
      </c>
      <c r="I365" s="2">
        <v>-9.5</v>
      </c>
    </row>
    <row r="366" spans="1:9" x14ac:dyDescent="0.35">
      <c r="A366" s="1">
        <v>46059</v>
      </c>
      <c r="B366" s="1">
        <v>46063</v>
      </c>
      <c r="C366" t="s">
        <v>271</v>
      </c>
      <c r="D366" t="s">
        <v>272</v>
      </c>
      <c r="E366" s="3">
        <v>99.656999999999996</v>
      </c>
      <c r="F366" t="s">
        <v>13</v>
      </c>
      <c r="G366" s="4">
        <v>64000</v>
      </c>
      <c r="H366" s="2">
        <v>-63780.480000000003</v>
      </c>
      <c r="I366" s="2">
        <v>-5</v>
      </c>
    </row>
    <row r="367" spans="1:9" x14ac:dyDescent="0.35">
      <c r="A367" s="1">
        <v>46059</v>
      </c>
      <c r="B367" s="1">
        <v>46063</v>
      </c>
      <c r="C367" t="s">
        <v>271</v>
      </c>
      <c r="D367" t="s">
        <v>272</v>
      </c>
      <c r="E367" s="3">
        <v>99.656999999999996</v>
      </c>
      <c r="F367" t="s">
        <v>13</v>
      </c>
      <c r="G367" s="4">
        <v>36000</v>
      </c>
      <c r="H367" s="2">
        <v>-35876.519999999997</v>
      </c>
    </row>
    <row r="368" spans="1:9" x14ac:dyDescent="0.35">
      <c r="A368" s="1">
        <v>46059</v>
      </c>
      <c r="B368" s="1">
        <v>46063</v>
      </c>
      <c r="C368" t="s">
        <v>273</v>
      </c>
      <c r="D368" t="s">
        <v>274</v>
      </c>
      <c r="E368" s="3">
        <v>99.828999999999994</v>
      </c>
      <c r="F368" t="s">
        <v>13</v>
      </c>
      <c r="G368" s="4">
        <v>5000</v>
      </c>
      <c r="H368" s="2">
        <v>-4991.45</v>
      </c>
      <c r="I368" s="2">
        <v>-5</v>
      </c>
    </row>
    <row r="369" spans="1:9" x14ac:dyDescent="0.35">
      <c r="A369" s="1">
        <v>46059</v>
      </c>
      <c r="B369" s="1">
        <v>46063</v>
      </c>
      <c r="C369" t="s">
        <v>273</v>
      </c>
      <c r="D369" t="s">
        <v>274</v>
      </c>
      <c r="E369" s="3">
        <v>99.828999999999994</v>
      </c>
      <c r="F369" t="s">
        <v>13</v>
      </c>
      <c r="G369" s="4">
        <v>5000</v>
      </c>
      <c r="H369" s="2">
        <v>-4991.45</v>
      </c>
    </row>
    <row r="370" spans="1:9" x14ac:dyDescent="0.35">
      <c r="A370" s="1">
        <v>46059</v>
      </c>
      <c r="B370" s="1">
        <v>46063</v>
      </c>
      <c r="C370" t="s">
        <v>273</v>
      </c>
      <c r="D370" t="s">
        <v>274</v>
      </c>
      <c r="E370" s="3">
        <v>99.828999999999994</v>
      </c>
      <c r="F370" t="s">
        <v>13</v>
      </c>
      <c r="G370" s="4">
        <v>90000</v>
      </c>
      <c r="H370" s="2">
        <v>-89846.1</v>
      </c>
    </row>
    <row r="371" spans="1:9" x14ac:dyDescent="0.35">
      <c r="A371" s="1">
        <v>46059</v>
      </c>
      <c r="B371" s="1">
        <v>46063</v>
      </c>
      <c r="C371" t="s">
        <v>256</v>
      </c>
      <c r="D371" t="s">
        <v>275</v>
      </c>
      <c r="E371" s="3">
        <v>47.76</v>
      </c>
      <c r="F371" t="s">
        <v>13</v>
      </c>
      <c r="G371" s="4">
        <v>42</v>
      </c>
      <c r="H371" s="2">
        <v>-2005.92</v>
      </c>
      <c r="I371" s="2">
        <v>-5</v>
      </c>
    </row>
    <row r="372" spans="1:9" x14ac:dyDescent="0.35">
      <c r="A372" s="1">
        <v>46059</v>
      </c>
      <c r="B372" s="1">
        <v>46063</v>
      </c>
      <c r="C372" t="s">
        <v>256</v>
      </c>
      <c r="D372" t="s">
        <v>275</v>
      </c>
      <c r="E372" s="3">
        <v>47.76</v>
      </c>
      <c r="F372" t="s">
        <v>13</v>
      </c>
      <c r="G372" s="4">
        <v>483</v>
      </c>
      <c r="H372" s="2">
        <v>-23068.080000000002</v>
      </c>
    </row>
    <row r="373" spans="1:9" x14ac:dyDescent="0.35">
      <c r="A373" s="1">
        <v>46059</v>
      </c>
      <c r="B373" s="1">
        <v>46063</v>
      </c>
      <c r="C373" t="s">
        <v>256</v>
      </c>
      <c r="D373" t="s">
        <v>275</v>
      </c>
      <c r="E373" s="3">
        <v>47.76</v>
      </c>
      <c r="F373" t="s">
        <v>13</v>
      </c>
      <c r="G373" s="4">
        <v>475</v>
      </c>
      <c r="H373" s="2">
        <v>-22686</v>
      </c>
    </row>
    <row r="374" spans="1:9" x14ac:dyDescent="0.35">
      <c r="A374" s="1">
        <v>46059</v>
      </c>
      <c r="B374" s="1">
        <v>46063</v>
      </c>
      <c r="D374" t="s">
        <v>276</v>
      </c>
      <c r="H374" s="2">
        <v>-95.52</v>
      </c>
    </row>
    <row r="375" spans="1:9" x14ac:dyDescent="0.35">
      <c r="A375" s="1">
        <v>46062</v>
      </c>
      <c r="B375" s="1">
        <v>46064</v>
      </c>
      <c r="C375" t="s">
        <v>16</v>
      </c>
      <c r="D375" t="s">
        <v>277</v>
      </c>
      <c r="E375" s="3">
        <v>33.615000000000002</v>
      </c>
      <c r="F375" t="s">
        <v>13</v>
      </c>
      <c r="G375" s="4">
        <v>29</v>
      </c>
      <c r="H375" s="2">
        <v>-974.84</v>
      </c>
    </row>
    <row r="376" spans="1:9" x14ac:dyDescent="0.35">
      <c r="A376" s="1">
        <v>46062</v>
      </c>
      <c r="B376" s="1">
        <v>46064</v>
      </c>
      <c r="C376" t="s">
        <v>29</v>
      </c>
      <c r="D376" t="s">
        <v>278</v>
      </c>
      <c r="E376" s="3">
        <v>227.5</v>
      </c>
      <c r="F376" t="s">
        <v>13</v>
      </c>
      <c r="G376" s="4">
        <v>10</v>
      </c>
      <c r="H376" s="2">
        <v>-2275</v>
      </c>
    </row>
    <row r="377" spans="1:9" x14ac:dyDescent="0.35">
      <c r="A377" s="1">
        <v>46069</v>
      </c>
      <c r="B377" s="1">
        <v>46071</v>
      </c>
      <c r="C377" t="s">
        <v>279</v>
      </c>
      <c r="D377" t="s">
        <v>280</v>
      </c>
      <c r="E377" s="3">
        <v>170.6</v>
      </c>
      <c r="F377" t="s">
        <v>13</v>
      </c>
      <c r="G377" s="4">
        <v>39</v>
      </c>
      <c r="H377" s="2">
        <v>-6653.4</v>
      </c>
      <c r="I377" s="2">
        <v>-9.5</v>
      </c>
    </row>
    <row r="378" spans="1:9" x14ac:dyDescent="0.35">
      <c r="A378" s="1">
        <v>46069</v>
      </c>
      <c r="B378" s="1">
        <v>46071</v>
      </c>
      <c r="C378" t="s">
        <v>279</v>
      </c>
      <c r="D378" t="s">
        <v>280</v>
      </c>
      <c r="E378" s="3">
        <v>170.6</v>
      </c>
      <c r="F378" t="s">
        <v>13</v>
      </c>
      <c r="G378" s="4">
        <v>61</v>
      </c>
      <c r="H378" s="2">
        <v>-10406.6</v>
      </c>
    </row>
    <row r="379" spans="1:9" x14ac:dyDescent="0.35">
      <c r="A379" s="1">
        <v>46069</v>
      </c>
      <c r="B379" s="1">
        <v>46071</v>
      </c>
      <c r="C379" t="s">
        <v>16</v>
      </c>
      <c r="D379" t="s">
        <v>281</v>
      </c>
      <c r="E379" s="3">
        <v>33.914999999999999</v>
      </c>
      <c r="F379" t="s">
        <v>13</v>
      </c>
      <c r="G379" s="4">
        <v>29</v>
      </c>
      <c r="H379" s="2">
        <v>-983.54</v>
      </c>
    </row>
    <row r="380" spans="1:9" x14ac:dyDescent="0.35">
      <c r="A380" s="1">
        <v>46069</v>
      </c>
      <c r="B380" s="1">
        <v>46071</v>
      </c>
      <c r="C380" t="s">
        <v>29</v>
      </c>
      <c r="D380" t="s">
        <v>282</v>
      </c>
      <c r="E380" s="3">
        <v>220.9</v>
      </c>
      <c r="F380" t="s">
        <v>13</v>
      </c>
      <c r="G380" s="4">
        <v>11</v>
      </c>
      <c r="H380" s="2">
        <v>-2429.9</v>
      </c>
    </row>
    <row r="381" spans="1:9" x14ac:dyDescent="0.35">
      <c r="A381" s="1">
        <v>46069</v>
      </c>
      <c r="B381" s="1">
        <v>46071</v>
      </c>
      <c r="D381" t="s">
        <v>283</v>
      </c>
      <c r="H381" s="2">
        <v>-68.239999999999995</v>
      </c>
    </row>
    <row r="382" spans="1:9" x14ac:dyDescent="0.35">
      <c r="A382" s="1">
        <v>46071</v>
      </c>
      <c r="B382" s="1">
        <v>46073</v>
      </c>
      <c r="C382" t="s">
        <v>227</v>
      </c>
      <c r="D382" t="s">
        <v>284</v>
      </c>
      <c r="E382" s="3">
        <v>19.16</v>
      </c>
      <c r="F382" t="s">
        <v>13</v>
      </c>
      <c r="G382" s="4">
        <v>-150</v>
      </c>
      <c r="H382" s="2">
        <v>2874</v>
      </c>
      <c r="I382" s="2">
        <v>-5</v>
      </c>
    </row>
    <row r="383" spans="1:9" x14ac:dyDescent="0.35">
      <c r="A383" s="1">
        <v>46071</v>
      </c>
      <c r="B383" s="1">
        <v>46073</v>
      </c>
      <c r="C383" t="s">
        <v>227</v>
      </c>
      <c r="D383" t="s">
        <v>284</v>
      </c>
      <c r="E383" s="3">
        <v>19.16</v>
      </c>
      <c r="F383" t="s">
        <v>13</v>
      </c>
      <c r="G383" s="4">
        <v>-111</v>
      </c>
      <c r="H383" s="2">
        <v>2126.7600000000002</v>
      </c>
    </row>
    <row r="384" spans="1:9" x14ac:dyDescent="0.35">
      <c r="A384" s="1">
        <v>46071</v>
      </c>
      <c r="B384" s="1">
        <v>46073</v>
      </c>
      <c r="C384" t="s">
        <v>227</v>
      </c>
      <c r="D384" t="s">
        <v>284</v>
      </c>
      <c r="E384" s="3">
        <v>19.155000000000001</v>
      </c>
      <c r="F384" t="s">
        <v>13</v>
      </c>
      <c r="G384" s="4">
        <v>-12</v>
      </c>
      <c r="H384" s="2">
        <v>229.86</v>
      </c>
    </row>
    <row r="385" spans="1:9" x14ac:dyDescent="0.35">
      <c r="A385" s="1">
        <v>46071</v>
      </c>
      <c r="B385" s="1">
        <v>46073</v>
      </c>
      <c r="C385" t="s">
        <v>227</v>
      </c>
      <c r="D385" t="s">
        <v>284</v>
      </c>
      <c r="E385" s="3">
        <v>19.155000000000001</v>
      </c>
      <c r="F385" t="s">
        <v>13</v>
      </c>
      <c r="G385" s="4">
        <v>-727</v>
      </c>
      <c r="H385" s="2">
        <v>13925.69</v>
      </c>
    </row>
    <row r="386" spans="1:9" x14ac:dyDescent="0.35">
      <c r="A386" s="1">
        <v>46072</v>
      </c>
      <c r="B386" s="1">
        <v>46076</v>
      </c>
      <c r="C386" t="s">
        <v>168</v>
      </c>
      <c r="D386" t="s">
        <v>285</v>
      </c>
      <c r="E386" s="3">
        <v>39.04</v>
      </c>
      <c r="F386" t="s">
        <v>13</v>
      </c>
      <c r="G386" s="4">
        <v>270</v>
      </c>
      <c r="H386" s="2">
        <v>-10540.8</v>
      </c>
      <c r="I386" s="2">
        <v>-5</v>
      </c>
    </row>
    <row r="387" spans="1:9" x14ac:dyDescent="0.35">
      <c r="A387" s="1">
        <v>46072</v>
      </c>
      <c r="B387" s="1">
        <v>46076</v>
      </c>
      <c r="C387" t="s">
        <v>168</v>
      </c>
      <c r="D387" t="s">
        <v>285</v>
      </c>
      <c r="E387" s="3">
        <v>39.04</v>
      </c>
      <c r="F387" t="s">
        <v>13</v>
      </c>
      <c r="G387" s="4">
        <v>207</v>
      </c>
      <c r="H387" s="2">
        <v>-8081.28</v>
      </c>
    </row>
    <row r="388" spans="1:9" x14ac:dyDescent="0.35">
      <c r="A388" s="1">
        <v>46072</v>
      </c>
      <c r="B388" s="1">
        <v>46076</v>
      </c>
      <c r="C388" t="s">
        <v>168</v>
      </c>
      <c r="D388" t="s">
        <v>285</v>
      </c>
      <c r="E388" s="3">
        <v>39.04</v>
      </c>
      <c r="F388" t="s">
        <v>13</v>
      </c>
      <c r="G388" s="4">
        <v>523</v>
      </c>
      <c r="H388" s="2">
        <v>-20417.919999999998</v>
      </c>
    </row>
    <row r="389" spans="1:9" x14ac:dyDescent="0.35">
      <c r="A389" s="1">
        <v>46072</v>
      </c>
      <c r="B389" s="1">
        <v>46076</v>
      </c>
      <c r="D389" t="s">
        <v>286</v>
      </c>
      <c r="H389" s="2">
        <v>-78.08</v>
      </c>
    </row>
    <row r="390" spans="1:9" x14ac:dyDescent="0.35">
      <c r="A390" s="1">
        <v>46076</v>
      </c>
      <c r="B390" s="1">
        <v>46078</v>
      </c>
      <c r="C390" t="s">
        <v>16</v>
      </c>
      <c r="D390" t="s">
        <v>287</v>
      </c>
      <c r="E390" s="3">
        <v>34.56</v>
      </c>
      <c r="F390" t="s">
        <v>13</v>
      </c>
      <c r="G390" s="4">
        <v>28</v>
      </c>
      <c r="H390" s="2">
        <v>-967.68</v>
      </c>
    </row>
    <row r="391" spans="1:9" x14ac:dyDescent="0.35">
      <c r="A391" s="1">
        <v>46076</v>
      </c>
      <c r="B391" s="1">
        <v>46078</v>
      </c>
      <c r="C391" t="s">
        <v>29</v>
      </c>
      <c r="D391" t="s">
        <v>288</v>
      </c>
      <c r="E391" s="3">
        <v>227</v>
      </c>
      <c r="F391" t="s">
        <v>13</v>
      </c>
      <c r="G391" s="4">
        <v>10</v>
      </c>
      <c r="H391" s="2">
        <v>-2270</v>
      </c>
    </row>
    <row r="392" spans="1:9" x14ac:dyDescent="0.35">
      <c r="A392" s="1">
        <v>46078</v>
      </c>
      <c r="B392" s="1">
        <v>46080</v>
      </c>
      <c r="C392" t="s">
        <v>35</v>
      </c>
      <c r="D392" t="s">
        <v>289</v>
      </c>
      <c r="E392" s="3">
        <v>50.195</v>
      </c>
      <c r="F392" t="s">
        <v>13</v>
      </c>
      <c r="G392" s="4">
        <v>87</v>
      </c>
      <c r="H392" s="2">
        <v>-4366.97</v>
      </c>
    </row>
    <row r="393" spans="1:9" x14ac:dyDescent="0.35">
      <c r="A393" s="1">
        <v>46078</v>
      </c>
      <c r="B393" s="1">
        <v>46080</v>
      </c>
      <c r="C393" t="s">
        <v>35</v>
      </c>
      <c r="D393" t="s">
        <v>289</v>
      </c>
      <c r="E393" s="3">
        <v>50.2</v>
      </c>
      <c r="F393" t="s">
        <v>13</v>
      </c>
      <c r="G393" s="4">
        <v>80</v>
      </c>
      <c r="H393" s="2">
        <v>-4016</v>
      </c>
    </row>
    <row r="394" spans="1:9" x14ac:dyDescent="0.35">
      <c r="A394" s="1">
        <v>46078</v>
      </c>
      <c r="B394" s="1">
        <v>46080</v>
      </c>
      <c r="C394" t="s">
        <v>53</v>
      </c>
      <c r="D394" t="s">
        <v>290</v>
      </c>
      <c r="E394" s="3">
        <v>3.4314</v>
      </c>
      <c r="F394" t="s">
        <v>13</v>
      </c>
      <c r="G394" s="4">
        <v>1340</v>
      </c>
      <c r="H394" s="2">
        <v>-4598.08</v>
      </c>
    </row>
    <row r="395" spans="1:9" x14ac:dyDescent="0.35">
      <c r="A395" s="1">
        <v>46078</v>
      </c>
      <c r="B395" s="1">
        <v>46080</v>
      </c>
      <c r="C395" t="s">
        <v>96</v>
      </c>
      <c r="D395" t="s">
        <v>291</v>
      </c>
      <c r="E395" s="3">
        <v>3.7218</v>
      </c>
      <c r="F395" t="s">
        <v>13</v>
      </c>
      <c r="G395" s="4">
        <v>400</v>
      </c>
      <c r="H395" s="2">
        <v>-1488.72</v>
      </c>
      <c r="I395" s="2">
        <v>-9.5</v>
      </c>
    </row>
    <row r="396" spans="1:9" x14ac:dyDescent="0.35">
      <c r="A396" s="1">
        <v>46078</v>
      </c>
      <c r="B396" s="1">
        <v>46080</v>
      </c>
      <c r="C396" t="s">
        <v>96</v>
      </c>
      <c r="D396" t="s">
        <v>292</v>
      </c>
      <c r="E396" s="3">
        <v>3.722</v>
      </c>
      <c r="F396" t="s">
        <v>13</v>
      </c>
      <c r="G396" s="4">
        <v>800</v>
      </c>
      <c r="H396" s="2">
        <v>-2977.6</v>
      </c>
    </row>
    <row r="397" spans="1:9" x14ac:dyDescent="0.35">
      <c r="A397" s="1">
        <v>46078</v>
      </c>
      <c r="B397" s="1">
        <v>46080</v>
      </c>
      <c r="C397" t="s">
        <v>35</v>
      </c>
      <c r="D397" t="s">
        <v>293</v>
      </c>
      <c r="E397" s="3">
        <v>50.12</v>
      </c>
      <c r="F397" t="s">
        <v>13</v>
      </c>
      <c r="G397" s="4">
        <v>200</v>
      </c>
      <c r="H397" s="2">
        <v>-10024</v>
      </c>
    </row>
    <row r="398" spans="1:9" x14ac:dyDescent="0.35">
      <c r="A398" s="1">
        <v>46078</v>
      </c>
      <c r="B398" s="1">
        <v>46081</v>
      </c>
      <c r="C398" t="s">
        <v>265</v>
      </c>
      <c r="D398" t="s">
        <v>294</v>
      </c>
      <c r="H398" s="2">
        <v>1550</v>
      </c>
    </row>
    <row r="399" spans="1:9" x14ac:dyDescent="0.35">
      <c r="A399" s="1">
        <v>46082</v>
      </c>
      <c r="C399" t="s">
        <v>8</v>
      </c>
      <c r="H399" s="2">
        <v>5818.62</v>
      </c>
    </row>
    <row r="400" spans="1:9" x14ac:dyDescent="0.35">
      <c r="A400" s="1">
        <v>46083</v>
      </c>
      <c r="B400" s="1">
        <v>46085</v>
      </c>
      <c r="C400" t="s">
        <v>43</v>
      </c>
      <c r="D400" t="s">
        <v>295</v>
      </c>
      <c r="E400" s="3">
        <v>6.14</v>
      </c>
      <c r="F400" t="s">
        <v>13</v>
      </c>
      <c r="G400" s="4">
        <v>-160</v>
      </c>
      <c r="H400" s="2">
        <v>982.4</v>
      </c>
      <c r="I400" s="2">
        <v>-5</v>
      </c>
    </row>
    <row r="401" spans="1:9" x14ac:dyDescent="0.35">
      <c r="A401" s="1">
        <v>46083</v>
      </c>
      <c r="B401" s="1">
        <v>46085</v>
      </c>
      <c r="C401" t="s">
        <v>43</v>
      </c>
      <c r="D401" t="s">
        <v>295</v>
      </c>
      <c r="E401" s="3">
        <v>6.14</v>
      </c>
      <c r="F401" t="s">
        <v>13</v>
      </c>
      <c r="G401" s="4">
        <v>-22</v>
      </c>
      <c r="H401" s="2">
        <v>135.08000000000001</v>
      </c>
    </row>
    <row r="402" spans="1:9" x14ac:dyDescent="0.35">
      <c r="A402" s="1">
        <v>46083</v>
      </c>
      <c r="B402" s="1">
        <v>46085</v>
      </c>
      <c r="C402" t="s">
        <v>43</v>
      </c>
      <c r="D402" t="s">
        <v>295</v>
      </c>
      <c r="E402" s="3">
        <v>6.14</v>
      </c>
      <c r="F402" t="s">
        <v>13</v>
      </c>
      <c r="G402" s="4">
        <v>-128</v>
      </c>
      <c r="H402" s="2">
        <v>785.92</v>
      </c>
    </row>
    <row r="403" spans="1:9" x14ac:dyDescent="0.35">
      <c r="A403" s="1">
        <v>46083</v>
      </c>
      <c r="B403" s="1">
        <v>46085</v>
      </c>
      <c r="C403" t="s">
        <v>43</v>
      </c>
      <c r="D403" t="s">
        <v>295</v>
      </c>
      <c r="E403" s="3">
        <v>6.14</v>
      </c>
      <c r="F403" t="s">
        <v>13</v>
      </c>
      <c r="G403" s="4">
        <v>-291</v>
      </c>
      <c r="H403" s="2">
        <v>1786.74</v>
      </c>
    </row>
    <row r="404" spans="1:9" x14ac:dyDescent="0.35">
      <c r="A404" s="1">
        <v>46083</v>
      </c>
      <c r="B404" s="1">
        <v>46085</v>
      </c>
      <c r="C404" t="s">
        <v>43</v>
      </c>
      <c r="D404" t="s">
        <v>295</v>
      </c>
      <c r="E404" s="3">
        <v>6.14</v>
      </c>
      <c r="F404" t="s">
        <v>13</v>
      </c>
      <c r="G404" s="4">
        <v>-154</v>
      </c>
      <c r="H404" s="2">
        <v>945.56</v>
      </c>
    </row>
    <row r="405" spans="1:9" x14ac:dyDescent="0.35">
      <c r="A405" s="1">
        <v>46083</v>
      </c>
      <c r="B405" s="1">
        <v>46085</v>
      </c>
      <c r="C405" t="s">
        <v>43</v>
      </c>
      <c r="D405" t="s">
        <v>295</v>
      </c>
      <c r="E405" s="3">
        <v>6.14</v>
      </c>
      <c r="F405" t="s">
        <v>13</v>
      </c>
      <c r="G405" s="4">
        <v>-1245</v>
      </c>
      <c r="H405" s="2">
        <v>7644.3</v>
      </c>
    </row>
    <row r="406" spans="1:9" x14ac:dyDescent="0.35">
      <c r="A406" s="1">
        <v>46083</v>
      </c>
      <c r="B406" s="1">
        <v>46085</v>
      </c>
      <c r="C406" t="s">
        <v>296</v>
      </c>
      <c r="D406" t="s">
        <v>297</v>
      </c>
      <c r="E406" s="3">
        <v>9.0370000000000008</v>
      </c>
      <c r="F406" t="s">
        <v>13</v>
      </c>
      <c r="G406" s="4">
        <v>148</v>
      </c>
      <c r="H406" s="2">
        <v>-1337.48</v>
      </c>
    </row>
    <row r="407" spans="1:9" x14ac:dyDescent="0.35">
      <c r="A407" s="1">
        <v>46083</v>
      </c>
      <c r="B407" s="1">
        <v>46085</v>
      </c>
      <c r="C407" t="s">
        <v>296</v>
      </c>
      <c r="D407" t="s">
        <v>297</v>
      </c>
      <c r="E407" s="3">
        <v>9.0370000000000008</v>
      </c>
      <c r="F407" t="s">
        <v>13</v>
      </c>
      <c r="G407" s="4">
        <v>352</v>
      </c>
      <c r="H407" s="2">
        <v>-3181.02</v>
      </c>
    </row>
    <row r="408" spans="1:9" x14ac:dyDescent="0.35">
      <c r="A408" s="1">
        <v>46083</v>
      </c>
      <c r="B408" s="1">
        <v>46085</v>
      </c>
      <c r="C408" t="s">
        <v>16</v>
      </c>
      <c r="D408" t="s">
        <v>298</v>
      </c>
      <c r="E408" s="3">
        <v>34.555</v>
      </c>
      <c r="F408" t="s">
        <v>13</v>
      </c>
      <c r="G408" s="4">
        <v>28</v>
      </c>
      <c r="H408" s="2">
        <v>-967.54</v>
      </c>
    </row>
    <row r="409" spans="1:9" x14ac:dyDescent="0.35">
      <c r="A409" s="1">
        <v>46083</v>
      </c>
      <c r="B409" s="1">
        <v>46085</v>
      </c>
      <c r="C409" t="s">
        <v>29</v>
      </c>
      <c r="D409" t="s">
        <v>299</v>
      </c>
      <c r="E409" s="3">
        <v>224.7</v>
      </c>
      <c r="F409" t="s">
        <v>13</v>
      </c>
      <c r="G409" s="4">
        <v>11</v>
      </c>
      <c r="H409" s="2">
        <v>-2471.6999999999998</v>
      </c>
    </row>
    <row r="410" spans="1:9" x14ac:dyDescent="0.35">
      <c r="A410" s="1">
        <v>46083</v>
      </c>
      <c r="B410" s="1">
        <v>46081</v>
      </c>
      <c r="C410" t="s">
        <v>256</v>
      </c>
      <c r="D410" t="s">
        <v>300</v>
      </c>
      <c r="H410" s="2">
        <v>57.28</v>
      </c>
    </row>
    <row r="411" spans="1:9" x14ac:dyDescent="0.35">
      <c r="A411" s="1">
        <v>46090</v>
      </c>
      <c r="B411" s="1">
        <v>46092</v>
      </c>
      <c r="C411" t="s">
        <v>301</v>
      </c>
      <c r="D411" t="s">
        <v>302</v>
      </c>
      <c r="E411" s="3">
        <v>20.6</v>
      </c>
      <c r="F411" t="s">
        <v>13</v>
      </c>
      <c r="G411" s="4">
        <v>280</v>
      </c>
      <c r="H411" s="2">
        <v>-5768</v>
      </c>
      <c r="I411" s="2">
        <v>-5</v>
      </c>
    </row>
    <row r="412" spans="1:9" x14ac:dyDescent="0.35">
      <c r="A412" s="1">
        <v>46090</v>
      </c>
      <c r="B412" s="1">
        <v>46092</v>
      </c>
      <c r="C412" t="s">
        <v>301</v>
      </c>
      <c r="D412" t="s">
        <v>302</v>
      </c>
      <c r="E412" s="3">
        <v>20.6</v>
      </c>
      <c r="F412" t="s">
        <v>13</v>
      </c>
      <c r="G412" s="4">
        <v>19</v>
      </c>
      <c r="H412" s="2">
        <v>-391.4</v>
      </c>
    </row>
    <row r="413" spans="1:9" x14ac:dyDescent="0.35">
      <c r="A413" s="1">
        <v>46090</v>
      </c>
      <c r="B413" s="1">
        <v>46092</v>
      </c>
      <c r="C413" t="s">
        <v>301</v>
      </c>
      <c r="D413" t="s">
        <v>302</v>
      </c>
      <c r="E413" s="3">
        <v>20.6</v>
      </c>
      <c r="F413" t="s">
        <v>13</v>
      </c>
      <c r="G413" s="4">
        <v>1</v>
      </c>
      <c r="H413" s="2">
        <v>-20.6</v>
      </c>
    </row>
    <row r="414" spans="1:9" x14ac:dyDescent="0.35">
      <c r="A414" s="1">
        <v>46090</v>
      </c>
      <c r="B414" s="1">
        <v>46092</v>
      </c>
      <c r="C414" t="s">
        <v>16</v>
      </c>
      <c r="D414" t="s">
        <v>303</v>
      </c>
      <c r="E414" s="3">
        <v>34.335000000000001</v>
      </c>
      <c r="F414" t="s">
        <v>13</v>
      </c>
      <c r="G414" s="4">
        <v>29</v>
      </c>
      <c r="H414" s="2">
        <v>-995.72</v>
      </c>
    </row>
    <row r="415" spans="1:9" x14ac:dyDescent="0.35">
      <c r="A415" s="1">
        <v>46090</v>
      </c>
      <c r="B415" s="1">
        <v>46092</v>
      </c>
      <c r="C415" t="s">
        <v>29</v>
      </c>
      <c r="D415" t="s">
        <v>304</v>
      </c>
      <c r="E415" s="3">
        <v>213.7</v>
      </c>
      <c r="F415" t="s">
        <v>13</v>
      </c>
      <c r="G415" s="4">
        <v>11</v>
      </c>
      <c r="H415" s="2">
        <v>-2350.6999999999998</v>
      </c>
    </row>
    <row r="416" spans="1:9" x14ac:dyDescent="0.35">
      <c r="A416" s="1">
        <v>46090</v>
      </c>
      <c r="B416" s="1">
        <v>46092</v>
      </c>
      <c r="D416" t="s">
        <v>305</v>
      </c>
      <c r="H416" s="2">
        <v>-12.36</v>
      </c>
    </row>
    <row r="417" spans="1:8" x14ac:dyDescent="0.35">
      <c r="A417" s="1">
        <v>46091</v>
      </c>
      <c r="B417" s="1">
        <v>46094</v>
      </c>
      <c r="C417" t="s">
        <v>273</v>
      </c>
      <c r="D417" t="s">
        <v>306</v>
      </c>
      <c r="H417" s="2">
        <v>100000</v>
      </c>
    </row>
    <row r="418" spans="1:8" x14ac:dyDescent="0.35">
      <c r="A418" s="1">
        <v>46097</v>
      </c>
      <c r="B418" s="1">
        <v>46099</v>
      </c>
      <c r="C418" t="s">
        <v>16</v>
      </c>
      <c r="D418" t="s">
        <v>307</v>
      </c>
      <c r="E418" s="3">
        <v>34.585000000000001</v>
      </c>
      <c r="F418" t="s">
        <v>13</v>
      </c>
      <c r="G418" s="4">
        <v>28</v>
      </c>
      <c r="H418" s="2">
        <v>-968.38</v>
      </c>
    </row>
    <row r="419" spans="1:8" x14ac:dyDescent="0.35">
      <c r="A419" s="1">
        <v>46097</v>
      </c>
      <c r="B419" s="1">
        <v>46099</v>
      </c>
      <c r="C419" t="s">
        <v>29</v>
      </c>
      <c r="D419" t="s">
        <v>308</v>
      </c>
      <c r="E419" s="3">
        <v>215.05</v>
      </c>
      <c r="F419" t="s">
        <v>13</v>
      </c>
      <c r="G419" s="4">
        <v>11</v>
      </c>
      <c r="H419" s="2">
        <v>-2365.5500000000002</v>
      </c>
    </row>
    <row r="420" spans="1:8" x14ac:dyDescent="0.35">
      <c r="A420" s="1">
        <v>46099</v>
      </c>
      <c r="B420" s="1">
        <v>46112</v>
      </c>
      <c r="C420" t="s">
        <v>26</v>
      </c>
      <c r="D420" t="s">
        <v>309</v>
      </c>
      <c r="H420" s="2">
        <v>815.61</v>
      </c>
    </row>
    <row r="421" spans="1:8" x14ac:dyDescent="0.35">
      <c r="A421" s="1">
        <v>46099</v>
      </c>
      <c r="B421" s="1">
        <v>46112</v>
      </c>
      <c r="C421" t="s">
        <v>26</v>
      </c>
      <c r="D421" t="s">
        <v>310</v>
      </c>
      <c r="H421" s="2">
        <v>-211.52</v>
      </c>
    </row>
    <row r="422" spans="1:8" x14ac:dyDescent="0.35">
      <c r="A422" s="1"/>
      <c r="B422" s="1"/>
      <c r="H422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2B2E-7D3A-494D-87F2-42320C3687D6}">
  <dimension ref="A1:L1002"/>
  <sheetViews>
    <sheetView showGridLines="0" workbookViewId="0">
      <pane ySplit="3" topLeftCell="A4" activePane="bottomLeft" state="frozen"/>
      <selection pane="bottomLeft"/>
    </sheetView>
  </sheetViews>
  <sheetFormatPr defaultColWidth="0" defaultRowHeight="13" x14ac:dyDescent="0.3"/>
  <cols>
    <col min="1" max="2" width="15.453125" style="6" customWidth="1"/>
    <col min="3" max="3" width="40" style="6" customWidth="1"/>
    <col min="4" max="5" width="15.453125" style="6" customWidth="1"/>
    <col min="6" max="6" width="13.6328125" style="6" customWidth="1"/>
    <col min="7" max="7" width="10.90625" style="6" customWidth="1"/>
    <col min="8" max="8" width="13.6328125" style="6" customWidth="1"/>
    <col min="9" max="9" width="18.1796875" style="6" customWidth="1"/>
    <col min="10" max="10" width="15.453125" style="6" customWidth="1"/>
    <col min="11" max="11" width="18.1796875" style="6" customWidth="1"/>
    <col min="12" max="12" width="1.08984375" style="6" customWidth="1"/>
    <col min="13" max="16384" width="8.7265625" style="6" hidden="1"/>
  </cols>
  <sheetData>
    <row r="1" spans="1:11" ht="30" customHeight="1" x14ac:dyDescent="0.3">
      <c r="A1" s="101" t="s">
        <v>424</v>
      </c>
      <c r="B1" s="99"/>
      <c r="C1" s="99"/>
      <c r="D1" s="99"/>
      <c r="E1" s="99"/>
      <c r="F1" s="99"/>
      <c r="G1" s="99"/>
      <c r="H1" s="99"/>
      <c r="I1" s="99"/>
      <c r="J1" s="99"/>
      <c r="K1" s="99"/>
    </row>
    <row r="3" spans="1:11" ht="15" customHeight="1" x14ac:dyDescent="0.3">
      <c r="A3" s="100" t="s">
        <v>311</v>
      </c>
      <c r="B3" s="100" t="s">
        <v>312</v>
      </c>
      <c r="C3" s="100" t="s">
        <v>313</v>
      </c>
      <c r="D3" s="100" t="s">
        <v>314</v>
      </c>
      <c r="E3" s="100" t="s">
        <v>315</v>
      </c>
      <c r="F3" s="100" t="s">
        <v>316</v>
      </c>
      <c r="G3" s="100" t="s">
        <v>317</v>
      </c>
      <c r="H3" s="100" t="s">
        <v>318</v>
      </c>
      <c r="I3" s="100" t="s">
        <v>319</v>
      </c>
      <c r="J3" s="100" t="s">
        <v>320</v>
      </c>
      <c r="K3" s="100" t="s">
        <v>321</v>
      </c>
    </row>
    <row r="4" spans="1:11" x14ac:dyDescent="0.3">
      <c r="A4" s="171">
        <f>IF(OR('Statements (Raw)'!A2="",'Statements (Raw)'!A2&gt;Holdings!$G$3),"",'Statements (Raw)'!A2)</f>
        <v>45658</v>
      </c>
      <c r="B4" s="7" t="str">
        <f>IF(A4="","",IF('Statements (Raw)'!B2="","",'Statements (Raw)'!B2))</f>
        <v/>
      </c>
      <c r="C4" s="6" t="str">
        <f>IF(A4="","",IF('Statements (Raw)'!C2&lt;&gt;"",'Statements (Raw)'!C2,IF(ISNUMBER(SEARCH("Conferimento",'Statements (Raw)'!D2)),"CASH DEPOSIT",IF(ISNUMBER(SEARCH("Prelievo",'Statements (Raw)'!D2)),"CASH WITHDRAWAL",IF(ISNUMBER(SEARCH("Bollo",'Statements (Raw)'!D2)),"STAMP DUTY",IF(ISNUMBER(SEARCH("Tobin Tax",'Statements (Raw)'!D2)),"TOBIN TAX",IF(ISNUMBER(SEARCH("Rit.provento",'Statements (Raw)'!D2)),"WITHHOLDING TAX",IF(ISNUMBER(SEARCH("Incasso Dividendi",'Statements (Raw)'!D2)),"DIVIDEND",IF(ISNUMBER(SEARCH("Cedola",'Statements (Raw)'!D2)),"COUPON",IF(ISNUMBER(SEARCH("Ratei Pass",'Statements (Raw)'!D2)),"ACCRUED INT",IF(ISNUMBER(SEARCH("Interessi Prest",'Statements (Raw)'!D2)),"SEC LENDING",IF(ISNUMBER(SEARCH("Rimborso",'Statements (Raw)'!D2)),"REDEMPTION",IF(ISNUMBER(SEARCH("Provento",'Statements (Raw)'!D2)),"DISTRIBUTION","OTHER")))))))))))))</f>
        <v>Saldo Iniziale</v>
      </c>
      <c r="D4" s="6" t="str">
        <f>IF(A4="","",IF(C4="Saldo Iniziale","Balance",IF(C4="CASH DEPOSIT","Deposit",IF(C4="CASH WITHDRAWAL","Withdrawal",IF(C4="STAMP DUTY","Tax",IF(C4="TOBIN TAX","Tax",IF(C4="WITHHOLDING TAX","Tax",IF(C4="DIVIDEND","Dividend",IF(C4="COUPON","Coupon",IF(C4="ACCRUED INT","Accrued Int.",IF(C4="SEC LENDING","Sec. Lending",IF(C4="REDEMPTION","Redemption",IF(C4="DISTRIBUTION","Distribution",IF(ISNUMBER(SEARCH("Rimborso",'Statements (Raw)'!D2)),"Redemption",IF(ISNUMBER(SEARCH("Cedola",'Statements (Raw)'!D2)),"Coupon",IF(ISNUMBER(SEARCH("Incasso Dividendi",'Statements (Raw)'!D2)),"Dividend",IF(ISNUMBER(SEARCH("Provento Etf",'Statements (Raw)'!D2)),"Distribution",IF(ISNUMBER(SEARCH("Rit.provento",'Statements (Raw)'!D2)),"Tax",IF(ISNUMBER(SEARCH("Ratei Pass",'Statements (Raw)'!D2)),"Accrued Int.",IF(ISNUMBER(SEARCH("Interessi Prest",'Statements (Raw)'!D2)),"Sec. Lending",IF('Statements (Raw)'!G2="","Other",IF('Statements (Raw)'!G2&gt;0,"Buy","Sell"))))))))))))))))))))))</f>
        <v>Balance</v>
      </c>
      <c r="E4" s="6" t="str">
        <f>IF(D4="","",IF(OR(D4="Balance",D4="Deposit",D4="Withdrawal"),"Cash",IF(D4="Tax","Tax/Fee",IF(OR(D4="Dividend",D4="Coupon",D4="Distribution",D4="Sec. Lending",D4="Accrued Int."),"Income",IF(D4="Redemption","Bond",IF(OR(D4="Buy",D4="Sell"),IF(OR(ISNUMBER(SEARCH("BOT ",C4)),ISNUMBER(SEARCH("BTP ",C4)),ISNUMBER(SEARCH("CARRARO",C4))),"Bond",IF(OR(ISNUMBER(SEARCH("isdom",C4)),ISNUMBER(SEARCH("ISHARES",C4)),ISNUMBER(SEARCH("iShares",C4))),"ETF/ETC",IF(OR(ISNUMBER(SEARCH("Bitwise",C4)),ISNUMBER(SEARCH("BITWISE",C4))),"Crypto ETP","Stock"))),"Other"))))))</f>
        <v>Cash</v>
      </c>
      <c r="F4" s="8" t="str">
        <f>IF(A4="","",IF('Statements (Raw)'!E2="","",'Statements (Raw)'!E2))</f>
        <v/>
      </c>
      <c r="G4" s="6" t="str">
        <f>IF(A4="","",IF('Statements (Raw)'!F2="","",'Statements (Raw)'!F2))</f>
        <v/>
      </c>
      <c r="H4" s="9" t="str">
        <f>IF(A4="","",IF('Statements (Raw)'!G2="","",'Statements (Raw)'!G2))</f>
        <v/>
      </c>
      <c r="I4" s="10">
        <f>IF(A4="","",IF('Statements (Raw)'!H2="","",'Statements (Raw)'!H2))</f>
        <v>371.8</v>
      </c>
      <c r="J4" s="10">
        <f>IF(A4="",0,IF('Statements (Raw)'!I2="",0,'Statements (Raw)'!I2))</f>
        <v>0</v>
      </c>
      <c r="K4" s="10">
        <f>IF(I4="","",I4+J4)</f>
        <v>371.8</v>
      </c>
    </row>
    <row r="5" spans="1:11" x14ac:dyDescent="0.3">
      <c r="A5" s="171">
        <f>IF(OR('Statements (Raw)'!A3="",'Statements (Raw)'!A3&gt;Holdings!$G$3),"",'Statements (Raw)'!A3)</f>
        <v>45667</v>
      </c>
      <c r="B5" s="7">
        <f>IF(A5="","",IF('Statements (Raw)'!B3="","",'Statements (Raw)'!B3))</f>
        <v>45657</v>
      </c>
      <c r="C5" s="6" t="str">
        <f>IF(A5="","",IF('Statements (Raw)'!C3&lt;&gt;"",'Statements (Raw)'!C3,IF(ISNUMBER(SEARCH("Conferimento",'Statements (Raw)'!D3)),"CASH DEPOSIT",IF(ISNUMBER(SEARCH("Prelievo",'Statements (Raw)'!D3)),"CASH WITHDRAWAL",IF(ISNUMBER(SEARCH("Bollo",'Statements (Raw)'!D3)),"STAMP DUTY",IF(ISNUMBER(SEARCH("Tobin Tax",'Statements (Raw)'!D3)),"TOBIN TAX",IF(ISNUMBER(SEARCH("Rit.provento",'Statements (Raw)'!D3)),"WITHHOLDING TAX",IF(ISNUMBER(SEARCH("Incasso Dividendi",'Statements (Raw)'!D3)),"DIVIDEND",IF(ISNUMBER(SEARCH("Cedola",'Statements (Raw)'!D3)),"COUPON",IF(ISNUMBER(SEARCH("Ratei Pass",'Statements (Raw)'!D3)),"ACCRUED INT",IF(ISNUMBER(SEARCH("Interessi Prest",'Statements (Raw)'!D3)),"SEC LENDING",IF(ISNUMBER(SEARCH("Rimborso",'Statements (Raw)'!D3)),"REDEMPTION",IF(ISNUMBER(SEARCH("Provento",'Statements (Raw)'!D3)),"DISTRIBUTION","OTHER")))))))))))))</f>
        <v>STAMP DUTY</v>
      </c>
      <c r="D5" s="6" t="str">
        <f>IF(A5="","",IF(C5="Saldo Iniziale","Balance",IF(C5="CASH DEPOSIT","Deposit",IF(C5="CASH WITHDRAWAL","Withdrawal",IF(C5="STAMP DUTY","Tax",IF(C5="TOBIN TAX","Tax",IF(C5="WITHHOLDING TAX","Tax",IF(C5="DIVIDEND","Dividend",IF(C5="COUPON","Coupon",IF(C5="ACCRUED INT","Accrued Int.",IF(C5="SEC LENDING","Sec. Lending",IF(C5="REDEMPTION","Redemption",IF(C5="DISTRIBUTION","Distribution",IF(ISNUMBER(SEARCH("Rimborso",'Statements (Raw)'!D3)),"Redemption",IF(ISNUMBER(SEARCH("Cedola",'Statements (Raw)'!D3)),"Coupon",IF(ISNUMBER(SEARCH("Incasso Dividendi",'Statements (Raw)'!D3)),"Dividend",IF(ISNUMBER(SEARCH("Provento Etf",'Statements (Raw)'!D3)),"Distribution",IF(ISNUMBER(SEARCH("Rit.provento",'Statements (Raw)'!D3)),"Tax",IF(ISNUMBER(SEARCH("Ratei Pass",'Statements (Raw)'!D3)),"Accrued Int.",IF(ISNUMBER(SEARCH("Interessi Prest",'Statements (Raw)'!D3)),"Sec. Lending",IF('Statements (Raw)'!G3="","Other",IF('Statements (Raw)'!G3&gt;0,"Buy","Sell"))))))))))))))))))))))</f>
        <v>Tax</v>
      </c>
      <c r="E5" s="6" t="str">
        <f t="shared" ref="E5:E68" si="0">IF(D5="","",IF(OR(D5="Balance",D5="Deposit",D5="Withdrawal"),"Cash",IF(D5="Tax","Tax/Fee",IF(OR(D5="Dividend",D5="Coupon",D5="Distribution",D5="Sec. Lending",D5="Accrued Int."),"Income",IF(D5="Redemption","Bond",IF(OR(D5="Buy",D5="Sell"),IF(OR(ISNUMBER(SEARCH("BOT ",C5)),ISNUMBER(SEARCH("BTP ",C5)),ISNUMBER(SEARCH("CARRARO",C5))),"Bond",IF(OR(ISNUMBER(SEARCH("isdom",C5)),ISNUMBER(SEARCH("ISHARES",C5)),ISNUMBER(SEARCH("iShares",C5))),"ETF/ETC",IF(OR(ISNUMBER(SEARCH("Bitwise",C5)),ISNUMBER(SEARCH("BITWISE",C5))),"Crypto ETP","Stock"))),"Other"))))))</f>
        <v>Tax/Fee</v>
      </c>
      <c r="F5" s="8" t="str">
        <f>IF(A5="","",IF('Statements (Raw)'!E3="","",'Statements (Raw)'!E3))</f>
        <v/>
      </c>
      <c r="G5" s="6" t="str">
        <f>IF(A5="","",IF('Statements (Raw)'!F3="","",'Statements (Raw)'!F3))</f>
        <v/>
      </c>
      <c r="H5" s="9" t="str">
        <f>IF(A5="","",IF('Statements (Raw)'!G3="","",'Statements (Raw)'!G3))</f>
        <v/>
      </c>
      <c r="I5" s="10">
        <f>IF(A5="","",IF('Statements (Raw)'!H3="","",'Statements (Raw)'!H3))</f>
        <v>-4.7</v>
      </c>
      <c r="J5" s="10">
        <f>IF(A5="",0,IF('Statements (Raw)'!I3="",0,'Statements (Raw)'!I3))</f>
        <v>0</v>
      </c>
      <c r="K5" s="10">
        <f t="shared" ref="K5:K68" si="1">IF(I5="","",I5+J5)</f>
        <v>-4.7</v>
      </c>
    </row>
    <row r="6" spans="1:11" x14ac:dyDescent="0.3">
      <c r="A6" s="171">
        <f>IF(OR('Statements (Raw)'!A4="",'Statements (Raw)'!A4&gt;Holdings!$G$3),"",'Statements (Raw)'!A4)</f>
        <v>45689</v>
      </c>
      <c r="B6" s="7" t="str">
        <f>IF(A6="","",IF('Statements (Raw)'!B4="","",'Statements (Raw)'!B4))</f>
        <v/>
      </c>
      <c r="C6" s="6" t="str">
        <f>IF(A6="","",IF('Statements (Raw)'!C4&lt;&gt;"",'Statements (Raw)'!C4,IF(ISNUMBER(SEARCH("Conferimento",'Statements (Raw)'!D4)),"CASH DEPOSIT",IF(ISNUMBER(SEARCH("Prelievo",'Statements (Raw)'!D4)),"CASH WITHDRAWAL",IF(ISNUMBER(SEARCH("Bollo",'Statements (Raw)'!D4)),"STAMP DUTY",IF(ISNUMBER(SEARCH("Tobin Tax",'Statements (Raw)'!D4)),"TOBIN TAX",IF(ISNUMBER(SEARCH("Rit.provento",'Statements (Raw)'!D4)),"WITHHOLDING TAX",IF(ISNUMBER(SEARCH("Incasso Dividendi",'Statements (Raw)'!D4)),"DIVIDEND",IF(ISNUMBER(SEARCH("Cedola",'Statements (Raw)'!D4)),"COUPON",IF(ISNUMBER(SEARCH("Ratei Pass",'Statements (Raw)'!D4)),"ACCRUED INT",IF(ISNUMBER(SEARCH("Interessi Prest",'Statements (Raw)'!D4)),"SEC LENDING",IF(ISNUMBER(SEARCH("Rimborso",'Statements (Raw)'!D4)),"REDEMPTION",IF(ISNUMBER(SEARCH("Provento",'Statements (Raw)'!D4)),"DISTRIBUTION","OTHER")))))))))))))</f>
        <v>Saldo Iniziale</v>
      </c>
      <c r="D6" s="6" t="str">
        <f>IF(A6="","",IF(C6="Saldo Iniziale","Balance",IF(C6="CASH DEPOSIT","Deposit",IF(C6="CASH WITHDRAWAL","Withdrawal",IF(C6="STAMP DUTY","Tax",IF(C6="TOBIN TAX","Tax",IF(C6="WITHHOLDING TAX","Tax",IF(C6="DIVIDEND","Dividend",IF(C6="COUPON","Coupon",IF(C6="ACCRUED INT","Accrued Int.",IF(C6="SEC LENDING","Sec. Lending",IF(C6="REDEMPTION","Redemption",IF(C6="DISTRIBUTION","Distribution",IF(ISNUMBER(SEARCH("Rimborso",'Statements (Raw)'!D4)),"Redemption",IF(ISNUMBER(SEARCH("Cedola",'Statements (Raw)'!D4)),"Coupon",IF(ISNUMBER(SEARCH("Incasso Dividendi",'Statements (Raw)'!D4)),"Dividend",IF(ISNUMBER(SEARCH("Provento Etf",'Statements (Raw)'!D4)),"Distribution",IF(ISNUMBER(SEARCH("Rit.provento",'Statements (Raw)'!D4)),"Tax",IF(ISNUMBER(SEARCH("Ratei Pass",'Statements (Raw)'!D4)),"Accrued Int.",IF(ISNUMBER(SEARCH("Interessi Prest",'Statements (Raw)'!D4)),"Sec. Lending",IF('Statements (Raw)'!G4="","Other",IF('Statements (Raw)'!G4&gt;0,"Buy","Sell"))))))))))))))))))))))</f>
        <v>Balance</v>
      </c>
      <c r="E6" s="6" t="str">
        <f t="shared" si="0"/>
        <v>Cash</v>
      </c>
      <c r="F6" s="8" t="str">
        <f>IF(A6="","",IF('Statements (Raw)'!E4="","",'Statements (Raw)'!E4))</f>
        <v/>
      </c>
      <c r="G6" s="6" t="str">
        <f>IF(A6="","",IF('Statements (Raw)'!F4="","",'Statements (Raw)'!F4))</f>
        <v/>
      </c>
      <c r="H6" s="9" t="str">
        <f>IF(A6="","",IF('Statements (Raw)'!G4="","",'Statements (Raw)'!G4))</f>
        <v/>
      </c>
      <c r="I6" s="10">
        <f>IF(A6="","",IF('Statements (Raw)'!H4="","",'Statements (Raw)'!H4))</f>
        <v>367.1</v>
      </c>
      <c r="J6" s="10">
        <f>IF(A6="",0,IF('Statements (Raw)'!I4="",0,'Statements (Raw)'!I4))</f>
        <v>0</v>
      </c>
      <c r="K6" s="10">
        <f t="shared" si="1"/>
        <v>367.1</v>
      </c>
    </row>
    <row r="7" spans="1:11" x14ac:dyDescent="0.3">
      <c r="A7" s="171">
        <f>IF(OR('Statements (Raw)'!A5="",'Statements (Raw)'!A5&gt;Holdings!$G$3),"",'Statements (Raw)'!A5)</f>
        <v>45717</v>
      </c>
      <c r="B7" s="7" t="str">
        <f>IF(A7="","",IF('Statements (Raw)'!B5="","",'Statements (Raw)'!B5))</f>
        <v/>
      </c>
      <c r="C7" s="6" t="str">
        <f>IF(A7="","",IF('Statements (Raw)'!C5&lt;&gt;"",'Statements (Raw)'!C5,IF(ISNUMBER(SEARCH("Conferimento",'Statements (Raw)'!D5)),"CASH DEPOSIT",IF(ISNUMBER(SEARCH("Prelievo",'Statements (Raw)'!D5)),"CASH WITHDRAWAL",IF(ISNUMBER(SEARCH("Bollo",'Statements (Raw)'!D5)),"STAMP DUTY",IF(ISNUMBER(SEARCH("Tobin Tax",'Statements (Raw)'!D5)),"TOBIN TAX",IF(ISNUMBER(SEARCH("Rit.provento",'Statements (Raw)'!D5)),"WITHHOLDING TAX",IF(ISNUMBER(SEARCH("Incasso Dividendi",'Statements (Raw)'!D5)),"DIVIDEND",IF(ISNUMBER(SEARCH("Cedola",'Statements (Raw)'!D5)),"COUPON",IF(ISNUMBER(SEARCH("Ratei Pass",'Statements (Raw)'!D5)),"ACCRUED INT",IF(ISNUMBER(SEARCH("Interessi Prest",'Statements (Raw)'!D5)),"SEC LENDING",IF(ISNUMBER(SEARCH("Rimborso",'Statements (Raw)'!D5)),"REDEMPTION",IF(ISNUMBER(SEARCH("Provento",'Statements (Raw)'!D5)),"DISTRIBUTION","OTHER")))))))))))))</f>
        <v>Saldo Iniziale</v>
      </c>
      <c r="D7" s="6" t="str">
        <f>IF(A7="","",IF(C7="Saldo Iniziale","Balance",IF(C7="CASH DEPOSIT","Deposit",IF(C7="CASH WITHDRAWAL","Withdrawal",IF(C7="STAMP DUTY","Tax",IF(C7="TOBIN TAX","Tax",IF(C7="WITHHOLDING TAX","Tax",IF(C7="DIVIDEND","Dividend",IF(C7="COUPON","Coupon",IF(C7="ACCRUED INT","Accrued Int.",IF(C7="SEC LENDING","Sec. Lending",IF(C7="REDEMPTION","Redemption",IF(C7="DISTRIBUTION","Distribution",IF(ISNUMBER(SEARCH("Rimborso",'Statements (Raw)'!D5)),"Redemption",IF(ISNUMBER(SEARCH("Cedola",'Statements (Raw)'!D5)),"Coupon",IF(ISNUMBER(SEARCH("Incasso Dividendi",'Statements (Raw)'!D5)),"Dividend",IF(ISNUMBER(SEARCH("Provento Etf",'Statements (Raw)'!D5)),"Distribution",IF(ISNUMBER(SEARCH("Rit.provento",'Statements (Raw)'!D5)),"Tax",IF(ISNUMBER(SEARCH("Ratei Pass",'Statements (Raw)'!D5)),"Accrued Int.",IF(ISNUMBER(SEARCH("Interessi Prest",'Statements (Raw)'!D5)),"Sec. Lending",IF('Statements (Raw)'!G5="","Other",IF('Statements (Raw)'!G5&gt;0,"Buy","Sell"))))))))))))))))))))))</f>
        <v>Balance</v>
      </c>
      <c r="E7" s="6" t="str">
        <f t="shared" si="0"/>
        <v>Cash</v>
      </c>
      <c r="F7" s="8" t="str">
        <f>IF(A7="","",IF('Statements (Raw)'!E5="","",'Statements (Raw)'!E5))</f>
        <v/>
      </c>
      <c r="G7" s="6" t="str">
        <f>IF(A7="","",IF('Statements (Raw)'!F5="","",'Statements (Raw)'!F5))</f>
        <v/>
      </c>
      <c r="H7" s="9" t="str">
        <f>IF(A7="","",IF('Statements (Raw)'!G5="","",'Statements (Raw)'!G5))</f>
        <v/>
      </c>
      <c r="I7" s="10">
        <f>IF(A7="","",IF('Statements (Raw)'!H5="","",'Statements (Raw)'!H5))</f>
        <v>367.1</v>
      </c>
      <c r="J7" s="10">
        <f>IF(A7="",0,IF('Statements (Raw)'!I5="",0,'Statements (Raw)'!I5))</f>
        <v>0</v>
      </c>
      <c r="K7" s="10">
        <f t="shared" si="1"/>
        <v>367.1</v>
      </c>
    </row>
    <row r="8" spans="1:11" x14ac:dyDescent="0.3">
      <c r="A8" s="171">
        <f>IF(OR('Statements (Raw)'!A6="",'Statements (Raw)'!A6&gt;Holdings!$G$3),"",'Statements (Raw)'!A6)</f>
        <v>45742</v>
      </c>
      <c r="B8" s="7">
        <f>IF(A8="","",IF('Statements (Raw)'!B6="","",'Statements (Raw)'!B6))</f>
        <v>45742</v>
      </c>
      <c r="C8" s="6" t="str">
        <f>IF(A8="","",IF('Statements (Raw)'!C6&lt;&gt;"",'Statements (Raw)'!C6,IF(ISNUMBER(SEARCH("Conferimento",'Statements (Raw)'!D6)),"CASH DEPOSIT",IF(ISNUMBER(SEARCH("Prelievo",'Statements (Raw)'!D6)),"CASH WITHDRAWAL",IF(ISNUMBER(SEARCH("Bollo",'Statements (Raw)'!D6)),"STAMP DUTY",IF(ISNUMBER(SEARCH("Tobin Tax",'Statements (Raw)'!D6)),"TOBIN TAX",IF(ISNUMBER(SEARCH("Rit.provento",'Statements (Raw)'!D6)),"WITHHOLDING TAX",IF(ISNUMBER(SEARCH("Incasso Dividendi",'Statements (Raw)'!D6)),"DIVIDEND",IF(ISNUMBER(SEARCH("Cedola",'Statements (Raw)'!D6)),"COUPON",IF(ISNUMBER(SEARCH("Ratei Pass",'Statements (Raw)'!D6)),"ACCRUED INT",IF(ISNUMBER(SEARCH("Interessi Prest",'Statements (Raw)'!D6)),"SEC LENDING",IF(ISNUMBER(SEARCH("Rimborso",'Statements (Raw)'!D6)),"REDEMPTION",IF(ISNUMBER(SEARCH("Provento",'Statements (Raw)'!D6)),"DISTRIBUTION","OTHER")))))))))))))</f>
        <v>CASH DEPOSIT</v>
      </c>
      <c r="D8" s="6" t="str">
        <f>IF(A8="","",IF(C8="Saldo Iniziale","Balance",IF(C8="CASH DEPOSIT","Deposit",IF(C8="CASH WITHDRAWAL","Withdrawal",IF(C8="STAMP DUTY","Tax",IF(C8="TOBIN TAX","Tax",IF(C8="WITHHOLDING TAX","Tax",IF(C8="DIVIDEND","Dividend",IF(C8="COUPON","Coupon",IF(C8="ACCRUED INT","Accrued Int.",IF(C8="SEC LENDING","Sec. Lending",IF(C8="REDEMPTION","Redemption",IF(C8="DISTRIBUTION","Distribution",IF(ISNUMBER(SEARCH("Rimborso",'Statements (Raw)'!D6)),"Redemption",IF(ISNUMBER(SEARCH("Cedola",'Statements (Raw)'!D6)),"Coupon",IF(ISNUMBER(SEARCH("Incasso Dividendi",'Statements (Raw)'!D6)),"Dividend",IF(ISNUMBER(SEARCH("Provento Etf",'Statements (Raw)'!D6)),"Distribution",IF(ISNUMBER(SEARCH("Rit.provento",'Statements (Raw)'!D6)),"Tax",IF(ISNUMBER(SEARCH("Ratei Pass",'Statements (Raw)'!D6)),"Accrued Int.",IF(ISNUMBER(SEARCH("Interessi Prest",'Statements (Raw)'!D6)),"Sec. Lending",IF('Statements (Raw)'!G6="","Other",IF('Statements (Raw)'!G6&gt;0,"Buy","Sell"))))))))))))))))))))))</f>
        <v>Deposit</v>
      </c>
      <c r="E8" s="6" t="str">
        <f t="shared" si="0"/>
        <v>Cash</v>
      </c>
      <c r="F8" s="8" t="str">
        <f>IF(A8="","",IF('Statements (Raw)'!E6="","",'Statements (Raw)'!E6))</f>
        <v/>
      </c>
      <c r="G8" s="6" t="str">
        <f>IF(A8="","",IF('Statements (Raw)'!F6="","",'Statements (Raw)'!F6))</f>
        <v/>
      </c>
      <c r="H8" s="9" t="str">
        <f>IF(A8="","",IF('Statements (Raw)'!G6="","",'Statements (Raw)'!G6))</f>
        <v/>
      </c>
      <c r="I8" s="10">
        <f>IF(A8="","",IF('Statements (Raw)'!H6="","",'Statements (Raw)'!H6))</f>
        <v>350000</v>
      </c>
      <c r="J8" s="10">
        <f>IF(A8="",0,IF('Statements (Raw)'!I6="",0,'Statements (Raw)'!I6))</f>
        <v>0</v>
      </c>
      <c r="K8" s="10">
        <f t="shared" si="1"/>
        <v>350000</v>
      </c>
    </row>
    <row r="9" spans="1:11" x14ac:dyDescent="0.3">
      <c r="A9" s="171">
        <f>IF(OR('Statements (Raw)'!A7="",'Statements (Raw)'!A7&gt;Holdings!$G$3),"",'Statements (Raw)'!A7)</f>
        <v>45748</v>
      </c>
      <c r="B9" s="7" t="str">
        <f>IF(A9="","",IF('Statements (Raw)'!B7="","",'Statements (Raw)'!B7))</f>
        <v/>
      </c>
      <c r="C9" s="6" t="str">
        <f>IF(A9="","",IF('Statements (Raw)'!C7&lt;&gt;"",'Statements (Raw)'!C7,IF(ISNUMBER(SEARCH("Conferimento",'Statements (Raw)'!D7)),"CASH DEPOSIT",IF(ISNUMBER(SEARCH("Prelievo",'Statements (Raw)'!D7)),"CASH WITHDRAWAL",IF(ISNUMBER(SEARCH("Bollo",'Statements (Raw)'!D7)),"STAMP DUTY",IF(ISNUMBER(SEARCH("Tobin Tax",'Statements (Raw)'!D7)),"TOBIN TAX",IF(ISNUMBER(SEARCH("Rit.provento",'Statements (Raw)'!D7)),"WITHHOLDING TAX",IF(ISNUMBER(SEARCH("Incasso Dividendi",'Statements (Raw)'!D7)),"DIVIDEND",IF(ISNUMBER(SEARCH("Cedola",'Statements (Raw)'!D7)),"COUPON",IF(ISNUMBER(SEARCH("Ratei Pass",'Statements (Raw)'!D7)),"ACCRUED INT",IF(ISNUMBER(SEARCH("Interessi Prest",'Statements (Raw)'!D7)),"SEC LENDING",IF(ISNUMBER(SEARCH("Rimborso",'Statements (Raw)'!D7)),"REDEMPTION",IF(ISNUMBER(SEARCH("Provento",'Statements (Raw)'!D7)),"DISTRIBUTION","OTHER")))))))))))))</f>
        <v>Saldo Iniziale</v>
      </c>
      <c r="D9" s="6" t="str">
        <f>IF(A9="","",IF(C9="Saldo Iniziale","Balance",IF(C9="CASH DEPOSIT","Deposit",IF(C9="CASH WITHDRAWAL","Withdrawal",IF(C9="STAMP DUTY","Tax",IF(C9="TOBIN TAX","Tax",IF(C9="WITHHOLDING TAX","Tax",IF(C9="DIVIDEND","Dividend",IF(C9="COUPON","Coupon",IF(C9="ACCRUED INT","Accrued Int.",IF(C9="SEC LENDING","Sec. Lending",IF(C9="REDEMPTION","Redemption",IF(C9="DISTRIBUTION","Distribution",IF(ISNUMBER(SEARCH("Rimborso",'Statements (Raw)'!D7)),"Redemption",IF(ISNUMBER(SEARCH("Cedola",'Statements (Raw)'!D7)),"Coupon",IF(ISNUMBER(SEARCH("Incasso Dividendi",'Statements (Raw)'!D7)),"Dividend",IF(ISNUMBER(SEARCH("Provento Etf",'Statements (Raw)'!D7)),"Distribution",IF(ISNUMBER(SEARCH("Rit.provento",'Statements (Raw)'!D7)),"Tax",IF(ISNUMBER(SEARCH("Ratei Pass",'Statements (Raw)'!D7)),"Accrued Int.",IF(ISNUMBER(SEARCH("Interessi Prest",'Statements (Raw)'!D7)),"Sec. Lending",IF('Statements (Raw)'!G7="","Other",IF('Statements (Raw)'!G7&gt;0,"Buy","Sell"))))))))))))))))))))))</f>
        <v>Balance</v>
      </c>
      <c r="E9" s="6" t="str">
        <f t="shared" si="0"/>
        <v>Cash</v>
      </c>
      <c r="F9" s="8" t="str">
        <f>IF(A9="","",IF('Statements (Raw)'!E7="","",'Statements (Raw)'!E7))</f>
        <v/>
      </c>
      <c r="G9" s="6" t="str">
        <f>IF(A9="","",IF('Statements (Raw)'!F7="","",'Statements (Raw)'!F7))</f>
        <v/>
      </c>
      <c r="H9" s="9" t="str">
        <f>IF(A9="","",IF('Statements (Raw)'!G7="","",'Statements (Raw)'!G7))</f>
        <v/>
      </c>
      <c r="I9" s="10">
        <f>IF(A9="","",IF('Statements (Raw)'!H7="","",'Statements (Raw)'!H7))</f>
        <v>350367.1</v>
      </c>
      <c r="J9" s="10">
        <f>IF(A9="",0,IF('Statements (Raw)'!I7="",0,'Statements (Raw)'!I7))</f>
        <v>0</v>
      </c>
      <c r="K9" s="10">
        <f t="shared" si="1"/>
        <v>350367.1</v>
      </c>
    </row>
    <row r="10" spans="1:11" x14ac:dyDescent="0.3">
      <c r="A10" s="171">
        <f>IF(OR('Statements (Raw)'!A8="",'Statements (Raw)'!A8&gt;Holdings!$G$3),"",'Statements (Raw)'!A8)</f>
        <v>45778</v>
      </c>
      <c r="B10" s="7" t="str">
        <f>IF(A10="","",IF('Statements (Raw)'!B8="","",'Statements (Raw)'!B8))</f>
        <v/>
      </c>
      <c r="C10" s="6" t="str">
        <f>IF(A10="","",IF('Statements (Raw)'!C8&lt;&gt;"",'Statements (Raw)'!C8,IF(ISNUMBER(SEARCH("Conferimento",'Statements (Raw)'!D8)),"CASH DEPOSIT",IF(ISNUMBER(SEARCH("Prelievo",'Statements (Raw)'!D8)),"CASH WITHDRAWAL",IF(ISNUMBER(SEARCH("Bollo",'Statements (Raw)'!D8)),"STAMP DUTY",IF(ISNUMBER(SEARCH("Tobin Tax",'Statements (Raw)'!D8)),"TOBIN TAX",IF(ISNUMBER(SEARCH("Rit.provento",'Statements (Raw)'!D8)),"WITHHOLDING TAX",IF(ISNUMBER(SEARCH("Incasso Dividendi",'Statements (Raw)'!D8)),"DIVIDEND",IF(ISNUMBER(SEARCH("Cedola",'Statements (Raw)'!D8)),"COUPON",IF(ISNUMBER(SEARCH("Ratei Pass",'Statements (Raw)'!D8)),"ACCRUED INT",IF(ISNUMBER(SEARCH("Interessi Prest",'Statements (Raw)'!D8)),"SEC LENDING",IF(ISNUMBER(SEARCH("Rimborso",'Statements (Raw)'!D8)),"REDEMPTION",IF(ISNUMBER(SEARCH("Provento",'Statements (Raw)'!D8)),"DISTRIBUTION","OTHER")))))))))))))</f>
        <v>Saldo Iniziale</v>
      </c>
      <c r="D10" s="6" t="str">
        <f>IF(A10="","",IF(C10="Saldo Iniziale","Balance",IF(C10="CASH DEPOSIT","Deposit",IF(C10="CASH WITHDRAWAL","Withdrawal",IF(C10="STAMP DUTY","Tax",IF(C10="TOBIN TAX","Tax",IF(C10="WITHHOLDING TAX","Tax",IF(C10="DIVIDEND","Dividend",IF(C10="COUPON","Coupon",IF(C10="ACCRUED INT","Accrued Int.",IF(C10="SEC LENDING","Sec. Lending",IF(C10="REDEMPTION","Redemption",IF(C10="DISTRIBUTION","Distribution",IF(ISNUMBER(SEARCH("Rimborso",'Statements (Raw)'!D8)),"Redemption",IF(ISNUMBER(SEARCH("Cedola",'Statements (Raw)'!D8)),"Coupon",IF(ISNUMBER(SEARCH("Incasso Dividendi",'Statements (Raw)'!D8)),"Dividend",IF(ISNUMBER(SEARCH("Provento Etf",'Statements (Raw)'!D8)),"Distribution",IF(ISNUMBER(SEARCH("Rit.provento",'Statements (Raw)'!D8)),"Tax",IF(ISNUMBER(SEARCH("Ratei Pass",'Statements (Raw)'!D8)),"Accrued Int.",IF(ISNUMBER(SEARCH("Interessi Prest",'Statements (Raw)'!D8)),"Sec. Lending",IF('Statements (Raw)'!G8="","Other",IF('Statements (Raw)'!G8&gt;0,"Buy","Sell"))))))))))))))))))))))</f>
        <v>Balance</v>
      </c>
      <c r="E10" s="6" t="str">
        <f t="shared" si="0"/>
        <v>Cash</v>
      </c>
      <c r="F10" s="8" t="str">
        <f>IF(A10="","",IF('Statements (Raw)'!E8="","",'Statements (Raw)'!E8))</f>
        <v/>
      </c>
      <c r="G10" s="6" t="str">
        <f>IF(A10="","",IF('Statements (Raw)'!F8="","",'Statements (Raw)'!F8))</f>
        <v/>
      </c>
      <c r="H10" s="9" t="str">
        <f>IF(A10="","",IF('Statements (Raw)'!G8="","",'Statements (Raw)'!G8))</f>
        <v/>
      </c>
      <c r="I10" s="10">
        <f>IF(A10="","",IF('Statements (Raw)'!H8="","",'Statements (Raw)'!H8))</f>
        <v>350367.1</v>
      </c>
      <c r="J10" s="10">
        <f>IF(A10="",0,IF('Statements (Raw)'!I8="",0,'Statements (Raw)'!I8))</f>
        <v>0</v>
      </c>
      <c r="K10" s="10">
        <f t="shared" si="1"/>
        <v>350367.1</v>
      </c>
    </row>
    <row r="11" spans="1:11" x14ac:dyDescent="0.3">
      <c r="A11" s="171">
        <f>IF(OR('Statements (Raw)'!A9="",'Statements (Raw)'!A9&gt;Holdings!$G$3),"",'Statements (Raw)'!A9)</f>
        <v>45807</v>
      </c>
      <c r="B11" s="7">
        <f>IF(A11="","",IF('Statements (Raw)'!B9="","",'Statements (Raw)'!B9))</f>
        <v>45811</v>
      </c>
      <c r="C11" s="6" t="str">
        <f>IF(A11="","",IF('Statements (Raw)'!C9&lt;&gt;"",'Statements (Raw)'!C9,IF(ISNUMBER(SEARCH("Conferimento",'Statements (Raw)'!D9)),"CASH DEPOSIT",IF(ISNUMBER(SEARCH("Prelievo",'Statements (Raw)'!D9)),"CASH WITHDRAWAL",IF(ISNUMBER(SEARCH("Bollo",'Statements (Raw)'!D9)),"STAMP DUTY",IF(ISNUMBER(SEARCH("Tobin Tax",'Statements (Raw)'!D9)),"TOBIN TAX",IF(ISNUMBER(SEARCH("Rit.provento",'Statements (Raw)'!D9)),"WITHHOLDING TAX",IF(ISNUMBER(SEARCH("Incasso Dividendi",'Statements (Raw)'!D9)),"DIVIDEND",IF(ISNUMBER(SEARCH("Cedola",'Statements (Raw)'!D9)),"COUPON",IF(ISNUMBER(SEARCH("Ratei Pass",'Statements (Raw)'!D9)),"ACCRUED INT",IF(ISNUMBER(SEARCH("Interessi Prest",'Statements (Raw)'!D9)),"SEC LENDING",IF(ISNUMBER(SEARCH("Rimborso",'Statements (Raw)'!D9)),"REDEMPTION",IF(ISNUMBER(SEARCH("Provento",'Statements (Raw)'!D9)),"DISTRIBUTION","OTHER")))))))))))))</f>
        <v>SANLORENZO</v>
      </c>
      <c r="D11" s="6" t="str">
        <f>IF(A11="","",IF(C11="Saldo Iniziale","Balance",IF(C11="CASH DEPOSIT","Deposit",IF(C11="CASH WITHDRAWAL","Withdrawal",IF(C11="STAMP DUTY","Tax",IF(C11="TOBIN TAX","Tax",IF(C11="WITHHOLDING TAX","Tax",IF(C11="DIVIDEND","Dividend",IF(C11="COUPON","Coupon",IF(C11="ACCRUED INT","Accrued Int.",IF(C11="SEC LENDING","Sec. Lending",IF(C11="REDEMPTION","Redemption",IF(C11="DISTRIBUTION","Distribution",IF(ISNUMBER(SEARCH("Rimborso",'Statements (Raw)'!D9)),"Redemption",IF(ISNUMBER(SEARCH("Cedola",'Statements (Raw)'!D9)),"Coupon",IF(ISNUMBER(SEARCH("Incasso Dividendi",'Statements (Raw)'!D9)),"Dividend",IF(ISNUMBER(SEARCH("Provento Etf",'Statements (Raw)'!D9)),"Distribution",IF(ISNUMBER(SEARCH("Rit.provento",'Statements (Raw)'!D9)),"Tax",IF(ISNUMBER(SEARCH("Ratei Pass",'Statements (Raw)'!D9)),"Accrued Int.",IF(ISNUMBER(SEARCH("Interessi Prest",'Statements (Raw)'!D9)),"Sec. Lending",IF('Statements (Raw)'!G9="","Other",IF('Statements (Raw)'!G9&gt;0,"Buy","Sell"))))))))))))))))))))))</f>
        <v>Buy</v>
      </c>
      <c r="E11" s="6" t="str">
        <f t="shared" si="0"/>
        <v>Stock</v>
      </c>
      <c r="F11" s="8">
        <f>IF(A11="","",IF('Statements (Raw)'!E9="","",'Statements (Raw)'!E9))</f>
        <v>30.55</v>
      </c>
      <c r="G11" s="6" t="str">
        <f>IF(A11="","",IF('Statements (Raw)'!F9="","",'Statements (Raw)'!F9))</f>
        <v>EUR</v>
      </c>
      <c r="H11" s="9">
        <f>IF(A11="","",IF('Statements (Raw)'!G9="","",'Statements (Raw)'!G9))</f>
        <v>3</v>
      </c>
      <c r="I11" s="10">
        <f>IF(A11="","",IF('Statements (Raw)'!H9="","",'Statements (Raw)'!H9))</f>
        <v>-91.65</v>
      </c>
      <c r="J11" s="10">
        <f>IF(A11="",0,IF('Statements (Raw)'!I9="",0,'Statements (Raw)'!I9))</f>
        <v>-5</v>
      </c>
      <c r="K11" s="10">
        <f t="shared" si="1"/>
        <v>-96.65</v>
      </c>
    </row>
    <row r="12" spans="1:11" x14ac:dyDescent="0.3">
      <c r="A12" s="171">
        <f>IF(OR('Statements (Raw)'!A10="",'Statements (Raw)'!A10&gt;Holdings!$G$3),"",'Statements (Raw)'!A10)</f>
        <v>45807</v>
      </c>
      <c r="B12" s="7">
        <f>IF(A12="","",IF('Statements (Raw)'!B10="","",'Statements (Raw)'!B10))</f>
        <v>45811</v>
      </c>
      <c r="C12" s="6" t="str">
        <f>IF(A12="","",IF('Statements (Raw)'!C10&lt;&gt;"",'Statements (Raw)'!C10,IF(ISNUMBER(SEARCH("Conferimento",'Statements (Raw)'!D10)),"CASH DEPOSIT",IF(ISNUMBER(SEARCH("Prelievo",'Statements (Raw)'!D10)),"CASH WITHDRAWAL",IF(ISNUMBER(SEARCH("Bollo",'Statements (Raw)'!D10)),"STAMP DUTY",IF(ISNUMBER(SEARCH("Tobin Tax",'Statements (Raw)'!D10)),"TOBIN TAX",IF(ISNUMBER(SEARCH("Rit.provento",'Statements (Raw)'!D10)),"WITHHOLDING TAX",IF(ISNUMBER(SEARCH("Incasso Dividendi",'Statements (Raw)'!D10)),"DIVIDEND",IF(ISNUMBER(SEARCH("Cedola",'Statements (Raw)'!D10)),"COUPON",IF(ISNUMBER(SEARCH("Ratei Pass",'Statements (Raw)'!D10)),"ACCRUED INT",IF(ISNUMBER(SEARCH("Interessi Prest",'Statements (Raw)'!D10)),"SEC LENDING",IF(ISNUMBER(SEARCH("Rimborso",'Statements (Raw)'!D10)),"REDEMPTION",IF(ISNUMBER(SEARCH("Provento",'Statements (Raw)'!D10)),"DISTRIBUTION","OTHER")))))))))))))</f>
        <v>SANLORENZO</v>
      </c>
      <c r="D12" s="6" t="str">
        <f>IF(A12="","",IF(C12="Saldo Iniziale","Balance",IF(C12="CASH DEPOSIT","Deposit",IF(C12="CASH WITHDRAWAL","Withdrawal",IF(C12="STAMP DUTY","Tax",IF(C12="TOBIN TAX","Tax",IF(C12="WITHHOLDING TAX","Tax",IF(C12="DIVIDEND","Dividend",IF(C12="COUPON","Coupon",IF(C12="ACCRUED INT","Accrued Int.",IF(C12="SEC LENDING","Sec. Lending",IF(C12="REDEMPTION","Redemption",IF(C12="DISTRIBUTION","Distribution",IF(ISNUMBER(SEARCH("Rimborso",'Statements (Raw)'!D10)),"Redemption",IF(ISNUMBER(SEARCH("Cedola",'Statements (Raw)'!D10)),"Coupon",IF(ISNUMBER(SEARCH("Incasso Dividendi",'Statements (Raw)'!D10)),"Dividend",IF(ISNUMBER(SEARCH("Provento Etf",'Statements (Raw)'!D10)),"Distribution",IF(ISNUMBER(SEARCH("Rit.provento",'Statements (Raw)'!D10)),"Tax",IF(ISNUMBER(SEARCH("Ratei Pass",'Statements (Raw)'!D10)),"Accrued Int.",IF(ISNUMBER(SEARCH("Interessi Prest",'Statements (Raw)'!D10)),"Sec. Lending",IF('Statements (Raw)'!G10="","Other",IF('Statements (Raw)'!G10&gt;0,"Buy","Sell"))))))))))))))))))))))</f>
        <v>Buy</v>
      </c>
      <c r="E12" s="6" t="str">
        <f t="shared" si="0"/>
        <v>Stock</v>
      </c>
      <c r="F12" s="8">
        <f>IF(A12="","",IF('Statements (Raw)'!E10="","",'Statements (Raw)'!E10))</f>
        <v>30.55</v>
      </c>
      <c r="G12" s="6" t="str">
        <f>IF(A12="","",IF('Statements (Raw)'!F10="","",'Statements (Raw)'!F10))</f>
        <v>EUR</v>
      </c>
      <c r="H12" s="9">
        <f>IF(A12="","",IF('Statements (Raw)'!G10="","",'Statements (Raw)'!G10))</f>
        <v>99</v>
      </c>
      <c r="I12" s="10">
        <f>IF(A12="","",IF('Statements (Raw)'!H10="","",'Statements (Raw)'!H10))</f>
        <v>-3024.45</v>
      </c>
      <c r="J12" s="10">
        <f>IF(A12="",0,IF('Statements (Raw)'!I10="",0,'Statements (Raw)'!I10))</f>
        <v>0</v>
      </c>
      <c r="K12" s="10">
        <f t="shared" si="1"/>
        <v>-3024.45</v>
      </c>
    </row>
    <row r="13" spans="1:11" x14ac:dyDescent="0.3">
      <c r="A13" s="171">
        <f>IF(OR('Statements (Raw)'!A11="",'Statements (Raw)'!A11&gt;Holdings!$G$3),"",'Statements (Raw)'!A11)</f>
        <v>45807</v>
      </c>
      <c r="B13" s="7">
        <f>IF(A13="","",IF('Statements (Raw)'!B11="","",'Statements (Raw)'!B11))</f>
        <v>45811</v>
      </c>
      <c r="C13" s="6" t="str">
        <f>IF(A13="","",IF('Statements (Raw)'!C11&lt;&gt;"",'Statements (Raw)'!C11,IF(ISNUMBER(SEARCH("Conferimento",'Statements (Raw)'!D11)),"CASH DEPOSIT",IF(ISNUMBER(SEARCH("Prelievo",'Statements (Raw)'!D11)),"CASH WITHDRAWAL",IF(ISNUMBER(SEARCH("Bollo",'Statements (Raw)'!D11)),"STAMP DUTY",IF(ISNUMBER(SEARCH("Tobin Tax",'Statements (Raw)'!D11)),"TOBIN TAX",IF(ISNUMBER(SEARCH("Rit.provento",'Statements (Raw)'!D11)),"WITHHOLDING TAX",IF(ISNUMBER(SEARCH("Incasso Dividendi",'Statements (Raw)'!D11)),"DIVIDEND",IF(ISNUMBER(SEARCH("Cedola",'Statements (Raw)'!D11)),"COUPON",IF(ISNUMBER(SEARCH("Ratei Pass",'Statements (Raw)'!D11)),"ACCRUED INT",IF(ISNUMBER(SEARCH("Interessi Prest",'Statements (Raw)'!D11)),"SEC LENDING",IF(ISNUMBER(SEARCH("Rimborso",'Statements (Raw)'!D11)),"REDEMPTION",IF(ISNUMBER(SEARCH("Provento",'Statements (Raw)'!D11)),"DISTRIBUTION","OTHER")))))))))))))</f>
        <v>SANLORENZO</v>
      </c>
      <c r="D13" s="6" t="str">
        <f>IF(A13="","",IF(C13="Saldo Iniziale","Balance",IF(C13="CASH DEPOSIT","Deposit",IF(C13="CASH WITHDRAWAL","Withdrawal",IF(C13="STAMP DUTY","Tax",IF(C13="TOBIN TAX","Tax",IF(C13="WITHHOLDING TAX","Tax",IF(C13="DIVIDEND","Dividend",IF(C13="COUPON","Coupon",IF(C13="ACCRUED INT","Accrued Int.",IF(C13="SEC LENDING","Sec. Lending",IF(C13="REDEMPTION","Redemption",IF(C13="DISTRIBUTION","Distribution",IF(ISNUMBER(SEARCH("Rimborso",'Statements (Raw)'!D11)),"Redemption",IF(ISNUMBER(SEARCH("Cedola",'Statements (Raw)'!D11)),"Coupon",IF(ISNUMBER(SEARCH("Incasso Dividendi",'Statements (Raw)'!D11)),"Dividend",IF(ISNUMBER(SEARCH("Provento Etf",'Statements (Raw)'!D11)),"Distribution",IF(ISNUMBER(SEARCH("Rit.provento",'Statements (Raw)'!D11)),"Tax",IF(ISNUMBER(SEARCH("Ratei Pass",'Statements (Raw)'!D11)),"Accrued Int.",IF(ISNUMBER(SEARCH("Interessi Prest",'Statements (Raw)'!D11)),"Sec. Lending",IF('Statements (Raw)'!G11="","Other",IF('Statements (Raw)'!G11&gt;0,"Buy","Sell"))))))))))))))))))))))</f>
        <v>Buy</v>
      </c>
      <c r="E13" s="6" t="str">
        <f t="shared" si="0"/>
        <v>Stock</v>
      </c>
      <c r="F13" s="8">
        <f>IF(A13="","",IF('Statements (Raw)'!E11="","",'Statements (Raw)'!E11))</f>
        <v>30.55</v>
      </c>
      <c r="G13" s="6" t="str">
        <f>IF(A13="","",IF('Statements (Raw)'!F11="","",'Statements (Raw)'!F11))</f>
        <v>EUR</v>
      </c>
      <c r="H13" s="9">
        <f>IF(A13="","",IF('Statements (Raw)'!G11="","",'Statements (Raw)'!G11))</f>
        <v>89</v>
      </c>
      <c r="I13" s="10">
        <f>IF(A13="","",IF('Statements (Raw)'!H11="","",'Statements (Raw)'!H11))</f>
        <v>-2718.95</v>
      </c>
      <c r="J13" s="10">
        <f>IF(A13="",0,IF('Statements (Raw)'!I11="",0,'Statements (Raw)'!I11))</f>
        <v>0</v>
      </c>
      <c r="K13" s="10">
        <f t="shared" si="1"/>
        <v>-2718.95</v>
      </c>
    </row>
    <row r="14" spans="1:11" x14ac:dyDescent="0.3">
      <c r="A14" s="171">
        <f>IF(OR('Statements (Raw)'!A12="",'Statements (Raw)'!A12&gt;Holdings!$G$3),"",'Statements (Raw)'!A12)</f>
        <v>45807</v>
      </c>
      <c r="B14" s="7">
        <f>IF(A14="","",IF('Statements (Raw)'!B12="","",'Statements (Raw)'!B12))</f>
        <v>45811</v>
      </c>
      <c r="C14" s="6" t="str">
        <f>IF(A14="","",IF('Statements (Raw)'!C12&lt;&gt;"",'Statements (Raw)'!C12,IF(ISNUMBER(SEARCH("Conferimento",'Statements (Raw)'!D12)),"CASH DEPOSIT",IF(ISNUMBER(SEARCH("Prelievo",'Statements (Raw)'!D12)),"CASH WITHDRAWAL",IF(ISNUMBER(SEARCH("Bollo",'Statements (Raw)'!D12)),"STAMP DUTY",IF(ISNUMBER(SEARCH("Tobin Tax",'Statements (Raw)'!D12)),"TOBIN TAX",IF(ISNUMBER(SEARCH("Rit.provento",'Statements (Raw)'!D12)),"WITHHOLDING TAX",IF(ISNUMBER(SEARCH("Incasso Dividendi",'Statements (Raw)'!D12)),"DIVIDEND",IF(ISNUMBER(SEARCH("Cedola",'Statements (Raw)'!D12)),"COUPON",IF(ISNUMBER(SEARCH("Ratei Pass",'Statements (Raw)'!D12)),"ACCRUED INT",IF(ISNUMBER(SEARCH("Interessi Prest",'Statements (Raw)'!D12)),"SEC LENDING",IF(ISNUMBER(SEARCH("Rimborso",'Statements (Raw)'!D12)),"REDEMPTION",IF(ISNUMBER(SEARCH("Provento",'Statements (Raw)'!D12)),"DISTRIBUTION","OTHER")))))))))))))</f>
        <v>SANLORENZO</v>
      </c>
      <c r="D14" s="6" t="str">
        <f>IF(A14="","",IF(C14="Saldo Iniziale","Balance",IF(C14="CASH DEPOSIT","Deposit",IF(C14="CASH WITHDRAWAL","Withdrawal",IF(C14="STAMP DUTY","Tax",IF(C14="TOBIN TAX","Tax",IF(C14="WITHHOLDING TAX","Tax",IF(C14="DIVIDEND","Dividend",IF(C14="COUPON","Coupon",IF(C14="ACCRUED INT","Accrued Int.",IF(C14="SEC LENDING","Sec. Lending",IF(C14="REDEMPTION","Redemption",IF(C14="DISTRIBUTION","Distribution",IF(ISNUMBER(SEARCH("Rimborso",'Statements (Raw)'!D12)),"Redemption",IF(ISNUMBER(SEARCH("Cedola",'Statements (Raw)'!D12)),"Coupon",IF(ISNUMBER(SEARCH("Incasso Dividendi",'Statements (Raw)'!D12)),"Dividend",IF(ISNUMBER(SEARCH("Provento Etf",'Statements (Raw)'!D12)),"Distribution",IF(ISNUMBER(SEARCH("Rit.provento",'Statements (Raw)'!D12)),"Tax",IF(ISNUMBER(SEARCH("Ratei Pass",'Statements (Raw)'!D12)),"Accrued Int.",IF(ISNUMBER(SEARCH("Interessi Prest",'Statements (Raw)'!D12)),"Sec. Lending",IF('Statements (Raw)'!G12="","Other",IF('Statements (Raw)'!G12&gt;0,"Buy","Sell"))))))))))))))))))))))</f>
        <v>Buy</v>
      </c>
      <c r="E14" s="6" t="str">
        <f t="shared" si="0"/>
        <v>Stock</v>
      </c>
      <c r="F14" s="8">
        <f>IF(A14="","",IF('Statements (Raw)'!E12="","",'Statements (Raw)'!E12))</f>
        <v>30.55</v>
      </c>
      <c r="G14" s="6" t="str">
        <f>IF(A14="","",IF('Statements (Raw)'!F12="","",'Statements (Raw)'!F12))</f>
        <v>EUR</v>
      </c>
      <c r="H14" s="9">
        <f>IF(A14="","",IF('Statements (Raw)'!G12="","",'Statements (Raw)'!G12))</f>
        <v>3</v>
      </c>
      <c r="I14" s="10">
        <f>IF(A14="","",IF('Statements (Raw)'!H12="","",'Statements (Raw)'!H12))</f>
        <v>-91.65</v>
      </c>
      <c r="J14" s="10">
        <f>IF(A14="",0,IF('Statements (Raw)'!I12="",0,'Statements (Raw)'!I12))</f>
        <v>0</v>
      </c>
      <c r="K14" s="10">
        <f t="shared" si="1"/>
        <v>-91.65</v>
      </c>
    </row>
    <row r="15" spans="1:11" x14ac:dyDescent="0.3">
      <c r="A15" s="171">
        <f>IF(OR('Statements (Raw)'!A13="",'Statements (Raw)'!A13&gt;Holdings!$G$3),"",'Statements (Raw)'!A13)</f>
        <v>45807</v>
      </c>
      <c r="B15" s="7">
        <f>IF(A15="","",IF('Statements (Raw)'!B13="","",'Statements (Raw)'!B13))</f>
        <v>45811</v>
      </c>
      <c r="C15" s="6" t="str">
        <f>IF(A15="","",IF('Statements (Raw)'!C13&lt;&gt;"",'Statements (Raw)'!C13,IF(ISNUMBER(SEARCH("Conferimento",'Statements (Raw)'!D13)),"CASH DEPOSIT",IF(ISNUMBER(SEARCH("Prelievo",'Statements (Raw)'!D13)),"CASH WITHDRAWAL",IF(ISNUMBER(SEARCH("Bollo",'Statements (Raw)'!D13)),"STAMP DUTY",IF(ISNUMBER(SEARCH("Tobin Tax",'Statements (Raw)'!D13)),"TOBIN TAX",IF(ISNUMBER(SEARCH("Rit.provento",'Statements (Raw)'!D13)),"WITHHOLDING TAX",IF(ISNUMBER(SEARCH("Incasso Dividendi",'Statements (Raw)'!D13)),"DIVIDEND",IF(ISNUMBER(SEARCH("Cedola",'Statements (Raw)'!D13)),"COUPON",IF(ISNUMBER(SEARCH("Ratei Pass",'Statements (Raw)'!D13)),"ACCRUED INT",IF(ISNUMBER(SEARCH("Interessi Prest",'Statements (Raw)'!D13)),"SEC LENDING",IF(ISNUMBER(SEARCH("Rimborso",'Statements (Raw)'!D13)),"REDEMPTION",IF(ISNUMBER(SEARCH("Provento",'Statements (Raw)'!D13)),"DISTRIBUTION","OTHER")))))))))))))</f>
        <v>SANLORENZO</v>
      </c>
      <c r="D15" s="6" t="str">
        <f>IF(A15="","",IF(C15="Saldo Iniziale","Balance",IF(C15="CASH DEPOSIT","Deposit",IF(C15="CASH WITHDRAWAL","Withdrawal",IF(C15="STAMP DUTY","Tax",IF(C15="TOBIN TAX","Tax",IF(C15="WITHHOLDING TAX","Tax",IF(C15="DIVIDEND","Dividend",IF(C15="COUPON","Coupon",IF(C15="ACCRUED INT","Accrued Int.",IF(C15="SEC LENDING","Sec. Lending",IF(C15="REDEMPTION","Redemption",IF(C15="DISTRIBUTION","Distribution",IF(ISNUMBER(SEARCH("Rimborso",'Statements (Raw)'!D13)),"Redemption",IF(ISNUMBER(SEARCH("Cedola",'Statements (Raw)'!D13)),"Coupon",IF(ISNUMBER(SEARCH("Incasso Dividendi",'Statements (Raw)'!D13)),"Dividend",IF(ISNUMBER(SEARCH("Provento Etf",'Statements (Raw)'!D13)),"Distribution",IF(ISNUMBER(SEARCH("Rit.provento",'Statements (Raw)'!D13)),"Tax",IF(ISNUMBER(SEARCH("Ratei Pass",'Statements (Raw)'!D13)),"Accrued Int.",IF(ISNUMBER(SEARCH("Interessi Prest",'Statements (Raw)'!D13)),"Sec. Lending",IF('Statements (Raw)'!G13="","Other",IF('Statements (Raw)'!G13&gt;0,"Buy","Sell"))))))))))))))))))))))</f>
        <v>Buy</v>
      </c>
      <c r="E15" s="6" t="str">
        <f t="shared" si="0"/>
        <v>Stock</v>
      </c>
      <c r="F15" s="8">
        <f>IF(A15="","",IF('Statements (Raw)'!E13="","",'Statements (Raw)'!E13))</f>
        <v>30.55</v>
      </c>
      <c r="G15" s="6" t="str">
        <f>IF(A15="","",IF('Statements (Raw)'!F13="","",'Statements (Raw)'!F13))</f>
        <v>EUR</v>
      </c>
      <c r="H15" s="9">
        <f>IF(A15="","",IF('Statements (Raw)'!G13="","",'Statements (Raw)'!G13))</f>
        <v>11</v>
      </c>
      <c r="I15" s="10">
        <f>IF(A15="","",IF('Statements (Raw)'!H13="","",'Statements (Raw)'!H13))</f>
        <v>-336.05</v>
      </c>
      <c r="J15" s="10">
        <f>IF(A15="",0,IF('Statements (Raw)'!I13="",0,'Statements (Raw)'!I13))</f>
        <v>0</v>
      </c>
      <c r="K15" s="10">
        <f t="shared" si="1"/>
        <v>-336.05</v>
      </c>
    </row>
    <row r="16" spans="1:11" x14ac:dyDescent="0.3">
      <c r="A16" s="171">
        <f>IF(OR('Statements (Raw)'!A14="",'Statements (Raw)'!A14&gt;Holdings!$G$3),"",'Statements (Raw)'!A14)</f>
        <v>45807</v>
      </c>
      <c r="B16" s="7">
        <f>IF(A16="","",IF('Statements (Raw)'!B14="","",'Statements (Raw)'!B14))</f>
        <v>45811</v>
      </c>
      <c r="C16" s="6" t="str">
        <f>IF(A16="","",IF('Statements (Raw)'!C14&lt;&gt;"",'Statements (Raw)'!C14,IF(ISNUMBER(SEARCH("Conferimento",'Statements (Raw)'!D14)),"CASH DEPOSIT",IF(ISNUMBER(SEARCH("Prelievo",'Statements (Raw)'!D14)),"CASH WITHDRAWAL",IF(ISNUMBER(SEARCH("Bollo",'Statements (Raw)'!D14)),"STAMP DUTY",IF(ISNUMBER(SEARCH("Tobin Tax",'Statements (Raw)'!D14)),"TOBIN TAX",IF(ISNUMBER(SEARCH("Rit.provento",'Statements (Raw)'!D14)),"WITHHOLDING TAX",IF(ISNUMBER(SEARCH("Incasso Dividendi",'Statements (Raw)'!D14)),"DIVIDEND",IF(ISNUMBER(SEARCH("Cedola",'Statements (Raw)'!D14)),"COUPON",IF(ISNUMBER(SEARCH("Ratei Pass",'Statements (Raw)'!D14)),"ACCRUED INT",IF(ISNUMBER(SEARCH("Interessi Prest",'Statements (Raw)'!D14)),"SEC LENDING",IF(ISNUMBER(SEARCH("Rimborso",'Statements (Raw)'!D14)),"REDEMPTION",IF(ISNUMBER(SEARCH("Provento",'Statements (Raw)'!D14)),"DISTRIBUTION","OTHER")))))))))))))</f>
        <v>SANLORENZO</v>
      </c>
      <c r="D16" s="6" t="str">
        <f>IF(A16="","",IF(C16="Saldo Iniziale","Balance",IF(C16="CASH DEPOSIT","Deposit",IF(C16="CASH WITHDRAWAL","Withdrawal",IF(C16="STAMP DUTY","Tax",IF(C16="TOBIN TAX","Tax",IF(C16="WITHHOLDING TAX","Tax",IF(C16="DIVIDEND","Dividend",IF(C16="COUPON","Coupon",IF(C16="ACCRUED INT","Accrued Int.",IF(C16="SEC LENDING","Sec. Lending",IF(C16="REDEMPTION","Redemption",IF(C16="DISTRIBUTION","Distribution",IF(ISNUMBER(SEARCH("Rimborso",'Statements (Raw)'!D14)),"Redemption",IF(ISNUMBER(SEARCH("Cedola",'Statements (Raw)'!D14)),"Coupon",IF(ISNUMBER(SEARCH("Incasso Dividendi",'Statements (Raw)'!D14)),"Dividend",IF(ISNUMBER(SEARCH("Provento Etf",'Statements (Raw)'!D14)),"Distribution",IF(ISNUMBER(SEARCH("Rit.provento",'Statements (Raw)'!D14)),"Tax",IF(ISNUMBER(SEARCH("Ratei Pass",'Statements (Raw)'!D14)),"Accrued Int.",IF(ISNUMBER(SEARCH("Interessi Prest",'Statements (Raw)'!D14)),"Sec. Lending",IF('Statements (Raw)'!G14="","Other",IF('Statements (Raw)'!G14&gt;0,"Buy","Sell"))))))))))))))))))))))</f>
        <v>Buy</v>
      </c>
      <c r="E16" s="6" t="str">
        <f t="shared" si="0"/>
        <v>Stock</v>
      </c>
      <c r="F16" s="8">
        <f>IF(A16="","",IF('Statements (Raw)'!E14="","",'Statements (Raw)'!E14))</f>
        <v>30.55</v>
      </c>
      <c r="G16" s="6" t="str">
        <f>IF(A16="","",IF('Statements (Raw)'!F14="","",'Statements (Raw)'!F14))</f>
        <v>EUR</v>
      </c>
      <c r="H16" s="9">
        <f>IF(A16="","",IF('Statements (Raw)'!G14="","",'Statements (Raw)'!G14))</f>
        <v>29</v>
      </c>
      <c r="I16" s="10">
        <f>IF(A16="","",IF('Statements (Raw)'!H14="","",'Statements (Raw)'!H14))</f>
        <v>-885.95</v>
      </c>
      <c r="J16" s="10">
        <f>IF(A16="",0,IF('Statements (Raw)'!I14="",0,'Statements (Raw)'!I14))</f>
        <v>0</v>
      </c>
      <c r="K16" s="10">
        <f t="shared" si="1"/>
        <v>-885.95</v>
      </c>
    </row>
    <row r="17" spans="1:11" x14ac:dyDescent="0.3">
      <c r="A17" s="171">
        <f>IF(OR('Statements (Raw)'!A15="",'Statements (Raw)'!A15&gt;Holdings!$G$3),"",'Statements (Raw)'!A15)</f>
        <v>45807</v>
      </c>
      <c r="B17" s="7">
        <f>IF(A17="","",IF('Statements (Raw)'!B15="","",'Statements (Raw)'!B15))</f>
        <v>45811</v>
      </c>
      <c r="C17" s="6" t="str">
        <f>IF(A17="","",IF('Statements (Raw)'!C15&lt;&gt;"",'Statements (Raw)'!C15,IF(ISNUMBER(SEARCH("Conferimento",'Statements (Raw)'!D15)),"CASH DEPOSIT",IF(ISNUMBER(SEARCH("Prelievo",'Statements (Raw)'!D15)),"CASH WITHDRAWAL",IF(ISNUMBER(SEARCH("Bollo",'Statements (Raw)'!D15)),"STAMP DUTY",IF(ISNUMBER(SEARCH("Tobin Tax",'Statements (Raw)'!D15)),"TOBIN TAX",IF(ISNUMBER(SEARCH("Rit.provento",'Statements (Raw)'!D15)),"WITHHOLDING TAX",IF(ISNUMBER(SEARCH("Incasso Dividendi",'Statements (Raw)'!D15)),"DIVIDEND",IF(ISNUMBER(SEARCH("Cedola",'Statements (Raw)'!D15)),"COUPON",IF(ISNUMBER(SEARCH("Ratei Pass",'Statements (Raw)'!D15)),"ACCRUED INT",IF(ISNUMBER(SEARCH("Interessi Prest",'Statements (Raw)'!D15)),"SEC LENDING",IF(ISNUMBER(SEARCH("Rimborso",'Statements (Raw)'!D15)),"REDEMPTION",IF(ISNUMBER(SEARCH("Provento",'Statements (Raw)'!D15)),"DISTRIBUTION","OTHER")))))))))))))</f>
        <v>SANLORENZO</v>
      </c>
      <c r="D17" s="6" t="str">
        <f>IF(A17="","",IF(C17="Saldo Iniziale","Balance",IF(C17="CASH DEPOSIT","Deposit",IF(C17="CASH WITHDRAWAL","Withdrawal",IF(C17="STAMP DUTY","Tax",IF(C17="TOBIN TAX","Tax",IF(C17="WITHHOLDING TAX","Tax",IF(C17="DIVIDEND","Dividend",IF(C17="COUPON","Coupon",IF(C17="ACCRUED INT","Accrued Int.",IF(C17="SEC LENDING","Sec. Lending",IF(C17="REDEMPTION","Redemption",IF(C17="DISTRIBUTION","Distribution",IF(ISNUMBER(SEARCH("Rimborso",'Statements (Raw)'!D15)),"Redemption",IF(ISNUMBER(SEARCH("Cedola",'Statements (Raw)'!D15)),"Coupon",IF(ISNUMBER(SEARCH("Incasso Dividendi",'Statements (Raw)'!D15)),"Dividend",IF(ISNUMBER(SEARCH("Provento Etf",'Statements (Raw)'!D15)),"Distribution",IF(ISNUMBER(SEARCH("Rit.provento",'Statements (Raw)'!D15)),"Tax",IF(ISNUMBER(SEARCH("Ratei Pass",'Statements (Raw)'!D15)),"Accrued Int.",IF(ISNUMBER(SEARCH("Interessi Prest",'Statements (Raw)'!D15)),"Sec. Lending",IF('Statements (Raw)'!G15="","Other",IF('Statements (Raw)'!G15&gt;0,"Buy","Sell"))))))))))))))))))))))</f>
        <v>Buy</v>
      </c>
      <c r="E17" s="6" t="str">
        <f t="shared" si="0"/>
        <v>Stock</v>
      </c>
      <c r="F17" s="8">
        <f>IF(A17="","",IF('Statements (Raw)'!E15="","",'Statements (Raw)'!E15))</f>
        <v>30.55</v>
      </c>
      <c r="G17" s="6" t="str">
        <f>IF(A17="","",IF('Statements (Raw)'!F15="","",'Statements (Raw)'!F15))</f>
        <v>EUR</v>
      </c>
      <c r="H17" s="9">
        <f>IF(A17="","",IF('Statements (Raw)'!G15="","",'Statements (Raw)'!G15))</f>
        <v>5</v>
      </c>
      <c r="I17" s="10">
        <f>IF(A17="","",IF('Statements (Raw)'!H15="","",'Statements (Raw)'!H15))</f>
        <v>-152.75</v>
      </c>
      <c r="J17" s="10">
        <f>IF(A17="",0,IF('Statements (Raw)'!I15="",0,'Statements (Raw)'!I15))</f>
        <v>0</v>
      </c>
      <c r="K17" s="10">
        <f t="shared" si="1"/>
        <v>-152.75</v>
      </c>
    </row>
    <row r="18" spans="1:11" x14ac:dyDescent="0.3">
      <c r="A18" s="171">
        <f>IF(OR('Statements (Raw)'!A16="",'Statements (Raw)'!A16&gt;Holdings!$G$3),"",'Statements (Raw)'!A16)</f>
        <v>45807</v>
      </c>
      <c r="B18" s="7">
        <f>IF(A18="","",IF('Statements (Raw)'!B16="","",'Statements (Raw)'!B16))</f>
        <v>45811</v>
      </c>
      <c r="C18" s="6" t="str">
        <f>IF(A18="","",IF('Statements (Raw)'!C16&lt;&gt;"",'Statements (Raw)'!C16,IF(ISNUMBER(SEARCH("Conferimento",'Statements (Raw)'!D16)),"CASH DEPOSIT",IF(ISNUMBER(SEARCH("Prelievo",'Statements (Raw)'!D16)),"CASH WITHDRAWAL",IF(ISNUMBER(SEARCH("Bollo",'Statements (Raw)'!D16)),"STAMP DUTY",IF(ISNUMBER(SEARCH("Tobin Tax",'Statements (Raw)'!D16)),"TOBIN TAX",IF(ISNUMBER(SEARCH("Rit.provento",'Statements (Raw)'!D16)),"WITHHOLDING TAX",IF(ISNUMBER(SEARCH("Incasso Dividendi",'Statements (Raw)'!D16)),"DIVIDEND",IF(ISNUMBER(SEARCH("Cedola",'Statements (Raw)'!D16)),"COUPON",IF(ISNUMBER(SEARCH("Ratei Pass",'Statements (Raw)'!D16)),"ACCRUED INT",IF(ISNUMBER(SEARCH("Interessi Prest",'Statements (Raw)'!D16)),"SEC LENDING",IF(ISNUMBER(SEARCH("Rimborso",'Statements (Raw)'!D16)),"REDEMPTION",IF(ISNUMBER(SEARCH("Provento",'Statements (Raw)'!D16)),"DISTRIBUTION","OTHER")))))))))))))</f>
        <v>SANLORENZO</v>
      </c>
      <c r="D18" s="6" t="str">
        <f>IF(A18="","",IF(C18="Saldo Iniziale","Balance",IF(C18="CASH DEPOSIT","Deposit",IF(C18="CASH WITHDRAWAL","Withdrawal",IF(C18="STAMP DUTY","Tax",IF(C18="TOBIN TAX","Tax",IF(C18="WITHHOLDING TAX","Tax",IF(C18="DIVIDEND","Dividend",IF(C18="COUPON","Coupon",IF(C18="ACCRUED INT","Accrued Int.",IF(C18="SEC LENDING","Sec. Lending",IF(C18="REDEMPTION","Redemption",IF(C18="DISTRIBUTION","Distribution",IF(ISNUMBER(SEARCH("Rimborso",'Statements (Raw)'!D16)),"Redemption",IF(ISNUMBER(SEARCH("Cedola",'Statements (Raw)'!D16)),"Coupon",IF(ISNUMBER(SEARCH("Incasso Dividendi",'Statements (Raw)'!D16)),"Dividend",IF(ISNUMBER(SEARCH("Provento Etf",'Statements (Raw)'!D16)),"Distribution",IF(ISNUMBER(SEARCH("Rit.provento",'Statements (Raw)'!D16)),"Tax",IF(ISNUMBER(SEARCH("Ratei Pass",'Statements (Raw)'!D16)),"Accrued Int.",IF(ISNUMBER(SEARCH("Interessi Prest",'Statements (Raw)'!D16)),"Sec. Lending",IF('Statements (Raw)'!G16="","Other",IF('Statements (Raw)'!G16&gt;0,"Buy","Sell"))))))))))))))))))))))</f>
        <v>Buy</v>
      </c>
      <c r="E18" s="6" t="str">
        <f t="shared" si="0"/>
        <v>Stock</v>
      </c>
      <c r="F18" s="8">
        <f>IF(A18="","",IF('Statements (Raw)'!E16="","",'Statements (Raw)'!E16))</f>
        <v>30.55</v>
      </c>
      <c r="G18" s="6" t="str">
        <f>IF(A18="","",IF('Statements (Raw)'!F16="","",'Statements (Raw)'!F16))</f>
        <v>EUR</v>
      </c>
      <c r="H18" s="9">
        <f>IF(A18="","",IF('Statements (Raw)'!G16="","",'Statements (Raw)'!G16))</f>
        <v>267</v>
      </c>
      <c r="I18" s="10">
        <f>IF(A18="","",IF('Statements (Raw)'!H16="","",'Statements (Raw)'!H16))</f>
        <v>-8156.85</v>
      </c>
      <c r="J18" s="10">
        <f>IF(A18="",0,IF('Statements (Raw)'!I16="",0,'Statements (Raw)'!I16))</f>
        <v>0</v>
      </c>
      <c r="K18" s="10">
        <f t="shared" si="1"/>
        <v>-8156.85</v>
      </c>
    </row>
    <row r="19" spans="1:11" x14ac:dyDescent="0.3">
      <c r="A19" s="171">
        <f>IF(OR('Statements (Raw)'!A17="",'Statements (Raw)'!A17&gt;Holdings!$G$3),"",'Statements (Raw)'!A17)</f>
        <v>45807</v>
      </c>
      <c r="B19" s="7">
        <f>IF(A19="","",IF('Statements (Raw)'!B17="","",'Statements (Raw)'!B17))</f>
        <v>45811</v>
      </c>
      <c r="C19" s="6" t="str">
        <f>IF(A19="","",IF('Statements (Raw)'!C17&lt;&gt;"",'Statements (Raw)'!C17,IF(ISNUMBER(SEARCH("Conferimento",'Statements (Raw)'!D17)),"CASH DEPOSIT",IF(ISNUMBER(SEARCH("Prelievo",'Statements (Raw)'!D17)),"CASH WITHDRAWAL",IF(ISNUMBER(SEARCH("Bollo",'Statements (Raw)'!D17)),"STAMP DUTY",IF(ISNUMBER(SEARCH("Tobin Tax",'Statements (Raw)'!D17)),"TOBIN TAX",IF(ISNUMBER(SEARCH("Rit.provento",'Statements (Raw)'!D17)),"WITHHOLDING TAX",IF(ISNUMBER(SEARCH("Incasso Dividendi",'Statements (Raw)'!D17)),"DIVIDEND",IF(ISNUMBER(SEARCH("Cedola",'Statements (Raw)'!D17)),"COUPON",IF(ISNUMBER(SEARCH("Ratei Pass",'Statements (Raw)'!D17)),"ACCRUED INT",IF(ISNUMBER(SEARCH("Interessi Prest",'Statements (Raw)'!D17)),"SEC LENDING",IF(ISNUMBER(SEARCH("Rimborso",'Statements (Raw)'!D17)),"REDEMPTION",IF(ISNUMBER(SEARCH("Provento",'Statements (Raw)'!D17)),"DISTRIBUTION","OTHER")))))))))))))</f>
        <v>SANLORENZO</v>
      </c>
      <c r="D19" s="6" t="str">
        <f>IF(A19="","",IF(C19="Saldo Iniziale","Balance",IF(C19="CASH DEPOSIT","Deposit",IF(C19="CASH WITHDRAWAL","Withdrawal",IF(C19="STAMP DUTY","Tax",IF(C19="TOBIN TAX","Tax",IF(C19="WITHHOLDING TAX","Tax",IF(C19="DIVIDEND","Dividend",IF(C19="COUPON","Coupon",IF(C19="ACCRUED INT","Accrued Int.",IF(C19="SEC LENDING","Sec. Lending",IF(C19="REDEMPTION","Redemption",IF(C19="DISTRIBUTION","Distribution",IF(ISNUMBER(SEARCH("Rimborso",'Statements (Raw)'!D17)),"Redemption",IF(ISNUMBER(SEARCH("Cedola",'Statements (Raw)'!D17)),"Coupon",IF(ISNUMBER(SEARCH("Incasso Dividendi",'Statements (Raw)'!D17)),"Dividend",IF(ISNUMBER(SEARCH("Provento Etf",'Statements (Raw)'!D17)),"Distribution",IF(ISNUMBER(SEARCH("Rit.provento",'Statements (Raw)'!D17)),"Tax",IF(ISNUMBER(SEARCH("Ratei Pass",'Statements (Raw)'!D17)),"Accrued Int.",IF(ISNUMBER(SEARCH("Interessi Prest",'Statements (Raw)'!D17)),"Sec. Lending",IF('Statements (Raw)'!G17="","Other",IF('Statements (Raw)'!G17&gt;0,"Buy","Sell"))))))))))))))))))))))</f>
        <v>Buy</v>
      </c>
      <c r="E19" s="6" t="str">
        <f t="shared" si="0"/>
        <v>Stock</v>
      </c>
      <c r="F19" s="8">
        <f>IF(A19="","",IF('Statements (Raw)'!E17="","",'Statements (Raw)'!E17))</f>
        <v>30.55</v>
      </c>
      <c r="G19" s="6" t="str">
        <f>IF(A19="","",IF('Statements (Raw)'!F17="","",'Statements (Raw)'!F17))</f>
        <v>EUR</v>
      </c>
      <c r="H19" s="9">
        <f>IF(A19="","",IF('Statements (Raw)'!G17="","",'Statements (Raw)'!G17))</f>
        <v>9</v>
      </c>
      <c r="I19" s="10">
        <f>IF(A19="","",IF('Statements (Raw)'!H17="","",'Statements (Raw)'!H17))</f>
        <v>-274.95</v>
      </c>
      <c r="J19" s="10">
        <f>IF(A19="",0,IF('Statements (Raw)'!I17="",0,'Statements (Raw)'!I17))</f>
        <v>0</v>
      </c>
      <c r="K19" s="10">
        <f t="shared" si="1"/>
        <v>-274.95</v>
      </c>
    </row>
    <row r="20" spans="1:11" x14ac:dyDescent="0.3">
      <c r="A20" s="171">
        <f>IF(OR('Statements (Raw)'!A18="",'Statements (Raw)'!A18&gt;Holdings!$G$3),"",'Statements (Raw)'!A18)</f>
        <v>45807</v>
      </c>
      <c r="B20" s="7">
        <f>IF(A20="","",IF('Statements (Raw)'!B18="","",'Statements (Raw)'!B18))</f>
        <v>45811</v>
      </c>
      <c r="C20" s="6" t="str">
        <f>IF(A20="","",IF('Statements (Raw)'!C18&lt;&gt;"",'Statements (Raw)'!C18,IF(ISNUMBER(SEARCH("Conferimento",'Statements (Raw)'!D18)),"CASH DEPOSIT",IF(ISNUMBER(SEARCH("Prelievo",'Statements (Raw)'!D18)),"CASH WITHDRAWAL",IF(ISNUMBER(SEARCH("Bollo",'Statements (Raw)'!D18)),"STAMP DUTY",IF(ISNUMBER(SEARCH("Tobin Tax",'Statements (Raw)'!D18)),"TOBIN TAX",IF(ISNUMBER(SEARCH("Rit.provento",'Statements (Raw)'!D18)),"WITHHOLDING TAX",IF(ISNUMBER(SEARCH("Incasso Dividendi",'Statements (Raw)'!D18)),"DIVIDEND",IF(ISNUMBER(SEARCH("Cedola",'Statements (Raw)'!D18)),"COUPON",IF(ISNUMBER(SEARCH("Ratei Pass",'Statements (Raw)'!D18)),"ACCRUED INT",IF(ISNUMBER(SEARCH("Interessi Prest",'Statements (Raw)'!D18)),"SEC LENDING",IF(ISNUMBER(SEARCH("Rimborso",'Statements (Raw)'!D18)),"REDEMPTION",IF(ISNUMBER(SEARCH("Provento",'Statements (Raw)'!D18)),"DISTRIBUTION","OTHER")))))))))))))</f>
        <v>SANLORENZO</v>
      </c>
      <c r="D20" s="6" t="str">
        <f>IF(A20="","",IF(C20="Saldo Iniziale","Balance",IF(C20="CASH DEPOSIT","Deposit",IF(C20="CASH WITHDRAWAL","Withdrawal",IF(C20="STAMP DUTY","Tax",IF(C20="TOBIN TAX","Tax",IF(C20="WITHHOLDING TAX","Tax",IF(C20="DIVIDEND","Dividend",IF(C20="COUPON","Coupon",IF(C20="ACCRUED INT","Accrued Int.",IF(C20="SEC LENDING","Sec. Lending",IF(C20="REDEMPTION","Redemption",IF(C20="DISTRIBUTION","Distribution",IF(ISNUMBER(SEARCH("Rimborso",'Statements (Raw)'!D18)),"Redemption",IF(ISNUMBER(SEARCH("Cedola",'Statements (Raw)'!D18)),"Coupon",IF(ISNUMBER(SEARCH("Incasso Dividendi",'Statements (Raw)'!D18)),"Dividend",IF(ISNUMBER(SEARCH("Provento Etf",'Statements (Raw)'!D18)),"Distribution",IF(ISNUMBER(SEARCH("Rit.provento",'Statements (Raw)'!D18)),"Tax",IF(ISNUMBER(SEARCH("Ratei Pass",'Statements (Raw)'!D18)),"Accrued Int.",IF(ISNUMBER(SEARCH("Interessi Prest",'Statements (Raw)'!D18)),"Sec. Lending",IF('Statements (Raw)'!G18="","Other",IF('Statements (Raw)'!G18&gt;0,"Buy","Sell"))))))))))))))))))))))</f>
        <v>Buy</v>
      </c>
      <c r="E20" s="6" t="str">
        <f t="shared" si="0"/>
        <v>Stock</v>
      </c>
      <c r="F20" s="8">
        <f>IF(A20="","",IF('Statements (Raw)'!E18="","",'Statements (Raw)'!E18))</f>
        <v>30.55</v>
      </c>
      <c r="G20" s="6" t="str">
        <f>IF(A20="","",IF('Statements (Raw)'!F18="","",'Statements (Raw)'!F18))</f>
        <v>EUR</v>
      </c>
      <c r="H20" s="9">
        <f>IF(A20="","",IF('Statements (Raw)'!G18="","",'Statements (Raw)'!G18))</f>
        <v>8</v>
      </c>
      <c r="I20" s="10">
        <f>IF(A20="","",IF('Statements (Raw)'!H18="","",'Statements (Raw)'!H18))</f>
        <v>-244.4</v>
      </c>
      <c r="J20" s="10">
        <f>IF(A20="",0,IF('Statements (Raw)'!I18="",0,'Statements (Raw)'!I18))</f>
        <v>0</v>
      </c>
      <c r="K20" s="10">
        <f t="shared" si="1"/>
        <v>-244.4</v>
      </c>
    </row>
    <row r="21" spans="1:11" x14ac:dyDescent="0.3">
      <c r="A21" s="171">
        <f>IF(OR('Statements (Raw)'!A19="",'Statements (Raw)'!A19&gt;Holdings!$G$3),"",'Statements (Raw)'!A19)</f>
        <v>45807</v>
      </c>
      <c r="B21" s="7">
        <f>IF(A21="","",IF('Statements (Raw)'!B19="","",'Statements (Raw)'!B19))</f>
        <v>45811</v>
      </c>
      <c r="C21" s="6" t="str">
        <f>IF(A21="","",IF('Statements (Raw)'!C19&lt;&gt;"",'Statements (Raw)'!C19,IF(ISNUMBER(SEARCH("Conferimento",'Statements (Raw)'!D19)),"CASH DEPOSIT",IF(ISNUMBER(SEARCH("Prelievo",'Statements (Raw)'!D19)),"CASH WITHDRAWAL",IF(ISNUMBER(SEARCH("Bollo",'Statements (Raw)'!D19)),"STAMP DUTY",IF(ISNUMBER(SEARCH("Tobin Tax",'Statements (Raw)'!D19)),"TOBIN TAX",IF(ISNUMBER(SEARCH("Rit.provento",'Statements (Raw)'!D19)),"WITHHOLDING TAX",IF(ISNUMBER(SEARCH("Incasso Dividendi",'Statements (Raw)'!D19)),"DIVIDEND",IF(ISNUMBER(SEARCH("Cedola",'Statements (Raw)'!D19)),"COUPON",IF(ISNUMBER(SEARCH("Ratei Pass",'Statements (Raw)'!D19)),"ACCRUED INT",IF(ISNUMBER(SEARCH("Interessi Prest",'Statements (Raw)'!D19)),"SEC LENDING",IF(ISNUMBER(SEARCH("Rimborso",'Statements (Raw)'!D19)),"REDEMPTION",IF(ISNUMBER(SEARCH("Provento",'Statements (Raw)'!D19)),"DISTRIBUTION","OTHER")))))))))))))</f>
        <v>SANLORENZO</v>
      </c>
      <c r="D21" s="6" t="str">
        <f>IF(A21="","",IF(C21="Saldo Iniziale","Balance",IF(C21="CASH DEPOSIT","Deposit",IF(C21="CASH WITHDRAWAL","Withdrawal",IF(C21="STAMP DUTY","Tax",IF(C21="TOBIN TAX","Tax",IF(C21="WITHHOLDING TAX","Tax",IF(C21="DIVIDEND","Dividend",IF(C21="COUPON","Coupon",IF(C21="ACCRUED INT","Accrued Int.",IF(C21="SEC LENDING","Sec. Lending",IF(C21="REDEMPTION","Redemption",IF(C21="DISTRIBUTION","Distribution",IF(ISNUMBER(SEARCH("Rimborso",'Statements (Raw)'!D19)),"Redemption",IF(ISNUMBER(SEARCH("Cedola",'Statements (Raw)'!D19)),"Coupon",IF(ISNUMBER(SEARCH("Incasso Dividendi",'Statements (Raw)'!D19)),"Dividend",IF(ISNUMBER(SEARCH("Provento Etf",'Statements (Raw)'!D19)),"Distribution",IF(ISNUMBER(SEARCH("Rit.provento",'Statements (Raw)'!D19)),"Tax",IF(ISNUMBER(SEARCH("Ratei Pass",'Statements (Raw)'!D19)),"Accrued Int.",IF(ISNUMBER(SEARCH("Interessi Prest",'Statements (Raw)'!D19)),"Sec. Lending",IF('Statements (Raw)'!G19="","Other",IF('Statements (Raw)'!G19&gt;0,"Buy","Sell"))))))))))))))))))))))</f>
        <v>Buy</v>
      </c>
      <c r="E21" s="6" t="str">
        <f t="shared" si="0"/>
        <v>Stock</v>
      </c>
      <c r="F21" s="8">
        <f>IF(A21="","",IF('Statements (Raw)'!E19="","",'Statements (Raw)'!E19))</f>
        <v>30.55</v>
      </c>
      <c r="G21" s="6" t="str">
        <f>IF(A21="","",IF('Statements (Raw)'!F19="","",'Statements (Raw)'!F19))</f>
        <v>EUR</v>
      </c>
      <c r="H21" s="9">
        <f>IF(A21="","",IF('Statements (Raw)'!G19="","",'Statements (Raw)'!G19))</f>
        <v>31</v>
      </c>
      <c r="I21" s="10">
        <f>IF(A21="","",IF('Statements (Raw)'!H19="","",'Statements (Raw)'!H19))</f>
        <v>-947.05</v>
      </c>
      <c r="J21" s="10">
        <f>IF(A21="",0,IF('Statements (Raw)'!I19="",0,'Statements (Raw)'!I19))</f>
        <v>0</v>
      </c>
      <c r="K21" s="10">
        <f t="shared" si="1"/>
        <v>-947.05</v>
      </c>
    </row>
    <row r="22" spans="1:11" x14ac:dyDescent="0.3">
      <c r="A22" s="171">
        <f>IF(OR('Statements (Raw)'!A20="",'Statements (Raw)'!A20&gt;Holdings!$G$3),"",'Statements (Raw)'!A20)</f>
        <v>45807</v>
      </c>
      <c r="B22" s="7">
        <f>IF(A22="","",IF('Statements (Raw)'!B20="","",'Statements (Raw)'!B20))</f>
        <v>45811</v>
      </c>
      <c r="C22" s="6" t="str">
        <f>IF(A22="","",IF('Statements (Raw)'!C20&lt;&gt;"",'Statements (Raw)'!C20,IF(ISNUMBER(SEARCH("Conferimento",'Statements (Raw)'!D20)),"CASH DEPOSIT",IF(ISNUMBER(SEARCH("Prelievo",'Statements (Raw)'!D20)),"CASH WITHDRAWAL",IF(ISNUMBER(SEARCH("Bollo",'Statements (Raw)'!D20)),"STAMP DUTY",IF(ISNUMBER(SEARCH("Tobin Tax",'Statements (Raw)'!D20)),"TOBIN TAX",IF(ISNUMBER(SEARCH("Rit.provento",'Statements (Raw)'!D20)),"WITHHOLDING TAX",IF(ISNUMBER(SEARCH("Incasso Dividendi",'Statements (Raw)'!D20)),"DIVIDEND",IF(ISNUMBER(SEARCH("Cedola",'Statements (Raw)'!D20)),"COUPON",IF(ISNUMBER(SEARCH("Ratei Pass",'Statements (Raw)'!D20)),"ACCRUED INT",IF(ISNUMBER(SEARCH("Interessi Prest",'Statements (Raw)'!D20)),"SEC LENDING",IF(ISNUMBER(SEARCH("Rimborso",'Statements (Raw)'!D20)),"REDEMPTION",IF(ISNUMBER(SEARCH("Provento",'Statements (Raw)'!D20)),"DISTRIBUTION","OTHER")))))))))))))</f>
        <v>SANLORENZO</v>
      </c>
      <c r="D22" s="6" t="str">
        <f>IF(A22="","",IF(C22="Saldo Iniziale","Balance",IF(C22="CASH DEPOSIT","Deposit",IF(C22="CASH WITHDRAWAL","Withdrawal",IF(C22="STAMP DUTY","Tax",IF(C22="TOBIN TAX","Tax",IF(C22="WITHHOLDING TAX","Tax",IF(C22="DIVIDEND","Dividend",IF(C22="COUPON","Coupon",IF(C22="ACCRUED INT","Accrued Int.",IF(C22="SEC LENDING","Sec. Lending",IF(C22="REDEMPTION","Redemption",IF(C22="DISTRIBUTION","Distribution",IF(ISNUMBER(SEARCH("Rimborso",'Statements (Raw)'!D20)),"Redemption",IF(ISNUMBER(SEARCH("Cedola",'Statements (Raw)'!D20)),"Coupon",IF(ISNUMBER(SEARCH("Incasso Dividendi",'Statements (Raw)'!D20)),"Dividend",IF(ISNUMBER(SEARCH("Provento Etf",'Statements (Raw)'!D20)),"Distribution",IF(ISNUMBER(SEARCH("Rit.provento",'Statements (Raw)'!D20)),"Tax",IF(ISNUMBER(SEARCH("Ratei Pass",'Statements (Raw)'!D20)),"Accrued Int.",IF(ISNUMBER(SEARCH("Interessi Prest",'Statements (Raw)'!D20)),"Sec. Lending",IF('Statements (Raw)'!G20="","Other",IF('Statements (Raw)'!G20&gt;0,"Buy","Sell"))))))))))))))))))))))</f>
        <v>Buy</v>
      </c>
      <c r="E22" s="6" t="str">
        <f t="shared" si="0"/>
        <v>Stock</v>
      </c>
      <c r="F22" s="8">
        <f>IF(A22="","",IF('Statements (Raw)'!E20="","",'Statements (Raw)'!E20))</f>
        <v>30.55</v>
      </c>
      <c r="G22" s="6" t="str">
        <f>IF(A22="","",IF('Statements (Raw)'!F20="","",'Statements (Raw)'!F20))</f>
        <v>EUR</v>
      </c>
      <c r="H22" s="9">
        <f>IF(A22="","",IF('Statements (Raw)'!G20="","",'Statements (Raw)'!G20))</f>
        <v>12</v>
      </c>
      <c r="I22" s="10">
        <f>IF(A22="","",IF('Statements (Raw)'!H20="","",'Statements (Raw)'!H20))</f>
        <v>-366.6</v>
      </c>
      <c r="J22" s="10">
        <f>IF(A22="",0,IF('Statements (Raw)'!I20="",0,'Statements (Raw)'!I20))</f>
        <v>0</v>
      </c>
      <c r="K22" s="10">
        <f t="shared" si="1"/>
        <v>-366.6</v>
      </c>
    </row>
    <row r="23" spans="1:11" x14ac:dyDescent="0.3">
      <c r="A23" s="171">
        <f>IF(OR('Statements (Raw)'!A21="",'Statements (Raw)'!A21&gt;Holdings!$G$3),"",'Statements (Raw)'!A21)</f>
        <v>45807</v>
      </c>
      <c r="B23" s="7">
        <f>IF(A23="","",IF('Statements (Raw)'!B21="","",'Statements (Raw)'!B21))</f>
        <v>45811</v>
      </c>
      <c r="C23" s="6" t="str">
        <f>IF(A23="","",IF('Statements (Raw)'!C21&lt;&gt;"",'Statements (Raw)'!C21,IF(ISNUMBER(SEARCH("Conferimento",'Statements (Raw)'!D21)),"CASH DEPOSIT",IF(ISNUMBER(SEARCH("Prelievo",'Statements (Raw)'!D21)),"CASH WITHDRAWAL",IF(ISNUMBER(SEARCH("Bollo",'Statements (Raw)'!D21)),"STAMP DUTY",IF(ISNUMBER(SEARCH("Tobin Tax",'Statements (Raw)'!D21)),"TOBIN TAX",IF(ISNUMBER(SEARCH("Rit.provento",'Statements (Raw)'!D21)),"WITHHOLDING TAX",IF(ISNUMBER(SEARCH("Incasso Dividendi",'Statements (Raw)'!D21)),"DIVIDEND",IF(ISNUMBER(SEARCH("Cedola",'Statements (Raw)'!D21)),"COUPON",IF(ISNUMBER(SEARCH("Ratei Pass",'Statements (Raw)'!D21)),"ACCRUED INT",IF(ISNUMBER(SEARCH("Interessi Prest",'Statements (Raw)'!D21)),"SEC LENDING",IF(ISNUMBER(SEARCH("Rimborso",'Statements (Raw)'!D21)),"REDEMPTION",IF(ISNUMBER(SEARCH("Provento",'Statements (Raw)'!D21)),"DISTRIBUTION","OTHER")))))))))))))</f>
        <v>SANLORENZO</v>
      </c>
      <c r="D23" s="6" t="str">
        <f>IF(A23="","",IF(C23="Saldo Iniziale","Balance",IF(C23="CASH DEPOSIT","Deposit",IF(C23="CASH WITHDRAWAL","Withdrawal",IF(C23="STAMP DUTY","Tax",IF(C23="TOBIN TAX","Tax",IF(C23="WITHHOLDING TAX","Tax",IF(C23="DIVIDEND","Dividend",IF(C23="COUPON","Coupon",IF(C23="ACCRUED INT","Accrued Int.",IF(C23="SEC LENDING","Sec. Lending",IF(C23="REDEMPTION","Redemption",IF(C23="DISTRIBUTION","Distribution",IF(ISNUMBER(SEARCH("Rimborso",'Statements (Raw)'!D21)),"Redemption",IF(ISNUMBER(SEARCH("Cedola",'Statements (Raw)'!D21)),"Coupon",IF(ISNUMBER(SEARCH("Incasso Dividendi",'Statements (Raw)'!D21)),"Dividend",IF(ISNUMBER(SEARCH("Provento Etf",'Statements (Raw)'!D21)),"Distribution",IF(ISNUMBER(SEARCH("Rit.provento",'Statements (Raw)'!D21)),"Tax",IF(ISNUMBER(SEARCH("Ratei Pass",'Statements (Raw)'!D21)),"Accrued Int.",IF(ISNUMBER(SEARCH("Interessi Prest",'Statements (Raw)'!D21)),"Sec. Lending",IF('Statements (Raw)'!G21="","Other",IF('Statements (Raw)'!G21&gt;0,"Buy","Sell"))))))))))))))))))))))</f>
        <v>Buy</v>
      </c>
      <c r="E23" s="6" t="str">
        <f t="shared" si="0"/>
        <v>Stock</v>
      </c>
      <c r="F23" s="8">
        <f>IF(A23="","",IF('Statements (Raw)'!E21="","",'Statements (Raw)'!E21))</f>
        <v>30.55</v>
      </c>
      <c r="G23" s="6" t="str">
        <f>IF(A23="","",IF('Statements (Raw)'!F21="","",'Statements (Raw)'!F21))</f>
        <v>EUR</v>
      </c>
      <c r="H23" s="9">
        <f>IF(A23="","",IF('Statements (Raw)'!G21="","",'Statements (Raw)'!G21))</f>
        <v>8</v>
      </c>
      <c r="I23" s="10">
        <f>IF(A23="","",IF('Statements (Raw)'!H21="","",'Statements (Raw)'!H21))</f>
        <v>-244.4</v>
      </c>
      <c r="J23" s="10">
        <f>IF(A23="",0,IF('Statements (Raw)'!I21="",0,'Statements (Raw)'!I21))</f>
        <v>0</v>
      </c>
      <c r="K23" s="10">
        <f t="shared" si="1"/>
        <v>-244.4</v>
      </c>
    </row>
    <row r="24" spans="1:11" x14ac:dyDescent="0.3">
      <c r="A24" s="171">
        <f>IF(OR('Statements (Raw)'!A22="",'Statements (Raw)'!A22&gt;Holdings!$G$3),"",'Statements (Raw)'!A22)</f>
        <v>45807</v>
      </c>
      <c r="B24" s="7">
        <f>IF(A24="","",IF('Statements (Raw)'!B22="","",'Statements (Raw)'!B22))</f>
        <v>45811</v>
      </c>
      <c r="C24" s="6" t="str">
        <f>IF(A24="","",IF('Statements (Raw)'!C22&lt;&gt;"",'Statements (Raw)'!C22,IF(ISNUMBER(SEARCH("Conferimento",'Statements (Raw)'!D22)),"CASH DEPOSIT",IF(ISNUMBER(SEARCH("Prelievo",'Statements (Raw)'!D22)),"CASH WITHDRAWAL",IF(ISNUMBER(SEARCH("Bollo",'Statements (Raw)'!D22)),"STAMP DUTY",IF(ISNUMBER(SEARCH("Tobin Tax",'Statements (Raw)'!D22)),"TOBIN TAX",IF(ISNUMBER(SEARCH("Rit.provento",'Statements (Raw)'!D22)),"WITHHOLDING TAX",IF(ISNUMBER(SEARCH("Incasso Dividendi",'Statements (Raw)'!D22)),"DIVIDEND",IF(ISNUMBER(SEARCH("Cedola",'Statements (Raw)'!D22)),"COUPON",IF(ISNUMBER(SEARCH("Ratei Pass",'Statements (Raw)'!D22)),"ACCRUED INT",IF(ISNUMBER(SEARCH("Interessi Prest",'Statements (Raw)'!D22)),"SEC LENDING",IF(ISNUMBER(SEARCH("Rimborso",'Statements (Raw)'!D22)),"REDEMPTION",IF(ISNUMBER(SEARCH("Provento",'Statements (Raw)'!D22)),"DISTRIBUTION","OTHER")))))))))))))</f>
        <v>SANLORENZO</v>
      </c>
      <c r="D24" s="6" t="str">
        <f>IF(A24="","",IF(C24="Saldo Iniziale","Balance",IF(C24="CASH DEPOSIT","Deposit",IF(C24="CASH WITHDRAWAL","Withdrawal",IF(C24="STAMP DUTY","Tax",IF(C24="TOBIN TAX","Tax",IF(C24="WITHHOLDING TAX","Tax",IF(C24="DIVIDEND","Dividend",IF(C24="COUPON","Coupon",IF(C24="ACCRUED INT","Accrued Int.",IF(C24="SEC LENDING","Sec. Lending",IF(C24="REDEMPTION","Redemption",IF(C24="DISTRIBUTION","Distribution",IF(ISNUMBER(SEARCH("Rimborso",'Statements (Raw)'!D22)),"Redemption",IF(ISNUMBER(SEARCH("Cedola",'Statements (Raw)'!D22)),"Coupon",IF(ISNUMBER(SEARCH("Incasso Dividendi",'Statements (Raw)'!D22)),"Dividend",IF(ISNUMBER(SEARCH("Provento Etf",'Statements (Raw)'!D22)),"Distribution",IF(ISNUMBER(SEARCH("Rit.provento",'Statements (Raw)'!D22)),"Tax",IF(ISNUMBER(SEARCH("Ratei Pass",'Statements (Raw)'!D22)),"Accrued Int.",IF(ISNUMBER(SEARCH("Interessi Prest",'Statements (Raw)'!D22)),"Sec. Lending",IF('Statements (Raw)'!G22="","Other",IF('Statements (Raw)'!G22&gt;0,"Buy","Sell"))))))))))))))))))))))</f>
        <v>Buy</v>
      </c>
      <c r="E24" s="6" t="str">
        <f t="shared" si="0"/>
        <v>Stock</v>
      </c>
      <c r="F24" s="8">
        <f>IF(A24="","",IF('Statements (Raw)'!E22="","",'Statements (Raw)'!E22))</f>
        <v>30.55</v>
      </c>
      <c r="G24" s="6" t="str">
        <f>IF(A24="","",IF('Statements (Raw)'!F22="","",'Statements (Raw)'!F22))</f>
        <v>EUR</v>
      </c>
      <c r="H24" s="9">
        <f>IF(A24="","",IF('Statements (Raw)'!G22="","",'Statements (Raw)'!G22))</f>
        <v>227</v>
      </c>
      <c r="I24" s="10">
        <f>IF(A24="","",IF('Statements (Raw)'!H22="","",'Statements (Raw)'!H22))</f>
        <v>-6934.85</v>
      </c>
      <c r="J24" s="10">
        <f>IF(A24="",0,IF('Statements (Raw)'!I22="",0,'Statements (Raw)'!I22))</f>
        <v>0</v>
      </c>
      <c r="K24" s="10">
        <f t="shared" si="1"/>
        <v>-6934.85</v>
      </c>
    </row>
    <row r="25" spans="1:11" x14ac:dyDescent="0.3">
      <c r="A25" s="171">
        <f>IF(OR('Statements (Raw)'!A23="",'Statements (Raw)'!A23&gt;Holdings!$G$3),"",'Statements (Raw)'!A23)</f>
        <v>45807</v>
      </c>
      <c r="B25" s="7">
        <f>IF(A25="","",IF('Statements (Raw)'!B23="","",'Statements (Raw)'!B23))</f>
        <v>45811</v>
      </c>
      <c r="C25" s="6" t="str">
        <f>IF(A25="","",IF('Statements (Raw)'!C23&lt;&gt;"",'Statements (Raw)'!C23,IF(ISNUMBER(SEARCH("Conferimento",'Statements (Raw)'!D23)),"CASH DEPOSIT",IF(ISNUMBER(SEARCH("Prelievo",'Statements (Raw)'!D23)),"CASH WITHDRAWAL",IF(ISNUMBER(SEARCH("Bollo",'Statements (Raw)'!D23)),"STAMP DUTY",IF(ISNUMBER(SEARCH("Tobin Tax",'Statements (Raw)'!D23)),"TOBIN TAX",IF(ISNUMBER(SEARCH("Rit.provento",'Statements (Raw)'!D23)),"WITHHOLDING TAX",IF(ISNUMBER(SEARCH("Incasso Dividendi",'Statements (Raw)'!D23)),"DIVIDEND",IF(ISNUMBER(SEARCH("Cedola",'Statements (Raw)'!D23)),"COUPON",IF(ISNUMBER(SEARCH("Ratei Pass",'Statements (Raw)'!D23)),"ACCRUED INT",IF(ISNUMBER(SEARCH("Interessi Prest",'Statements (Raw)'!D23)),"SEC LENDING",IF(ISNUMBER(SEARCH("Rimborso",'Statements (Raw)'!D23)),"REDEMPTION",IF(ISNUMBER(SEARCH("Provento",'Statements (Raw)'!D23)),"DISTRIBUTION","OTHER")))))))))))))</f>
        <v>SANLORENZO</v>
      </c>
      <c r="D25" s="6" t="str">
        <f>IF(A25="","",IF(C25="Saldo Iniziale","Balance",IF(C25="CASH DEPOSIT","Deposit",IF(C25="CASH WITHDRAWAL","Withdrawal",IF(C25="STAMP DUTY","Tax",IF(C25="TOBIN TAX","Tax",IF(C25="WITHHOLDING TAX","Tax",IF(C25="DIVIDEND","Dividend",IF(C25="COUPON","Coupon",IF(C25="ACCRUED INT","Accrued Int.",IF(C25="SEC LENDING","Sec. Lending",IF(C25="REDEMPTION","Redemption",IF(C25="DISTRIBUTION","Distribution",IF(ISNUMBER(SEARCH("Rimborso",'Statements (Raw)'!D23)),"Redemption",IF(ISNUMBER(SEARCH("Cedola",'Statements (Raw)'!D23)),"Coupon",IF(ISNUMBER(SEARCH("Incasso Dividendi",'Statements (Raw)'!D23)),"Dividend",IF(ISNUMBER(SEARCH("Provento Etf",'Statements (Raw)'!D23)),"Distribution",IF(ISNUMBER(SEARCH("Rit.provento",'Statements (Raw)'!D23)),"Tax",IF(ISNUMBER(SEARCH("Ratei Pass",'Statements (Raw)'!D23)),"Accrued Int.",IF(ISNUMBER(SEARCH("Interessi Prest",'Statements (Raw)'!D23)),"Sec. Lending",IF('Statements (Raw)'!G23="","Other",IF('Statements (Raw)'!G23&gt;0,"Buy","Sell"))))))))))))))))))))))</f>
        <v>Buy</v>
      </c>
      <c r="E25" s="6" t="str">
        <f t="shared" si="0"/>
        <v>Stock</v>
      </c>
      <c r="F25" s="8">
        <f>IF(A25="","",IF('Statements (Raw)'!E23="","",'Statements (Raw)'!E23))</f>
        <v>30.55</v>
      </c>
      <c r="G25" s="6" t="str">
        <f>IF(A25="","",IF('Statements (Raw)'!F23="","",'Statements (Raw)'!F23))</f>
        <v>EUR</v>
      </c>
      <c r="H25" s="9">
        <f>IF(A25="","",IF('Statements (Raw)'!G23="","",'Statements (Raw)'!G23))</f>
        <v>113</v>
      </c>
      <c r="I25" s="10">
        <f>IF(A25="","",IF('Statements (Raw)'!H23="","",'Statements (Raw)'!H23))</f>
        <v>-3452.15</v>
      </c>
      <c r="J25" s="10">
        <f>IF(A25="",0,IF('Statements (Raw)'!I23="",0,'Statements (Raw)'!I23))</f>
        <v>0</v>
      </c>
      <c r="K25" s="10">
        <f t="shared" si="1"/>
        <v>-3452.15</v>
      </c>
    </row>
    <row r="26" spans="1:11" x14ac:dyDescent="0.3">
      <c r="A26" s="171">
        <f>IF(OR('Statements (Raw)'!A24="",'Statements (Raw)'!A24&gt;Holdings!$G$3),"",'Statements (Raw)'!A24)</f>
        <v>45807</v>
      </c>
      <c r="B26" s="7">
        <f>IF(A26="","",IF('Statements (Raw)'!B24="","",'Statements (Raw)'!B24))</f>
        <v>45811</v>
      </c>
      <c r="C26" s="6" t="str">
        <f>IF(A26="","",IF('Statements (Raw)'!C24&lt;&gt;"",'Statements (Raw)'!C24,IF(ISNUMBER(SEARCH("Conferimento",'Statements (Raw)'!D24)),"CASH DEPOSIT",IF(ISNUMBER(SEARCH("Prelievo",'Statements (Raw)'!D24)),"CASH WITHDRAWAL",IF(ISNUMBER(SEARCH("Bollo",'Statements (Raw)'!D24)),"STAMP DUTY",IF(ISNUMBER(SEARCH("Tobin Tax",'Statements (Raw)'!D24)),"TOBIN TAX",IF(ISNUMBER(SEARCH("Rit.provento",'Statements (Raw)'!D24)),"WITHHOLDING TAX",IF(ISNUMBER(SEARCH("Incasso Dividendi",'Statements (Raw)'!D24)),"DIVIDEND",IF(ISNUMBER(SEARCH("Cedola",'Statements (Raw)'!D24)),"COUPON",IF(ISNUMBER(SEARCH("Ratei Pass",'Statements (Raw)'!D24)),"ACCRUED INT",IF(ISNUMBER(SEARCH("Interessi Prest",'Statements (Raw)'!D24)),"SEC LENDING",IF(ISNUMBER(SEARCH("Rimborso",'Statements (Raw)'!D24)),"REDEMPTION",IF(ISNUMBER(SEARCH("Provento",'Statements (Raw)'!D24)),"DISTRIBUTION","OTHER")))))))))))))</f>
        <v>SANLORENZO</v>
      </c>
      <c r="D26" s="6" t="str">
        <f>IF(A26="","",IF(C26="Saldo Iniziale","Balance",IF(C26="CASH DEPOSIT","Deposit",IF(C26="CASH WITHDRAWAL","Withdrawal",IF(C26="STAMP DUTY","Tax",IF(C26="TOBIN TAX","Tax",IF(C26="WITHHOLDING TAX","Tax",IF(C26="DIVIDEND","Dividend",IF(C26="COUPON","Coupon",IF(C26="ACCRUED INT","Accrued Int.",IF(C26="SEC LENDING","Sec. Lending",IF(C26="REDEMPTION","Redemption",IF(C26="DISTRIBUTION","Distribution",IF(ISNUMBER(SEARCH("Rimborso",'Statements (Raw)'!D24)),"Redemption",IF(ISNUMBER(SEARCH("Cedola",'Statements (Raw)'!D24)),"Coupon",IF(ISNUMBER(SEARCH("Incasso Dividendi",'Statements (Raw)'!D24)),"Dividend",IF(ISNUMBER(SEARCH("Provento Etf",'Statements (Raw)'!D24)),"Distribution",IF(ISNUMBER(SEARCH("Rit.provento",'Statements (Raw)'!D24)),"Tax",IF(ISNUMBER(SEARCH("Ratei Pass",'Statements (Raw)'!D24)),"Accrued Int.",IF(ISNUMBER(SEARCH("Interessi Prest",'Statements (Raw)'!D24)),"Sec. Lending",IF('Statements (Raw)'!G24="","Other",IF('Statements (Raw)'!G24&gt;0,"Buy","Sell"))))))))))))))))))))))</f>
        <v>Buy</v>
      </c>
      <c r="E26" s="6" t="str">
        <f t="shared" si="0"/>
        <v>Stock</v>
      </c>
      <c r="F26" s="8">
        <f>IF(A26="","",IF('Statements (Raw)'!E24="","",'Statements (Raw)'!E24))</f>
        <v>30.55</v>
      </c>
      <c r="G26" s="6" t="str">
        <f>IF(A26="","",IF('Statements (Raw)'!F24="","",'Statements (Raw)'!F24))</f>
        <v>EUR</v>
      </c>
      <c r="H26" s="9">
        <f>IF(A26="","",IF('Statements (Raw)'!G24="","",'Statements (Raw)'!G24))</f>
        <v>86</v>
      </c>
      <c r="I26" s="10">
        <f>IF(A26="","",IF('Statements (Raw)'!H24="","",'Statements (Raw)'!H24))</f>
        <v>-2627.3</v>
      </c>
      <c r="J26" s="10">
        <f>IF(A26="",0,IF('Statements (Raw)'!I24="",0,'Statements (Raw)'!I24))</f>
        <v>0</v>
      </c>
      <c r="K26" s="10">
        <f t="shared" si="1"/>
        <v>-2627.3</v>
      </c>
    </row>
    <row r="27" spans="1:11" x14ac:dyDescent="0.3">
      <c r="A27" s="171">
        <f>IF(OR('Statements (Raw)'!A25="",'Statements (Raw)'!A25&gt;Holdings!$G$3),"",'Statements (Raw)'!A25)</f>
        <v>45807</v>
      </c>
      <c r="B27" s="7">
        <f>IF(A27="","",IF('Statements (Raw)'!B25="","",'Statements (Raw)'!B25))</f>
        <v>45811</v>
      </c>
      <c r="C27" s="6" t="str">
        <f>IF(A27="","",IF('Statements (Raw)'!C25&lt;&gt;"",'Statements (Raw)'!C25,IF(ISNUMBER(SEARCH("Conferimento",'Statements (Raw)'!D25)),"CASH DEPOSIT",IF(ISNUMBER(SEARCH("Prelievo",'Statements (Raw)'!D25)),"CASH WITHDRAWAL",IF(ISNUMBER(SEARCH("Bollo",'Statements (Raw)'!D25)),"STAMP DUTY",IF(ISNUMBER(SEARCH("Tobin Tax",'Statements (Raw)'!D25)),"TOBIN TAX",IF(ISNUMBER(SEARCH("Rit.provento",'Statements (Raw)'!D25)),"WITHHOLDING TAX",IF(ISNUMBER(SEARCH("Incasso Dividendi",'Statements (Raw)'!D25)),"DIVIDEND",IF(ISNUMBER(SEARCH("Cedola",'Statements (Raw)'!D25)),"COUPON",IF(ISNUMBER(SEARCH("Ratei Pass",'Statements (Raw)'!D25)),"ACCRUED INT",IF(ISNUMBER(SEARCH("Interessi Prest",'Statements (Raw)'!D25)),"SEC LENDING",IF(ISNUMBER(SEARCH("Rimborso",'Statements (Raw)'!D25)),"REDEMPTION",IF(ISNUMBER(SEARCH("Provento",'Statements (Raw)'!D25)),"DISTRIBUTION","OTHER")))))))))))))</f>
        <v>TOBIN TAX</v>
      </c>
      <c r="D27" s="6" t="str">
        <f>IF(A27="","",IF(C27="Saldo Iniziale","Balance",IF(C27="CASH DEPOSIT","Deposit",IF(C27="CASH WITHDRAWAL","Withdrawal",IF(C27="STAMP DUTY","Tax",IF(C27="TOBIN TAX","Tax",IF(C27="WITHHOLDING TAX","Tax",IF(C27="DIVIDEND","Dividend",IF(C27="COUPON","Coupon",IF(C27="ACCRUED INT","Accrued Int.",IF(C27="SEC LENDING","Sec. Lending",IF(C27="REDEMPTION","Redemption",IF(C27="DISTRIBUTION","Distribution",IF(ISNUMBER(SEARCH("Rimborso",'Statements (Raw)'!D25)),"Redemption",IF(ISNUMBER(SEARCH("Cedola",'Statements (Raw)'!D25)),"Coupon",IF(ISNUMBER(SEARCH("Incasso Dividendi",'Statements (Raw)'!D25)),"Dividend",IF(ISNUMBER(SEARCH("Provento Etf",'Statements (Raw)'!D25)),"Distribution",IF(ISNUMBER(SEARCH("Rit.provento",'Statements (Raw)'!D25)),"Tax",IF(ISNUMBER(SEARCH("Ratei Pass",'Statements (Raw)'!D25)),"Accrued Int.",IF(ISNUMBER(SEARCH("Interessi Prest",'Statements (Raw)'!D25)),"Sec. Lending",IF('Statements (Raw)'!G25="","Other",IF('Statements (Raw)'!G25&gt;0,"Buy","Sell"))))))))))))))))))))))</f>
        <v>Tax</v>
      </c>
      <c r="E27" s="6" t="str">
        <f t="shared" si="0"/>
        <v>Tax/Fee</v>
      </c>
      <c r="F27" s="8" t="str">
        <f>IF(A27="","",IF('Statements (Raw)'!E25="","",'Statements (Raw)'!E25))</f>
        <v/>
      </c>
      <c r="G27" s="6" t="str">
        <f>IF(A27="","",IF('Statements (Raw)'!F25="","",'Statements (Raw)'!F25))</f>
        <v/>
      </c>
      <c r="H27" s="9" t="str">
        <f>IF(A27="","",IF('Statements (Raw)'!G25="","",'Statements (Raw)'!G25))</f>
        <v/>
      </c>
      <c r="I27" s="10">
        <f>IF(A27="","",IF('Statements (Raw)'!H25="","",'Statements (Raw)'!H25))</f>
        <v>-30.55</v>
      </c>
      <c r="J27" s="10">
        <f>IF(A27="",0,IF('Statements (Raw)'!I25="",0,'Statements (Raw)'!I25))</f>
        <v>0</v>
      </c>
      <c r="K27" s="10">
        <f t="shared" si="1"/>
        <v>-30.55</v>
      </c>
    </row>
    <row r="28" spans="1:11" x14ac:dyDescent="0.3">
      <c r="A28" s="171">
        <f>IF(OR('Statements (Raw)'!A26="",'Statements (Raw)'!A26&gt;Holdings!$G$3),"",'Statements (Raw)'!A26)</f>
        <v>45809</v>
      </c>
      <c r="B28" s="7" t="str">
        <f>IF(A28="","",IF('Statements (Raw)'!B26="","",'Statements (Raw)'!B26))</f>
        <v/>
      </c>
      <c r="C28" s="6" t="str">
        <f>IF(A28="","",IF('Statements (Raw)'!C26&lt;&gt;"",'Statements (Raw)'!C26,IF(ISNUMBER(SEARCH("Conferimento",'Statements (Raw)'!D26)),"CASH DEPOSIT",IF(ISNUMBER(SEARCH("Prelievo",'Statements (Raw)'!D26)),"CASH WITHDRAWAL",IF(ISNUMBER(SEARCH("Bollo",'Statements (Raw)'!D26)),"STAMP DUTY",IF(ISNUMBER(SEARCH("Tobin Tax",'Statements (Raw)'!D26)),"TOBIN TAX",IF(ISNUMBER(SEARCH("Rit.provento",'Statements (Raw)'!D26)),"WITHHOLDING TAX",IF(ISNUMBER(SEARCH("Incasso Dividendi",'Statements (Raw)'!D26)),"DIVIDEND",IF(ISNUMBER(SEARCH("Cedola",'Statements (Raw)'!D26)),"COUPON",IF(ISNUMBER(SEARCH("Ratei Pass",'Statements (Raw)'!D26)),"ACCRUED INT",IF(ISNUMBER(SEARCH("Interessi Prest",'Statements (Raw)'!D26)),"SEC LENDING",IF(ISNUMBER(SEARCH("Rimborso",'Statements (Raw)'!D26)),"REDEMPTION",IF(ISNUMBER(SEARCH("Provento",'Statements (Raw)'!D26)),"DISTRIBUTION","OTHER")))))))))))))</f>
        <v>Saldo Iniziale</v>
      </c>
      <c r="D28" s="6" t="str">
        <f>IF(A28="","",IF(C28="Saldo Iniziale","Balance",IF(C28="CASH DEPOSIT","Deposit",IF(C28="CASH WITHDRAWAL","Withdrawal",IF(C28="STAMP DUTY","Tax",IF(C28="TOBIN TAX","Tax",IF(C28="WITHHOLDING TAX","Tax",IF(C28="DIVIDEND","Dividend",IF(C28="COUPON","Coupon",IF(C28="ACCRUED INT","Accrued Int.",IF(C28="SEC LENDING","Sec. Lending",IF(C28="REDEMPTION","Redemption",IF(C28="DISTRIBUTION","Distribution",IF(ISNUMBER(SEARCH("Rimborso",'Statements (Raw)'!D26)),"Redemption",IF(ISNUMBER(SEARCH("Cedola",'Statements (Raw)'!D26)),"Coupon",IF(ISNUMBER(SEARCH("Incasso Dividendi",'Statements (Raw)'!D26)),"Dividend",IF(ISNUMBER(SEARCH("Provento Etf",'Statements (Raw)'!D26)),"Distribution",IF(ISNUMBER(SEARCH("Rit.provento",'Statements (Raw)'!D26)),"Tax",IF(ISNUMBER(SEARCH("Ratei Pass",'Statements (Raw)'!D26)),"Accrued Int.",IF(ISNUMBER(SEARCH("Interessi Prest",'Statements (Raw)'!D26)),"Sec. Lending",IF('Statements (Raw)'!G26="","Other",IF('Statements (Raw)'!G26&gt;0,"Buy","Sell"))))))))))))))))))))))</f>
        <v>Balance</v>
      </c>
      <c r="E28" s="6" t="str">
        <f t="shared" si="0"/>
        <v>Cash</v>
      </c>
      <c r="F28" s="8" t="str">
        <f>IF(A28="","",IF('Statements (Raw)'!E26="","",'Statements (Raw)'!E26))</f>
        <v/>
      </c>
      <c r="G28" s="6" t="str">
        <f>IF(A28="","",IF('Statements (Raw)'!F26="","",'Statements (Raw)'!F26))</f>
        <v/>
      </c>
      <c r="H28" s="9" t="str">
        <f>IF(A28="","",IF('Statements (Raw)'!G26="","",'Statements (Raw)'!G26))</f>
        <v/>
      </c>
      <c r="I28" s="10">
        <f>IF(A28="","",IF('Statements (Raw)'!H26="","",'Statements (Raw)'!H26))</f>
        <v>319781.55</v>
      </c>
      <c r="J28" s="10">
        <f>IF(A28="",0,IF('Statements (Raw)'!I26="",0,'Statements (Raw)'!I26))</f>
        <v>0</v>
      </c>
      <c r="K28" s="10">
        <f t="shared" si="1"/>
        <v>319781.55</v>
      </c>
    </row>
    <row r="29" spans="1:11" x14ac:dyDescent="0.3">
      <c r="A29" s="171">
        <f>IF(OR('Statements (Raw)'!A27="",'Statements (Raw)'!A27&gt;Holdings!$G$3),"",'Statements (Raw)'!A27)</f>
        <v>45825</v>
      </c>
      <c r="B29" s="7">
        <f>IF(A29="","",IF('Statements (Raw)'!B27="","",'Statements (Raw)'!B27))</f>
        <v>45825</v>
      </c>
      <c r="C29" s="6" t="str">
        <f>IF(A29="","",IF('Statements (Raw)'!C27&lt;&gt;"",'Statements (Raw)'!C27,IF(ISNUMBER(SEARCH("Conferimento",'Statements (Raw)'!D27)),"CASH DEPOSIT",IF(ISNUMBER(SEARCH("Prelievo",'Statements (Raw)'!D27)),"CASH WITHDRAWAL",IF(ISNUMBER(SEARCH("Bollo",'Statements (Raw)'!D27)),"STAMP DUTY",IF(ISNUMBER(SEARCH("Tobin Tax",'Statements (Raw)'!D27)),"TOBIN TAX",IF(ISNUMBER(SEARCH("Rit.provento",'Statements (Raw)'!D27)),"WITHHOLDING TAX",IF(ISNUMBER(SEARCH("Incasso Dividendi",'Statements (Raw)'!D27)),"DIVIDEND",IF(ISNUMBER(SEARCH("Cedola",'Statements (Raw)'!D27)),"COUPON",IF(ISNUMBER(SEARCH("Ratei Pass",'Statements (Raw)'!D27)),"ACCRUED INT",IF(ISNUMBER(SEARCH("Interessi Prest",'Statements (Raw)'!D27)),"SEC LENDING",IF(ISNUMBER(SEARCH("Rimborso",'Statements (Raw)'!D27)),"REDEMPTION",IF(ISNUMBER(SEARCH("Provento",'Statements (Raw)'!D27)),"DISTRIBUTION","OTHER")))))))))))))</f>
        <v>CASH DEPOSIT</v>
      </c>
      <c r="D29" s="6" t="str">
        <f>IF(A29="","",IF(C29="Saldo Iniziale","Balance",IF(C29="CASH DEPOSIT","Deposit",IF(C29="CASH WITHDRAWAL","Withdrawal",IF(C29="STAMP DUTY","Tax",IF(C29="TOBIN TAX","Tax",IF(C29="WITHHOLDING TAX","Tax",IF(C29="DIVIDEND","Dividend",IF(C29="COUPON","Coupon",IF(C29="ACCRUED INT","Accrued Int.",IF(C29="SEC LENDING","Sec. Lending",IF(C29="REDEMPTION","Redemption",IF(C29="DISTRIBUTION","Distribution",IF(ISNUMBER(SEARCH("Rimborso",'Statements (Raw)'!D27)),"Redemption",IF(ISNUMBER(SEARCH("Cedola",'Statements (Raw)'!D27)),"Coupon",IF(ISNUMBER(SEARCH("Incasso Dividendi",'Statements (Raw)'!D27)),"Dividend",IF(ISNUMBER(SEARCH("Provento Etf",'Statements (Raw)'!D27)),"Distribution",IF(ISNUMBER(SEARCH("Rit.provento",'Statements (Raw)'!D27)),"Tax",IF(ISNUMBER(SEARCH("Ratei Pass",'Statements (Raw)'!D27)),"Accrued Int.",IF(ISNUMBER(SEARCH("Interessi Prest",'Statements (Raw)'!D27)),"Sec. Lending",IF('Statements (Raw)'!G27="","Other",IF('Statements (Raw)'!G27&gt;0,"Buy","Sell"))))))))))))))))))))))</f>
        <v>Deposit</v>
      </c>
      <c r="E29" s="6" t="str">
        <f t="shared" si="0"/>
        <v>Cash</v>
      </c>
      <c r="F29" s="8" t="str">
        <f>IF(A29="","",IF('Statements (Raw)'!E27="","",'Statements (Raw)'!E27))</f>
        <v/>
      </c>
      <c r="G29" s="6" t="str">
        <f>IF(A29="","",IF('Statements (Raw)'!F27="","",'Statements (Raw)'!F27))</f>
        <v/>
      </c>
      <c r="H29" s="9" t="str">
        <f>IF(A29="","",IF('Statements (Raw)'!G27="","",'Statements (Raw)'!G27))</f>
        <v/>
      </c>
      <c r="I29" s="10">
        <f>IF(A29="","",IF('Statements (Raw)'!H27="","",'Statements (Raw)'!H27))</f>
        <v>100000</v>
      </c>
      <c r="J29" s="10">
        <f>IF(A29="",0,IF('Statements (Raw)'!I27="",0,'Statements (Raw)'!I27))</f>
        <v>0</v>
      </c>
      <c r="K29" s="10">
        <f t="shared" si="1"/>
        <v>100000</v>
      </c>
    </row>
    <row r="30" spans="1:11" x14ac:dyDescent="0.3">
      <c r="A30" s="171">
        <f>IF(OR('Statements (Raw)'!A28="",'Statements (Raw)'!A28&gt;Holdings!$G$3),"",'Statements (Raw)'!A28)</f>
        <v>45831</v>
      </c>
      <c r="B30" s="7">
        <f>IF(A30="","",IF('Statements (Raw)'!B28="","",'Statements (Raw)'!B28))</f>
        <v>45833</v>
      </c>
      <c r="C30" s="6" t="str">
        <f>IF(A30="","",IF('Statements (Raw)'!C28&lt;&gt;"",'Statements (Raw)'!C28,IF(ISNUMBER(SEARCH("Conferimento",'Statements (Raw)'!D28)),"CASH DEPOSIT",IF(ISNUMBER(SEARCH("Prelievo",'Statements (Raw)'!D28)),"CASH WITHDRAWAL",IF(ISNUMBER(SEARCH("Bollo",'Statements (Raw)'!D28)),"STAMP DUTY",IF(ISNUMBER(SEARCH("Tobin Tax",'Statements (Raw)'!D28)),"TOBIN TAX",IF(ISNUMBER(SEARCH("Rit.provento",'Statements (Raw)'!D28)),"WITHHOLDING TAX",IF(ISNUMBER(SEARCH("Incasso Dividendi",'Statements (Raw)'!D28)),"DIVIDEND",IF(ISNUMBER(SEARCH("Cedola",'Statements (Raw)'!D28)),"COUPON",IF(ISNUMBER(SEARCH("Ratei Pass",'Statements (Raw)'!D28)),"ACCRUED INT",IF(ISNUMBER(SEARCH("Interessi Prest",'Statements (Raw)'!D28)),"SEC LENDING",IF(ISNUMBER(SEARCH("Rimborso",'Statements (Raw)'!D28)),"REDEMPTION",IF(ISNUMBER(SEARCH("Provento",'Statements (Raw)'!D28)),"DISTRIBUTION","OTHER")))))))))))))</f>
        <v>WisdomTree Europe Defence UCIT</v>
      </c>
      <c r="D30" s="6" t="str">
        <f>IF(A30="","",IF(C30="Saldo Iniziale","Balance",IF(C30="CASH DEPOSIT","Deposit",IF(C30="CASH WITHDRAWAL","Withdrawal",IF(C30="STAMP DUTY","Tax",IF(C30="TOBIN TAX","Tax",IF(C30="WITHHOLDING TAX","Tax",IF(C30="DIVIDEND","Dividend",IF(C30="COUPON","Coupon",IF(C30="ACCRUED INT","Accrued Int.",IF(C30="SEC LENDING","Sec. Lending",IF(C30="REDEMPTION","Redemption",IF(C30="DISTRIBUTION","Distribution",IF(ISNUMBER(SEARCH("Rimborso",'Statements (Raw)'!D28)),"Redemption",IF(ISNUMBER(SEARCH("Cedola",'Statements (Raw)'!D28)),"Coupon",IF(ISNUMBER(SEARCH("Incasso Dividendi",'Statements (Raw)'!D28)),"Dividend",IF(ISNUMBER(SEARCH("Provento Etf",'Statements (Raw)'!D28)),"Distribution",IF(ISNUMBER(SEARCH("Rit.provento",'Statements (Raw)'!D28)),"Tax",IF(ISNUMBER(SEARCH("Ratei Pass",'Statements (Raw)'!D28)),"Accrued Int.",IF(ISNUMBER(SEARCH("Interessi Prest",'Statements (Raw)'!D28)),"Sec. Lending",IF('Statements (Raw)'!G28="","Other",IF('Statements (Raw)'!G28&gt;0,"Buy","Sell"))))))))))))))))))))))</f>
        <v>Buy</v>
      </c>
      <c r="E30" s="6" t="str">
        <f t="shared" si="0"/>
        <v>ETF/ETC</v>
      </c>
      <c r="F30" s="8">
        <f>IF(A30="","",IF('Statements (Raw)'!E28="","",'Statements (Raw)'!E28))</f>
        <v>29.72</v>
      </c>
      <c r="G30" s="6" t="str">
        <f>IF(A30="","",IF('Statements (Raw)'!F28="","",'Statements (Raw)'!F28))</f>
        <v>EUR</v>
      </c>
      <c r="H30" s="9">
        <f>IF(A30="","",IF('Statements (Raw)'!G28="","",'Statements (Raw)'!G28))</f>
        <v>33</v>
      </c>
      <c r="I30" s="10">
        <f>IF(A30="","",IF('Statements (Raw)'!H28="","",'Statements (Raw)'!H28))</f>
        <v>-980.76</v>
      </c>
      <c r="J30" s="10">
        <f>IF(A30="",0,IF('Statements (Raw)'!I28="",0,'Statements (Raw)'!I28))</f>
        <v>0</v>
      </c>
      <c r="K30" s="10">
        <f t="shared" si="1"/>
        <v>-980.76</v>
      </c>
    </row>
    <row r="31" spans="1:11" x14ac:dyDescent="0.3">
      <c r="A31" s="171">
        <f>IF(OR('Statements (Raw)'!A29="",'Statements (Raw)'!A29&gt;Holdings!$G$3),"",'Statements (Raw)'!A29)</f>
        <v>45839</v>
      </c>
      <c r="B31" s="7" t="str">
        <f>IF(A31="","",IF('Statements (Raw)'!B29="","",'Statements (Raw)'!B29))</f>
        <v/>
      </c>
      <c r="C31" s="6" t="str">
        <f>IF(A31="","",IF('Statements (Raw)'!C29&lt;&gt;"",'Statements (Raw)'!C29,IF(ISNUMBER(SEARCH("Conferimento",'Statements (Raw)'!D29)),"CASH DEPOSIT",IF(ISNUMBER(SEARCH("Prelievo",'Statements (Raw)'!D29)),"CASH WITHDRAWAL",IF(ISNUMBER(SEARCH("Bollo",'Statements (Raw)'!D29)),"STAMP DUTY",IF(ISNUMBER(SEARCH("Tobin Tax",'Statements (Raw)'!D29)),"TOBIN TAX",IF(ISNUMBER(SEARCH("Rit.provento",'Statements (Raw)'!D29)),"WITHHOLDING TAX",IF(ISNUMBER(SEARCH("Incasso Dividendi",'Statements (Raw)'!D29)),"DIVIDEND",IF(ISNUMBER(SEARCH("Cedola",'Statements (Raw)'!D29)),"COUPON",IF(ISNUMBER(SEARCH("Ratei Pass",'Statements (Raw)'!D29)),"ACCRUED INT",IF(ISNUMBER(SEARCH("Interessi Prest",'Statements (Raw)'!D29)),"SEC LENDING",IF(ISNUMBER(SEARCH("Rimborso",'Statements (Raw)'!D29)),"REDEMPTION",IF(ISNUMBER(SEARCH("Provento",'Statements (Raw)'!D29)),"DISTRIBUTION","OTHER")))))))))))))</f>
        <v>Saldo Iniziale</v>
      </c>
      <c r="D31" s="6" t="str">
        <f>IF(A31="","",IF(C31="Saldo Iniziale","Balance",IF(C31="CASH DEPOSIT","Deposit",IF(C31="CASH WITHDRAWAL","Withdrawal",IF(C31="STAMP DUTY","Tax",IF(C31="TOBIN TAX","Tax",IF(C31="WITHHOLDING TAX","Tax",IF(C31="DIVIDEND","Dividend",IF(C31="COUPON","Coupon",IF(C31="ACCRUED INT","Accrued Int.",IF(C31="SEC LENDING","Sec. Lending",IF(C31="REDEMPTION","Redemption",IF(C31="DISTRIBUTION","Distribution",IF(ISNUMBER(SEARCH("Rimborso",'Statements (Raw)'!D29)),"Redemption",IF(ISNUMBER(SEARCH("Cedola",'Statements (Raw)'!D29)),"Coupon",IF(ISNUMBER(SEARCH("Incasso Dividendi",'Statements (Raw)'!D29)),"Dividend",IF(ISNUMBER(SEARCH("Provento Etf",'Statements (Raw)'!D29)),"Distribution",IF(ISNUMBER(SEARCH("Rit.provento",'Statements (Raw)'!D29)),"Tax",IF(ISNUMBER(SEARCH("Ratei Pass",'Statements (Raw)'!D29)),"Accrued Int.",IF(ISNUMBER(SEARCH("Interessi Prest",'Statements (Raw)'!D29)),"Sec. Lending",IF('Statements (Raw)'!G29="","Other",IF('Statements (Raw)'!G29&gt;0,"Buy","Sell"))))))))))))))))))))))</f>
        <v>Balance</v>
      </c>
      <c r="E31" s="6" t="str">
        <f t="shared" si="0"/>
        <v>Cash</v>
      </c>
      <c r="F31" s="8" t="str">
        <f>IF(A31="","",IF('Statements (Raw)'!E29="","",'Statements (Raw)'!E29))</f>
        <v/>
      </c>
      <c r="G31" s="6" t="str">
        <f>IF(A31="","",IF('Statements (Raw)'!F29="","",'Statements (Raw)'!F29))</f>
        <v/>
      </c>
      <c r="H31" s="9" t="str">
        <f>IF(A31="","",IF('Statements (Raw)'!G29="","",'Statements (Raw)'!G29))</f>
        <v/>
      </c>
      <c r="I31" s="10">
        <f>IF(A31="","",IF('Statements (Raw)'!H29="","",'Statements (Raw)'!H29))</f>
        <v>418800.79</v>
      </c>
      <c r="J31" s="10">
        <f>IF(A31="",0,IF('Statements (Raw)'!I29="",0,'Statements (Raw)'!I29))</f>
        <v>0</v>
      </c>
      <c r="K31" s="10">
        <f t="shared" si="1"/>
        <v>418800.79</v>
      </c>
    </row>
    <row r="32" spans="1:11" x14ac:dyDescent="0.3">
      <c r="A32" s="171">
        <f>IF(OR('Statements (Raw)'!A30="",'Statements (Raw)'!A30&gt;Holdings!$G$3),"",'Statements (Raw)'!A30)</f>
        <v>45839</v>
      </c>
      <c r="B32" s="7">
        <f>IF(A32="","",IF('Statements (Raw)'!B30="","",'Statements (Raw)'!B30))</f>
        <v>45841</v>
      </c>
      <c r="C32" s="6" t="str">
        <f>IF(A32="","",IF('Statements (Raw)'!C30&lt;&gt;"",'Statements (Raw)'!C30,IF(ISNUMBER(SEARCH("Conferimento",'Statements (Raw)'!D30)),"CASH DEPOSIT",IF(ISNUMBER(SEARCH("Prelievo",'Statements (Raw)'!D30)),"CASH WITHDRAWAL",IF(ISNUMBER(SEARCH("Bollo",'Statements (Raw)'!D30)),"STAMP DUTY",IF(ISNUMBER(SEARCH("Tobin Tax",'Statements (Raw)'!D30)),"TOBIN TAX",IF(ISNUMBER(SEARCH("Rit.provento",'Statements (Raw)'!D30)),"WITHHOLDING TAX",IF(ISNUMBER(SEARCH("Incasso Dividendi",'Statements (Raw)'!D30)),"DIVIDEND",IF(ISNUMBER(SEARCH("Cedola",'Statements (Raw)'!D30)),"COUPON",IF(ISNUMBER(SEARCH("Ratei Pass",'Statements (Raw)'!D30)),"ACCRUED INT",IF(ISNUMBER(SEARCH("Interessi Prest",'Statements (Raw)'!D30)),"SEC LENDING",IF(ISNUMBER(SEARCH("Rimborso",'Statements (Raw)'!D30)),"REDEMPTION",IF(ISNUMBER(SEARCH("Provento",'Statements (Raw)'!D30)),"DISTRIBUTION","OTHER")))))))))))))</f>
        <v>WisdomTree Europe Defence UCIT</v>
      </c>
      <c r="D32" s="6" t="str">
        <f>IF(A32="","",IF(C32="Saldo Iniziale","Balance",IF(C32="CASH DEPOSIT","Deposit",IF(C32="CASH WITHDRAWAL","Withdrawal",IF(C32="STAMP DUTY","Tax",IF(C32="TOBIN TAX","Tax",IF(C32="WITHHOLDING TAX","Tax",IF(C32="DIVIDEND","Dividend",IF(C32="COUPON","Coupon",IF(C32="ACCRUED INT","Accrued Int.",IF(C32="SEC LENDING","Sec. Lending",IF(C32="REDEMPTION","Redemption",IF(C32="DISTRIBUTION","Distribution",IF(ISNUMBER(SEARCH("Rimborso",'Statements (Raw)'!D30)),"Redemption",IF(ISNUMBER(SEARCH("Cedola",'Statements (Raw)'!D30)),"Coupon",IF(ISNUMBER(SEARCH("Incasso Dividendi",'Statements (Raw)'!D30)),"Dividend",IF(ISNUMBER(SEARCH("Provento Etf",'Statements (Raw)'!D30)),"Distribution",IF(ISNUMBER(SEARCH("Rit.provento",'Statements (Raw)'!D30)),"Tax",IF(ISNUMBER(SEARCH("Ratei Pass",'Statements (Raw)'!D30)),"Accrued Int.",IF(ISNUMBER(SEARCH("Interessi Prest",'Statements (Raw)'!D30)),"Sec. Lending",IF('Statements (Raw)'!G30="","Other",IF('Statements (Raw)'!G30&gt;0,"Buy","Sell"))))))))))))))))))))))</f>
        <v>Buy</v>
      </c>
      <c r="E32" s="6" t="str">
        <f t="shared" si="0"/>
        <v>ETF/ETC</v>
      </c>
      <c r="F32" s="8">
        <f>IF(A32="","",IF('Statements (Raw)'!E30="","",'Statements (Raw)'!E30))</f>
        <v>29.68</v>
      </c>
      <c r="G32" s="6" t="str">
        <f>IF(A32="","",IF('Statements (Raw)'!F30="","",'Statements (Raw)'!F30))</f>
        <v>EUR</v>
      </c>
      <c r="H32" s="9">
        <f>IF(A32="","",IF('Statements (Raw)'!G30="","",'Statements (Raw)'!G30))</f>
        <v>33</v>
      </c>
      <c r="I32" s="10">
        <f>IF(A32="","",IF('Statements (Raw)'!H30="","",'Statements (Raw)'!H30))</f>
        <v>-979.44</v>
      </c>
      <c r="J32" s="10">
        <f>IF(A32="",0,IF('Statements (Raw)'!I30="",0,'Statements (Raw)'!I30))</f>
        <v>0</v>
      </c>
      <c r="K32" s="10">
        <f t="shared" si="1"/>
        <v>-979.44</v>
      </c>
    </row>
    <row r="33" spans="1:11" x14ac:dyDescent="0.3">
      <c r="A33" s="171">
        <f>IF(OR('Statements (Raw)'!A31="",'Statements (Raw)'!A31&gt;Holdings!$G$3),"",'Statements (Raw)'!A31)</f>
        <v>45846</v>
      </c>
      <c r="B33" s="7">
        <f>IF(A33="","",IF('Statements (Raw)'!B31="","",'Statements (Raw)'!B31))</f>
        <v>45848</v>
      </c>
      <c r="C33" s="6" t="str">
        <f>IF(A33="","",IF('Statements (Raw)'!C31&lt;&gt;"",'Statements (Raw)'!C31,IF(ISNUMBER(SEARCH("Conferimento",'Statements (Raw)'!D31)),"CASH DEPOSIT",IF(ISNUMBER(SEARCH("Prelievo",'Statements (Raw)'!D31)),"CASH WITHDRAWAL",IF(ISNUMBER(SEARCH("Bollo",'Statements (Raw)'!D31)),"STAMP DUTY",IF(ISNUMBER(SEARCH("Tobin Tax",'Statements (Raw)'!D31)),"TOBIN TAX",IF(ISNUMBER(SEARCH("Rit.provento",'Statements (Raw)'!D31)),"WITHHOLDING TAX",IF(ISNUMBER(SEARCH("Incasso Dividendi",'Statements (Raw)'!D31)),"DIVIDEND",IF(ISNUMBER(SEARCH("Cedola",'Statements (Raw)'!D31)),"COUPON",IF(ISNUMBER(SEARCH("Ratei Pass",'Statements (Raw)'!D31)),"ACCRUED INT",IF(ISNUMBER(SEARCH("Interessi Prest",'Statements (Raw)'!D31)),"SEC LENDING",IF(ISNUMBER(SEARCH("Rimborso",'Statements (Raw)'!D31)),"REDEMPTION",IF(ISNUMBER(SEARCH("Provento",'Statements (Raw)'!D31)),"DISTRIBUTION","OTHER")))))))))))))</f>
        <v>WisdomTree Europe Defence UCIT</v>
      </c>
      <c r="D33" s="6" t="str">
        <f>IF(A33="","",IF(C33="Saldo Iniziale","Balance",IF(C33="CASH DEPOSIT","Deposit",IF(C33="CASH WITHDRAWAL","Withdrawal",IF(C33="STAMP DUTY","Tax",IF(C33="TOBIN TAX","Tax",IF(C33="WITHHOLDING TAX","Tax",IF(C33="DIVIDEND","Dividend",IF(C33="COUPON","Coupon",IF(C33="ACCRUED INT","Accrued Int.",IF(C33="SEC LENDING","Sec. Lending",IF(C33="REDEMPTION","Redemption",IF(C33="DISTRIBUTION","Distribution",IF(ISNUMBER(SEARCH("Rimborso",'Statements (Raw)'!D31)),"Redemption",IF(ISNUMBER(SEARCH("Cedola",'Statements (Raw)'!D31)),"Coupon",IF(ISNUMBER(SEARCH("Incasso Dividendi",'Statements (Raw)'!D31)),"Dividend",IF(ISNUMBER(SEARCH("Provento Etf",'Statements (Raw)'!D31)),"Distribution",IF(ISNUMBER(SEARCH("Rit.provento",'Statements (Raw)'!D31)),"Tax",IF(ISNUMBER(SEARCH("Ratei Pass",'Statements (Raw)'!D31)),"Accrued Int.",IF(ISNUMBER(SEARCH("Interessi Prest",'Statements (Raw)'!D31)),"Sec. Lending",IF('Statements (Raw)'!G31="","Other",IF('Statements (Raw)'!G31&gt;0,"Buy","Sell"))))))))))))))))))))))</f>
        <v>Buy</v>
      </c>
      <c r="E33" s="6" t="str">
        <f t="shared" si="0"/>
        <v>ETF/ETC</v>
      </c>
      <c r="F33" s="8">
        <f>IF(A33="","",IF('Statements (Raw)'!E31="","",'Statements (Raw)'!E31))</f>
        <v>30.625</v>
      </c>
      <c r="G33" s="6" t="str">
        <f>IF(A33="","",IF('Statements (Raw)'!F31="","",'Statements (Raw)'!F31))</f>
        <v>EUR</v>
      </c>
      <c r="H33" s="9">
        <f>IF(A33="","",IF('Statements (Raw)'!G31="","",'Statements (Raw)'!G31))</f>
        <v>32</v>
      </c>
      <c r="I33" s="10">
        <f>IF(A33="","",IF('Statements (Raw)'!H31="","",'Statements (Raw)'!H31))</f>
        <v>-980</v>
      </c>
      <c r="J33" s="10">
        <f>IF(A33="",0,IF('Statements (Raw)'!I31="",0,'Statements (Raw)'!I31))</f>
        <v>0</v>
      </c>
      <c r="K33" s="10">
        <f t="shared" si="1"/>
        <v>-980</v>
      </c>
    </row>
    <row r="34" spans="1:11" x14ac:dyDescent="0.3">
      <c r="A34" s="171">
        <f>IF(OR('Statements (Raw)'!A32="",'Statements (Raw)'!A32&gt;Holdings!$G$3),"",'Statements (Raw)'!A32)</f>
        <v>45847</v>
      </c>
      <c r="B34" s="7">
        <f>IF(A34="","",IF('Statements (Raw)'!B32="","",'Statements (Raw)'!B32))</f>
        <v>45838</v>
      </c>
      <c r="C34" s="6" t="str">
        <f>IF(A34="","",IF('Statements (Raw)'!C32&lt;&gt;"",'Statements (Raw)'!C32,IF(ISNUMBER(SEARCH("Conferimento",'Statements (Raw)'!D32)),"CASH DEPOSIT",IF(ISNUMBER(SEARCH("Prelievo",'Statements (Raw)'!D32)),"CASH WITHDRAWAL",IF(ISNUMBER(SEARCH("Bollo",'Statements (Raw)'!D32)),"STAMP DUTY",IF(ISNUMBER(SEARCH("Tobin Tax",'Statements (Raw)'!D32)),"TOBIN TAX",IF(ISNUMBER(SEARCH("Rit.provento",'Statements (Raw)'!D32)),"WITHHOLDING TAX",IF(ISNUMBER(SEARCH("Incasso Dividendi",'Statements (Raw)'!D32)),"DIVIDEND",IF(ISNUMBER(SEARCH("Cedola",'Statements (Raw)'!D32)),"COUPON",IF(ISNUMBER(SEARCH("Ratei Pass",'Statements (Raw)'!D32)),"ACCRUED INT",IF(ISNUMBER(SEARCH("Interessi Prest",'Statements (Raw)'!D32)),"SEC LENDING",IF(ISNUMBER(SEARCH("Rimborso",'Statements (Raw)'!D32)),"REDEMPTION",IF(ISNUMBER(SEARCH("Provento",'Statements (Raw)'!D32)),"DISTRIBUTION","OTHER")))))))))))))</f>
        <v>STAMP DUTY</v>
      </c>
      <c r="D34" s="6" t="str">
        <f>IF(A34="","",IF(C34="Saldo Iniziale","Balance",IF(C34="CASH DEPOSIT","Deposit",IF(C34="CASH WITHDRAWAL","Withdrawal",IF(C34="STAMP DUTY","Tax",IF(C34="TOBIN TAX","Tax",IF(C34="WITHHOLDING TAX","Tax",IF(C34="DIVIDEND","Dividend",IF(C34="COUPON","Coupon",IF(C34="ACCRUED INT","Accrued Int.",IF(C34="SEC LENDING","Sec. Lending",IF(C34="REDEMPTION","Redemption",IF(C34="DISTRIBUTION","Distribution",IF(ISNUMBER(SEARCH("Rimborso",'Statements (Raw)'!D32)),"Redemption",IF(ISNUMBER(SEARCH("Cedola",'Statements (Raw)'!D32)),"Coupon",IF(ISNUMBER(SEARCH("Incasso Dividendi",'Statements (Raw)'!D32)),"Dividend",IF(ISNUMBER(SEARCH("Provento Etf",'Statements (Raw)'!D32)),"Distribution",IF(ISNUMBER(SEARCH("Rit.provento",'Statements (Raw)'!D32)),"Tax",IF(ISNUMBER(SEARCH("Ratei Pass",'Statements (Raw)'!D32)),"Accrued Int.",IF(ISNUMBER(SEARCH("Interessi Prest",'Statements (Raw)'!D32)),"Sec. Lending",IF('Statements (Raw)'!G32="","Other",IF('Statements (Raw)'!G32&gt;0,"Buy","Sell"))))))))))))))))))))))</f>
        <v>Tax</v>
      </c>
      <c r="E34" s="6" t="str">
        <f t="shared" si="0"/>
        <v>Tax/Fee</v>
      </c>
      <c r="F34" s="8" t="str">
        <f>IF(A34="","",IF('Statements (Raw)'!E32="","",'Statements (Raw)'!E32))</f>
        <v/>
      </c>
      <c r="G34" s="6" t="str">
        <f>IF(A34="","",IF('Statements (Raw)'!F32="","",'Statements (Raw)'!F32))</f>
        <v/>
      </c>
      <c r="H34" s="9" t="str">
        <f>IF(A34="","",IF('Statements (Raw)'!G32="","",'Statements (Raw)'!G32))</f>
        <v/>
      </c>
      <c r="I34" s="10">
        <f>IF(A34="","",IF('Statements (Raw)'!H32="","",'Statements (Raw)'!H32))</f>
        <v>-45</v>
      </c>
      <c r="J34" s="10">
        <f>IF(A34="",0,IF('Statements (Raw)'!I32="",0,'Statements (Raw)'!I32))</f>
        <v>0</v>
      </c>
      <c r="K34" s="10">
        <f t="shared" si="1"/>
        <v>-45</v>
      </c>
    </row>
    <row r="35" spans="1:11" x14ac:dyDescent="0.3">
      <c r="A35" s="171">
        <f>IF(OR('Statements (Raw)'!A33="",'Statements (Raw)'!A33&gt;Holdings!$G$3),"",'Statements (Raw)'!A33)</f>
        <v>45853</v>
      </c>
      <c r="B35" s="7">
        <f>IF(A35="","",IF('Statements (Raw)'!B33="","",'Statements (Raw)'!B33))</f>
        <v>45855</v>
      </c>
      <c r="C35" s="6" t="str">
        <f>IF(A35="","",IF('Statements (Raw)'!C33&lt;&gt;"",'Statements (Raw)'!C33,IF(ISNUMBER(SEARCH("Conferimento",'Statements (Raw)'!D33)),"CASH DEPOSIT",IF(ISNUMBER(SEARCH("Prelievo",'Statements (Raw)'!D33)),"CASH WITHDRAWAL",IF(ISNUMBER(SEARCH("Bollo",'Statements (Raw)'!D33)),"STAMP DUTY",IF(ISNUMBER(SEARCH("Tobin Tax",'Statements (Raw)'!D33)),"TOBIN TAX",IF(ISNUMBER(SEARCH("Rit.provento",'Statements (Raw)'!D33)),"WITHHOLDING TAX",IF(ISNUMBER(SEARCH("Incasso Dividendi",'Statements (Raw)'!D33)),"DIVIDEND",IF(ISNUMBER(SEARCH("Cedola",'Statements (Raw)'!D33)),"COUPON",IF(ISNUMBER(SEARCH("Ratei Pass",'Statements (Raw)'!D33)),"ACCRUED INT",IF(ISNUMBER(SEARCH("Interessi Prest",'Statements (Raw)'!D33)),"SEC LENDING",IF(ISNUMBER(SEARCH("Rimborso",'Statements (Raw)'!D33)),"REDEMPTION",IF(ISNUMBER(SEARCH("Provento",'Statements (Raw)'!D33)),"DISTRIBUTION","OTHER")))))))))))))</f>
        <v>CARRARO FINANCE FX 5.25% APR30</v>
      </c>
      <c r="D35" s="6" t="str">
        <f>IF(A35="","",IF(C35="Saldo Iniziale","Balance",IF(C35="CASH DEPOSIT","Deposit",IF(C35="CASH WITHDRAWAL","Withdrawal",IF(C35="STAMP DUTY","Tax",IF(C35="TOBIN TAX","Tax",IF(C35="WITHHOLDING TAX","Tax",IF(C35="DIVIDEND","Dividend",IF(C35="COUPON","Coupon",IF(C35="ACCRUED INT","Accrued Int.",IF(C35="SEC LENDING","Sec. Lending",IF(C35="REDEMPTION","Redemption",IF(C35="DISTRIBUTION","Distribution",IF(ISNUMBER(SEARCH("Rimborso",'Statements (Raw)'!D33)),"Redemption",IF(ISNUMBER(SEARCH("Cedola",'Statements (Raw)'!D33)),"Coupon",IF(ISNUMBER(SEARCH("Incasso Dividendi",'Statements (Raw)'!D33)),"Dividend",IF(ISNUMBER(SEARCH("Provento Etf",'Statements (Raw)'!D33)),"Distribution",IF(ISNUMBER(SEARCH("Rit.provento",'Statements (Raw)'!D33)),"Tax",IF(ISNUMBER(SEARCH("Ratei Pass",'Statements (Raw)'!D33)),"Accrued Int.",IF(ISNUMBER(SEARCH("Interessi Prest",'Statements (Raw)'!D33)),"Sec. Lending",IF('Statements (Raw)'!G33="","Other",IF('Statements (Raw)'!G33&gt;0,"Buy","Sell"))))))))))))))))))))))</f>
        <v>Buy</v>
      </c>
      <c r="E35" s="6" t="str">
        <f t="shared" si="0"/>
        <v>Bond</v>
      </c>
      <c r="F35" s="8">
        <f>IF(A35="","",IF('Statements (Raw)'!E33="","",'Statements (Raw)'!E33))</f>
        <v>101.74</v>
      </c>
      <c r="G35" s="6" t="str">
        <f>IF(A35="","",IF('Statements (Raw)'!F33="","",'Statements (Raw)'!F33))</f>
        <v>EUR</v>
      </c>
      <c r="H35" s="9">
        <f>IF(A35="","",IF('Statements (Raw)'!G33="","",'Statements (Raw)'!G33))</f>
        <v>12000</v>
      </c>
      <c r="I35" s="10">
        <f>IF(A35="","",IF('Statements (Raw)'!H33="","",'Statements (Raw)'!H33))</f>
        <v>-12208.8</v>
      </c>
      <c r="J35" s="10">
        <f>IF(A35="",0,IF('Statements (Raw)'!I33="",0,'Statements (Raw)'!I33))</f>
        <v>-5</v>
      </c>
      <c r="K35" s="10">
        <f t="shared" si="1"/>
        <v>-12213.8</v>
      </c>
    </row>
    <row r="36" spans="1:11" x14ac:dyDescent="0.3">
      <c r="A36" s="171">
        <f>IF(OR('Statements (Raw)'!A34="",'Statements (Raw)'!A34&gt;Holdings!$G$3),"",'Statements (Raw)'!A34)</f>
        <v>45853</v>
      </c>
      <c r="B36" s="7">
        <f>IF(A36="","",IF('Statements (Raw)'!B34="","",'Statements (Raw)'!B34))</f>
        <v>45855</v>
      </c>
      <c r="C36" s="6" t="str">
        <f>IF(A36="","",IF('Statements (Raw)'!C34&lt;&gt;"",'Statements (Raw)'!C34,IF(ISNUMBER(SEARCH("Conferimento",'Statements (Raw)'!D34)),"CASH DEPOSIT",IF(ISNUMBER(SEARCH("Prelievo",'Statements (Raw)'!D34)),"CASH WITHDRAWAL",IF(ISNUMBER(SEARCH("Bollo",'Statements (Raw)'!D34)),"STAMP DUTY",IF(ISNUMBER(SEARCH("Tobin Tax",'Statements (Raw)'!D34)),"TOBIN TAX",IF(ISNUMBER(SEARCH("Rit.provento",'Statements (Raw)'!D34)),"WITHHOLDING TAX",IF(ISNUMBER(SEARCH("Incasso Dividendi",'Statements (Raw)'!D34)),"DIVIDEND",IF(ISNUMBER(SEARCH("Cedola",'Statements (Raw)'!D34)),"COUPON",IF(ISNUMBER(SEARCH("Ratei Pass",'Statements (Raw)'!D34)),"ACCRUED INT",IF(ISNUMBER(SEARCH("Interessi Prest",'Statements (Raw)'!D34)),"SEC LENDING",IF(ISNUMBER(SEARCH("Rimborso",'Statements (Raw)'!D34)),"REDEMPTION",IF(ISNUMBER(SEARCH("Provento",'Statements (Raw)'!D34)),"DISTRIBUTION","OTHER")))))))))))))</f>
        <v>CARRARO FINANCE FX 5.25% APR30</v>
      </c>
      <c r="D36" s="6" t="str">
        <f>IF(A36="","",IF(C36="Saldo Iniziale","Balance",IF(C36="CASH DEPOSIT","Deposit",IF(C36="CASH WITHDRAWAL","Withdrawal",IF(C36="STAMP DUTY","Tax",IF(C36="TOBIN TAX","Tax",IF(C36="WITHHOLDING TAX","Tax",IF(C36="DIVIDEND","Dividend",IF(C36="COUPON","Coupon",IF(C36="ACCRUED INT","Accrued Int.",IF(C36="SEC LENDING","Sec. Lending",IF(C36="REDEMPTION","Redemption",IF(C36="DISTRIBUTION","Distribution",IF(ISNUMBER(SEARCH("Rimborso",'Statements (Raw)'!D34)),"Redemption",IF(ISNUMBER(SEARCH("Cedola",'Statements (Raw)'!D34)),"Coupon",IF(ISNUMBER(SEARCH("Incasso Dividendi",'Statements (Raw)'!D34)),"Dividend",IF(ISNUMBER(SEARCH("Provento Etf",'Statements (Raw)'!D34)),"Distribution",IF(ISNUMBER(SEARCH("Rit.provento",'Statements (Raw)'!D34)),"Tax",IF(ISNUMBER(SEARCH("Ratei Pass",'Statements (Raw)'!D34)),"Accrued Int.",IF(ISNUMBER(SEARCH("Interessi Prest",'Statements (Raw)'!D34)),"Sec. Lending",IF('Statements (Raw)'!G34="","Other",IF('Statements (Raw)'!G34&gt;0,"Buy","Sell"))))))))))))))))))))))</f>
        <v>Buy</v>
      </c>
      <c r="E36" s="6" t="str">
        <f t="shared" si="0"/>
        <v>Bond</v>
      </c>
      <c r="F36" s="8">
        <f>IF(A36="","",IF('Statements (Raw)'!E34="","",'Statements (Raw)'!E34))</f>
        <v>101.74</v>
      </c>
      <c r="G36" s="6" t="str">
        <f>IF(A36="","",IF('Statements (Raw)'!F34="","",'Statements (Raw)'!F34))</f>
        <v>EUR</v>
      </c>
      <c r="H36" s="9">
        <f>IF(A36="","",IF('Statements (Raw)'!G34="","",'Statements (Raw)'!G34))</f>
        <v>8000</v>
      </c>
      <c r="I36" s="10">
        <f>IF(A36="","",IF('Statements (Raw)'!H34="","",'Statements (Raw)'!H34))</f>
        <v>-8139.2</v>
      </c>
      <c r="J36" s="10">
        <f>IF(A36="",0,IF('Statements (Raw)'!I34="",0,'Statements (Raw)'!I34))</f>
        <v>0</v>
      </c>
      <c r="K36" s="10">
        <f t="shared" si="1"/>
        <v>-8139.2</v>
      </c>
    </row>
    <row r="37" spans="1:11" x14ac:dyDescent="0.3">
      <c r="A37" s="171">
        <f>IF(OR('Statements (Raw)'!A35="",'Statements (Raw)'!A35&gt;Holdings!$G$3),"",'Statements (Raw)'!A35)</f>
        <v>45853</v>
      </c>
      <c r="B37" s="7">
        <f>IF(A37="","",IF('Statements (Raw)'!B35="","",'Statements (Raw)'!B35))</f>
        <v>45855</v>
      </c>
      <c r="C37" s="6" t="str">
        <f>IF(A37="","",IF('Statements (Raw)'!C35&lt;&gt;"",'Statements (Raw)'!C35,IF(ISNUMBER(SEARCH("Conferimento",'Statements (Raw)'!D35)),"CASH DEPOSIT",IF(ISNUMBER(SEARCH("Prelievo",'Statements (Raw)'!D35)),"CASH WITHDRAWAL",IF(ISNUMBER(SEARCH("Bollo",'Statements (Raw)'!D35)),"STAMP DUTY",IF(ISNUMBER(SEARCH("Tobin Tax",'Statements (Raw)'!D35)),"TOBIN TAX",IF(ISNUMBER(SEARCH("Rit.provento",'Statements (Raw)'!D35)),"WITHHOLDING TAX",IF(ISNUMBER(SEARCH("Incasso Dividendi",'Statements (Raw)'!D35)),"DIVIDEND",IF(ISNUMBER(SEARCH("Cedola",'Statements (Raw)'!D35)),"COUPON",IF(ISNUMBER(SEARCH("Ratei Pass",'Statements (Raw)'!D35)),"ACCRUED INT",IF(ISNUMBER(SEARCH("Interessi Prest",'Statements (Raw)'!D35)),"SEC LENDING",IF(ISNUMBER(SEARCH("Rimborso",'Statements (Raw)'!D35)),"REDEMPTION",IF(ISNUMBER(SEARCH("Provento",'Statements (Raw)'!D35)),"DISTRIBUTION","OTHER")))))))))))))</f>
        <v>CARRARO FINANCE FX 5.25% APR30</v>
      </c>
      <c r="D37" s="6" t="str">
        <f>IF(A37="","",IF(C37="Saldo Iniziale","Balance",IF(C37="CASH DEPOSIT","Deposit",IF(C37="CASH WITHDRAWAL","Withdrawal",IF(C37="STAMP DUTY","Tax",IF(C37="TOBIN TAX","Tax",IF(C37="WITHHOLDING TAX","Tax",IF(C37="DIVIDEND","Dividend",IF(C37="COUPON","Coupon",IF(C37="ACCRUED INT","Accrued Int.",IF(C37="SEC LENDING","Sec. Lending",IF(C37="REDEMPTION","Redemption",IF(C37="DISTRIBUTION","Distribution",IF(ISNUMBER(SEARCH("Rimborso",'Statements (Raw)'!D35)),"Redemption",IF(ISNUMBER(SEARCH("Cedola",'Statements (Raw)'!D35)),"Coupon",IF(ISNUMBER(SEARCH("Incasso Dividendi",'Statements (Raw)'!D35)),"Dividend",IF(ISNUMBER(SEARCH("Provento Etf",'Statements (Raw)'!D35)),"Distribution",IF(ISNUMBER(SEARCH("Rit.provento",'Statements (Raw)'!D35)),"Tax",IF(ISNUMBER(SEARCH("Ratei Pass",'Statements (Raw)'!D35)),"Accrued Int.",IF(ISNUMBER(SEARCH("Interessi Prest",'Statements (Raw)'!D35)),"Sec. Lending",IF('Statements (Raw)'!G35="","Other",IF('Statements (Raw)'!G35&gt;0,"Buy","Sell"))))))))))))))))))))))</f>
        <v>Accrued Int.</v>
      </c>
      <c r="E37" s="6" t="str">
        <f t="shared" si="0"/>
        <v>Income</v>
      </c>
      <c r="F37" s="8" t="str">
        <f>IF(A37="","",IF('Statements (Raw)'!E35="","",'Statements (Raw)'!E35))</f>
        <v/>
      </c>
      <c r="G37" s="6" t="str">
        <f>IF(A37="","",IF('Statements (Raw)'!F35="","",'Statements (Raw)'!F35))</f>
        <v/>
      </c>
      <c r="H37" s="9" t="str">
        <f>IF(A37="","",IF('Statements (Raw)'!G35="","",'Statements (Raw)'!G35))</f>
        <v/>
      </c>
      <c r="I37" s="10">
        <f>IF(A37="","",IF('Statements (Raw)'!H35="","",'Statements (Raw)'!H35))</f>
        <v>-261.07</v>
      </c>
      <c r="J37" s="10">
        <f>IF(A37="",0,IF('Statements (Raw)'!I35="",0,'Statements (Raw)'!I35))</f>
        <v>0</v>
      </c>
      <c r="K37" s="10">
        <f t="shared" si="1"/>
        <v>-261.07</v>
      </c>
    </row>
    <row r="38" spans="1:11" x14ac:dyDescent="0.3">
      <c r="A38" s="171">
        <f>IF(OR('Statements (Raw)'!A36="",'Statements (Raw)'!A36&gt;Holdings!$G$3),"",'Statements (Raw)'!A36)</f>
        <v>45853</v>
      </c>
      <c r="B38" s="7">
        <f>IF(A38="","",IF('Statements (Raw)'!B36="","",'Statements (Raw)'!B36))</f>
        <v>45855</v>
      </c>
      <c r="C38" s="6" t="str">
        <f>IF(A38="","",IF('Statements (Raw)'!C36&lt;&gt;"",'Statements (Raw)'!C36,IF(ISNUMBER(SEARCH("Conferimento",'Statements (Raw)'!D36)),"CASH DEPOSIT",IF(ISNUMBER(SEARCH("Prelievo",'Statements (Raw)'!D36)),"CASH WITHDRAWAL",IF(ISNUMBER(SEARCH("Bollo",'Statements (Raw)'!D36)),"STAMP DUTY",IF(ISNUMBER(SEARCH("Tobin Tax",'Statements (Raw)'!D36)),"TOBIN TAX",IF(ISNUMBER(SEARCH("Rit.provento",'Statements (Raw)'!D36)),"WITHHOLDING TAX",IF(ISNUMBER(SEARCH("Incasso Dividendi",'Statements (Raw)'!D36)),"DIVIDEND",IF(ISNUMBER(SEARCH("Cedola",'Statements (Raw)'!D36)),"COUPON",IF(ISNUMBER(SEARCH("Ratei Pass",'Statements (Raw)'!D36)),"ACCRUED INT",IF(ISNUMBER(SEARCH("Interessi Prest",'Statements (Raw)'!D36)),"SEC LENDING",IF(ISNUMBER(SEARCH("Rimborso",'Statements (Raw)'!D36)),"REDEMPTION",IF(ISNUMBER(SEARCH("Provento",'Statements (Raw)'!D36)),"DISTRIBUTION","OTHER")))))))))))))</f>
        <v>BOT ZC DEC25 A EUR</v>
      </c>
      <c r="D38" s="6" t="str">
        <f>IF(A38="","",IF(C38="Saldo Iniziale","Balance",IF(C38="CASH DEPOSIT","Deposit",IF(C38="CASH WITHDRAWAL","Withdrawal",IF(C38="STAMP DUTY","Tax",IF(C38="TOBIN TAX","Tax",IF(C38="WITHHOLDING TAX","Tax",IF(C38="DIVIDEND","Dividend",IF(C38="COUPON","Coupon",IF(C38="ACCRUED INT","Accrued Int.",IF(C38="SEC LENDING","Sec. Lending",IF(C38="REDEMPTION","Redemption",IF(C38="DISTRIBUTION","Distribution",IF(ISNUMBER(SEARCH("Rimborso",'Statements (Raw)'!D36)),"Redemption",IF(ISNUMBER(SEARCH("Cedola",'Statements (Raw)'!D36)),"Coupon",IF(ISNUMBER(SEARCH("Incasso Dividendi",'Statements (Raw)'!D36)),"Dividend",IF(ISNUMBER(SEARCH("Provento Etf",'Statements (Raw)'!D36)),"Distribution",IF(ISNUMBER(SEARCH("Rit.provento",'Statements (Raw)'!D36)),"Tax",IF(ISNUMBER(SEARCH("Ratei Pass",'Statements (Raw)'!D36)),"Accrued Int.",IF(ISNUMBER(SEARCH("Interessi Prest",'Statements (Raw)'!D36)),"Sec. Lending",IF('Statements (Raw)'!G36="","Other",IF('Statements (Raw)'!G36&gt;0,"Buy","Sell"))))))))))))))))))))))</f>
        <v>Buy</v>
      </c>
      <c r="E38" s="6" t="str">
        <f t="shared" si="0"/>
        <v>Bond</v>
      </c>
      <c r="F38" s="8">
        <f>IF(A38="","",IF('Statements (Raw)'!E36="","",'Statements (Raw)'!E36))</f>
        <v>99.227999999999994</v>
      </c>
      <c r="G38" s="6" t="str">
        <f>IF(A38="","",IF('Statements (Raw)'!F36="","",'Statements (Raw)'!F36))</f>
        <v>EUR</v>
      </c>
      <c r="H38" s="9">
        <f>IF(A38="","",IF('Statements (Raw)'!G36="","",'Statements (Raw)'!G36))</f>
        <v>50000</v>
      </c>
      <c r="I38" s="10">
        <f>IF(A38="","",IF('Statements (Raw)'!H36="","",'Statements (Raw)'!H36))</f>
        <v>-49614</v>
      </c>
      <c r="J38" s="10">
        <f>IF(A38="",0,IF('Statements (Raw)'!I36="",0,'Statements (Raw)'!I36))</f>
        <v>-5</v>
      </c>
      <c r="K38" s="10">
        <f t="shared" si="1"/>
        <v>-49619</v>
      </c>
    </row>
    <row r="39" spans="1:11" x14ac:dyDescent="0.3">
      <c r="A39" s="171">
        <f>IF(OR('Statements (Raw)'!A37="",'Statements (Raw)'!A37&gt;Holdings!$G$3),"",'Statements (Raw)'!A37)</f>
        <v>45853</v>
      </c>
      <c r="B39" s="7">
        <f>IF(A39="","",IF('Statements (Raw)'!B37="","",'Statements (Raw)'!B37))</f>
        <v>45855</v>
      </c>
      <c r="C39" s="6" t="str">
        <f>IF(A39="","",IF('Statements (Raw)'!C37&lt;&gt;"",'Statements (Raw)'!C37,IF(ISNUMBER(SEARCH("Conferimento",'Statements (Raw)'!D37)),"CASH DEPOSIT",IF(ISNUMBER(SEARCH("Prelievo",'Statements (Raw)'!D37)),"CASH WITHDRAWAL",IF(ISNUMBER(SEARCH("Bollo",'Statements (Raw)'!D37)),"STAMP DUTY",IF(ISNUMBER(SEARCH("Tobin Tax",'Statements (Raw)'!D37)),"TOBIN TAX",IF(ISNUMBER(SEARCH("Rit.provento",'Statements (Raw)'!D37)),"WITHHOLDING TAX",IF(ISNUMBER(SEARCH("Incasso Dividendi",'Statements (Raw)'!D37)),"DIVIDEND",IF(ISNUMBER(SEARCH("Cedola",'Statements (Raw)'!D37)),"COUPON",IF(ISNUMBER(SEARCH("Ratei Pass",'Statements (Raw)'!D37)),"ACCRUED INT",IF(ISNUMBER(SEARCH("Interessi Prest",'Statements (Raw)'!D37)),"SEC LENDING",IF(ISNUMBER(SEARCH("Rimborso",'Statements (Raw)'!D37)),"REDEMPTION",IF(ISNUMBER(SEARCH("Provento",'Statements (Raw)'!D37)),"DISTRIBUTION","OTHER")))))))))))))</f>
        <v>ISHARES HIGH YLD CORP UCITS ET</v>
      </c>
      <c r="D39" s="6" t="str">
        <f>IF(A39="","",IF(C39="Saldo Iniziale","Balance",IF(C39="CASH DEPOSIT","Deposit",IF(C39="CASH WITHDRAWAL","Withdrawal",IF(C39="STAMP DUTY","Tax",IF(C39="TOBIN TAX","Tax",IF(C39="WITHHOLDING TAX","Tax",IF(C39="DIVIDEND","Dividend",IF(C39="COUPON","Coupon",IF(C39="ACCRUED INT","Accrued Int.",IF(C39="SEC LENDING","Sec. Lending",IF(C39="REDEMPTION","Redemption",IF(C39="DISTRIBUTION","Distribution",IF(ISNUMBER(SEARCH("Rimborso",'Statements (Raw)'!D37)),"Redemption",IF(ISNUMBER(SEARCH("Cedola",'Statements (Raw)'!D37)),"Coupon",IF(ISNUMBER(SEARCH("Incasso Dividendi",'Statements (Raw)'!D37)),"Dividend",IF(ISNUMBER(SEARCH("Provento Etf",'Statements (Raw)'!D37)),"Distribution",IF(ISNUMBER(SEARCH("Rit.provento",'Statements (Raw)'!D37)),"Tax",IF(ISNUMBER(SEARCH("Ratei Pass",'Statements (Raw)'!D37)),"Accrued Int.",IF(ISNUMBER(SEARCH("Interessi Prest",'Statements (Raw)'!D37)),"Sec. Lending",IF('Statements (Raw)'!G37="","Other",IF('Statements (Raw)'!G37&gt;0,"Buy","Sell"))))))))))))))))))))))</f>
        <v>Buy</v>
      </c>
      <c r="E39" s="6" t="str">
        <f t="shared" si="0"/>
        <v>ETF/ETC</v>
      </c>
      <c r="F39" s="8">
        <f>IF(A39="","",IF('Statements (Raw)'!E37="","",'Statements (Raw)'!E37))</f>
        <v>94.07</v>
      </c>
      <c r="G39" s="6" t="str">
        <f>IF(A39="","",IF('Statements (Raw)'!F37="","",'Statements (Raw)'!F37))</f>
        <v>EUR</v>
      </c>
      <c r="H39" s="9">
        <f>IF(A39="","",IF('Statements (Raw)'!G37="","",'Statements (Raw)'!G37))</f>
        <v>250</v>
      </c>
      <c r="I39" s="10">
        <f>IF(A39="","",IF('Statements (Raw)'!H37="","",'Statements (Raw)'!H37))</f>
        <v>-23517.5</v>
      </c>
      <c r="J39" s="10">
        <f>IF(A39="",0,IF('Statements (Raw)'!I37="",0,'Statements (Raw)'!I37))</f>
        <v>0</v>
      </c>
      <c r="K39" s="10">
        <f t="shared" si="1"/>
        <v>-23517.5</v>
      </c>
    </row>
    <row r="40" spans="1:11" x14ac:dyDescent="0.3">
      <c r="A40" s="171">
        <f>IF(OR('Statements (Raw)'!A38="",'Statements (Raw)'!A38&gt;Holdings!$G$3),"",'Statements (Raw)'!A38)</f>
        <v>45853</v>
      </c>
      <c r="B40" s="7">
        <f>IF(A40="","",IF('Statements (Raw)'!B38="","",'Statements (Raw)'!B38))</f>
        <v>45855</v>
      </c>
      <c r="C40" s="6" t="str">
        <f>IF(A40="","",IF('Statements (Raw)'!C38&lt;&gt;"",'Statements (Raw)'!C38,IF(ISNUMBER(SEARCH("Conferimento",'Statements (Raw)'!D38)),"CASH DEPOSIT",IF(ISNUMBER(SEARCH("Prelievo",'Statements (Raw)'!D38)),"CASH WITHDRAWAL",IF(ISNUMBER(SEARCH("Bollo",'Statements (Raw)'!D38)),"STAMP DUTY",IF(ISNUMBER(SEARCH("Tobin Tax",'Statements (Raw)'!D38)),"TOBIN TAX",IF(ISNUMBER(SEARCH("Rit.provento",'Statements (Raw)'!D38)),"WITHHOLDING TAX",IF(ISNUMBER(SEARCH("Incasso Dividendi",'Statements (Raw)'!D38)),"DIVIDEND",IF(ISNUMBER(SEARCH("Cedola",'Statements (Raw)'!D38)),"COUPON",IF(ISNUMBER(SEARCH("Ratei Pass",'Statements (Raw)'!D38)),"ACCRUED INT",IF(ISNUMBER(SEARCH("Interessi Prest",'Statements (Raw)'!D38)),"SEC LENDING",IF(ISNUMBER(SEARCH("Rimborso",'Statements (Raw)'!D38)),"REDEMPTION",IF(ISNUMBER(SEARCH("Provento",'Statements (Raw)'!D38)),"DISTRIBUTION","OTHER")))))))))))))</f>
        <v>WisdomTree Europe Defence UCIT</v>
      </c>
      <c r="D40" s="6" t="str">
        <f>IF(A40="","",IF(C40="Saldo Iniziale","Balance",IF(C40="CASH DEPOSIT","Deposit",IF(C40="CASH WITHDRAWAL","Withdrawal",IF(C40="STAMP DUTY","Tax",IF(C40="TOBIN TAX","Tax",IF(C40="WITHHOLDING TAX","Tax",IF(C40="DIVIDEND","Dividend",IF(C40="COUPON","Coupon",IF(C40="ACCRUED INT","Accrued Int.",IF(C40="SEC LENDING","Sec. Lending",IF(C40="REDEMPTION","Redemption",IF(C40="DISTRIBUTION","Distribution",IF(ISNUMBER(SEARCH("Rimborso",'Statements (Raw)'!D38)),"Redemption",IF(ISNUMBER(SEARCH("Cedola",'Statements (Raw)'!D38)),"Coupon",IF(ISNUMBER(SEARCH("Incasso Dividendi",'Statements (Raw)'!D38)),"Dividend",IF(ISNUMBER(SEARCH("Provento Etf",'Statements (Raw)'!D38)),"Distribution",IF(ISNUMBER(SEARCH("Rit.provento",'Statements (Raw)'!D38)),"Tax",IF(ISNUMBER(SEARCH("Ratei Pass",'Statements (Raw)'!D38)),"Accrued Int.",IF(ISNUMBER(SEARCH("Interessi Prest",'Statements (Raw)'!D38)),"Sec. Lending",IF('Statements (Raw)'!G38="","Other",IF('Statements (Raw)'!G38&gt;0,"Buy","Sell"))))))))))))))))))))))</f>
        <v>Buy</v>
      </c>
      <c r="E40" s="6" t="str">
        <f t="shared" si="0"/>
        <v>ETF/ETC</v>
      </c>
      <c r="F40" s="8">
        <f>IF(A40="","",IF('Statements (Raw)'!E38="","",'Statements (Raw)'!E38))</f>
        <v>30.55</v>
      </c>
      <c r="G40" s="6" t="str">
        <f>IF(A40="","",IF('Statements (Raw)'!F38="","",'Statements (Raw)'!F38))</f>
        <v>EUR</v>
      </c>
      <c r="H40" s="9">
        <f>IF(A40="","",IF('Statements (Raw)'!G38="","",'Statements (Raw)'!G38))</f>
        <v>32</v>
      </c>
      <c r="I40" s="10">
        <f>IF(A40="","",IF('Statements (Raw)'!H38="","",'Statements (Raw)'!H38))</f>
        <v>-977.6</v>
      </c>
      <c r="J40" s="10">
        <f>IF(A40="",0,IF('Statements (Raw)'!I38="",0,'Statements (Raw)'!I38))</f>
        <v>0</v>
      </c>
      <c r="K40" s="10">
        <f t="shared" si="1"/>
        <v>-977.6</v>
      </c>
    </row>
    <row r="41" spans="1:11" x14ac:dyDescent="0.3">
      <c r="A41" s="171">
        <f>IF(OR('Statements (Raw)'!A39="",'Statements (Raw)'!A39&gt;Holdings!$G$3),"",'Statements (Raw)'!A39)</f>
        <v>45853</v>
      </c>
      <c r="B41" s="7">
        <f>IF(A41="","",IF('Statements (Raw)'!B39="","",'Statements (Raw)'!B39))</f>
        <v>45855</v>
      </c>
      <c r="C41" s="6" t="str">
        <f>IF(A41="","",IF('Statements (Raw)'!C39&lt;&gt;"",'Statements (Raw)'!C39,IF(ISNUMBER(SEARCH("Conferimento",'Statements (Raw)'!D39)),"CASH DEPOSIT",IF(ISNUMBER(SEARCH("Prelievo",'Statements (Raw)'!D39)),"CASH WITHDRAWAL",IF(ISNUMBER(SEARCH("Bollo",'Statements (Raw)'!D39)),"STAMP DUTY",IF(ISNUMBER(SEARCH("Tobin Tax",'Statements (Raw)'!D39)),"TOBIN TAX",IF(ISNUMBER(SEARCH("Rit.provento",'Statements (Raw)'!D39)),"WITHHOLDING TAX",IF(ISNUMBER(SEARCH("Incasso Dividendi",'Statements (Raw)'!D39)),"DIVIDEND",IF(ISNUMBER(SEARCH("Cedola",'Statements (Raw)'!D39)),"COUPON",IF(ISNUMBER(SEARCH("Ratei Pass",'Statements (Raw)'!D39)),"ACCRUED INT",IF(ISNUMBER(SEARCH("Interessi Prest",'Statements (Raw)'!D39)),"SEC LENDING",IF(ISNUMBER(SEARCH("Rimborso",'Statements (Raw)'!D39)),"REDEMPTION",IF(ISNUMBER(SEARCH("Provento",'Statements (Raw)'!D39)),"DISTRIBUTION","OTHER")))))))))))))</f>
        <v>ISHARES FTSE MIB UCITS ETF EUR</v>
      </c>
      <c r="D41" s="6" t="str">
        <f>IF(A41="","",IF(C41="Saldo Iniziale","Balance",IF(C41="CASH DEPOSIT","Deposit",IF(C41="CASH WITHDRAWAL","Withdrawal",IF(C41="STAMP DUTY","Tax",IF(C41="TOBIN TAX","Tax",IF(C41="WITHHOLDING TAX","Tax",IF(C41="DIVIDEND","Dividend",IF(C41="COUPON","Coupon",IF(C41="ACCRUED INT","Accrued Int.",IF(C41="SEC LENDING","Sec. Lending",IF(C41="REDEMPTION","Redemption",IF(C41="DISTRIBUTION","Distribution",IF(ISNUMBER(SEARCH("Rimborso",'Statements (Raw)'!D39)),"Redemption",IF(ISNUMBER(SEARCH("Cedola",'Statements (Raw)'!D39)),"Coupon",IF(ISNUMBER(SEARCH("Incasso Dividendi",'Statements (Raw)'!D39)),"Dividend",IF(ISNUMBER(SEARCH("Provento Etf",'Statements (Raw)'!D39)),"Distribution",IF(ISNUMBER(SEARCH("Rit.provento",'Statements (Raw)'!D39)),"Tax",IF(ISNUMBER(SEARCH("Ratei Pass",'Statements (Raw)'!D39)),"Accrued Int.",IF(ISNUMBER(SEARCH("Interessi Prest",'Statements (Raw)'!D39)),"Sec. Lending",IF('Statements (Raw)'!G39="","Other",IF('Statements (Raw)'!G39&gt;0,"Buy","Sell"))))))))))))))))))))))</f>
        <v>Buy</v>
      </c>
      <c r="E41" s="6" t="str">
        <f t="shared" si="0"/>
        <v>ETF/ETC</v>
      </c>
      <c r="F41" s="8">
        <f>IF(A41="","",IF('Statements (Raw)'!E39="","",'Statements (Raw)'!E39))</f>
        <v>190.28</v>
      </c>
      <c r="G41" s="6" t="str">
        <f>IF(A41="","",IF('Statements (Raw)'!F39="","",'Statements (Raw)'!F39))</f>
        <v>EUR</v>
      </c>
      <c r="H41" s="9">
        <f>IF(A41="","",IF('Statements (Raw)'!G39="","",'Statements (Raw)'!G39))</f>
        <v>13</v>
      </c>
      <c r="I41" s="10">
        <f>IF(A41="","",IF('Statements (Raw)'!H39="","",'Statements (Raw)'!H39))</f>
        <v>-2473.64</v>
      </c>
      <c r="J41" s="10">
        <f>IF(A41="",0,IF('Statements (Raw)'!I39="",0,'Statements (Raw)'!I39))</f>
        <v>0</v>
      </c>
      <c r="K41" s="10">
        <f t="shared" si="1"/>
        <v>-2473.64</v>
      </c>
    </row>
    <row r="42" spans="1:11" x14ac:dyDescent="0.3">
      <c r="A42" s="171">
        <f>IF(OR('Statements (Raw)'!A40="",'Statements (Raw)'!A40&gt;Holdings!$G$3),"",'Statements (Raw)'!A40)</f>
        <v>45854</v>
      </c>
      <c r="B42" s="7">
        <f>IF(A42="","",IF('Statements (Raw)'!B40="","",'Statements (Raw)'!B40))</f>
        <v>45856</v>
      </c>
      <c r="C42" s="6" t="str">
        <f>IF(A42="","",IF('Statements (Raw)'!C40&lt;&gt;"",'Statements (Raw)'!C40,IF(ISNUMBER(SEARCH("Conferimento",'Statements (Raw)'!D40)),"CASH DEPOSIT",IF(ISNUMBER(SEARCH("Prelievo",'Statements (Raw)'!D40)),"CASH WITHDRAWAL",IF(ISNUMBER(SEARCH("Bollo",'Statements (Raw)'!D40)),"STAMP DUTY",IF(ISNUMBER(SEARCH("Tobin Tax",'Statements (Raw)'!D40)),"TOBIN TAX",IF(ISNUMBER(SEARCH("Rit.provento",'Statements (Raw)'!D40)),"WITHHOLDING TAX",IF(ISNUMBER(SEARCH("Incasso Dividendi",'Statements (Raw)'!D40)),"DIVIDEND",IF(ISNUMBER(SEARCH("Cedola",'Statements (Raw)'!D40)),"COUPON",IF(ISNUMBER(SEARCH("Ratei Pass",'Statements (Raw)'!D40)),"ACCRUED INT",IF(ISNUMBER(SEARCH("Interessi Prest",'Statements (Raw)'!D40)),"SEC LENDING",IF(ISNUMBER(SEARCH("Rimborso",'Statements (Raw)'!D40)),"REDEMPTION",IF(ISNUMBER(SEARCH("Provento",'Statements (Raw)'!D40)),"DISTRIBUTION","OTHER")))))))))))))</f>
        <v>EXOR NV</v>
      </c>
      <c r="D42" s="6" t="str">
        <f>IF(A42="","",IF(C42="Saldo Iniziale","Balance",IF(C42="CASH DEPOSIT","Deposit",IF(C42="CASH WITHDRAWAL","Withdrawal",IF(C42="STAMP DUTY","Tax",IF(C42="TOBIN TAX","Tax",IF(C42="WITHHOLDING TAX","Tax",IF(C42="DIVIDEND","Dividend",IF(C42="COUPON","Coupon",IF(C42="ACCRUED INT","Accrued Int.",IF(C42="SEC LENDING","Sec. Lending",IF(C42="REDEMPTION","Redemption",IF(C42="DISTRIBUTION","Distribution",IF(ISNUMBER(SEARCH("Rimborso",'Statements (Raw)'!D40)),"Redemption",IF(ISNUMBER(SEARCH("Cedola",'Statements (Raw)'!D40)),"Coupon",IF(ISNUMBER(SEARCH("Incasso Dividendi",'Statements (Raw)'!D40)),"Dividend",IF(ISNUMBER(SEARCH("Provento Etf",'Statements (Raw)'!D40)),"Distribution",IF(ISNUMBER(SEARCH("Rit.provento",'Statements (Raw)'!D40)),"Tax",IF(ISNUMBER(SEARCH("Ratei Pass",'Statements (Raw)'!D40)),"Accrued Int.",IF(ISNUMBER(SEARCH("Interessi Prest",'Statements (Raw)'!D40)),"Sec. Lending",IF('Statements (Raw)'!G40="","Other",IF('Statements (Raw)'!G40&gt;0,"Buy","Sell"))))))))))))))))))))))</f>
        <v>Buy</v>
      </c>
      <c r="E42" s="6" t="str">
        <f t="shared" si="0"/>
        <v>Stock</v>
      </c>
      <c r="F42" s="8">
        <f>IF(A42="","",IF('Statements (Raw)'!E40="","",'Statements (Raw)'!E40))</f>
        <v>88.3</v>
      </c>
      <c r="G42" s="6" t="str">
        <f>IF(A42="","",IF('Statements (Raw)'!F40="","",'Statements (Raw)'!F40))</f>
        <v>EUR</v>
      </c>
      <c r="H42" s="9">
        <f>IF(A42="","",IF('Statements (Raw)'!G40="","",'Statements (Raw)'!G40))</f>
        <v>91</v>
      </c>
      <c r="I42" s="10">
        <f>IF(A42="","",IF('Statements (Raw)'!H40="","",'Statements (Raw)'!H40))</f>
        <v>-8035.3</v>
      </c>
      <c r="J42" s="10">
        <f>IF(A42="",0,IF('Statements (Raw)'!I40="",0,'Statements (Raw)'!I40))</f>
        <v>-9.5</v>
      </c>
      <c r="K42" s="10">
        <f t="shared" si="1"/>
        <v>-8044.8</v>
      </c>
    </row>
    <row r="43" spans="1:11" x14ac:dyDescent="0.3">
      <c r="A43" s="171">
        <f>IF(OR('Statements (Raw)'!A41="",'Statements (Raw)'!A41&gt;Holdings!$G$3),"",'Statements (Raw)'!A41)</f>
        <v>45854</v>
      </c>
      <c r="B43" s="7">
        <f>IF(A43="","",IF('Statements (Raw)'!B41="","",'Statements (Raw)'!B41))</f>
        <v>45856</v>
      </c>
      <c r="C43" s="6" t="str">
        <f>IF(A43="","",IF('Statements (Raw)'!C41&lt;&gt;"",'Statements (Raw)'!C41,IF(ISNUMBER(SEARCH("Conferimento",'Statements (Raw)'!D41)),"CASH DEPOSIT",IF(ISNUMBER(SEARCH("Prelievo",'Statements (Raw)'!D41)),"CASH WITHDRAWAL",IF(ISNUMBER(SEARCH("Bollo",'Statements (Raw)'!D41)),"STAMP DUTY",IF(ISNUMBER(SEARCH("Tobin Tax",'Statements (Raw)'!D41)),"TOBIN TAX",IF(ISNUMBER(SEARCH("Rit.provento",'Statements (Raw)'!D41)),"WITHHOLDING TAX",IF(ISNUMBER(SEARCH("Incasso Dividendi",'Statements (Raw)'!D41)),"DIVIDEND",IF(ISNUMBER(SEARCH("Cedola",'Statements (Raw)'!D41)),"COUPON",IF(ISNUMBER(SEARCH("Ratei Pass",'Statements (Raw)'!D41)),"ACCRUED INT",IF(ISNUMBER(SEARCH("Interessi Prest",'Statements (Raw)'!D41)),"SEC LENDING",IF(ISNUMBER(SEARCH("Rimborso",'Statements (Raw)'!D41)),"REDEMPTION",IF(ISNUMBER(SEARCH("Provento",'Statements (Raw)'!D41)),"DISTRIBUTION","OTHER")))))))))))))</f>
        <v>EXOR NV</v>
      </c>
      <c r="D43" s="6" t="str">
        <f>IF(A43="","",IF(C43="Saldo Iniziale","Balance",IF(C43="CASH DEPOSIT","Deposit",IF(C43="CASH WITHDRAWAL","Withdrawal",IF(C43="STAMP DUTY","Tax",IF(C43="TOBIN TAX","Tax",IF(C43="WITHHOLDING TAX","Tax",IF(C43="DIVIDEND","Dividend",IF(C43="COUPON","Coupon",IF(C43="ACCRUED INT","Accrued Int.",IF(C43="SEC LENDING","Sec. Lending",IF(C43="REDEMPTION","Redemption",IF(C43="DISTRIBUTION","Distribution",IF(ISNUMBER(SEARCH("Rimborso",'Statements (Raw)'!D41)),"Redemption",IF(ISNUMBER(SEARCH("Cedola",'Statements (Raw)'!D41)),"Coupon",IF(ISNUMBER(SEARCH("Incasso Dividendi",'Statements (Raw)'!D41)),"Dividend",IF(ISNUMBER(SEARCH("Provento Etf",'Statements (Raw)'!D41)),"Distribution",IF(ISNUMBER(SEARCH("Rit.provento",'Statements (Raw)'!D41)),"Tax",IF(ISNUMBER(SEARCH("Ratei Pass",'Statements (Raw)'!D41)),"Accrued Int.",IF(ISNUMBER(SEARCH("Interessi Prest",'Statements (Raw)'!D41)),"Sec. Lending",IF('Statements (Raw)'!G41="","Other",IF('Statements (Raw)'!G41&gt;0,"Buy","Sell"))))))))))))))))))))))</f>
        <v>Buy</v>
      </c>
      <c r="E43" s="6" t="str">
        <f t="shared" si="0"/>
        <v>Stock</v>
      </c>
      <c r="F43" s="8">
        <f>IF(A43="","",IF('Statements (Raw)'!E41="","",'Statements (Raw)'!E41))</f>
        <v>88.3</v>
      </c>
      <c r="G43" s="6" t="str">
        <f>IF(A43="","",IF('Statements (Raw)'!F41="","",'Statements (Raw)'!F41))</f>
        <v>EUR</v>
      </c>
      <c r="H43" s="9">
        <f>IF(A43="","",IF('Statements (Raw)'!G41="","",'Statements (Raw)'!G41))</f>
        <v>9</v>
      </c>
      <c r="I43" s="10">
        <f>IF(A43="","",IF('Statements (Raw)'!H41="","",'Statements (Raw)'!H41))</f>
        <v>-794.7</v>
      </c>
      <c r="J43" s="10">
        <f>IF(A43="",0,IF('Statements (Raw)'!I41="",0,'Statements (Raw)'!I41))</f>
        <v>0</v>
      </c>
      <c r="K43" s="10">
        <f t="shared" si="1"/>
        <v>-794.7</v>
      </c>
    </row>
    <row r="44" spans="1:11" x14ac:dyDescent="0.3">
      <c r="A44" s="171">
        <f>IF(OR('Statements (Raw)'!A42="",'Statements (Raw)'!A42&gt;Holdings!$G$3),"",'Statements (Raw)'!A42)</f>
        <v>45856</v>
      </c>
      <c r="B44" s="7">
        <f>IF(A44="","",IF('Statements (Raw)'!B42="","",'Statements (Raw)'!B42))</f>
        <v>45860</v>
      </c>
      <c r="C44" s="6" t="str">
        <f>IF(A44="","",IF('Statements (Raw)'!C42&lt;&gt;"",'Statements (Raw)'!C42,IF(ISNUMBER(SEARCH("Conferimento",'Statements (Raw)'!D42)),"CASH DEPOSIT",IF(ISNUMBER(SEARCH("Prelievo",'Statements (Raw)'!D42)),"CASH WITHDRAWAL",IF(ISNUMBER(SEARCH("Bollo",'Statements (Raw)'!D42)),"STAMP DUTY",IF(ISNUMBER(SEARCH("Tobin Tax",'Statements (Raw)'!D42)),"TOBIN TAX",IF(ISNUMBER(SEARCH("Rit.provento",'Statements (Raw)'!D42)),"WITHHOLDING TAX",IF(ISNUMBER(SEARCH("Incasso Dividendi",'Statements (Raw)'!D42)),"DIVIDEND",IF(ISNUMBER(SEARCH("Cedola",'Statements (Raw)'!D42)),"COUPON",IF(ISNUMBER(SEARCH("Ratei Pass",'Statements (Raw)'!D42)),"ACCRUED INT",IF(ISNUMBER(SEARCH("Interessi Prest",'Statements (Raw)'!D42)),"SEC LENDING",IF(ISNUMBER(SEARCH("Rimborso",'Statements (Raw)'!D42)),"REDEMPTION",IF(ISNUMBER(SEARCH("Provento",'Statements (Raw)'!D42)),"DISTRIBUTION","OTHER")))))))))))))</f>
        <v>FERRARI</v>
      </c>
      <c r="D44" s="6" t="str">
        <f>IF(A44="","",IF(C44="Saldo Iniziale","Balance",IF(C44="CASH DEPOSIT","Deposit",IF(C44="CASH WITHDRAWAL","Withdrawal",IF(C44="STAMP DUTY","Tax",IF(C44="TOBIN TAX","Tax",IF(C44="WITHHOLDING TAX","Tax",IF(C44="DIVIDEND","Dividend",IF(C44="COUPON","Coupon",IF(C44="ACCRUED INT","Accrued Int.",IF(C44="SEC LENDING","Sec. Lending",IF(C44="REDEMPTION","Redemption",IF(C44="DISTRIBUTION","Distribution",IF(ISNUMBER(SEARCH("Rimborso",'Statements (Raw)'!D42)),"Redemption",IF(ISNUMBER(SEARCH("Cedola",'Statements (Raw)'!D42)),"Coupon",IF(ISNUMBER(SEARCH("Incasso Dividendi",'Statements (Raw)'!D42)),"Dividend",IF(ISNUMBER(SEARCH("Provento Etf",'Statements (Raw)'!D42)),"Distribution",IF(ISNUMBER(SEARCH("Rit.provento",'Statements (Raw)'!D42)),"Tax",IF(ISNUMBER(SEARCH("Ratei Pass",'Statements (Raw)'!D42)),"Accrued Int.",IF(ISNUMBER(SEARCH("Interessi Prest",'Statements (Raw)'!D42)),"Sec. Lending",IF('Statements (Raw)'!G42="","Other",IF('Statements (Raw)'!G42&gt;0,"Buy","Sell"))))))))))))))))))))))</f>
        <v>Buy</v>
      </c>
      <c r="E44" s="6" t="str">
        <f t="shared" si="0"/>
        <v>Stock</v>
      </c>
      <c r="F44" s="8">
        <f>IF(A44="","",IF('Statements (Raw)'!E42="","",'Statements (Raw)'!E42))</f>
        <v>435.4</v>
      </c>
      <c r="G44" s="6" t="str">
        <f>IF(A44="","",IF('Statements (Raw)'!F42="","",'Statements (Raw)'!F42))</f>
        <v>EUR</v>
      </c>
      <c r="H44" s="9">
        <f>IF(A44="","",IF('Statements (Raw)'!G42="","",'Statements (Raw)'!G42))</f>
        <v>12</v>
      </c>
      <c r="I44" s="10">
        <f>IF(A44="","",IF('Statements (Raw)'!H42="","",'Statements (Raw)'!H42))</f>
        <v>-5224.8</v>
      </c>
      <c r="J44" s="10">
        <f>IF(A44="",0,IF('Statements (Raw)'!I42="",0,'Statements (Raw)'!I42))</f>
        <v>-5</v>
      </c>
      <c r="K44" s="10">
        <f t="shared" si="1"/>
        <v>-5229.8</v>
      </c>
    </row>
    <row r="45" spans="1:11" x14ac:dyDescent="0.3">
      <c r="A45" s="171">
        <f>IF(OR('Statements (Raw)'!A43="",'Statements (Raw)'!A43&gt;Holdings!$G$3),"",'Statements (Raw)'!A43)</f>
        <v>45856</v>
      </c>
      <c r="B45" s="7">
        <f>IF(A45="","",IF('Statements (Raw)'!B43="","",'Statements (Raw)'!B43))</f>
        <v>45860</v>
      </c>
      <c r="C45" s="6" t="str">
        <f>IF(A45="","",IF('Statements (Raw)'!C43&lt;&gt;"",'Statements (Raw)'!C43,IF(ISNUMBER(SEARCH("Conferimento",'Statements (Raw)'!D43)),"CASH DEPOSIT",IF(ISNUMBER(SEARCH("Prelievo",'Statements (Raw)'!D43)),"CASH WITHDRAWAL",IF(ISNUMBER(SEARCH("Bollo",'Statements (Raw)'!D43)),"STAMP DUTY",IF(ISNUMBER(SEARCH("Tobin Tax",'Statements (Raw)'!D43)),"TOBIN TAX",IF(ISNUMBER(SEARCH("Rit.provento",'Statements (Raw)'!D43)),"WITHHOLDING TAX",IF(ISNUMBER(SEARCH("Incasso Dividendi",'Statements (Raw)'!D43)),"DIVIDEND",IF(ISNUMBER(SEARCH("Cedola",'Statements (Raw)'!D43)),"COUPON",IF(ISNUMBER(SEARCH("Ratei Pass",'Statements (Raw)'!D43)),"ACCRUED INT",IF(ISNUMBER(SEARCH("Interessi Prest",'Statements (Raw)'!D43)),"SEC LENDING",IF(ISNUMBER(SEARCH("Rimborso",'Statements (Raw)'!D43)),"REDEMPTION",IF(ISNUMBER(SEARCH("Provento",'Statements (Raw)'!D43)),"DISTRIBUTION","OTHER")))))))))))))</f>
        <v>FERRARI</v>
      </c>
      <c r="D45" s="6" t="str">
        <f>IF(A45="","",IF(C45="Saldo Iniziale","Balance",IF(C45="CASH DEPOSIT","Deposit",IF(C45="CASH WITHDRAWAL","Withdrawal",IF(C45="STAMP DUTY","Tax",IF(C45="TOBIN TAX","Tax",IF(C45="WITHHOLDING TAX","Tax",IF(C45="DIVIDEND","Dividend",IF(C45="COUPON","Coupon",IF(C45="ACCRUED INT","Accrued Int.",IF(C45="SEC LENDING","Sec. Lending",IF(C45="REDEMPTION","Redemption",IF(C45="DISTRIBUTION","Distribution",IF(ISNUMBER(SEARCH("Rimborso",'Statements (Raw)'!D43)),"Redemption",IF(ISNUMBER(SEARCH("Cedola",'Statements (Raw)'!D43)),"Coupon",IF(ISNUMBER(SEARCH("Incasso Dividendi",'Statements (Raw)'!D43)),"Dividend",IF(ISNUMBER(SEARCH("Provento Etf",'Statements (Raw)'!D43)),"Distribution",IF(ISNUMBER(SEARCH("Rit.provento",'Statements (Raw)'!D43)),"Tax",IF(ISNUMBER(SEARCH("Ratei Pass",'Statements (Raw)'!D43)),"Accrued Int.",IF(ISNUMBER(SEARCH("Interessi Prest",'Statements (Raw)'!D43)),"Sec. Lending",IF('Statements (Raw)'!G43="","Other",IF('Statements (Raw)'!G43&gt;0,"Buy","Sell"))))))))))))))))))))))</f>
        <v>Buy</v>
      </c>
      <c r="E45" s="6" t="str">
        <f t="shared" si="0"/>
        <v>Stock</v>
      </c>
      <c r="F45" s="8">
        <f>IF(A45="","",IF('Statements (Raw)'!E43="","",'Statements (Raw)'!E43))</f>
        <v>435.4</v>
      </c>
      <c r="G45" s="6" t="str">
        <f>IF(A45="","",IF('Statements (Raw)'!F43="","",'Statements (Raw)'!F43))</f>
        <v>EUR</v>
      </c>
      <c r="H45" s="9">
        <f>IF(A45="","",IF('Statements (Raw)'!G43="","",'Statements (Raw)'!G43))</f>
        <v>42</v>
      </c>
      <c r="I45" s="10">
        <f>IF(A45="","",IF('Statements (Raw)'!H43="","",'Statements (Raw)'!H43))</f>
        <v>-18286.8</v>
      </c>
      <c r="J45" s="10">
        <f>IF(A45="",0,IF('Statements (Raw)'!I43="",0,'Statements (Raw)'!I43))</f>
        <v>0</v>
      </c>
      <c r="K45" s="10">
        <f t="shared" si="1"/>
        <v>-18286.8</v>
      </c>
    </row>
    <row r="46" spans="1:11" x14ac:dyDescent="0.3">
      <c r="A46" s="171">
        <f>IF(OR('Statements (Raw)'!A44="",'Statements (Raw)'!A44&gt;Holdings!$G$3),"",'Statements (Raw)'!A44)</f>
        <v>45856</v>
      </c>
      <c r="B46" s="7">
        <f>IF(A46="","",IF('Statements (Raw)'!B44="","",'Statements (Raw)'!B44))</f>
        <v>45860</v>
      </c>
      <c r="C46" s="6" t="str">
        <f>IF(A46="","",IF('Statements (Raw)'!C44&lt;&gt;"",'Statements (Raw)'!C44,IF(ISNUMBER(SEARCH("Conferimento",'Statements (Raw)'!D44)),"CASH DEPOSIT",IF(ISNUMBER(SEARCH("Prelievo",'Statements (Raw)'!D44)),"CASH WITHDRAWAL",IF(ISNUMBER(SEARCH("Bollo",'Statements (Raw)'!D44)),"STAMP DUTY",IF(ISNUMBER(SEARCH("Tobin Tax",'Statements (Raw)'!D44)),"TOBIN TAX",IF(ISNUMBER(SEARCH("Rit.provento",'Statements (Raw)'!D44)),"WITHHOLDING TAX",IF(ISNUMBER(SEARCH("Incasso Dividendi",'Statements (Raw)'!D44)),"DIVIDEND",IF(ISNUMBER(SEARCH("Cedola",'Statements (Raw)'!D44)),"COUPON",IF(ISNUMBER(SEARCH("Ratei Pass",'Statements (Raw)'!D44)),"ACCRUED INT",IF(ISNUMBER(SEARCH("Interessi Prest",'Statements (Raw)'!D44)),"SEC LENDING",IF(ISNUMBER(SEARCH("Rimborso",'Statements (Raw)'!D44)),"REDEMPTION",IF(ISNUMBER(SEARCH("Provento",'Statements (Raw)'!D44)),"DISTRIBUTION","OTHER")))))))))))))</f>
        <v>FERRARI</v>
      </c>
      <c r="D46" s="6" t="str">
        <f>IF(A46="","",IF(C46="Saldo Iniziale","Balance",IF(C46="CASH DEPOSIT","Deposit",IF(C46="CASH WITHDRAWAL","Withdrawal",IF(C46="STAMP DUTY","Tax",IF(C46="TOBIN TAX","Tax",IF(C46="WITHHOLDING TAX","Tax",IF(C46="DIVIDEND","Dividend",IF(C46="COUPON","Coupon",IF(C46="ACCRUED INT","Accrued Int.",IF(C46="SEC LENDING","Sec. Lending",IF(C46="REDEMPTION","Redemption",IF(C46="DISTRIBUTION","Distribution",IF(ISNUMBER(SEARCH("Rimborso",'Statements (Raw)'!D44)),"Redemption",IF(ISNUMBER(SEARCH("Cedola",'Statements (Raw)'!D44)),"Coupon",IF(ISNUMBER(SEARCH("Incasso Dividendi",'Statements (Raw)'!D44)),"Dividend",IF(ISNUMBER(SEARCH("Provento Etf",'Statements (Raw)'!D44)),"Distribution",IF(ISNUMBER(SEARCH("Rit.provento",'Statements (Raw)'!D44)),"Tax",IF(ISNUMBER(SEARCH("Ratei Pass",'Statements (Raw)'!D44)),"Accrued Int.",IF(ISNUMBER(SEARCH("Interessi Prest",'Statements (Raw)'!D44)),"Sec. Lending",IF('Statements (Raw)'!G44="","Other",IF('Statements (Raw)'!G44&gt;0,"Buy","Sell"))))))))))))))))))))))</f>
        <v>Buy</v>
      </c>
      <c r="E46" s="6" t="str">
        <f t="shared" si="0"/>
        <v>Stock</v>
      </c>
      <c r="F46" s="8">
        <f>IF(A46="","",IF('Statements (Raw)'!E44="","",'Statements (Raw)'!E44))</f>
        <v>435.4</v>
      </c>
      <c r="G46" s="6" t="str">
        <f>IF(A46="","",IF('Statements (Raw)'!F44="","",'Statements (Raw)'!F44))</f>
        <v>EUR</v>
      </c>
      <c r="H46" s="9">
        <f>IF(A46="","",IF('Statements (Raw)'!G44="","",'Statements (Raw)'!G44))</f>
        <v>7</v>
      </c>
      <c r="I46" s="10">
        <f>IF(A46="","",IF('Statements (Raw)'!H44="","",'Statements (Raw)'!H44))</f>
        <v>-3047.8</v>
      </c>
      <c r="J46" s="10">
        <f>IF(A46="",0,IF('Statements (Raw)'!I44="",0,'Statements (Raw)'!I44))</f>
        <v>0</v>
      </c>
      <c r="K46" s="10">
        <f t="shared" si="1"/>
        <v>-3047.8</v>
      </c>
    </row>
    <row r="47" spans="1:11" x14ac:dyDescent="0.3">
      <c r="A47" s="171">
        <f>IF(OR('Statements (Raw)'!A45="",'Statements (Raw)'!A45&gt;Holdings!$G$3),"",'Statements (Raw)'!A45)</f>
        <v>45856</v>
      </c>
      <c r="B47" s="7">
        <f>IF(A47="","",IF('Statements (Raw)'!B45="","",'Statements (Raw)'!B45))</f>
        <v>45860</v>
      </c>
      <c r="C47" s="6" t="str">
        <f>IF(A47="","",IF('Statements (Raw)'!C45&lt;&gt;"",'Statements (Raw)'!C45,IF(ISNUMBER(SEARCH("Conferimento",'Statements (Raw)'!D45)),"CASH DEPOSIT",IF(ISNUMBER(SEARCH("Prelievo",'Statements (Raw)'!D45)),"CASH WITHDRAWAL",IF(ISNUMBER(SEARCH("Bollo",'Statements (Raw)'!D45)),"STAMP DUTY",IF(ISNUMBER(SEARCH("Tobin Tax",'Statements (Raw)'!D45)),"TOBIN TAX",IF(ISNUMBER(SEARCH("Rit.provento",'Statements (Raw)'!D45)),"WITHHOLDING TAX",IF(ISNUMBER(SEARCH("Incasso Dividendi",'Statements (Raw)'!D45)),"DIVIDEND",IF(ISNUMBER(SEARCH("Cedola",'Statements (Raw)'!D45)),"COUPON",IF(ISNUMBER(SEARCH("Ratei Pass",'Statements (Raw)'!D45)),"ACCRUED INT",IF(ISNUMBER(SEARCH("Interessi Prest",'Statements (Raw)'!D45)),"SEC LENDING",IF(ISNUMBER(SEARCH("Rimborso",'Statements (Raw)'!D45)),"REDEMPTION",IF(ISNUMBER(SEARCH("Provento",'Statements (Raw)'!D45)),"DISTRIBUTION","OTHER")))))))))))))</f>
        <v>FERRARI</v>
      </c>
      <c r="D47" s="6" t="str">
        <f>IF(A47="","",IF(C47="Saldo Iniziale","Balance",IF(C47="CASH DEPOSIT","Deposit",IF(C47="CASH WITHDRAWAL","Withdrawal",IF(C47="STAMP DUTY","Tax",IF(C47="TOBIN TAX","Tax",IF(C47="WITHHOLDING TAX","Tax",IF(C47="DIVIDEND","Dividend",IF(C47="COUPON","Coupon",IF(C47="ACCRUED INT","Accrued Int.",IF(C47="SEC LENDING","Sec. Lending",IF(C47="REDEMPTION","Redemption",IF(C47="DISTRIBUTION","Distribution",IF(ISNUMBER(SEARCH("Rimborso",'Statements (Raw)'!D45)),"Redemption",IF(ISNUMBER(SEARCH("Cedola",'Statements (Raw)'!D45)),"Coupon",IF(ISNUMBER(SEARCH("Incasso Dividendi",'Statements (Raw)'!D45)),"Dividend",IF(ISNUMBER(SEARCH("Provento Etf",'Statements (Raw)'!D45)),"Distribution",IF(ISNUMBER(SEARCH("Rit.provento",'Statements (Raw)'!D45)),"Tax",IF(ISNUMBER(SEARCH("Ratei Pass",'Statements (Raw)'!D45)),"Accrued Int.",IF(ISNUMBER(SEARCH("Interessi Prest",'Statements (Raw)'!D45)),"Sec. Lending",IF('Statements (Raw)'!G45="","Other",IF('Statements (Raw)'!G45&gt;0,"Buy","Sell"))))))))))))))))))))))</f>
        <v>Buy</v>
      </c>
      <c r="E47" s="6" t="str">
        <f t="shared" si="0"/>
        <v>Stock</v>
      </c>
      <c r="F47" s="8">
        <f>IF(A47="","",IF('Statements (Raw)'!E45="","",'Statements (Raw)'!E45))</f>
        <v>435.4</v>
      </c>
      <c r="G47" s="6" t="str">
        <f>IF(A47="","",IF('Statements (Raw)'!F45="","",'Statements (Raw)'!F45))</f>
        <v>EUR</v>
      </c>
      <c r="H47" s="9">
        <f>IF(A47="","",IF('Statements (Raw)'!G45="","",'Statements (Raw)'!G45))</f>
        <v>13</v>
      </c>
      <c r="I47" s="10">
        <f>IF(A47="","",IF('Statements (Raw)'!H45="","",'Statements (Raw)'!H45))</f>
        <v>-5660.2</v>
      </c>
      <c r="J47" s="10">
        <f>IF(A47="",0,IF('Statements (Raw)'!I45="",0,'Statements (Raw)'!I45))</f>
        <v>0</v>
      </c>
      <c r="K47" s="10">
        <f t="shared" si="1"/>
        <v>-5660.2</v>
      </c>
    </row>
    <row r="48" spans="1:11" x14ac:dyDescent="0.3">
      <c r="A48" s="171">
        <f>IF(OR('Statements (Raw)'!A46="",'Statements (Raw)'!A46&gt;Holdings!$G$3),"",'Statements (Raw)'!A46)</f>
        <v>45856</v>
      </c>
      <c r="B48" s="7">
        <f>IF(A48="","",IF('Statements (Raw)'!B46="","",'Statements (Raw)'!B46))</f>
        <v>45860</v>
      </c>
      <c r="C48" s="6" t="str">
        <f>IF(A48="","",IF('Statements (Raw)'!C46&lt;&gt;"",'Statements (Raw)'!C46,IF(ISNUMBER(SEARCH("Conferimento",'Statements (Raw)'!D46)),"CASH DEPOSIT",IF(ISNUMBER(SEARCH("Prelievo",'Statements (Raw)'!D46)),"CASH WITHDRAWAL",IF(ISNUMBER(SEARCH("Bollo",'Statements (Raw)'!D46)),"STAMP DUTY",IF(ISNUMBER(SEARCH("Tobin Tax",'Statements (Raw)'!D46)),"TOBIN TAX",IF(ISNUMBER(SEARCH("Rit.provento",'Statements (Raw)'!D46)),"WITHHOLDING TAX",IF(ISNUMBER(SEARCH("Incasso Dividendi",'Statements (Raw)'!D46)),"DIVIDEND",IF(ISNUMBER(SEARCH("Cedola",'Statements (Raw)'!D46)),"COUPON",IF(ISNUMBER(SEARCH("Ratei Pass",'Statements (Raw)'!D46)),"ACCRUED INT",IF(ISNUMBER(SEARCH("Interessi Prest",'Statements (Raw)'!D46)),"SEC LENDING",IF(ISNUMBER(SEARCH("Rimborso",'Statements (Raw)'!D46)),"REDEMPTION",IF(ISNUMBER(SEARCH("Provento",'Statements (Raw)'!D46)),"DISTRIBUTION","OTHER")))))))))))))</f>
        <v>FERRARI</v>
      </c>
      <c r="D48" s="6" t="str">
        <f>IF(A48="","",IF(C48="Saldo Iniziale","Balance",IF(C48="CASH DEPOSIT","Deposit",IF(C48="CASH WITHDRAWAL","Withdrawal",IF(C48="STAMP DUTY","Tax",IF(C48="TOBIN TAX","Tax",IF(C48="WITHHOLDING TAX","Tax",IF(C48="DIVIDEND","Dividend",IF(C48="COUPON","Coupon",IF(C48="ACCRUED INT","Accrued Int.",IF(C48="SEC LENDING","Sec. Lending",IF(C48="REDEMPTION","Redemption",IF(C48="DISTRIBUTION","Distribution",IF(ISNUMBER(SEARCH("Rimborso",'Statements (Raw)'!D46)),"Redemption",IF(ISNUMBER(SEARCH("Cedola",'Statements (Raw)'!D46)),"Coupon",IF(ISNUMBER(SEARCH("Incasso Dividendi",'Statements (Raw)'!D46)),"Dividend",IF(ISNUMBER(SEARCH("Provento Etf",'Statements (Raw)'!D46)),"Distribution",IF(ISNUMBER(SEARCH("Rit.provento",'Statements (Raw)'!D46)),"Tax",IF(ISNUMBER(SEARCH("Ratei Pass",'Statements (Raw)'!D46)),"Accrued Int.",IF(ISNUMBER(SEARCH("Interessi Prest",'Statements (Raw)'!D46)),"Sec. Lending",IF('Statements (Raw)'!G46="","Other",IF('Statements (Raw)'!G46&gt;0,"Buy","Sell"))))))))))))))))))))))</f>
        <v>Buy</v>
      </c>
      <c r="E48" s="6" t="str">
        <f t="shared" si="0"/>
        <v>Stock</v>
      </c>
      <c r="F48" s="8">
        <f>IF(A48="","",IF('Statements (Raw)'!E46="","",'Statements (Raw)'!E46))</f>
        <v>435.5</v>
      </c>
      <c r="G48" s="6" t="str">
        <f>IF(A48="","",IF('Statements (Raw)'!F46="","",'Statements (Raw)'!F46))</f>
        <v>EUR</v>
      </c>
      <c r="H48" s="9">
        <f>IF(A48="","",IF('Statements (Raw)'!G46="","",'Statements (Raw)'!G46))</f>
        <v>12</v>
      </c>
      <c r="I48" s="10">
        <f>IF(A48="","",IF('Statements (Raw)'!H46="","",'Statements (Raw)'!H46))</f>
        <v>-5226</v>
      </c>
      <c r="J48" s="10">
        <f>IF(A48="",0,IF('Statements (Raw)'!I46="",0,'Statements (Raw)'!I46))</f>
        <v>0</v>
      </c>
      <c r="K48" s="10">
        <f t="shared" si="1"/>
        <v>-5226</v>
      </c>
    </row>
    <row r="49" spans="1:11" x14ac:dyDescent="0.3">
      <c r="A49" s="171">
        <f>IF(OR('Statements (Raw)'!A47="",'Statements (Raw)'!A47&gt;Holdings!$G$3),"",'Statements (Raw)'!A47)</f>
        <v>45856</v>
      </c>
      <c r="B49" s="7">
        <f>IF(A49="","",IF('Statements (Raw)'!B47="","",'Statements (Raw)'!B47))</f>
        <v>45860</v>
      </c>
      <c r="C49" s="6" t="str">
        <f>IF(A49="","",IF('Statements (Raw)'!C47&lt;&gt;"",'Statements (Raw)'!C47,IF(ISNUMBER(SEARCH("Conferimento",'Statements (Raw)'!D47)),"CASH DEPOSIT",IF(ISNUMBER(SEARCH("Prelievo",'Statements (Raw)'!D47)),"CASH WITHDRAWAL",IF(ISNUMBER(SEARCH("Bollo",'Statements (Raw)'!D47)),"STAMP DUTY",IF(ISNUMBER(SEARCH("Tobin Tax",'Statements (Raw)'!D47)),"TOBIN TAX",IF(ISNUMBER(SEARCH("Rit.provento",'Statements (Raw)'!D47)),"WITHHOLDING TAX",IF(ISNUMBER(SEARCH("Incasso Dividendi",'Statements (Raw)'!D47)),"DIVIDEND",IF(ISNUMBER(SEARCH("Cedola",'Statements (Raw)'!D47)),"COUPON",IF(ISNUMBER(SEARCH("Ratei Pass",'Statements (Raw)'!D47)),"ACCRUED INT",IF(ISNUMBER(SEARCH("Interessi Prest",'Statements (Raw)'!D47)),"SEC LENDING",IF(ISNUMBER(SEARCH("Rimborso",'Statements (Raw)'!D47)),"REDEMPTION",IF(ISNUMBER(SEARCH("Provento",'Statements (Raw)'!D47)),"DISTRIBUTION","OTHER")))))))))))))</f>
        <v>FERRARI</v>
      </c>
      <c r="D49" s="6" t="str">
        <f>IF(A49="","",IF(C49="Saldo Iniziale","Balance",IF(C49="CASH DEPOSIT","Deposit",IF(C49="CASH WITHDRAWAL","Withdrawal",IF(C49="STAMP DUTY","Tax",IF(C49="TOBIN TAX","Tax",IF(C49="WITHHOLDING TAX","Tax",IF(C49="DIVIDEND","Dividend",IF(C49="COUPON","Coupon",IF(C49="ACCRUED INT","Accrued Int.",IF(C49="SEC LENDING","Sec. Lending",IF(C49="REDEMPTION","Redemption",IF(C49="DISTRIBUTION","Distribution",IF(ISNUMBER(SEARCH("Rimborso",'Statements (Raw)'!D47)),"Redemption",IF(ISNUMBER(SEARCH("Cedola",'Statements (Raw)'!D47)),"Coupon",IF(ISNUMBER(SEARCH("Incasso Dividendi",'Statements (Raw)'!D47)),"Dividend",IF(ISNUMBER(SEARCH("Provento Etf",'Statements (Raw)'!D47)),"Distribution",IF(ISNUMBER(SEARCH("Rit.provento",'Statements (Raw)'!D47)),"Tax",IF(ISNUMBER(SEARCH("Ratei Pass",'Statements (Raw)'!D47)),"Accrued Int.",IF(ISNUMBER(SEARCH("Interessi Prest",'Statements (Raw)'!D47)),"Sec. Lending",IF('Statements (Raw)'!G47="","Other",IF('Statements (Raw)'!G47&gt;0,"Buy","Sell"))))))))))))))))))))))</f>
        <v>Buy</v>
      </c>
      <c r="E49" s="6" t="str">
        <f t="shared" si="0"/>
        <v>Stock</v>
      </c>
      <c r="F49" s="8">
        <f>IF(A49="","",IF('Statements (Raw)'!E47="","",'Statements (Raw)'!E47))</f>
        <v>435.5</v>
      </c>
      <c r="G49" s="6" t="str">
        <f>IF(A49="","",IF('Statements (Raw)'!F47="","",'Statements (Raw)'!F47))</f>
        <v>EUR</v>
      </c>
      <c r="H49" s="9">
        <f>IF(A49="","",IF('Statements (Raw)'!G47="","",'Statements (Raw)'!G47))</f>
        <v>14</v>
      </c>
      <c r="I49" s="10">
        <f>IF(A49="","",IF('Statements (Raw)'!H47="","",'Statements (Raw)'!H47))</f>
        <v>-6097</v>
      </c>
      <c r="J49" s="10">
        <f>IF(A49="",0,IF('Statements (Raw)'!I47="",0,'Statements (Raw)'!I47))</f>
        <v>0</v>
      </c>
      <c r="K49" s="10">
        <f t="shared" si="1"/>
        <v>-6097</v>
      </c>
    </row>
    <row r="50" spans="1:11" x14ac:dyDescent="0.3">
      <c r="A50" s="171">
        <f>IF(OR('Statements (Raw)'!A48="",'Statements (Raw)'!A48&gt;Holdings!$G$3),"",'Statements (Raw)'!A48)</f>
        <v>45859</v>
      </c>
      <c r="B50" s="7">
        <f>IF(A50="","",IF('Statements (Raw)'!B48="","",'Statements (Raw)'!B48))</f>
        <v>45861</v>
      </c>
      <c r="C50" s="6" t="str">
        <f>IF(A50="","",IF('Statements (Raw)'!C48&lt;&gt;"",'Statements (Raw)'!C48,IF(ISNUMBER(SEARCH("Conferimento",'Statements (Raw)'!D48)),"CASH DEPOSIT",IF(ISNUMBER(SEARCH("Prelievo",'Statements (Raw)'!D48)),"CASH WITHDRAWAL",IF(ISNUMBER(SEARCH("Bollo",'Statements (Raw)'!D48)),"STAMP DUTY",IF(ISNUMBER(SEARCH("Tobin Tax",'Statements (Raw)'!D48)),"TOBIN TAX",IF(ISNUMBER(SEARCH("Rit.provento",'Statements (Raw)'!D48)),"WITHHOLDING TAX",IF(ISNUMBER(SEARCH("Incasso Dividendi",'Statements (Raw)'!D48)),"DIVIDEND",IF(ISNUMBER(SEARCH("Cedola",'Statements (Raw)'!D48)),"COUPON",IF(ISNUMBER(SEARCH("Ratei Pass",'Statements (Raw)'!D48)),"ACCRUED INT",IF(ISNUMBER(SEARCH("Interessi Prest",'Statements (Raw)'!D48)),"SEC LENDING",IF(ISNUMBER(SEARCH("Rimborso",'Statements (Raw)'!D48)),"REDEMPTION",IF(ISNUMBER(SEARCH("Provento",'Statements (Raw)'!D48)),"DISTRIBUTION","OTHER")))))))))))))</f>
        <v>Bitwise Physical Bitcoin ETP</v>
      </c>
      <c r="D50" s="6" t="str">
        <f>IF(A50="","",IF(C50="Saldo Iniziale","Balance",IF(C50="CASH DEPOSIT","Deposit",IF(C50="CASH WITHDRAWAL","Withdrawal",IF(C50="STAMP DUTY","Tax",IF(C50="TOBIN TAX","Tax",IF(C50="WITHHOLDING TAX","Tax",IF(C50="DIVIDEND","Dividend",IF(C50="COUPON","Coupon",IF(C50="ACCRUED INT","Accrued Int.",IF(C50="SEC LENDING","Sec. Lending",IF(C50="REDEMPTION","Redemption",IF(C50="DISTRIBUTION","Distribution",IF(ISNUMBER(SEARCH("Rimborso",'Statements (Raw)'!D48)),"Redemption",IF(ISNUMBER(SEARCH("Cedola",'Statements (Raw)'!D48)),"Coupon",IF(ISNUMBER(SEARCH("Incasso Dividendi",'Statements (Raw)'!D48)),"Dividend",IF(ISNUMBER(SEARCH("Provento Etf",'Statements (Raw)'!D48)),"Distribution",IF(ISNUMBER(SEARCH("Rit.provento",'Statements (Raw)'!D48)),"Tax",IF(ISNUMBER(SEARCH("Ratei Pass",'Statements (Raw)'!D48)),"Accrued Int.",IF(ISNUMBER(SEARCH("Interessi Prest",'Statements (Raw)'!D48)),"Sec. Lending",IF('Statements (Raw)'!G48="","Other",IF('Statements (Raw)'!G48&gt;0,"Buy","Sell"))))))))))))))))))))))</f>
        <v>Buy</v>
      </c>
      <c r="E50" s="6" t="str">
        <f t="shared" si="0"/>
        <v>Crypto ETP</v>
      </c>
      <c r="F50" s="8">
        <f>IF(A50="","",IF('Statements (Raw)'!E48="","",'Statements (Raw)'!E48))</f>
        <v>91.864999999999995</v>
      </c>
      <c r="G50" s="6" t="str">
        <f>IF(A50="","",IF('Statements (Raw)'!F48="","",'Statements (Raw)'!F48))</f>
        <v>EUR</v>
      </c>
      <c r="H50" s="9">
        <f>IF(A50="","",IF('Statements (Raw)'!G48="","",'Statements (Raw)'!G48))</f>
        <v>1</v>
      </c>
      <c r="I50" s="10">
        <f>IF(A50="","",IF('Statements (Raw)'!H48="","",'Statements (Raw)'!H48))</f>
        <v>-91.87</v>
      </c>
      <c r="J50" s="10">
        <f>IF(A50="",0,IF('Statements (Raw)'!I48="",0,'Statements (Raw)'!I48))</f>
        <v>-9.5</v>
      </c>
      <c r="K50" s="10">
        <f t="shared" si="1"/>
        <v>-101.37</v>
      </c>
    </row>
    <row r="51" spans="1:11" x14ac:dyDescent="0.3">
      <c r="A51" s="171">
        <f>IF(OR('Statements (Raw)'!A49="",'Statements (Raw)'!A49&gt;Holdings!$G$3),"",'Statements (Raw)'!A49)</f>
        <v>45859</v>
      </c>
      <c r="B51" s="7">
        <f>IF(A51="","",IF('Statements (Raw)'!B49="","",'Statements (Raw)'!B49))</f>
        <v>45861</v>
      </c>
      <c r="C51" s="6" t="str">
        <f>IF(A51="","",IF('Statements (Raw)'!C49&lt;&gt;"",'Statements (Raw)'!C49,IF(ISNUMBER(SEARCH("Conferimento",'Statements (Raw)'!D49)),"CASH DEPOSIT",IF(ISNUMBER(SEARCH("Prelievo",'Statements (Raw)'!D49)),"CASH WITHDRAWAL",IF(ISNUMBER(SEARCH("Bollo",'Statements (Raw)'!D49)),"STAMP DUTY",IF(ISNUMBER(SEARCH("Tobin Tax",'Statements (Raw)'!D49)),"TOBIN TAX",IF(ISNUMBER(SEARCH("Rit.provento",'Statements (Raw)'!D49)),"WITHHOLDING TAX",IF(ISNUMBER(SEARCH("Incasso Dividendi",'Statements (Raw)'!D49)),"DIVIDEND",IF(ISNUMBER(SEARCH("Cedola",'Statements (Raw)'!D49)),"COUPON",IF(ISNUMBER(SEARCH("Ratei Pass",'Statements (Raw)'!D49)),"ACCRUED INT",IF(ISNUMBER(SEARCH("Interessi Prest",'Statements (Raw)'!D49)),"SEC LENDING",IF(ISNUMBER(SEARCH("Rimborso",'Statements (Raw)'!D49)),"REDEMPTION",IF(ISNUMBER(SEARCH("Provento",'Statements (Raw)'!D49)),"DISTRIBUTION","OTHER")))))))))))))</f>
        <v>ITALGAS</v>
      </c>
      <c r="D51" s="6" t="str">
        <f>IF(A51="","",IF(C51="Saldo Iniziale","Balance",IF(C51="CASH DEPOSIT","Deposit",IF(C51="CASH WITHDRAWAL","Withdrawal",IF(C51="STAMP DUTY","Tax",IF(C51="TOBIN TAX","Tax",IF(C51="WITHHOLDING TAX","Tax",IF(C51="DIVIDEND","Dividend",IF(C51="COUPON","Coupon",IF(C51="ACCRUED INT","Accrued Int.",IF(C51="SEC LENDING","Sec. Lending",IF(C51="REDEMPTION","Redemption",IF(C51="DISTRIBUTION","Distribution",IF(ISNUMBER(SEARCH("Rimborso",'Statements (Raw)'!D49)),"Redemption",IF(ISNUMBER(SEARCH("Cedola",'Statements (Raw)'!D49)),"Coupon",IF(ISNUMBER(SEARCH("Incasso Dividendi",'Statements (Raw)'!D49)),"Dividend",IF(ISNUMBER(SEARCH("Provento Etf",'Statements (Raw)'!D49)),"Distribution",IF(ISNUMBER(SEARCH("Rit.provento",'Statements (Raw)'!D49)),"Tax",IF(ISNUMBER(SEARCH("Ratei Pass",'Statements (Raw)'!D49)),"Accrued Int.",IF(ISNUMBER(SEARCH("Interessi Prest",'Statements (Raw)'!D49)),"Sec. Lending",IF('Statements (Raw)'!G49="","Other",IF('Statements (Raw)'!G49&gt;0,"Buy","Sell"))))))))))))))))))))))</f>
        <v>Buy</v>
      </c>
      <c r="E51" s="6" t="str">
        <f t="shared" si="0"/>
        <v>Stock</v>
      </c>
      <c r="F51" s="8">
        <f>IF(A51="","",IF('Statements (Raw)'!E49="","",'Statements (Raw)'!E49))</f>
        <v>7.2149999999999999</v>
      </c>
      <c r="G51" s="6" t="str">
        <f>IF(A51="","",IF('Statements (Raw)'!F49="","",'Statements (Raw)'!F49))</f>
        <v>EUR</v>
      </c>
      <c r="H51" s="9">
        <f>IF(A51="","",IF('Statements (Raw)'!G49="","",'Statements (Raw)'!G49))</f>
        <v>622</v>
      </c>
      <c r="I51" s="10">
        <f>IF(A51="","",IF('Statements (Raw)'!H49="","",'Statements (Raw)'!H49))</f>
        <v>-4487.7299999999996</v>
      </c>
      <c r="J51" s="10">
        <f>IF(A51="",0,IF('Statements (Raw)'!I49="",0,'Statements (Raw)'!I49))</f>
        <v>-5</v>
      </c>
      <c r="K51" s="10">
        <f t="shared" si="1"/>
        <v>-4492.7299999999996</v>
      </c>
    </row>
    <row r="52" spans="1:11" x14ac:dyDescent="0.3">
      <c r="A52" s="171">
        <f>IF(OR('Statements (Raw)'!A50="",'Statements (Raw)'!A50&gt;Holdings!$G$3),"",'Statements (Raw)'!A50)</f>
        <v>45859</v>
      </c>
      <c r="B52" s="7">
        <f>IF(A52="","",IF('Statements (Raw)'!B50="","",'Statements (Raw)'!B50))</f>
        <v>45861</v>
      </c>
      <c r="C52" s="6" t="str">
        <f>IF(A52="","",IF('Statements (Raw)'!C50&lt;&gt;"",'Statements (Raw)'!C50,IF(ISNUMBER(SEARCH("Conferimento",'Statements (Raw)'!D50)),"CASH DEPOSIT",IF(ISNUMBER(SEARCH("Prelievo",'Statements (Raw)'!D50)),"CASH WITHDRAWAL",IF(ISNUMBER(SEARCH("Bollo",'Statements (Raw)'!D50)),"STAMP DUTY",IF(ISNUMBER(SEARCH("Tobin Tax",'Statements (Raw)'!D50)),"TOBIN TAX",IF(ISNUMBER(SEARCH("Rit.provento",'Statements (Raw)'!D50)),"WITHHOLDING TAX",IF(ISNUMBER(SEARCH("Incasso Dividendi",'Statements (Raw)'!D50)),"DIVIDEND",IF(ISNUMBER(SEARCH("Cedola",'Statements (Raw)'!D50)),"COUPON",IF(ISNUMBER(SEARCH("Ratei Pass",'Statements (Raw)'!D50)),"ACCRUED INT",IF(ISNUMBER(SEARCH("Interessi Prest",'Statements (Raw)'!D50)),"SEC LENDING",IF(ISNUMBER(SEARCH("Rimborso",'Statements (Raw)'!D50)),"REDEMPTION",IF(ISNUMBER(SEARCH("Provento",'Statements (Raw)'!D50)),"DISTRIBUTION","OTHER")))))))))))))</f>
        <v>ITALGAS</v>
      </c>
      <c r="D52" s="6" t="str">
        <f>IF(A52="","",IF(C52="Saldo Iniziale","Balance",IF(C52="CASH DEPOSIT","Deposit",IF(C52="CASH WITHDRAWAL","Withdrawal",IF(C52="STAMP DUTY","Tax",IF(C52="TOBIN TAX","Tax",IF(C52="WITHHOLDING TAX","Tax",IF(C52="DIVIDEND","Dividend",IF(C52="COUPON","Coupon",IF(C52="ACCRUED INT","Accrued Int.",IF(C52="SEC LENDING","Sec. Lending",IF(C52="REDEMPTION","Redemption",IF(C52="DISTRIBUTION","Distribution",IF(ISNUMBER(SEARCH("Rimborso",'Statements (Raw)'!D50)),"Redemption",IF(ISNUMBER(SEARCH("Cedola",'Statements (Raw)'!D50)),"Coupon",IF(ISNUMBER(SEARCH("Incasso Dividendi",'Statements (Raw)'!D50)),"Dividend",IF(ISNUMBER(SEARCH("Provento Etf",'Statements (Raw)'!D50)),"Distribution",IF(ISNUMBER(SEARCH("Rit.provento",'Statements (Raw)'!D50)),"Tax",IF(ISNUMBER(SEARCH("Ratei Pass",'Statements (Raw)'!D50)),"Accrued Int.",IF(ISNUMBER(SEARCH("Interessi Prest",'Statements (Raw)'!D50)),"Sec. Lending",IF('Statements (Raw)'!G50="","Other",IF('Statements (Raw)'!G50&gt;0,"Buy","Sell"))))))))))))))))))))))</f>
        <v>Buy</v>
      </c>
      <c r="E52" s="6" t="str">
        <f t="shared" si="0"/>
        <v>Stock</v>
      </c>
      <c r="F52" s="8">
        <f>IF(A52="","",IF('Statements (Raw)'!E50="","",'Statements (Raw)'!E50))</f>
        <v>7.2149999999999999</v>
      </c>
      <c r="G52" s="6" t="str">
        <f>IF(A52="","",IF('Statements (Raw)'!F50="","",'Statements (Raw)'!F50))</f>
        <v>EUR</v>
      </c>
      <c r="H52" s="9">
        <f>IF(A52="","",IF('Statements (Raw)'!G50="","",'Statements (Raw)'!G50))</f>
        <v>378</v>
      </c>
      <c r="I52" s="10">
        <f>IF(A52="","",IF('Statements (Raw)'!H50="","",'Statements (Raw)'!H50))</f>
        <v>-2727.27</v>
      </c>
      <c r="J52" s="10">
        <f>IF(A52="",0,IF('Statements (Raw)'!I50="",0,'Statements (Raw)'!I50))</f>
        <v>0</v>
      </c>
      <c r="K52" s="10">
        <f t="shared" si="1"/>
        <v>-2727.27</v>
      </c>
    </row>
    <row r="53" spans="1:11" x14ac:dyDescent="0.3">
      <c r="A53" s="171">
        <f>IF(OR('Statements (Raw)'!A51="",'Statements (Raw)'!A51&gt;Holdings!$G$3),"",'Statements (Raw)'!A51)</f>
        <v>45859</v>
      </c>
      <c r="B53" s="7">
        <f>IF(A53="","",IF('Statements (Raw)'!B51="","",'Statements (Raw)'!B51))</f>
        <v>45861</v>
      </c>
      <c r="C53" s="6" t="str">
        <f>IF(A53="","",IF('Statements (Raw)'!C51&lt;&gt;"",'Statements (Raw)'!C51,IF(ISNUMBER(SEARCH("Conferimento",'Statements (Raw)'!D51)),"CASH DEPOSIT",IF(ISNUMBER(SEARCH("Prelievo",'Statements (Raw)'!D51)),"CASH WITHDRAWAL",IF(ISNUMBER(SEARCH("Bollo",'Statements (Raw)'!D51)),"STAMP DUTY",IF(ISNUMBER(SEARCH("Tobin Tax",'Statements (Raw)'!D51)),"TOBIN TAX",IF(ISNUMBER(SEARCH("Rit.provento",'Statements (Raw)'!D51)),"WITHHOLDING TAX",IF(ISNUMBER(SEARCH("Incasso Dividendi",'Statements (Raw)'!D51)),"DIVIDEND",IF(ISNUMBER(SEARCH("Cedola",'Statements (Raw)'!D51)),"COUPON",IF(ISNUMBER(SEARCH("Ratei Pass",'Statements (Raw)'!D51)),"ACCRUED INT",IF(ISNUMBER(SEARCH("Interessi Prest",'Statements (Raw)'!D51)),"SEC LENDING",IF(ISNUMBER(SEARCH("Rimborso",'Statements (Raw)'!D51)),"REDEMPTION",IF(ISNUMBER(SEARCH("Provento",'Statements (Raw)'!D51)),"DISTRIBUTION","OTHER")))))))))))))</f>
        <v>ASML HOLDING NV</v>
      </c>
      <c r="D53" s="6" t="str">
        <f>IF(A53="","",IF(C53="Saldo Iniziale","Balance",IF(C53="CASH DEPOSIT","Deposit",IF(C53="CASH WITHDRAWAL","Withdrawal",IF(C53="STAMP DUTY","Tax",IF(C53="TOBIN TAX","Tax",IF(C53="WITHHOLDING TAX","Tax",IF(C53="DIVIDEND","Dividend",IF(C53="COUPON","Coupon",IF(C53="ACCRUED INT","Accrued Int.",IF(C53="SEC LENDING","Sec. Lending",IF(C53="REDEMPTION","Redemption",IF(C53="DISTRIBUTION","Distribution",IF(ISNUMBER(SEARCH("Rimborso",'Statements (Raw)'!D51)),"Redemption",IF(ISNUMBER(SEARCH("Cedola",'Statements (Raw)'!D51)),"Coupon",IF(ISNUMBER(SEARCH("Incasso Dividendi",'Statements (Raw)'!D51)),"Dividend",IF(ISNUMBER(SEARCH("Provento Etf",'Statements (Raw)'!D51)),"Distribution",IF(ISNUMBER(SEARCH("Rit.provento",'Statements (Raw)'!D51)),"Tax",IF(ISNUMBER(SEARCH("Ratei Pass",'Statements (Raw)'!D51)),"Accrued Int.",IF(ISNUMBER(SEARCH("Interessi Prest",'Statements (Raw)'!D51)),"Sec. Lending",IF('Statements (Raw)'!G51="","Other",IF('Statements (Raw)'!G51&gt;0,"Buy","Sell"))))))))))))))))))))))</f>
        <v>Buy</v>
      </c>
      <c r="E53" s="6" t="str">
        <f t="shared" si="0"/>
        <v>Stock</v>
      </c>
      <c r="F53" s="8">
        <f>IF(A53="","",IF('Statements (Raw)'!E51="","",'Statements (Raw)'!E51))</f>
        <v>624.29999999999995</v>
      </c>
      <c r="G53" s="6" t="str">
        <f>IF(A53="","",IF('Statements (Raw)'!F51="","",'Statements (Raw)'!F51))</f>
        <v>EUR</v>
      </c>
      <c r="H53" s="9">
        <f>IF(A53="","",IF('Statements (Raw)'!G51="","",'Statements (Raw)'!G51))</f>
        <v>20</v>
      </c>
      <c r="I53" s="10">
        <f>IF(A53="","",IF('Statements (Raw)'!H51="","",'Statements (Raw)'!H51))</f>
        <v>-12486</v>
      </c>
      <c r="J53" s="10">
        <f>IF(A53="",0,IF('Statements (Raw)'!I51="",0,'Statements (Raw)'!I51))</f>
        <v>-9.5</v>
      </c>
      <c r="K53" s="10">
        <f t="shared" si="1"/>
        <v>-12495.5</v>
      </c>
    </row>
    <row r="54" spans="1:11" x14ac:dyDescent="0.3">
      <c r="A54" s="171">
        <f>IF(OR('Statements (Raw)'!A52="",'Statements (Raw)'!A52&gt;Holdings!$G$3),"",'Statements (Raw)'!A52)</f>
        <v>45859</v>
      </c>
      <c r="B54" s="7">
        <f>IF(A54="","",IF('Statements (Raw)'!B52="","",'Statements (Raw)'!B52))</f>
        <v>45861</v>
      </c>
      <c r="C54" s="6" t="str">
        <f>IF(A54="","",IF('Statements (Raw)'!C52&lt;&gt;"",'Statements (Raw)'!C52,IF(ISNUMBER(SEARCH("Conferimento",'Statements (Raw)'!D52)),"CASH DEPOSIT",IF(ISNUMBER(SEARCH("Prelievo",'Statements (Raw)'!D52)),"CASH WITHDRAWAL",IF(ISNUMBER(SEARCH("Bollo",'Statements (Raw)'!D52)),"STAMP DUTY",IF(ISNUMBER(SEARCH("Tobin Tax",'Statements (Raw)'!D52)),"TOBIN TAX",IF(ISNUMBER(SEARCH("Rit.provento",'Statements (Raw)'!D52)),"WITHHOLDING TAX",IF(ISNUMBER(SEARCH("Incasso Dividendi",'Statements (Raw)'!D52)),"DIVIDEND",IF(ISNUMBER(SEARCH("Cedola",'Statements (Raw)'!D52)),"COUPON",IF(ISNUMBER(SEARCH("Ratei Pass",'Statements (Raw)'!D52)),"ACCRUED INT",IF(ISNUMBER(SEARCH("Interessi Prest",'Statements (Raw)'!D52)),"SEC LENDING",IF(ISNUMBER(SEARCH("Rimborso",'Statements (Raw)'!D52)),"REDEMPTION",IF(ISNUMBER(SEARCH("Provento",'Statements (Raw)'!D52)),"DISTRIBUTION","OTHER")))))))))))))</f>
        <v>PIAGGIO</v>
      </c>
      <c r="D54" s="6" t="str">
        <f>IF(A54="","",IF(C54="Saldo Iniziale","Balance",IF(C54="CASH DEPOSIT","Deposit",IF(C54="CASH WITHDRAWAL","Withdrawal",IF(C54="STAMP DUTY","Tax",IF(C54="TOBIN TAX","Tax",IF(C54="WITHHOLDING TAX","Tax",IF(C54="DIVIDEND","Dividend",IF(C54="COUPON","Coupon",IF(C54="ACCRUED INT","Accrued Int.",IF(C54="SEC LENDING","Sec. Lending",IF(C54="REDEMPTION","Redemption",IF(C54="DISTRIBUTION","Distribution",IF(ISNUMBER(SEARCH("Rimborso",'Statements (Raw)'!D52)),"Redemption",IF(ISNUMBER(SEARCH("Cedola",'Statements (Raw)'!D52)),"Coupon",IF(ISNUMBER(SEARCH("Incasso Dividendi",'Statements (Raw)'!D52)),"Dividend",IF(ISNUMBER(SEARCH("Provento Etf",'Statements (Raw)'!D52)),"Distribution",IF(ISNUMBER(SEARCH("Rit.provento",'Statements (Raw)'!D52)),"Tax",IF(ISNUMBER(SEARCH("Ratei Pass",'Statements (Raw)'!D52)),"Accrued Int.",IF(ISNUMBER(SEARCH("Interessi Prest",'Statements (Raw)'!D52)),"Sec. Lending",IF('Statements (Raw)'!G52="","Other",IF('Statements (Raw)'!G52&gt;0,"Buy","Sell"))))))))))))))))))))))</f>
        <v>Buy</v>
      </c>
      <c r="E54" s="6" t="str">
        <f t="shared" si="0"/>
        <v>Stock</v>
      </c>
      <c r="F54" s="8">
        <f>IF(A54="","",IF('Statements (Raw)'!E52="","",'Statements (Raw)'!E52))</f>
        <v>1.9339999999999999</v>
      </c>
      <c r="G54" s="6" t="str">
        <f>IF(A54="","",IF('Statements (Raw)'!F52="","",'Statements (Raw)'!F52))</f>
        <v>EUR</v>
      </c>
      <c r="H54" s="9">
        <f>IF(A54="","",IF('Statements (Raw)'!G52="","",'Statements (Raw)'!G52))</f>
        <v>1000</v>
      </c>
      <c r="I54" s="10">
        <f>IF(A54="","",IF('Statements (Raw)'!H52="","",'Statements (Raw)'!H52))</f>
        <v>-1934</v>
      </c>
      <c r="J54" s="10">
        <f>IF(A54="",0,IF('Statements (Raw)'!I52="",0,'Statements (Raw)'!I52))</f>
        <v>-5</v>
      </c>
      <c r="K54" s="10">
        <f t="shared" si="1"/>
        <v>-1939</v>
      </c>
    </row>
    <row r="55" spans="1:11" x14ac:dyDescent="0.3">
      <c r="A55" s="171">
        <f>IF(OR('Statements (Raw)'!A53="",'Statements (Raw)'!A53&gt;Holdings!$G$3),"",'Statements (Raw)'!A53)</f>
        <v>45859</v>
      </c>
      <c r="B55" s="7">
        <f>IF(A55="","",IF('Statements (Raw)'!B53="","",'Statements (Raw)'!B53))</f>
        <v>45861</v>
      </c>
      <c r="C55" s="6" t="str">
        <f>IF(A55="","",IF('Statements (Raw)'!C53&lt;&gt;"",'Statements (Raw)'!C53,IF(ISNUMBER(SEARCH("Conferimento",'Statements (Raw)'!D53)),"CASH DEPOSIT",IF(ISNUMBER(SEARCH("Prelievo",'Statements (Raw)'!D53)),"CASH WITHDRAWAL",IF(ISNUMBER(SEARCH("Bollo",'Statements (Raw)'!D53)),"STAMP DUTY",IF(ISNUMBER(SEARCH("Tobin Tax",'Statements (Raw)'!D53)),"TOBIN TAX",IF(ISNUMBER(SEARCH("Rit.provento",'Statements (Raw)'!D53)),"WITHHOLDING TAX",IF(ISNUMBER(SEARCH("Incasso Dividendi",'Statements (Raw)'!D53)),"DIVIDEND",IF(ISNUMBER(SEARCH("Cedola",'Statements (Raw)'!D53)),"COUPON",IF(ISNUMBER(SEARCH("Ratei Pass",'Statements (Raw)'!D53)),"ACCRUED INT",IF(ISNUMBER(SEARCH("Interessi Prest",'Statements (Raw)'!D53)),"SEC LENDING",IF(ISNUMBER(SEARCH("Rimborso",'Statements (Raw)'!D53)),"REDEMPTION",IF(ISNUMBER(SEARCH("Provento",'Statements (Raw)'!D53)),"DISTRIBUTION","OTHER")))))))))))))</f>
        <v>PIAGGIO</v>
      </c>
      <c r="D55" s="6" t="str">
        <f>IF(A55="","",IF(C55="Saldo Iniziale","Balance",IF(C55="CASH DEPOSIT","Deposit",IF(C55="CASH WITHDRAWAL","Withdrawal",IF(C55="STAMP DUTY","Tax",IF(C55="TOBIN TAX","Tax",IF(C55="WITHHOLDING TAX","Tax",IF(C55="DIVIDEND","Dividend",IF(C55="COUPON","Coupon",IF(C55="ACCRUED INT","Accrued Int.",IF(C55="SEC LENDING","Sec. Lending",IF(C55="REDEMPTION","Redemption",IF(C55="DISTRIBUTION","Distribution",IF(ISNUMBER(SEARCH("Rimborso",'Statements (Raw)'!D53)),"Redemption",IF(ISNUMBER(SEARCH("Cedola",'Statements (Raw)'!D53)),"Coupon",IF(ISNUMBER(SEARCH("Incasso Dividendi",'Statements (Raw)'!D53)),"Dividend",IF(ISNUMBER(SEARCH("Provento Etf",'Statements (Raw)'!D53)),"Distribution",IF(ISNUMBER(SEARCH("Rit.provento",'Statements (Raw)'!D53)),"Tax",IF(ISNUMBER(SEARCH("Ratei Pass",'Statements (Raw)'!D53)),"Accrued Int.",IF(ISNUMBER(SEARCH("Interessi Prest",'Statements (Raw)'!D53)),"Sec. Lending",IF('Statements (Raw)'!G53="","Other",IF('Statements (Raw)'!G53&gt;0,"Buy","Sell"))))))))))))))))))))))</f>
        <v>Buy</v>
      </c>
      <c r="E55" s="6" t="str">
        <f t="shared" si="0"/>
        <v>Stock</v>
      </c>
      <c r="F55" s="8">
        <f>IF(A55="","",IF('Statements (Raw)'!E53="","",'Statements (Raw)'!E53))</f>
        <v>1.9350000000000001</v>
      </c>
      <c r="G55" s="6" t="str">
        <f>IF(A55="","",IF('Statements (Raw)'!F53="","",'Statements (Raw)'!F53))</f>
        <v>EUR</v>
      </c>
      <c r="H55" s="9">
        <f>IF(A55="","",IF('Statements (Raw)'!G53="","",'Statements (Raw)'!G53))</f>
        <v>4000</v>
      </c>
      <c r="I55" s="10">
        <f>IF(A55="","",IF('Statements (Raw)'!H53="","",'Statements (Raw)'!H53))</f>
        <v>-7740</v>
      </c>
      <c r="J55" s="10">
        <f>IF(A55="",0,IF('Statements (Raw)'!I53="",0,'Statements (Raw)'!I53))</f>
        <v>0</v>
      </c>
      <c r="K55" s="10">
        <f t="shared" si="1"/>
        <v>-7740</v>
      </c>
    </row>
    <row r="56" spans="1:11" x14ac:dyDescent="0.3">
      <c r="A56" s="171">
        <f>IF(OR('Statements (Raw)'!A54="",'Statements (Raw)'!A54&gt;Holdings!$G$3),"",'Statements (Raw)'!A54)</f>
        <v>45859</v>
      </c>
      <c r="B56" s="7">
        <f>IF(A56="","",IF('Statements (Raw)'!B54="","",'Statements (Raw)'!B54))</f>
        <v>45861</v>
      </c>
      <c r="C56" s="6" t="str">
        <f>IF(A56="","",IF('Statements (Raw)'!C54&lt;&gt;"",'Statements (Raw)'!C54,IF(ISNUMBER(SEARCH("Conferimento",'Statements (Raw)'!D54)),"CASH DEPOSIT",IF(ISNUMBER(SEARCH("Prelievo",'Statements (Raw)'!D54)),"CASH WITHDRAWAL",IF(ISNUMBER(SEARCH("Bollo",'Statements (Raw)'!D54)),"STAMP DUTY",IF(ISNUMBER(SEARCH("Tobin Tax",'Statements (Raw)'!D54)),"TOBIN TAX",IF(ISNUMBER(SEARCH("Rit.provento",'Statements (Raw)'!D54)),"WITHHOLDING TAX",IF(ISNUMBER(SEARCH("Incasso Dividendi",'Statements (Raw)'!D54)),"DIVIDEND",IF(ISNUMBER(SEARCH("Cedola",'Statements (Raw)'!D54)),"COUPON",IF(ISNUMBER(SEARCH("Ratei Pass",'Statements (Raw)'!D54)),"ACCRUED INT",IF(ISNUMBER(SEARCH("Interessi Prest",'Statements (Raw)'!D54)),"SEC LENDING",IF(ISNUMBER(SEARCH("Rimborso",'Statements (Raw)'!D54)),"REDEMPTION",IF(ISNUMBER(SEARCH("Provento",'Statements (Raw)'!D54)),"DISTRIBUTION","OTHER")))))))))))))</f>
        <v>RAI WAY</v>
      </c>
      <c r="D56" s="6" t="str">
        <f>IF(A56="","",IF(C56="Saldo Iniziale","Balance",IF(C56="CASH DEPOSIT","Deposit",IF(C56="CASH WITHDRAWAL","Withdrawal",IF(C56="STAMP DUTY","Tax",IF(C56="TOBIN TAX","Tax",IF(C56="WITHHOLDING TAX","Tax",IF(C56="DIVIDEND","Dividend",IF(C56="COUPON","Coupon",IF(C56="ACCRUED INT","Accrued Int.",IF(C56="SEC LENDING","Sec. Lending",IF(C56="REDEMPTION","Redemption",IF(C56="DISTRIBUTION","Distribution",IF(ISNUMBER(SEARCH("Rimborso",'Statements (Raw)'!D54)),"Redemption",IF(ISNUMBER(SEARCH("Cedola",'Statements (Raw)'!D54)),"Coupon",IF(ISNUMBER(SEARCH("Incasso Dividendi",'Statements (Raw)'!D54)),"Dividend",IF(ISNUMBER(SEARCH("Provento Etf",'Statements (Raw)'!D54)),"Distribution",IF(ISNUMBER(SEARCH("Rit.provento",'Statements (Raw)'!D54)),"Tax",IF(ISNUMBER(SEARCH("Ratei Pass",'Statements (Raw)'!D54)),"Accrued Int.",IF(ISNUMBER(SEARCH("Interessi Prest",'Statements (Raw)'!D54)),"Sec. Lending",IF('Statements (Raw)'!G54="","Other",IF('Statements (Raw)'!G54&gt;0,"Buy","Sell"))))))))))))))))))))))</f>
        <v>Buy</v>
      </c>
      <c r="E56" s="6" t="str">
        <f t="shared" si="0"/>
        <v>Stock</v>
      </c>
      <c r="F56" s="8">
        <f>IF(A56="","",IF('Statements (Raw)'!E54="","",'Statements (Raw)'!E54))</f>
        <v>5.96</v>
      </c>
      <c r="G56" s="6" t="str">
        <f>IF(A56="","",IF('Statements (Raw)'!F54="","",'Statements (Raw)'!F54))</f>
        <v>EUR</v>
      </c>
      <c r="H56" s="9">
        <f>IF(A56="","",IF('Statements (Raw)'!G54="","",'Statements (Raw)'!G54))</f>
        <v>379</v>
      </c>
      <c r="I56" s="10">
        <f>IF(A56="","",IF('Statements (Raw)'!H54="","",'Statements (Raw)'!H54))</f>
        <v>-2258.84</v>
      </c>
      <c r="J56" s="10">
        <f>IF(A56="",0,IF('Statements (Raw)'!I54="",0,'Statements (Raw)'!I54))</f>
        <v>-5</v>
      </c>
      <c r="K56" s="10">
        <f t="shared" si="1"/>
        <v>-2263.84</v>
      </c>
    </row>
    <row r="57" spans="1:11" x14ac:dyDescent="0.3">
      <c r="A57" s="171">
        <f>IF(OR('Statements (Raw)'!A55="",'Statements (Raw)'!A55&gt;Holdings!$G$3),"",'Statements (Raw)'!A55)</f>
        <v>45859</v>
      </c>
      <c r="B57" s="7">
        <f>IF(A57="","",IF('Statements (Raw)'!B55="","",'Statements (Raw)'!B55))</f>
        <v>45861</v>
      </c>
      <c r="C57" s="6" t="str">
        <f>IF(A57="","",IF('Statements (Raw)'!C55&lt;&gt;"",'Statements (Raw)'!C55,IF(ISNUMBER(SEARCH("Conferimento",'Statements (Raw)'!D55)),"CASH DEPOSIT",IF(ISNUMBER(SEARCH("Prelievo",'Statements (Raw)'!D55)),"CASH WITHDRAWAL",IF(ISNUMBER(SEARCH("Bollo",'Statements (Raw)'!D55)),"STAMP DUTY",IF(ISNUMBER(SEARCH("Tobin Tax",'Statements (Raw)'!D55)),"TOBIN TAX",IF(ISNUMBER(SEARCH("Rit.provento",'Statements (Raw)'!D55)),"WITHHOLDING TAX",IF(ISNUMBER(SEARCH("Incasso Dividendi",'Statements (Raw)'!D55)),"DIVIDEND",IF(ISNUMBER(SEARCH("Cedola",'Statements (Raw)'!D55)),"COUPON",IF(ISNUMBER(SEARCH("Ratei Pass",'Statements (Raw)'!D55)),"ACCRUED INT",IF(ISNUMBER(SEARCH("Interessi Prest",'Statements (Raw)'!D55)),"SEC LENDING",IF(ISNUMBER(SEARCH("Rimborso",'Statements (Raw)'!D55)),"REDEMPTION",IF(ISNUMBER(SEARCH("Provento",'Statements (Raw)'!D55)),"DISTRIBUTION","OTHER")))))))))))))</f>
        <v>RAI WAY</v>
      </c>
      <c r="D57" s="6" t="str">
        <f>IF(A57="","",IF(C57="Saldo Iniziale","Balance",IF(C57="CASH DEPOSIT","Deposit",IF(C57="CASH WITHDRAWAL","Withdrawal",IF(C57="STAMP DUTY","Tax",IF(C57="TOBIN TAX","Tax",IF(C57="WITHHOLDING TAX","Tax",IF(C57="DIVIDEND","Dividend",IF(C57="COUPON","Coupon",IF(C57="ACCRUED INT","Accrued Int.",IF(C57="SEC LENDING","Sec. Lending",IF(C57="REDEMPTION","Redemption",IF(C57="DISTRIBUTION","Distribution",IF(ISNUMBER(SEARCH("Rimborso",'Statements (Raw)'!D55)),"Redemption",IF(ISNUMBER(SEARCH("Cedola",'Statements (Raw)'!D55)),"Coupon",IF(ISNUMBER(SEARCH("Incasso Dividendi",'Statements (Raw)'!D55)),"Dividend",IF(ISNUMBER(SEARCH("Provento Etf",'Statements (Raw)'!D55)),"Distribution",IF(ISNUMBER(SEARCH("Rit.provento",'Statements (Raw)'!D55)),"Tax",IF(ISNUMBER(SEARCH("Ratei Pass",'Statements (Raw)'!D55)),"Accrued Int.",IF(ISNUMBER(SEARCH("Interessi Prest",'Statements (Raw)'!D55)),"Sec. Lending",IF('Statements (Raw)'!G55="","Other",IF('Statements (Raw)'!G55&gt;0,"Buy","Sell"))))))))))))))))))))))</f>
        <v>Buy</v>
      </c>
      <c r="E57" s="6" t="str">
        <f t="shared" si="0"/>
        <v>Stock</v>
      </c>
      <c r="F57" s="8">
        <f>IF(A57="","",IF('Statements (Raw)'!E55="","",'Statements (Raw)'!E55))</f>
        <v>5.97</v>
      </c>
      <c r="G57" s="6" t="str">
        <f>IF(A57="","",IF('Statements (Raw)'!F55="","",'Statements (Raw)'!F55))</f>
        <v>EUR</v>
      </c>
      <c r="H57" s="9">
        <f>IF(A57="","",IF('Statements (Raw)'!G55="","",'Statements (Raw)'!G55))</f>
        <v>400</v>
      </c>
      <c r="I57" s="10">
        <f>IF(A57="","",IF('Statements (Raw)'!H55="","",'Statements (Raw)'!H55))</f>
        <v>-2388</v>
      </c>
      <c r="J57" s="10">
        <f>IF(A57="",0,IF('Statements (Raw)'!I55="",0,'Statements (Raw)'!I55))</f>
        <v>0</v>
      </c>
      <c r="K57" s="10">
        <f t="shared" si="1"/>
        <v>-2388</v>
      </c>
    </row>
    <row r="58" spans="1:11" x14ac:dyDescent="0.3">
      <c r="A58" s="171">
        <f>IF(OR('Statements (Raw)'!A56="",'Statements (Raw)'!A56&gt;Holdings!$G$3),"",'Statements (Raw)'!A56)</f>
        <v>45859</v>
      </c>
      <c r="B58" s="7">
        <f>IF(A58="","",IF('Statements (Raw)'!B56="","",'Statements (Raw)'!B56))</f>
        <v>45861</v>
      </c>
      <c r="C58" s="6" t="str">
        <f>IF(A58="","",IF('Statements (Raw)'!C56&lt;&gt;"",'Statements (Raw)'!C56,IF(ISNUMBER(SEARCH("Conferimento",'Statements (Raw)'!D56)),"CASH DEPOSIT",IF(ISNUMBER(SEARCH("Prelievo",'Statements (Raw)'!D56)),"CASH WITHDRAWAL",IF(ISNUMBER(SEARCH("Bollo",'Statements (Raw)'!D56)),"STAMP DUTY",IF(ISNUMBER(SEARCH("Tobin Tax",'Statements (Raw)'!D56)),"TOBIN TAX",IF(ISNUMBER(SEARCH("Rit.provento",'Statements (Raw)'!D56)),"WITHHOLDING TAX",IF(ISNUMBER(SEARCH("Incasso Dividendi",'Statements (Raw)'!D56)),"DIVIDEND",IF(ISNUMBER(SEARCH("Cedola",'Statements (Raw)'!D56)),"COUPON",IF(ISNUMBER(SEARCH("Ratei Pass",'Statements (Raw)'!D56)),"ACCRUED INT",IF(ISNUMBER(SEARCH("Interessi Prest",'Statements (Raw)'!D56)),"SEC LENDING",IF(ISNUMBER(SEARCH("Rimborso",'Statements (Raw)'!D56)),"REDEMPTION",IF(ISNUMBER(SEARCH("Provento",'Statements (Raw)'!D56)),"DISTRIBUTION","OTHER")))))))))))))</f>
        <v>RAI WAY</v>
      </c>
      <c r="D58" s="6" t="str">
        <f>IF(A58="","",IF(C58="Saldo Iniziale","Balance",IF(C58="CASH DEPOSIT","Deposit",IF(C58="CASH WITHDRAWAL","Withdrawal",IF(C58="STAMP DUTY","Tax",IF(C58="TOBIN TAX","Tax",IF(C58="WITHHOLDING TAX","Tax",IF(C58="DIVIDEND","Dividend",IF(C58="COUPON","Coupon",IF(C58="ACCRUED INT","Accrued Int.",IF(C58="SEC LENDING","Sec. Lending",IF(C58="REDEMPTION","Redemption",IF(C58="DISTRIBUTION","Distribution",IF(ISNUMBER(SEARCH("Rimborso",'Statements (Raw)'!D56)),"Redemption",IF(ISNUMBER(SEARCH("Cedola",'Statements (Raw)'!D56)),"Coupon",IF(ISNUMBER(SEARCH("Incasso Dividendi",'Statements (Raw)'!D56)),"Dividend",IF(ISNUMBER(SEARCH("Provento Etf",'Statements (Raw)'!D56)),"Distribution",IF(ISNUMBER(SEARCH("Rit.provento",'Statements (Raw)'!D56)),"Tax",IF(ISNUMBER(SEARCH("Ratei Pass",'Statements (Raw)'!D56)),"Accrued Int.",IF(ISNUMBER(SEARCH("Interessi Prest",'Statements (Raw)'!D56)),"Sec. Lending",IF('Statements (Raw)'!G56="","Other",IF('Statements (Raw)'!G56&gt;0,"Buy","Sell"))))))))))))))))))))))</f>
        <v>Buy</v>
      </c>
      <c r="E58" s="6" t="str">
        <f t="shared" si="0"/>
        <v>Stock</v>
      </c>
      <c r="F58" s="8">
        <f>IF(A58="","",IF('Statements (Raw)'!E56="","",'Statements (Raw)'!E56))</f>
        <v>5.97</v>
      </c>
      <c r="G58" s="6" t="str">
        <f>IF(A58="","",IF('Statements (Raw)'!F56="","",'Statements (Raw)'!F56))</f>
        <v>EUR</v>
      </c>
      <c r="H58" s="9">
        <f>IF(A58="","",IF('Statements (Raw)'!G56="","",'Statements (Raw)'!G56))</f>
        <v>221</v>
      </c>
      <c r="I58" s="10">
        <f>IF(A58="","",IF('Statements (Raw)'!H56="","",'Statements (Raw)'!H56))</f>
        <v>-1319.37</v>
      </c>
      <c r="J58" s="10">
        <f>IF(A58="",0,IF('Statements (Raw)'!I56="",0,'Statements (Raw)'!I56))</f>
        <v>0</v>
      </c>
      <c r="K58" s="10">
        <f t="shared" si="1"/>
        <v>-1319.37</v>
      </c>
    </row>
    <row r="59" spans="1:11" x14ac:dyDescent="0.3">
      <c r="A59" s="171">
        <f>IF(OR('Statements (Raw)'!A57="",'Statements (Raw)'!A57&gt;Holdings!$G$3),"",'Statements (Raw)'!A57)</f>
        <v>45859</v>
      </c>
      <c r="B59" s="7">
        <f>IF(A59="","",IF('Statements (Raw)'!B57="","",'Statements (Raw)'!B57))</f>
        <v>45861</v>
      </c>
      <c r="C59" s="6" t="str">
        <f>IF(A59="","",IF('Statements (Raw)'!C57&lt;&gt;"",'Statements (Raw)'!C57,IF(ISNUMBER(SEARCH("Conferimento",'Statements (Raw)'!D57)),"CASH DEPOSIT",IF(ISNUMBER(SEARCH("Prelievo",'Statements (Raw)'!D57)),"CASH WITHDRAWAL",IF(ISNUMBER(SEARCH("Bollo",'Statements (Raw)'!D57)),"STAMP DUTY",IF(ISNUMBER(SEARCH("Tobin Tax",'Statements (Raw)'!D57)),"TOBIN TAX",IF(ISNUMBER(SEARCH("Rit.provento",'Statements (Raw)'!D57)),"WITHHOLDING TAX",IF(ISNUMBER(SEARCH("Incasso Dividendi",'Statements (Raw)'!D57)),"DIVIDEND",IF(ISNUMBER(SEARCH("Cedola",'Statements (Raw)'!D57)),"COUPON",IF(ISNUMBER(SEARCH("Ratei Pass",'Statements (Raw)'!D57)),"ACCRUED INT",IF(ISNUMBER(SEARCH("Interessi Prest",'Statements (Raw)'!D57)),"SEC LENDING",IF(ISNUMBER(SEARCH("Rimborso",'Statements (Raw)'!D57)),"REDEMPTION",IF(ISNUMBER(SEARCH("Provento",'Statements (Raw)'!D57)),"DISTRIBUTION","OTHER")))))))))))))</f>
        <v>NEXI</v>
      </c>
      <c r="D59" s="6" t="str">
        <f>IF(A59="","",IF(C59="Saldo Iniziale","Balance",IF(C59="CASH DEPOSIT","Deposit",IF(C59="CASH WITHDRAWAL","Withdrawal",IF(C59="STAMP DUTY","Tax",IF(C59="TOBIN TAX","Tax",IF(C59="WITHHOLDING TAX","Tax",IF(C59="DIVIDEND","Dividend",IF(C59="COUPON","Coupon",IF(C59="ACCRUED INT","Accrued Int.",IF(C59="SEC LENDING","Sec. Lending",IF(C59="REDEMPTION","Redemption",IF(C59="DISTRIBUTION","Distribution",IF(ISNUMBER(SEARCH("Rimborso",'Statements (Raw)'!D57)),"Redemption",IF(ISNUMBER(SEARCH("Cedola",'Statements (Raw)'!D57)),"Coupon",IF(ISNUMBER(SEARCH("Incasso Dividendi",'Statements (Raw)'!D57)),"Dividend",IF(ISNUMBER(SEARCH("Provento Etf",'Statements (Raw)'!D57)),"Distribution",IF(ISNUMBER(SEARCH("Rit.provento",'Statements (Raw)'!D57)),"Tax",IF(ISNUMBER(SEARCH("Ratei Pass",'Statements (Raw)'!D57)),"Accrued Int.",IF(ISNUMBER(SEARCH("Interessi Prest",'Statements (Raw)'!D57)),"Sec. Lending",IF('Statements (Raw)'!G57="","Other",IF('Statements (Raw)'!G57&gt;0,"Buy","Sell"))))))))))))))))))))))</f>
        <v>Buy</v>
      </c>
      <c r="E59" s="6" t="str">
        <f t="shared" si="0"/>
        <v>Stock</v>
      </c>
      <c r="F59" s="8">
        <f>IF(A59="","",IF('Statements (Raw)'!E57="","",'Statements (Raw)'!E57))</f>
        <v>5.1340000000000003</v>
      </c>
      <c r="G59" s="6" t="str">
        <f>IF(A59="","",IF('Statements (Raw)'!F57="","",'Statements (Raw)'!F57))</f>
        <v>EUR</v>
      </c>
      <c r="H59" s="9">
        <f>IF(A59="","",IF('Statements (Raw)'!G57="","",'Statements (Raw)'!G57))</f>
        <v>1000</v>
      </c>
      <c r="I59" s="10">
        <f>IF(A59="","",IF('Statements (Raw)'!H57="","",'Statements (Raw)'!H57))</f>
        <v>-5134</v>
      </c>
      <c r="J59" s="10">
        <f>IF(A59="",0,IF('Statements (Raw)'!I57="",0,'Statements (Raw)'!I57))</f>
        <v>-5</v>
      </c>
      <c r="K59" s="10">
        <f t="shared" si="1"/>
        <v>-5139</v>
      </c>
    </row>
    <row r="60" spans="1:11" x14ac:dyDescent="0.3">
      <c r="A60" s="171">
        <f>IF(OR('Statements (Raw)'!A58="",'Statements (Raw)'!A58&gt;Holdings!$G$3),"",'Statements (Raw)'!A58)</f>
        <v>45859</v>
      </c>
      <c r="B60" s="7">
        <f>IF(A60="","",IF('Statements (Raw)'!B58="","",'Statements (Raw)'!B58))</f>
        <v>45861</v>
      </c>
      <c r="C60" s="6" t="str">
        <f>IF(A60="","",IF('Statements (Raw)'!C58&lt;&gt;"",'Statements (Raw)'!C58,IF(ISNUMBER(SEARCH("Conferimento",'Statements (Raw)'!D58)),"CASH DEPOSIT",IF(ISNUMBER(SEARCH("Prelievo",'Statements (Raw)'!D58)),"CASH WITHDRAWAL",IF(ISNUMBER(SEARCH("Bollo",'Statements (Raw)'!D58)),"STAMP DUTY",IF(ISNUMBER(SEARCH("Tobin Tax",'Statements (Raw)'!D58)),"TOBIN TAX",IF(ISNUMBER(SEARCH("Rit.provento",'Statements (Raw)'!D58)),"WITHHOLDING TAX",IF(ISNUMBER(SEARCH("Incasso Dividendi",'Statements (Raw)'!D58)),"DIVIDEND",IF(ISNUMBER(SEARCH("Cedola",'Statements (Raw)'!D58)),"COUPON",IF(ISNUMBER(SEARCH("Ratei Pass",'Statements (Raw)'!D58)),"ACCRUED INT",IF(ISNUMBER(SEARCH("Interessi Prest",'Statements (Raw)'!D58)),"SEC LENDING",IF(ISNUMBER(SEARCH("Rimborso",'Statements (Raw)'!D58)),"REDEMPTION",IF(ISNUMBER(SEARCH("Provento",'Statements (Raw)'!D58)),"DISTRIBUTION","OTHER")))))))))))))</f>
        <v>BOT ZC DEC25 A EUR</v>
      </c>
      <c r="D60" s="6" t="str">
        <f>IF(A60="","",IF(C60="Saldo Iniziale","Balance",IF(C60="CASH DEPOSIT","Deposit",IF(C60="CASH WITHDRAWAL","Withdrawal",IF(C60="STAMP DUTY","Tax",IF(C60="TOBIN TAX","Tax",IF(C60="WITHHOLDING TAX","Tax",IF(C60="DIVIDEND","Dividend",IF(C60="COUPON","Coupon",IF(C60="ACCRUED INT","Accrued Int.",IF(C60="SEC LENDING","Sec. Lending",IF(C60="REDEMPTION","Redemption",IF(C60="DISTRIBUTION","Distribution",IF(ISNUMBER(SEARCH("Rimborso",'Statements (Raw)'!D58)),"Redemption",IF(ISNUMBER(SEARCH("Cedola",'Statements (Raw)'!D58)),"Coupon",IF(ISNUMBER(SEARCH("Incasso Dividendi",'Statements (Raw)'!D58)),"Dividend",IF(ISNUMBER(SEARCH("Provento Etf",'Statements (Raw)'!D58)),"Distribution",IF(ISNUMBER(SEARCH("Rit.provento",'Statements (Raw)'!D58)),"Tax",IF(ISNUMBER(SEARCH("Ratei Pass",'Statements (Raw)'!D58)),"Accrued Int.",IF(ISNUMBER(SEARCH("Interessi Prest",'Statements (Raw)'!D58)),"Sec. Lending",IF('Statements (Raw)'!G58="","Other",IF('Statements (Raw)'!G58&gt;0,"Buy","Sell"))))))))))))))))))))))</f>
        <v>Buy</v>
      </c>
      <c r="E60" s="6" t="str">
        <f t="shared" si="0"/>
        <v>Bond</v>
      </c>
      <c r="F60" s="8">
        <f>IF(A60="","",IF('Statements (Raw)'!E58="","",'Statements (Raw)'!E58))</f>
        <v>99.254999999999995</v>
      </c>
      <c r="G60" s="6" t="str">
        <f>IF(A60="","",IF('Statements (Raw)'!F58="","",'Statements (Raw)'!F58))</f>
        <v>EUR</v>
      </c>
      <c r="H60" s="9">
        <f>IF(A60="","",IF('Statements (Raw)'!G58="","",'Statements (Raw)'!G58))</f>
        <v>50000</v>
      </c>
      <c r="I60" s="10">
        <f>IF(A60="","",IF('Statements (Raw)'!H58="","",'Statements (Raw)'!H58))</f>
        <v>-49627.5</v>
      </c>
      <c r="J60" s="10">
        <f>IF(A60="",0,IF('Statements (Raw)'!I58="",0,'Statements (Raw)'!I58))</f>
        <v>-5</v>
      </c>
      <c r="K60" s="10">
        <f t="shared" si="1"/>
        <v>-49632.5</v>
      </c>
    </row>
    <row r="61" spans="1:11" x14ac:dyDescent="0.3">
      <c r="A61" s="171">
        <f>IF(OR('Statements (Raw)'!A59="",'Statements (Raw)'!A59&gt;Holdings!$G$3),"",'Statements (Raw)'!A59)</f>
        <v>45859</v>
      </c>
      <c r="B61" s="7">
        <f>IF(A61="","",IF('Statements (Raw)'!B59="","",'Statements (Raw)'!B59))</f>
        <v>45861</v>
      </c>
      <c r="C61" s="6" t="str">
        <f>IF(A61="","",IF('Statements (Raw)'!C59&lt;&gt;"",'Statements (Raw)'!C59,IF(ISNUMBER(SEARCH("Conferimento",'Statements (Raw)'!D59)),"CASH DEPOSIT",IF(ISNUMBER(SEARCH("Prelievo",'Statements (Raw)'!D59)),"CASH WITHDRAWAL",IF(ISNUMBER(SEARCH("Bollo",'Statements (Raw)'!D59)),"STAMP DUTY",IF(ISNUMBER(SEARCH("Tobin Tax",'Statements (Raw)'!D59)),"TOBIN TAX",IF(ISNUMBER(SEARCH("Rit.provento",'Statements (Raw)'!D59)),"WITHHOLDING TAX",IF(ISNUMBER(SEARCH("Incasso Dividendi",'Statements (Raw)'!D59)),"DIVIDEND",IF(ISNUMBER(SEARCH("Cedola",'Statements (Raw)'!D59)),"COUPON",IF(ISNUMBER(SEARCH("Ratei Pass",'Statements (Raw)'!D59)),"ACCRUED INT",IF(ISNUMBER(SEARCH("Interessi Prest",'Statements (Raw)'!D59)),"SEC LENDING",IF(ISNUMBER(SEARCH("Rimborso",'Statements (Raw)'!D59)),"REDEMPTION",IF(ISNUMBER(SEARCH("Provento",'Statements (Raw)'!D59)),"DISTRIBUTION","OTHER")))))))))))))</f>
        <v>BOT ZC JAN26 A EUR</v>
      </c>
      <c r="D61" s="6" t="str">
        <f>IF(A61="","",IF(C61="Saldo Iniziale","Balance",IF(C61="CASH DEPOSIT","Deposit",IF(C61="CASH WITHDRAWAL","Withdrawal",IF(C61="STAMP DUTY","Tax",IF(C61="TOBIN TAX","Tax",IF(C61="WITHHOLDING TAX","Tax",IF(C61="DIVIDEND","Dividend",IF(C61="COUPON","Coupon",IF(C61="ACCRUED INT","Accrued Int.",IF(C61="SEC LENDING","Sec. Lending",IF(C61="REDEMPTION","Redemption",IF(C61="DISTRIBUTION","Distribution",IF(ISNUMBER(SEARCH("Rimborso",'Statements (Raw)'!D59)),"Redemption",IF(ISNUMBER(SEARCH("Cedola",'Statements (Raw)'!D59)),"Coupon",IF(ISNUMBER(SEARCH("Incasso Dividendi",'Statements (Raw)'!D59)),"Dividend",IF(ISNUMBER(SEARCH("Provento Etf",'Statements (Raw)'!D59)),"Distribution",IF(ISNUMBER(SEARCH("Rit.provento",'Statements (Raw)'!D59)),"Tax",IF(ISNUMBER(SEARCH("Ratei Pass",'Statements (Raw)'!D59)),"Accrued Int.",IF(ISNUMBER(SEARCH("Interessi Prest",'Statements (Raw)'!D59)),"Sec. Lending",IF('Statements (Raw)'!G59="","Other",IF('Statements (Raw)'!G59&gt;0,"Buy","Sell"))))))))))))))))))))))</f>
        <v>Buy</v>
      </c>
      <c r="E61" s="6" t="str">
        <f t="shared" si="0"/>
        <v>Bond</v>
      </c>
      <c r="F61" s="8">
        <f>IF(A61="","",IF('Statements (Raw)'!E59="","",'Statements (Raw)'!E59))</f>
        <v>99.078999999999994</v>
      </c>
      <c r="G61" s="6" t="str">
        <f>IF(A61="","",IF('Statements (Raw)'!F59="","",'Statements (Raw)'!F59))</f>
        <v>EUR</v>
      </c>
      <c r="H61" s="9">
        <f>IF(A61="","",IF('Statements (Raw)'!G59="","",'Statements (Raw)'!G59))</f>
        <v>20000</v>
      </c>
      <c r="I61" s="10">
        <f>IF(A61="","",IF('Statements (Raw)'!H59="","",'Statements (Raw)'!H59))</f>
        <v>-19815.8</v>
      </c>
      <c r="J61" s="10">
        <f>IF(A61="",0,IF('Statements (Raw)'!I59="",0,'Statements (Raw)'!I59))</f>
        <v>-5</v>
      </c>
      <c r="K61" s="10">
        <f t="shared" si="1"/>
        <v>-19820.8</v>
      </c>
    </row>
    <row r="62" spans="1:11" x14ac:dyDescent="0.3">
      <c r="A62" s="171">
        <f>IF(OR('Statements (Raw)'!A60="",'Statements (Raw)'!A60&gt;Holdings!$G$3),"",'Statements (Raw)'!A60)</f>
        <v>45859</v>
      </c>
      <c r="B62" s="7">
        <f>IF(A62="","",IF('Statements (Raw)'!B60="","",'Statements (Raw)'!B60))</f>
        <v>45861</v>
      </c>
      <c r="C62" s="6" t="str">
        <f>IF(A62="","",IF('Statements (Raw)'!C60&lt;&gt;"",'Statements (Raw)'!C60,IF(ISNUMBER(SEARCH("Conferimento",'Statements (Raw)'!D60)),"CASH DEPOSIT",IF(ISNUMBER(SEARCH("Prelievo",'Statements (Raw)'!D60)),"CASH WITHDRAWAL",IF(ISNUMBER(SEARCH("Bollo",'Statements (Raw)'!D60)),"STAMP DUTY",IF(ISNUMBER(SEARCH("Tobin Tax",'Statements (Raw)'!D60)),"TOBIN TAX",IF(ISNUMBER(SEARCH("Rit.provento",'Statements (Raw)'!D60)),"WITHHOLDING TAX",IF(ISNUMBER(SEARCH("Incasso Dividendi",'Statements (Raw)'!D60)),"DIVIDEND",IF(ISNUMBER(SEARCH("Cedola",'Statements (Raw)'!D60)),"COUPON",IF(ISNUMBER(SEARCH("Ratei Pass",'Statements (Raw)'!D60)),"ACCRUED INT",IF(ISNUMBER(SEARCH("Interessi Prest",'Statements (Raw)'!D60)),"SEC LENDING",IF(ISNUMBER(SEARCH("Rimborso",'Statements (Raw)'!D60)),"REDEMPTION",IF(ISNUMBER(SEARCH("Provento",'Statements (Raw)'!D60)),"DISTRIBUTION","OTHER")))))))))))))</f>
        <v>TOBIN TAX</v>
      </c>
      <c r="D62" s="6" t="str">
        <f>IF(A62="","",IF(C62="Saldo Iniziale","Balance",IF(C62="CASH DEPOSIT","Deposit",IF(C62="CASH WITHDRAWAL","Withdrawal",IF(C62="STAMP DUTY","Tax",IF(C62="TOBIN TAX","Tax",IF(C62="WITHHOLDING TAX","Tax",IF(C62="DIVIDEND","Dividend",IF(C62="COUPON","Coupon",IF(C62="ACCRUED INT","Accrued Int.",IF(C62="SEC LENDING","Sec. Lending",IF(C62="REDEMPTION","Redemption",IF(C62="DISTRIBUTION","Distribution",IF(ISNUMBER(SEARCH("Rimborso",'Statements (Raw)'!D60)),"Redemption",IF(ISNUMBER(SEARCH("Cedola",'Statements (Raw)'!D60)),"Coupon",IF(ISNUMBER(SEARCH("Incasso Dividendi",'Statements (Raw)'!D60)),"Dividend",IF(ISNUMBER(SEARCH("Provento Etf",'Statements (Raw)'!D60)),"Distribution",IF(ISNUMBER(SEARCH("Rit.provento",'Statements (Raw)'!D60)),"Tax",IF(ISNUMBER(SEARCH("Ratei Pass",'Statements (Raw)'!D60)),"Accrued Int.",IF(ISNUMBER(SEARCH("Interessi Prest",'Statements (Raw)'!D60)),"Sec. Lending",IF('Statements (Raw)'!G60="","Other",IF('Statements (Raw)'!G60&gt;0,"Buy","Sell"))))))))))))))))))))))</f>
        <v>Tax</v>
      </c>
      <c r="E62" s="6" t="str">
        <f t="shared" si="0"/>
        <v>Tax/Fee</v>
      </c>
      <c r="F62" s="8" t="str">
        <f>IF(A62="","",IF('Statements (Raw)'!E60="","",'Statements (Raw)'!E60))</f>
        <v/>
      </c>
      <c r="G62" s="6" t="str">
        <f>IF(A62="","",IF('Statements (Raw)'!F60="","",'Statements (Raw)'!F60))</f>
        <v/>
      </c>
      <c r="H62" s="9" t="str">
        <f>IF(A62="","",IF('Statements (Raw)'!G60="","",'Statements (Raw)'!G60))</f>
        <v/>
      </c>
      <c r="I62" s="10">
        <f>IF(A62="","",IF('Statements (Raw)'!H60="","",'Statements (Raw)'!H60))</f>
        <v>-27.99</v>
      </c>
      <c r="J62" s="10">
        <f>IF(A62="",0,IF('Statements (Raw)'!I60="",0,'Statements (Raw)'!I60))</f>
        <v>0</v>
      </c>
      <c r="K62" s="10">
        <f t="shared" si="1"/>
        <v>-27.99</v>
      </c>
    </row>
    <row r="63" spans="1:11" x14ac:dyDescent="0.3">
      <c r="A63" s="171">
        <f>IF(OR('Statements (Raw)'!A61="",'Statements (Raw)'!A61&gt;Holdings!$G$3),"",'Statements (Raw)'!A61)</f>
        <v>45860</v>
      </c>
      <c r="B63" s="7">
        <f>IF(A63="","",IF('Statements (Raw)'!B61="","",'Statements (Raw)'!B61))</f>
        <v>45862</v>
      </c>
      <c r="C63" s="6" t="str">
        <f>IF(A63="","",IF('Statements (Raw)'!C61&lt;&gt;"",'Statements (Raw)'!C61,IF(ISNUMBER(SEARCH("Conferimento",'Statements (Raw)'!D61)),"CASH DEPOSIT",IF(ISNUMBER(SEARCH("Prelievo",'Statements (Raw)'!D61)),"CASH WITHDRAWAL",IF(ISNUMBER(SEARCH("Bollo",'Statements (Raw)'!D61)),"STAMP DUTY",IF(ISNUMBER(SEARCH("Tobin Tax",'Statements (Raw)'!D61)),"TOBIN TAX",IF(ISNUMBER(SEARCH("Rit.provento",'Statements (Raw)'!D61)),"WITHHOLDING TAX",IF(ISNUMBER(SEARCH("Incasso Dividendi",'Statements (Raw)'!D61)),"DIVIDEND",IF(ISNUMBER(SEARCH("Cedola",'Statements (Raw)'!D61)),"COUPON",IF(ISNUMBER(SEARCH("Ratei Pass",'Statements (Raw)'!D61)),"ACCRUED INT",IF(ISNUMBER(SEARCH("Interessi Prest",'Statements (Raw)'!D61)),"SEC LENDING",IF(ISNUMBER(SEARCH("Rimborso",'Statements (Raw)'!D61)),"REDEMPTION",IF(ISNUMBER(SEARCH("Provento",'Statements (Raw)'!D61)),"DISTRIBUTION","OTHER")))))))))))))</f>
        <v>Bitwise Physical Bitcoin ETP</v>
      </c>
      <c r="D63" s="6" t="str">
        <f>IF(A63="","",IF(C63="Saldo Iniziale","Balance",IF(C63="CASH DEPOSIT","Deposit",IF(C63="CASH WITHDRAWAL","Withdrawal",IF(C63="STAMP DUTY","Tax",IF(C63="TOBIN TAX","Tax",IF(C63="WITHHOLDING TAX","Tax",IF(C63="DIVIDEND","Dividend",IF(C63="COUPON","Coupon",IF(C63="ACCRUED INT","Accrued Int.",IF(C63="SEC LENDING","Sec. Lending",IF(C63="REDEMPTION","Redemption",IF(C63="DISTRIBUTION","Distribution",IF(ISNUMBER(SEARCH("Rimborso",'Statements (Raw)'!D61)),"Redemption",IF(ISNUMBER(SEARCH("Cedola",'Statements (Raw)'!D61)),"Coupon",IF(ISNUMBER(SEARCH("Incasso Dividendi",'Statements (Raw)'!D61)),"Dividend",IF(ISNUMBER(SEARCH("Provento Etf",'Statements (Raw)'!D61)),"Distribution",IF(ISNUMBER(SEARCH("Rit.provento",'Statements (Raw)'!D61)),"Tax",IF(ISNUMBER(SEARCH("Ratei Pass",'Statements (Raw)'!D61)),"Accrued Int.",IF(ISNUMBER(SEARCH("Interessi Prest",'Statements (Raw)'!D61)),"Sec. Lending",IF('Statements (Raw)'!G61="","Other",IF('Statements (Raw)'!G61&gt;0,"Buy","Sell"))))))))))))))))))))))</f>
        <v>Buy</v>
      </c>
      <c r="E63" s="6" t="str">
        <f t="shared" si="0"/>
        <v>Crypto ETP</v>
      </c>
      <c r="F63" s="8">
        <f>IF(A63="","",IF('Statements (Raw)'!E61="","",'Statements (Raw)'!E61))</f>
        <v>91.295000000000002</v>
      </c>
      <c r="G63" s="6" t="str">
        <f>IF(A63="","",IF('Statements (Raw)'!F61="","",'Statements (Raw)'!F61))</f>
        <v>EUR</v>
      </c>
      <c r="H63" s="9">
        <f>IF(A63="","",IF('Statements (Raw)'!G61="","",'Statements (Raw)'!G61))</f>
        <v>1</v>
      </c>
      <c r="I63" s="10">
        <f>IF(A63="","",IF('Statements (Raw)'!H61="","",'Statements (Raw)'!H61))</f>
        <v>-91.3</v>
      </c>
      <c r="J63" s="10">
        <f>IF(A63="",0,IF('Statements (Raw)'!I61="",0,'Statements (Raw)'!I61))</f>
        <v>-9.5</v>
      </c>
      <c r="K63" s="10">
        <f t="shared" si="1"/>
        <v>-100.8</v>
      </c>
    </row>
    <row r="64" spans="1:11" x14ac:dyDescent="0.3">
      <c r="A64" s="171">
        <f>IF(OR('Statements (Raw)'!A62="",'Statements (Raw)'!A62&gt;Holdings!$G$3),"",'Statements (Raw)'!A62)</f>
        <v>45861</v>
      </c>
      <c r="B64" s="7">
        <f>IF(A64="","",IF('Statements (Raw)'!B62="","",'Statements (Raw)'!B62))</f>
        <v>45863</v>
      </c>
      <c r="C64" s="6" t="str">
        <f>IF(A64="","",IF('Statements (Raw)'!C62&lt;&gt;"",'Statements (Raw)'!C62,IF(ISNUMBER(SEARCH("Conferimento",'Statements (Raw)'!D62)),"CASH DEPOSIT",IF(ISNUMBER(SEARCH("Prelievo",'Statements (Raw)'!D62)),"CASH WITHDRAWAL",IF(ISNUMBER(SEARCH("Bollo",'Statements (Raw)'!D62)),"STAMP DUTY",IF(ISNUMBER(SEARCH("Tobin Tax",'Statements (Raw)'!D62)),"TOBIN TAX",IF(ISNUMBER(SEARCH("Rit.provento",'Statements (Raw)'!D62)),"WITHHOLDING TAX",IF(ISNUMBER(SEARCH("Incasso Dividendi",'Statements (Raw)'!D62)),"DIVIDEND",IF(ISNUMBER(SEARCH("Cedola",'Statements (Raw)'!D62)),"COUPON",IF(ISNUMBER(SEARCH("Ratei Pass",'Statements (Raw)'!D62)),"ACCRUED INT",IF(ISNUMBER(SEARCH("Interessi Prest",'Statements (Raw)'!D62)),"SEC LENDING",IF(ISNUMBER(SEARCH("Rimborso",'Statements (Raw)'!D62)),"REDEMPTION",IF(ISNUMBER(SEARCH("Provento",'Statements (Raw)'!D62)),"DISTRIBUTION","OTHER")))))))))))))</f>
        <v>Bitwise Physical Bitcoin ETP</v>
      </c>
      <c r="D64" s="6" t="str">
        <f>IF(A64="","",IF(C64="Saldo Iniziale","Balance",IF(C64="CASH DEPOSIT","Deposit",IF(C64="CASH WITHDRAWAL","Withdrawal",IF(C64="STAMP DUTY","Tax",IF(C64="TOBIN TAX","Tax",IF(C64="WITHHOLDING TAX","Tax",IF(C64="DIVIDEND","Dividend",IF(C64="COUPON","Coupon",IF(C64="ACCRUED INT","Accrued Int.",IF(C64="SEC LENDING","Sec. Lending",IF(C64="REDEMPTION","Redemption",IF(C64="DISTRIBUTION","Distribution",IF(ISNUMBER(SEARCH("Rimborso",'Statements (Raw)'!D62)),"Redemption",IF(ISNUMBER(SEARCH("Cedola",'Statements (Raw)'!D62)),"Coupon",IF(ISNUMBER(SEARCH("Incasso Dividendi",'Statements (Raw)'!D62)),"Dividend",IF(ISNUMBER(SEARCH("Provento Etf",'Statements (Raw)'!D62)),"Distribution",IF(ISNUMBER(SEARCH("Rit.provento",'Statements (Raw)'!D62)),"Tax",IF(ISNUMBER(SEARCH("Ratei Pass",'Statements (Raw)'!D62)),"Accrued Int.",IF(ISNUMBER(SEARCH("Interessi Prest",'Statements (Raw)'!D62)),"Sec. Lending",IF('Statements (Raw)'!G62="","Other",IF('Statements (Raw)'!G62&gt;0,"Buy","Sell"))))))))))))))))))))))</f>
        <v>Buy</v>
      </c>
      <c r="E64" s="6" t="str">
        <f t="shared" si="0"/>
        <v>Crypto ETP</v>
      </c>
      <c r="F64" s="8">
        <f>IF(A64="","",IF('Statements (Raw)'!E62="","",'Statements (Raw)'!E62))</f>
        <v>91.064999999999998</v>
      </c>
      <c r="G64" s="6" t="str">
        <f>IF(A64="","",IF('Statements (Raw)'!F62="","",'Statements (Raw)'!F62))</f>
        <v>EUR</v>
      </c>
      <c r="H64" s="9">
        <f>IF(A64="","",IF('Statements (Raw)'!G62="","",'Statements (Raw)'!G62))</f>
        <v>1</v>
      </c>
      <c r="I64" s="10">
        <f>IF(A64="","",IF('Statements (Raw)'!H62="","",'Statements (Raw)'!H62))</f>
        <v>-91.07</v>
      </c>
      <c r="J64" s="10">
        <f>IF(A64="",0,IF('Statements (Raw)'!I62="",0,'Statements (Raw)'!I62))</f>
        <v>-9.5</v>
      </c>
      <c r="K64" s="10">
        <f t="shared" si="1"/>
        <v>-100.57</v>
      </c>
    </row>
    <row r="65" spans="1:11" x14ac:dyDescent="0.3">
      <c r="A65" s="171">
        <f>IF(OR('Statements (Raw)'!A63="",'Statements (Raw)'!A63&gt;Holdings!$G$3),"",'Statements (Raw)'!A63)</f>
        <v>45861</v>
      </c>
      <c r="B65" s="7">
        <f>IF(A65="","",IF('Statements (Raw)'!B63="","",'Statements (Raw)'!B63))</f>
        <v>45863</v>
      </c>
      <c r="C65" s="6" t="str">
        <f>IF(A65="","",IF('Statements (Raw)'!C63&lt;&gt;"",'Statements (Raw)'!C63,IF(ISNUMBER(SEARCH("Conferimento",'Statements (Raw)'!D63)),"CASH DEPOSIT",IF(ISNUMBER(SEARCH("Prelievo",'Statements (Raw)'!D63)),"CASH WITHDRAWAL",IF(ISNUMBER(SEARCH("Bollo",'Statements (Raw)'!D63)),"STAMP DUTY",IF(ISNUMBER(SEARCH("Tobin Tax",'Statements (Raw)'!D63)),"TOBIN TAX",IF(ISNUMBER(SEARCH("Rit.provento",'Statements (Raw)'!D63)),"WITHHOLDING TAX",IF(ISNUMBER(SEARCH("Incasso Dividendi",'Statements (Raw)'!D63)),"DIVIDEND",IF(ISNUMBER(SEARCH("Cedola",'Statements (Raw)'!D63)),"COUPON",IF(ISNUMBER(SEARCH("Ratei Pass",'Statements (Raw)'!D63)),"ACCRUED INT",IF(ISNUMBER(SEARCH("Interessi Prest",'Statements (Raw)'!D63)),"SEC LENDING",IF(ISNUMBER(SEARCH("Rimborso",'Statements (Raw)'!D63)),"REDEMPTION",IF(ISNUMBER(SEARCH("Provento",'Statements (Raw)'!D63)),"DISTRIBUTION","OTHER")))))))))))))</f>
        <v>Bitwise Ethereum Staking ETP</v>
      </c>
      <c r="D65" s="6" t="str">
        <f>IF(A65="","",IF(C65="Saldo Iniziale","Balance",IF(C65="CASH DEPOSIT","Deposit",IF(C65="CASH WITHDRAWAL","Withdrawal",IF(C65="STAMP DUTY","Tax",IF(C65="TOBIN TAX","Tax",IF(C65="WITHHOLDING TAX","Tax",IF(C65="DIVIDEND","Dividend",IF(C65="COUPON","Coupon",IF(C65="ACCRUED INT","Accrued Int.",IF(C65="SEC LENDING","Sec. Lending",IF(C65="REDEMPTION","Redemption",IF(C65="DISTRIBUTION","Distribution",IF(ISNUMBER(SEARCH("Rimborso",'Statements (Raw)'!D63)),"Redemption",IF(ISNUMBER(SEARCH("Cedola",'Statements (Raw)'!D63)),"Coupon",IF(ISNUMBER(SEARCH("Incasso Dividendi",'Statements (Raw)'!D63)),"Dividend",IF(ISNUMBER(SEARCH("Provento Etf",'Statements (Raw)'!D63)),"Distribution",IF(ISNUMBER(SEARCH("Rit.provento",'Statements (Raw)'!D63)),"Tax",IF(ISNUMBER(SEARCH("Ratei Pass",'Statements (Raw)'!D63)),"Accrued Int.",IF(ISNUMBER(SEARCH("Interessi Prest",'Statements (Raw)'!D63)),"Sec. Lending",IF('Statements (Raw)'!G63="","Other",IF('Statements (Raw)'!G63&gt;0,"Buy","Sell"))))))))))))))))))))))</f>
        <v>Buy</v>
      </c>
      <c r="E65" s="6" t="str">
        <f t="shared" si="0"/>
        <v>Crypto ETP</v>
      </c>
      <c r="F65" s="8">
        <f>IF(A65="","",IF('Statements (Raw)'!E63="","",'Statements (Raw)'!E63))</f>
        <v>6.3810000000000002</v>
      </c>
      <c r="G65" s="6" t="str">
        <f>IF(A65="","",IF('Statements (Raw)'!F63="","",'Statements (Raw)'!F63))</f>
        <v>EUR</v>
      </c>
      <c r="H65" s="9">
        <f>IF(A65="","",IF('Statements (Raw)'!G63="","",'Statements (Raw)'!G63))</f>
        <v>100</v>
      </c>
      <c r="I65" s="10">
        <f>IF(A65="","",IF('Statements (Raw)'!H63="","",'Statements (Raw)'!H63))</f>
        <v>-638.1</v>
      </c>
      <c r="J65" s="10">
        <f>IF(A65="",0,IF('Statements (Raw)'!I63="",0,'Statements (Raw)'!I63))</f>
        <v>0</v>
      </c>
      <c r="K65" s="10">
        <f t="shared" si="1"/>
        <v>-638.1</v>
      </c>
    </row>
    <row r="66" spans="1:11" x14ac:dyDescent="0.3">
      <c r="A66" s="171">
        <f>IF(OR('Statements (Raw)'!A64="",'Statements (Raw)'!A64&gt;Holdings!$G$3),"",'Statements (Raw)'!A64)</f>
        <v>45861</v>
      </c>
      <c r="B66" s="7">
        <f>IF(A66="","",IF('Statements (Raw)'!B64="","",'Statements (Raw)'!B64))</f>
        <v>45863</v>
      </c>
      <c r="C66" s="6" t="str">
        <f>IF(A66="","",IF('Statements (Raw)'!C64&lt;&gt;"",'Statements (Raw)'!C64,IF(ISNUMBER(SEARCH("Conferimento",'Statements (Raw)'!D64)),"CASH DEPOSIT",IF(ISNUMBER(SEARCH("Prelievo",'Statements (Raw)'!D64)),"CASH WITHDRAWAL",IF(ISNUMBER(SEARCH("Bollo",'Statements (Raw)'!D64)),"STAMP DUTY",IF(ISNUMBER(SEARCH("Tobin Tax",'Statements (Raw)'!D64)),"TOBIN TAX",IF(ISNUMBER(SEARCH("Rit.provento",'Statements (Raw)'!D64)),"WITHHOLDING TAX",IF(ISNUMBER(SEARCH("Incasso Dividendi",'Statements (Raw)'!D64)),"DIVIDEND",IF(ISNUMBER(SEARCH("Cedola",'Statements (Raw)'!D64)),"COUPON",IF(ISNUMBER(SEARCH("Ratei Pass",'Statements (Raw)'!D64)),"ACCRUED INT",IF(ISNUMBER(SEARCH("Interessi Prest",'Statements (Raw)'!D64)),"SEC LENDING",IF(ISNUMBER(SEARCH("Rimborso",'Statements (Raw)'!D64)),"REDEMPTION",IF(ISNUMBER(SEARCH("Provento",'Statements (Raw)'!D64)),"DISTRIBUTION","OTHER")))))))))))))</f>
        <v>Bitwise Physical Ethereum ETP</v>
      </c>
      <c r="D66" s="6" t="str">
        <f>IF(A66="","",IF(C66="Saldo Iniziale","Balance",IF(C66="CASH DEPOSIT","Deposit",IF(C66="CASH WITHDRAWAL","Withdrawal",IF(C66="STAMP DUTY","Tax",IF(C66="TOBIN TAX","Tax",IF(C66="WITHHOLDING TAX","Tax",IF(C66="DIVIDEND","Dividend",IF(C66="COUPON","Coupon",IF(C66="ACCRUED INT","Accrued Int.",IF(C66="SEC LENDING","Sec. Lending",IF(C66="REDEMPTION","Redemption",IF(C66="DISTRIBUTION","Distribution",IF(ISNUMBER(SEARCH("Rimborso",'Statements (Raw)'!D64)),"Redemption",IF(ISNUMBER(SEARCH("Cedola",'Statements (Raw)'!D64)),"Coupon",IF(ISNUMBER(SEARCH("Incasso Dividendi",'Statements (Raw)'!D64)),"Dividend",IF(ISNUMBER(SEARCH("Provento Etf",'Statements (Raw)'!D64)),"Distribution",IF(ISNUMBER(SEARCH("Rit.provento",'Statements (Raw)'!D64)),"Tax",IF(ISNUMBER(SEARCH("Ratei Pass",'Statements (Raw)'!D64)),"Accrued Int.",IF(ISNUMBER(SEARCH("Interessi Prest",'Statements (Raw)'!D64)),"Sec. Lending",IF('Statements (Raw)'!G64="","Other",IF('Statements (Raw)'!G64&gt;0,"Buy","Sell"))))))))))))))))))))))</f>
        <v>Buy</v>
      </c>
      <c r="E66" s="6" t="str">
        <f t="shared" si="0"/>
        <v>Crypto ETP</v>
      </c>
      <c r="F66" s="8">
        <f>IF(A66="","",IF('Statements (Raw)'!E64="","",'Statements (Raw)'!E64))</f>
        <v>29.154</v>
      </c>
      <c r="G66" s="6" t="str">
        <f>IF(A66="","",IF('Statements (Raw)'!F64="","",'Statements (Raw)'!F64))</f>
        <v>EUR</v>
      </c>
      <c r="H66" s="9">
        <f>IF(A66="","",IF('Statements (Raw)'!G64="","",'Statements (Raw)'!G64))</f>
        <v>4</v>
      </c>
      <c r="I66" s="10">
        <f>IF(A66="","",IF('Statements (Raw)'!H64="","",'Statements (Raw)'!H64))</f>
        <v>-116.62</v>
      </c>
      <c r="J66" s="10">
        <f>IF(A66="",0,IF('Statements (Raw)'!I64="",0,'Statements (Raw)'!I64))</f>
        <v>-9.5</v>
      </c>
      <c r="K66" s="10">
        <f t="shared" si="1"/>
        <v>-126.12</v>
      </c>
    </row>
    <row r="67" spans="1:11" x14ac:dyDescent="0.3">
      <c r="A67" s="171">
        <f>IF(OR('Statements (Raw)'!A65="",'Statements (Raw)'!A65&gt;Holdings!$G$3),"",'Statements (Raw)'!A65)</f>
        <v>45861</v>
      </c>
      <c r="B67" s="7">
        <f>IF(A67="","",IF('Statements (Raw)'!B65="","",'Statements (Raw)'!B65))</f>
        <v>45863</v>
      </c>
      <c r="C67" s="6" t="str">
        <f>IF(A67="","",IF('Statements (Raw)'!C65&lt;&gt;"",'Statements (Raw)'!C65,IF(ISNUMBER(SEARCH("Conferimento",'Statements (Raw)'!D65)),"CASH DEPOSIT",IF(ISNUMBER(SEARCH("Prelievo",'Statements (Raw)'!D65)),"CASH WITHDRAWAL",IF(ISNUMBER(SEARCH("Bollo",'Statements (Raw)'!D65)),"STAMP DUTY",IF(ISNUMBER(SEARCH("Tobin Tax",'Statements (Raw)'!D65)),"TOBIN TAX",IF(ISNUMBER(SEARCH("Rit.provento",'Statements (Raw)'!D65)),"WITHHOLDING TAX",IF(ISNUMBER(SEARCH("Incasso Dividendi",'Statements (Raw)'!D65)),"DIVIDEND",IF(ISNUMBER(SEARCH("Cedola",'Statements (Raw)'!D65)),"COUPON",IF(ISNUMBER(SEARCH("Ratei Pass",'Statements (Raw)'!D65)),"ACCRUED INT",IF(ISNUMBER(SEARCH("Interessi Prest",'Statements (Raw)'!D65)),"SEC LENDING",IF(ISNUMBER(SEARCH("Rimborso",'Statements (Raw)'!D65)),"REDEMPTION",IF(ISNUMBER(SEARCH("Provento",'Statements (Raw)'!D65)),"DISTRIBUTION","OTHER")))))))))))))</f>
        <v>WisdomTree Europe Defence UCIT</v>
      </c>
      <c r="D67" s="6" t="str">
        <f>IF(A67="","",IF(C67="Saldo Iniziale","Balance",IF(C67="CASH DEPOSIT","Deposit",IF(C67="CASH WITHDRAWAL","Withdrawal",IF(C67="STAMP DUTY","Tax",IF(C67="TOBIN TAX","Tax",IF(C67="WITHHOLDING TAX","Tax",IF(C67="DIVIDEND","Dividend",IF(C67="COUPON","Coupon",IF(C67="ACCRUED INT","Accrued Int.",IF(C67="SEC LENDING","Sec. Lending",IF(C67="REDEMPTION","Redemption",IF(C67="DISTRIBUTION","Distribution",IF(ISNUMBER(SEARCH("Rimborso",'Statements (Raw)'!D65)),"Redemption",IF(ISNUMBER(SEARCH("Cedola",'Statements (Raw)'!D65)),"Coupon",IF(ISNUMBER(SEARCH("Incasso Dividendi",'Statements (Raw)'!D65)),"Dividend",IF(ISNUMBER(SEARCH("Provento Etf",'Statements (Raw)'!D65)),"Distribution",IF(ISNUMBER(SEARCH("Rit.provento",'Statements (Raw)'!D65)),"Tax",IF(ISNUMBER(SEARCH("Ratei Pass",'Statements (Raw)'!D65)),"Accrued Int.",IF(ISNUMBER(SEARCH("Interessi Prest",'Statements (Raw)'!D65)),"Sec. Lending",IF('Statements (Raw)'!G65="","Other",IF('Statements (Raw)'!G65&gt;0,"Buy","Sell"))))))))))))))))))))))</f>
        <v>Buy</v>
      </c>
      <c r="E67" s="6" t="str">
        <f t="shared" si="0"/>
        <v>ETF/ETC</v>
      </c>
      <c r="F67" s="8">
        <f>IF(A67="","",IF('Statements (Raw)'!E65="","",'Statements (Raw)'!E65))</f>
        <v>30.445</v>
      </c>
      <c r="G67" s="6" t="str">
        <f>IF(A67="","",IF('Statements (Raw)'!F65="","",'Statements (Raw)'!F65))</f>
        <v>EUR</v>
      </c>
      <c r="H67" s="9">
        <f>IF(A67="","",IF('Statements (Raw)'!G65="","",'Statements (Raw)'!G65))</f>
        <v>32</v>
      </c>
      <c r="I67" s="10">
        <f>IF(A67="","",IF('Statements (Raw)'!H65="","",'Statements (Raw)'!H65))</f>
        <v>-974.24</v>
      </c>
      <c r="J67" s="10">
        <f>IF(A67="",0,IF('Statements (Raw)'!I65="",0,'Statements (Raw)'!I65))</f>
        <v>0</v>
      </c>
      <c r="K67" s="10">
        <f t="shared" si="1"/>
        <v>-974.24</v>
      </c>
    </row>
    <row r="68" spans="1:11" x14ac:dyDescent="0.3">
      <c r="A68" s="171">
        <f>IF(OR('Statements (Raw)'!A66="",'Statements (Raw)'!A66&gt;Holdings!$G$3),"",'Statements (Raw)'!A66)</f>
        <v>45861</v>
      </c>
      <c r="B68" s="7">
        <f>IF(A68="","",IF('Statements (Raw)'!B66="","",'Statements (Raw)'!B66))</f>
        <v>45863</v>
      </c>
      <c r="C68" s="6" t="str">
        <f>IF(A68="","",IF('Statements (Raw)'!C66&lt;&gt;"",'Statements (Raw)'!C66,IF(ISNUMBER(SEARCH("Conferimento",'Statements (Raw)'!D66)),"CASH DEPOSIT",IF(ISNUMBER(SEARCH("Prelievo",'Statements (Raw)'!D66)),"CASH WITHDRAWAL",IF(ISNUMBER(SEARCH("Bollo",'Statements (Raw)'!D66)),"STAMP DUTY",IF(ISNUMBER(SEARCH("Tobin Tax",'Statements (Raw)'!D66)),"TOBIN TAX",IF(ISNUMBER(SEARCH("Rit.provento",'Statements (Raw)'!D66)),"WITHHOLDING TAX",IF(ISNUMBER(SEARCH("Incasso Dividendi",'Statements (Raw)'!D66)),"DIVIDEND",IF(ISNUMBER(SEARCH("Cedola",'Statements (Raw)'!D66)),"COUPON",IF(ISNUMBER(SEARCH("Ratei Pass",'Statements (Raw)'!D66)),"ACCRUED INT",IF(ISNUMBER(SEARCH("Interessi Prest",'Statements (Raw)'!D66)),"SEC LENDING",IF(ISNUMBER(SEARCH("Rimborso",'Statements (Raw)'!D66)),"REDEMPTION",IF(ISNUMBER(SEARCH("Provento",'Statements (Raw)'!D66)),"DISTRIBUTION","OTHER")))))))))))))</f>
        <v>ISHARES FTSE MIB UCITS ETF EUR</v>
      </c>
      <c r="D68" s="6" t="str">
        <f>IF(A68="","",IF(C68="Saldo Iniziale","Balance",IF(C68="CASH DEPOSIT","Deposit",IF(C68="CASH WITHDRAWAL","Withdrawal",IF(C68="STAMP DUTY","Tax",IF(C68="TOBIN TAX","Tax",IF(C68="WITHHOLDING TAX","Tax",IF(C68="DIVIDEND","Dividend",IF(C68="COUPON","Coupon",IF(C68="ACCRUED INT","Accrued Int.",IF(C68="SEC LENDING","Sec. Lending",IF(C68="REDEMPTION","Redemption",IF(C68="DISTRIBUTION","Distribution",IF(ISNUMBER(SEARCH("Rimborso",'Statements (Raw)'!D66)),"Redemption",IF(ISNUMBER(SEARCH("Cedola",'Statements (Raw)'!D66)),"Coupon",IF(ISNUMBER(SEARCH("Incasso Dividendi",'Statements (Raw)'!D66)),"Dividend",IF(ISNUMBER(SEARCH("Provento Etf",'Statements (Raw)'!D66)),"Distribution",IF(ISNUMBER(SEARCH("Rit.provento",'Statements (Raw)'!D66)),"Tax",IF(ISNUMBER(SEARCH("Ratei Pass",'Statements (Raw)'!D66)),"Accrued Int.",IF(ISNUMBER(SEARCH("Interessi Prest",'Statements (Raw)'!D66)),"Sec. Lending",IF('Statements (Raw)'!G66="","Other",IF('Statements (Raw)'!G66&gt;0,"Buy","Sell"))))))))))))))))))))))</f>
        <v>Buy</v>
      </c>
      <c r="E68" s="6" t="str">
        <f t="shared" si="0"/>
        <v>ETF/ETC</v>
      </c>
      <c r="F68" s="8">
        <f>IF(A68="","",IF('Statements (Raw)'!E66="","",'Statements (Raw)'!E66))</f>
        <v>194.54</v>
      </c>
      <c r="G68" s="6" t="str">
        <f>IF(A68="","",IF('Statements (Raw)'!F66="","",'Statements (Raw)'!F66))</f>
        <v>EUR</v>
      </c>
      <c r="H68" s="9">
        <f>IF(A68="","",IF('Statements (Raw)'!G66="","",'Statements (Raw)'!G66))</f>
        <v>12</v>
      </c>
      <c r="I68" s="10">
        <f>IF(A68="","",IF('Statements (Raw)'!H66="","",'Statements (Raw)'!H66))</f>
        <v>-2334.48</v>
      </c>
      <c r="J68" s="10">
        <f>IF(A68="",0,IF('Statements (Raw)'!I66="",0,'Statements (Raw)'!I66))</f>
        <v>0</v>
      </c>
      <c r="K68" s="10">
        <f t="shared" si="1"/>
        <v>-2334.48</v>
      </c>
    </row>
    <row r="69" spans="1:11" x14ac:dyDescent="0.3">
      <c r="A69" s="171">
        <f>IF(OR('Statements (Raw)'!A67="",'Statements (Raw)'!A67&gt;Holdings!$G$3),"",'Statements (Raw)'!A67)</f>
        <v>45861</v>
      </c>
      <c r="B69" s="7">
        <f>IF(A69="","",IF('Statements (Raw)'!B67="","",'Statements (Raw)'!B67))</f>
        <v>45863</v>
      </c>
      <c r="C69" s="6" t="str">
        <f>IF(A69="","",IF('Statements (Raw)'!C67&lt;&gt;"",'Statements (Raw)'!C67,IF(ISNUMBER(SEARCH("Conferimento",'Statements (Raw)'!D67)),"CASH DEPOSIT",IF(ISNUMBER(SEARCH("Prelievo",'Statements (Raw)'!D67)),"CASH WITHDRAWAL",IF(ISNUMBER(SEARCH("Bollo",'Statements (Raw)'!D67)),"STAMP DUTY",IF(ISNUMBER(SEARCH("Tobin Tax",'Statements (Raw)'!D67)),"TOBIN TAX",IF(ISNUMBER(SEARCH("Rit.provento",'Statements (Raw)'!D67)),"WITHHOLDING TAX",IF(ISNUMBER(SEARCH("Incasso Dividendi",'Statements (Raw)'!D67)),"DIVIDEND",IF(ISNUMBER(SEARCH("Cedola",'Statements (Raw)'!D67)),"COUPON",IF(ISNUMBER(SEARCH("Ratei Pass",'Statements (Raw)'!D67)),"ACCRUED INT",IF(ISNUMBER(SEARCH("Interessi Prest",'Statements (Raw)'!D67)),"SEC LENDING",IF(ISNUMBER(SEARCH("Rimborso",'Statements (Raw)'!D67)),"REDEMPTION",IF(ISNUMBER(SEARCH("Provento",'Statements (Raw)'!D67)),"DISTRIBUTION","OTHER")))))))))))))</f>
        <v>WISDOMTREE CORE PHYSICAL GOLD</v>
      </c>
      <c r="D69" s="6" t="str">
        <f>IF(A69="","",IF(C69="Saldo Iniziale","Balance",IF(C69="CASH DEPOSIT","Deposit",IF(C69="CASH WITHDRAWAL","Withdrawal",IF(C69="STAMP DUTY","Tax",IF(C69="TOBIN TAX","Tax",IF(C69="WITHHOLDING TAX","Tax",IF(C69="DIVIDEND","Dividend",IF(C69="COUPON","Coupon",IF(C69="ACCRUED INT","Accrued Int.",IF(C69="SEC LENDING","Sec. Lending",IF(C69="REDEMPTION","Redemption",IF(C69="DISTRIBUTION","Distribution",IF(ISNUMBER(SEARCH("Rimborso",'Statements (Raw)'!D67)),"Redemption",IF(ISNUMBER(SEARCH("Cedola",'Statements (Raw)'!D67)),"Coupon",IF(ISNUMBER(SEARCH("Incasso Dividendi",'Statements (Raw)'!D67)),"Dividend",IF(ISNUMBER(SEARCH("Provento Etf",'Statements (Raw)'!D67)),"Distribution",IF(ISNUMBER(SEARCH("Rit.provento",'Statements (Raw)'!D67)),"Tax",IF(ISNUMBER(SEARCH("Ratei Pass",'Statements (Raw)'!D67)),"Accrued Int.",IF(ISNUMBER(SEARCH("Interessi Prest",'Statements (Raw)'!D67)),"Sec. Lending",IF('Statements (Raw)'!G67="","Other",IF('Statements (Raw)'!G67&gt;0,"Buy","Sell"))))))))))))))))))))))</f>
        <v>Buy</v>
      </c>
      <c r="E69" s="6" t="str">
        <f t="shared" ref="E69:E132" si="2">IF(D69="","",IF(OR(D69="Balance",D69="Deposit",D69="Withdrawal"),"Cash",IF(D69="Tax","Tax/Fee",IF(OR(D69="Dividend",D69="Coupon",D69="Distribution",D69="Sec. Lending",D69="Accrued Int."),"Income",IF(D69="Redemption","Bond",IF(OR(D69="Buy",D69="Sell"),IF(OR(ISNUMBER(SEARCH("BOT ",C69)),ISNUMBER(SEARCH("BTP ",C69)),ISNUMBER(SEARCH("CARRARO",C69))),"Bond",IF(OR(ISNUMBER(SEARCH("isdom",C69)),ISNUMBER(SEARCH("ISHARES",C69)),ISNUMBER(SEARCH("iShares",C69))),"ETF/ETC",IF(OR(ISNUMBER(SEARCH("Bitwise",C69)),ISNUMBER(SEARCH("BITWISE",C69))),"Crypto ETP","Stock"))),"Other"))))))</f>
        <v>ETF/ETC</v>
      </c>
      <c r="F69" s="8">
        <f>IF(A69="","",IF('Statements (Raw)'!E67="","",'Statements (Raw)'!E67))</f>
        <v>289.55</v>
      </c>
      <c r="G69" s="6" t="str">
        <f>IF(A69="","",IF('Statements (Raw)'!F67="","",'Statements (Raw)'!F67))</f>
        <v>EUR</v>
      </c>
      <c r="H69" s="9">
        <f>IF(A69="","",IF('Statements (Raw)'!G67="","",'Statements (Raw)'!G67))</f>
        <v>1</v>
      </c>
      <c r="I69" s="10">
        <f>IF(A69="","",IF('Statements (Raw)'!H67="","",'Statements (Raw)'!H67))</f>
        <v>-289.55</v>
      </c>
      <c r="J69" s="10">
        <f>IF(A69="",0,IF('Statements (Raw)'!I67="",0,'Statements (Raw)'!I67))</f>
        <v>0</v>
      </c>
      <c r="K69" s="10">
        <f t="shared" ref="K69:K132" si="3">IF(I69="","",I69+J69)</f>
        <v>-289.55</v>
      </c>
    </row>
    <row r="70" spans="1:11" x14ac:dyDescent="0.3">
      <c r="A70" s="171">
        <f>IF(OR('Statements (Raw)'!A68="",'Statements (Raw)'!A68&gt;Holdings!$G$3),"",'Statements (Raw)'!A68)</f>
        <v>45861</v>
      </c>
      <c r="B70" s="7">
        <f>IF(A70="","",IF('Statements (Raw)'!B68="","",'Statements (Raw)'!B68))</f>
        <v>45863</v>
      </c>
      <c r="C70" s="6" t="str">
        <f>IF(A70="","",IF('Statements (Raw)'!C68&lt;&gt;"",'Statements (Raw)'!C68,IF(ISNUMBER(SEARCH("Conferimento",'Statements (Raw)'!D68)),"CASH DEPOSIT",IF(ISNUMBER(SEARCH("Prelievo",'Statements (Raw)'!D68)),"CASH WITHDRAWAL",IF(ISNUMBER(SEARCH("Bollo",'Statements (Raw)'!D68)),"STAMP DUTY",IF(ISNUMBER(SEARCH("Tobin Tax",'Statements (Raw)'!D68)),"TOBIN TAX",IF(ISNUMBER(SEARCH("Rit.provento",'Statements (Raw)'!D68)),"WITHHOLDING TAX",IF(ISNUMBER(SEARCH("Incasso Dividendi",'Statements (Raw)'!D68)),"DIVIDEND",IF(ISNUMBER(SEARCH("Cedola",'Statements (Raw)'!D68)),"COUPON",IF(ISNUMBER(SEARCH("Ratei Pass",'Statements (Raw)'!D68)),"ACCRUED INT",IF(ISNUMBER(SEARCH("Interessi Prest",'Statements (Raw)'!D68)),"SEC LENDING",IF(ISNUMBER(SEARCH("Rimborso",'Statements (Raw)'!D68)),"REDEMPTION",IF(ISNUMBER(SEARCH("Provento",'Statements (Raw)'!D68)),"DISTRIBUTION","OTHER")))))))))))))</f>
        <v>WISDOMTREE PHYSICAL SILVER</v>
      </c>
      <c r="D70" s="6" t="str">
        <f>IF(A70="","",IF(C70="Saldo Iniziale","Balance",IF(C70="CASH DEPOSIT","Deposit",IF(C70="CASH WITHDRAWAL","Withdrawal",IF(C70="STAMP DUTY","Tax",IF(C70="TOBIN TAX","Tax",IF(C70="WITHHOLDING TAX","Tax",IF(C70="DIVIDEND","Dividend",IF(C70="COUPON","Coupon",IF(C70="ACCRUED INT","Accrued Int.",IF(C70="SEC LENDING","Sec. Lending",IF(C70="REDEMPTION","Redemption",IF(C70="DISTRIBUTION","Distribution",IF(ISNUMBER(SEARCH("Rimborso",'Statements (Raw)'!D68)),"Redemption",IF(ISNUMBER(SEARCH("Cedola",'Statements (Raw)'!D68)),"Coupon",IF(ISNUMBER(SEARCH("Incasso Dividendi",'Statements (Raw)'!D68)),"Dividend",IF(ISNUMBER(SEARCH("Provento Etf",'Statements (Raw)'!D68)),"Distribution",IF(ISNUMBER(SEARCH("Rit.provento",'Statements (Raw)'!D68)),"Tax",IF(ISNUMBER(SEARCH("Ratei Pass",'Statements (Raw)'!D68)),"Accrued Int.",IF(ISNUMBER(SEARCH("Interessi Prest",'Statements (Raw)'!D68)),"Sec. Lending",IF('Statements (Raw)'!G68="","Other",IF('Statements (Raw)'!G68&gt;0,"Buy","Sell"))))))))))))))))))))))</f>
        <v>Buy</v>
      </c>
      <c r="E70" s="6" t="str">
        <f t="shared" si="2"/>
        <v>ETF/ETC</v>
      </c>
      <c r="F70" s="8">
        <f>IF(A70="","",IF('Statements (Raw)'!E68="","",'Statements (Raw)'!E68))</f>
        <v>30.83</v>
      </c>
      <c r="G70" s="6" t="str">
        <f>IF(A70="","",IF('Statements (Raw)'!F68="","",'Statements (Raw)'!F68))</f>
        <v>EUR</v>
      </c>
      <c r="H70" s="9">
        <f>IF(A70="","",IF('Statements (Raw)'!G68="","",'Statements (Raw)'!G68))</f>
        <v>16</v>
      </c>
      <c r="I70" s="10">
        <f>IF(A70="","",IF('Statements (Raw)'!H68="","",'Statements (Raw)'!H68))</f>
        <v>-493.28</v>
      </c>
      <c r="J70" s="10">
        <f>IF(A70="",0,IF('Statements (Raw)'!I68="",0,'Statements (Raw)'!I68))</f>
        <v>0</v>
      </c>
      <c r="K70" s="10">
        <f t="shared" si="3"/>
        <v>-493.28</v>
      </c>
    </row>
    <row r="71" spans="1:11" x14ac:dyDescent="0.3">
      <c r="A71" s="171">
        <f>IF(OR('Statements (Raw)'!A69="",'Statements (Raw)'!A69&gt;Holdings!$G$3),"",'Statements (Raw)'!A69)</f>
        <v>45862</v>
      </c>
      <c r="B71" s="7">
        <f>IF(A71="","",IF('Statements (Raw)'!B69="","",'Statements (Raw)'!B69))</f>
        <v>45866</v>
      </c>
      <c r="C71" s="6" t="str">
        <f>IF(A71="","",IF('Statements (Raw)'!C69&lt;&gt;"",'Statements (Raw)'!C69,IF(ISNUMBER(SEARCH("Conferimento",'Statements (Raw)'!D69)),"CASH DEPOSIT",IF(ISNUMBER(SEARCH("Prelievo",'Statements (Raw)'!D69)),"CASH WITHDRAWAL",IF(ISNUMBER(SEARCH("Bollo",'Statements (Raw)'!D69)),"STAMP DUTY",IF(ISNUMBER(SEARCH("Tobin Tax",'Statements (Raw)'!D69)),"TOBIN TAX",IF(ISNUMBER(SEARCH("Rit.provento",'Statements (Raw)'!D69)),"WITHHOLDING TAX",IF(ISNUMBER(SEARCH("Incasso Dividendi",'Statements (Raw)'!D69)),"DIVIDEND",IF(ISNUMBER(SEARCH("Cedola",'Statements (Raw)'!D69)),"COUPON",IF(ISNUMBER(SEARCH("Ratei Pass",'Statements (Raw)'!D69)),"ACCRUED INT",IF(ISNUMBER(SEARCH("Interessi Prest",'Statements (Raw)'!D69)),"SEC LENDING",IF(ISNUMBER(SEARCH("Rimborso",'Statements (Raw)'!D69)),"REDEMPTION",IF(ISNUMBER(SEARCH("Provento",'Statements (Raw)'!D69)),"DISTRIBUTION","OTHER")))))))))))))</f>
        <v>Bitwise Ethereum Staking ETP</v>
      </c>
      <c r="D71" s="6" t="str">
        <f>IF(A71="","",IF(C71="Saldo Iniziale","Balance",IF(C71="CASH DEPOSIT","Deposit",IF(C71="CASH WITHDRAWAL","Withdrawal",IF(C71="STAMP DUTY","Tax",IF(C71="TOBIN TAX","Tax",IF(C71="WITHHOLDING TAX","Tax",IF(C71="DIVIDEND","Dividend",IF(C71="COUPON","Coupon",IF(C71="ACCRUED INT","Accrued Int.",IF(C71="SEC LENDING","Sec. Lending",IF(C71="REDEMPTION","Redemption",IF(C71="DISTRIBUTION","Distribution",IF(ISNUMBER(SEARCH("Rimborso",'Statements (Raw)'!D69)),"Redemption",IF(ISNUMBER(SEARCH("Cedola",'Statements (Raw)'!D69)),"Coupon",IF(ISNUMBER(SEARCH("Incasso Dividendi",'Statements (Raw)'!D69)),"Dividend",IF(ISNUMBER(SEARCH("Provento Etf",'Statements (Raw)'!D69)),"Distribution",IF(ISNUMBER(SEARCH("Rit.provento",'Statements (Raw)'!D69)),"Tax",IF(ISNUMBER(SEARCH("Ratei Pass",'Statements (Raw)'!D69)),"Accrued Int.",IF(ISNUMBER(SEARCH("Interessi Prest",'Statements (Raw)'!D69)),"Sec. Lending",IF('Statements (Raw)'!G69="","Other",IF('Statements (Raw)'!G69&gt;0,"Buy","Sell"))))))))))))))))))))))</f>
        <v>Buy</v>
      </c>
      <c r="E71" s="6" t="str">
        <f t="shared" si="2"/>
        <v>Crypto ETP</v>
      </c>
      <c r="F71" s="8">
        <f>IF(A71="","",IF('Statements (Raw)'!E69="","",'Statements (Raw)'!E69))</f>
        <v>6.3464999999999998</v>
      </c>
      <c r="G71" s="6" t="str">
        <f>IF(A71="","",IF('Statements (Raw)'!F69="","",'Statements (Raw)'!F69))</f>
        <v>EUR</v>
      </c>
      <c r="H71" s="9">
        <f>IF(A71="","",IF('Statements (Raw)'!G69="","",'Statements (Raw)'!G69))</f>
        <v>10</v>
      </c>
      <c r="I71" s="10">
        <f>IF(A71="","",IF('Statements (Raw)'!H69="","",'Statements (Raw)'!H69))</f>
        <v>-63.47</v>
      </c>
      <c r="J71" s="10">
        <f>IF(A71="",0,IF('Statements (Raw)'!I69="",0,'Statements (Raw)'!I69))</f>
        <v>-9.5</v>
      </c>
      <c r="K71" s="10">
        <f t="shared" si="3"/>
        <v>-72.97</v>
      </c>
    </row>
    <row r="72" spans="1:11" x14ac:dyDescent="0.3">
      <c r="A72" s="171">
        <f>IF(OR('Statements (Raw)'!A70="",'Statements (Raw)'!A70&gt;Holdings!$G$3),"",'Statements (Raw)'!A70)</f>
        <v>45862</v>
      </c>
      <c r="B72" s="7">
        <f>IF(A72="","",IF('Statements (Raw)'!B70="","",'Statements (Raw)'!B70))</f>
        <v>45866</v>
      </c>
      <c r="C72" s="6" t="str">
        <f>IF(A72="","",IF('Statements (Raw)'!C70&lt;&gt;"",'Statements (Raw)'!C70,IF(ISNUMBER(SEARCH("Conferimento",'Statements (Raw)'!D70)),"CASH DEPOSIT",IF(ISNUMBER(SEARCH("Prelievo",'Statements (Raw)'!D70)),"CASH WITHDRAWAL",IF(ISNUMBER(SEARCH("Bollo",'Statements (Raw)'!D70)),"STAMP DUTY",IF(ISNUMBER(SEARCH("Tobin Tax",'Statements (Raw)'!D70)),"TOBIN TAX",IF(ISNUMBER(SEARCH("Rit.provento",'Statements (Raw)'!D70)),"WITHHOLDING TAX",IF(ISNUMBER(SEARCH("Incasso Dividendi",'Statements (Raw)'!D70)),"DIVIDEND",IF(ISNUMBER(SEARCH("Cedola",'Statements (Raw)'!D70)),"COUPON",IF(ISNUMBER(SEARCH("Ratei Pass",'Statements (Raw)'!D70)),"ACCRUED INT",IF(ISNUMBER(SEARCH("Interessi Prest",'Statements (Raw)'!D70)),"SEC LENDING",IF(ISNUMBER(SEARCH("Rimborso",'Statements (Raw)'!D70)),"REDEMPTION",IF(ISNUMBER(SEARCH("Provento",'Statements (Raw)'!D70)),"DISTRIBUTION","OTHER")))))))))))))</f>
        <v>Bitwise Physical Bitcoin ETP</v>
      </c>
      <c r="D72" s="6" t="str">
        <f>IF(A72="","",IF(C72="Saldo Iniziale","Balance",IF(C72="CASH DEPOSIT","Deposit",IF(C72="CASH WITHDRAWAL","Withdrawal",IF(C72="STAMP DUTY","Tax",IF(C72="TOBIN TAX","Tax",IF(C72="WITHHOLDING TAX","Tax",IF(C72="DIVIDEND","Dividend",IF(C72="COUPON","Coupon",IF(C72="ACCRUED INT","Accrued Int.",IF(C72="SEC LENDING","Sec. Lending",IF(C72="REDEMPTION","Redemption",IF(C72="DISTRIBUTION","Distribution",IF(ISNUMBER(SEARCH("Rimborso",'Statements (Raw)'!D70)),"Redemption",IF(ISNUMBER(SEARCH("Cedola",'Statements (Raw)'!D70)),"Coupon",IF(ISNUMBER(SEARCH("Incasso Dividendi",'Statements (Raw)'!D70)),"Dividend",IF(ISNUMBER(SEARCH("Provento Etf",'Statements (Raw)'!D70)),"Distribution",IF(ISNUMBER(SEARCH("Rit.provento",'Statements (Raw)'!D70)),"Tax",IF(ISNUMBER(SEARCH("Ratei Pass",'Statements (Raw)'!D70)),"Accrued Int.",IF(ISNUMBER(SEARCH("Interessi Prest",'Statements (Raw)'!D70)),"Sec. Lending",IF('Statements (Raw)'!G70="","Other",IF('Statements (Raw)'!G70&gt;0,"Buy","Sell"))))))))))))))))))))))</f>
        <v>Buy</v>
      </c>
      <c r="E72" s="6" t="str">
        <f t="shared" si="2"/>
        <v>Crypto ETP</v>
      </c>
      <c r="F72" s="8">
        <f>IF(A72="","",IF('Statements (Raw)'!E70="","",'Statements (Raw)'!E70))</f>
        <v>91.105000000000004</v>
      </c>
      <c r="G72" s="6" t="str">
        <f>IF(A72="","",IF('Statements (Raw)'!F70="","",'Statements (Raw)'!F70))</f>
        <v>EUR</v>
      </c>
      <c r="H72" s="9">
        <f>IF(A72="","",IF('Statements (Raw)'!G70="","",'Statements (Raw)'!G70))</f>
        <v>1</v>
      </c>
      <c r="I72" s="10">
        <f>IF(A72="","",IF('Statements (Raw)'!H70="","",'Statements (Raw)'!H70))</f>
        <v>-91.11</v>
      </c>
      <c r="J72" s="10">
        <f>IF(A72="",0,IF('Statements (Raw)'!I70="",0,'Statements (Raw)'!I70))</f>
        <v>-9.5</v>
      </c>
      <c r="K72" s="10">
        <f t="shared" si="3"/>
        <v>-100.61</v>
      </c>
    </row>
    <row r="73" spans="1:11" x14ac:dyDescent="0.3">
      <c r="A73" s="171">
        <f>IF(OR('Statements (Raw)'!A71="",'Statements (Raw)'!A71&gt;Holdings!$G$3),"",'Statements (Raw)'!A71)</f>
        <v>45862</v>
      </c>
      <c r="B73" s="7">
        <f>IF(A73="","",IF('Statements (Raw)'!B71="","",'Statements (Raw)'!B71))</f>
        <v>45866</v>
      </c>
      <c r="C73" s="6" t="str">
        <f>IF(A73="","",IF('Statements (Raw)'!C71&lt;&gt;"",'Statements (Raw)'!C71,IF(ISNUMBER(SEARCH("Conferimento",'Statements (Raw)'!D71)),"CASH DEPOSIT",IF(ISNUMBER(SEARCH("Prelievo",'Statements (Raw)'!D71)),"CASH WITHDRAWAL",IF(ISNUMBER(SEARCH("Bollo",'Statements (Raw)'!D71)),"STAMP DUTY",IF(ISNUMBER(SEARCH("Tobin Tax",'Statements (Raw)'!D71)),"TOBIN TAX",IF(ISNUMBER(SEARCH("Rit.provento",'Statements (Raw)'!D71)),"WITHHOLDING TAX",IF(ISNUMBER(SEARCH("Incasso Dividendi",'Statements (Raw)'!D71)),"DIVIDEND",IF(ISNUMBER(SEARCH("Cedola",'Statements (Raw)'!D71)),"COUPON",IF(ISNUMBER(SEARCH("Ratei Pass",'Statements (Raw)'!D71)),"ACCRUED INT",IF(ISNUMBER(SEARCH("Interessi Prest",'Statements (Raw)'!D71)),"SEC LENDING",IF(ISNUMBER(SEARCH("Rimborso",'Statements (Raw)'!D71)),"REDEMPTION",IF(ISNUMBER(SEARCH("Provento",'Statements (Raw)'!D71)),"DISTRIBUTION","OTHER")))))))))))))</f>
        <v>Bitwise Physical Ethereum ETP</v>
      </c>
      <c r="D73" s="6" t="str">
        <f>IF(A73="","",IF(C73="Saldo Iniziale","Balance",IF(C73="CASH DEPOSIT","Deposit",IF(C73="CASH WITHDRAWAL","Withdrawal",IF(C73="STAMP DUTY","Tax",IF(C73="TOBIN TAX","Tax",IF(C73="WITHHOLDING TAX","Tax",IF(C73="DIVIDEND","Dividend",IF(C73="COUPON","Coupon",IF(C73="ACCRUED INT","Accrued Int.",IF(C73="SEC LENDING","Sec. Lending",IF(C73="REDEMPTION","Redemption",IF(C73="DISTRIBUTION","Distribution",IF(ISNUMBER(SEARCH("Rimborso",'Statements (Raw)'!D71)),"Redemption",IF(ISNUMBER(SEARCH("Cedola",'Statements (Raw)'!D71)),"Coupon",IF(ISNUMBER(SEARCH("Incasso Dividendi",'Statements (Raw)'!D71)),"Dividend",IF(ISNUMBER(SEARCH("Provento Etf",'Statements (Raw)'!D71)),"Distribution",IF(ISNUMBER(SEARCH("Rit.provento",'Statements (Raw)'!D71)),"Tax",IF(ISNUMBER(SEARCH("Ratei Pass",'Statements (Raw)'!D71)),"Accrued Int.",IF(ISNUMBER(SEARCH("Interessi Prest",'Statements (Raw)'!D71)),"Sec. Lending",IF('Statements (Raw)'!G71="","Other",IF('Statements (Raw)'!G71&gt;0,"Buy","Sell"))))))))))))))))))))))</f>
        <v>Buy</v>
      </c>
      <c r="E73" s="6" t="str">
        <f t="shared" si="2"/>
        <v>Crypto ETP</v>
      </c>
      <c r="F73" s="8">
        <f>IF(A73="","",IF('Statements (Raw)'!E71="","",'Statements (Raw)'!E71))</f>
        <v>29.044</v>
      </c>
      <c r="G73" s="6" t="str">
        <f>IF(A73="","",IF('Statements (Raw)'!F71="","",'Statements (Raw)'!F71))</f>
        <v>EUR</v>
      </c>
      <c r="H73" s="9">
        <f>IF(A73="","",IF('Statements (Raw)'!G71="","",'Statements (Raw)'!G71))</f>
        <v>10</v>
      </c>
      <c r="I73" s="10">
        <f>IF(A73="","",IF('Statements (Raw)'!H71="","",'Statements (Raw)'!H71))</f>
        <v>-290.44</v>
      </c>
      <c r="J73" s="10">
        <f>IF(A73="",0,IF('Statements (Raw)'!I71="",0,'Statements (Raw)'!I71))</f>
        <v>-9.5</v>
      </c>
      <c r="K73" s="10">
        <f t="shared" si="3"/>
        <v>-299.94</v>
      </c>
    </row>
    <row r="74" spans="1:11" x14ac:dyDescent="0.3">
      <c r="A74" s="171">
        <f>IF(OR('Statements (Raw)'!A72="",'Statements (Raw)'!A72&gt;Holdings!$G$3),"",'Statements (Raw)'!A72)</f>
        <v>45863</v>
      </c>
      <c r="B74" s="7">
        <f>IF(A74="","",IF('Statements (Raw)'!B72="","",'Statements (Raw)'!B72))</f>
        <v>45867</v>
      </c>
      <c r="C74" s="6" t="str">
        <f>IF(A74="","",IF('Statements (Raw)'!C72&lt;&gt;"",'Statements (Raw)'!C72,IF(ISNUMBER(SEARCH("Conferimento",'Statements (Raw)'!D72)),"CASH DEPOSIT",IF(ISNUMBER(SEARCH("Prelievo",'Statements (Raw)'!D72)),"CASH WITHDRAWAL",IF(ISNUMBER(SEARCH("Bollo",'Statements (Raw)'!D72)),"STAMP DUTY",IF(ISNUMBER(SEARCH("Tobin Tax",'Statements (Raw)'!D72)),"TOBIN TAX",IF(ISNUMBER(SEARCH("Rit.provento",'Statements (Raw)'!D72)),"WITHHOLDING TAX",IF(ISNUMBER(SEARCH("Incasso Dividendi",'Statements (Raw)'!D72)),"DIVIDEND",IF(ISNUMBER(SEARCH("Cedola",'Statements (Raw)'!D72)),"COUPON",IF(ISNUMBER(SEARCH("Ratei Pass",'Statements (Raw)'!D72)),"ACCRUED INT",IF(ISNUMBER(SEARCH("Interessi Prest",'Statements (Raw)'!D72)),"SEC LENDING",IF(ISNUMBER(SEARCH("Rimborso",'Statements (Raw)'!D72)),"REDEMPTION",IF(ISNUMBER(SEARCH("Provento",'Statements (Raw)'!D72)),"DISTRIBUTION","OTHER")))))))))))))</f>
        <v>Bitwise Ethereum Staking ETP</v>
      </c>
      <c r="D74" s="6" t="str">
        <f>IF(A74="","",IF(C74="Saldo Iniziale","Balance",IF(C74="CASH DEPOSIT","Deposit",IF(C74="CASH WITHDRAWAL","Withdrawal",IF(C74="STAMP DUTY","Tax",IF(C74="TOBIN TAX","Tax",IF(C74="WITHHOLDING TAX","Tax",IF(C74="DIVIDEND","Dividend",IF(C74="COUPON","Coupon",IF(C74="ACCRUED INT","Accrued Int.",IF(C74="SEC LENDING","Sec. Lending",IF(C74="REDEMPTION","Redemption",IF(C74="DISTRIBUTION","Distribution",IF(ISNUMBER(SEARCH("Rimborso",'Statements (Raw)'!D72)),"Redemption",IF(ISNUMBER(SEARCH("Cedola",'Statements (Raw)'!D72)),"Coupon",IF(ISNUMBER(SEARCH("Incasso Dividendi",'Statements (Raw)'!D72)),"Dividend",IF(ISNUMBER(SEARCH("Provento Etf",'Statements (Raw)'!D72)),"Distribution",IF(ISNUMBER(SEARCH("Rit.provento",'Statements (Raw)'!D72)),"Tax",IF(ISNUMBER(SEARCH("Ratei Pass",'Statements (Raw)'!D72)),"Accrued Int.",IF(ISNUMBER(SEARCH("Interessi Prest",'Statements (Raw)'!D72)),"Sec. Lending",IF('Statements (Raw)'!G72="","Other",IF('Statements (Raw)'!G72&gt;0,"Buy","Sell"))))))))))))))))))))))</f>
        <v>Buy</v>
      </c>
      <c r="E74" s="6" t="str">
        <f t="shared" si="2"/>
        <v>Crypto ETP</v>
      </c>
      <c r="F74" s="8">
        <f>IF(A74="","",IF('Statements (Raw)'!E72="","",'Statements (Raw)'!E72))</f>
        <v>6.3689999999999998</v>
      </c>
      <c r="G74" s="6" t="str">
        <f>IF(A74="","",IF('Statements (Raw)'!F72="","",'Statements (Raw)'!F72))</f>
        <v>EUR</v>
      </c>
      <c r="H74" s="9">
        <f>IF(A74="","",IF('Statements (Raw)'!G72="","",'Statements (Raw)'!G72))</f>
        <v>10</v>
      </c>
      <c r="I74" s="10">
        <f>IF(A74="","",IF('Statements (Raw)'!H72="","",'Statements (Raw)'!H72))</f>
        <v>-63.69</v>
      </c>
      <c r="J74" s="10">
        <f>IF(A74="",0,IF('Statements (Raw)'!I72="",0,'Statements (Raw)'!I72))</f>
        <v>-9.5</v>
      </c>
      <c r="K74" s="10">
        <f t="shared" si="3"/>
        <v>-73.19</v>
      </c>
    </row>
    <row r="75" spans="1:11" x14ac:dyDescent="0.3">
      <c r="A75" s="171">
        <f>IF(OR('Statements (Raw)'!A73="",'Statements (Raw)'!A73&gt;Holdings!$G$3),"",'Statements (Raw)'!A73)</f>
        <v>45863</v>
      </c>
      <c r="B75" s="7">
        <f>IF(A75="","",IF('Statements (Raw)'!B73="","",'Statements (Raw)'!B73))</f>
        <v>45867</v>
      </c>
      <c r="C75" s="6" t="str">
        <f>IF(A75="","",IF('Statements (Raw)'!C73&lt;&gt;"",'Statements (Raw)'!C73,IF(ISNUMBER(SEARCH("Conferimento",'Statements (Raw)'!D73)),"CASH DEPOSIT",IF(ISNUMBER(SEARCH("Prelievo",'Statements (Raw)'!D73)),"CASH WITHDRAWAL",IF(ISNUMBER(SEARCH("Bollo",'Statements (Raw)'!D73)),"STAMP DUTY",IF(ISNUMBER(SEARCH("Tobin Tax",'Statements (Raw)'!D73)),"TOBIN TAX",IF(ISNUMBER(SEARCH("Rit.provento",'Statements (Raw)'!D73)),"WITHHOLDING TAX",IF(ISNUMBER(SEARCH("Incasso Dividendi",'Statements (Raw)'!D73)),"DIVIDEND",IF(ISNUMBER(SEARCH("Cedola",'Statements (Raw)'!D73)),"COUPON",IF(ISNUMBER(SEARCH("Ratei Pass",'Statements (Raw)'!D73)),"ACCRUED INT",IF(ISNUMBER(SEARCH("Interessi Prest",'Statements (Raw)'!D73)),"SEC LENDING",IF(ISNUMBER(SEARCH("Rimborso",'Statements (Raw)'!D73)),"REDEMPTION",IF(ISNUMBER(SEARCH("Provento",'Statements (Raw)'!D73)),"DISTRIBUTION","OTHER")))))))))))))</f>
        <v>Bitwise Physical Bitcoin ETP</v>
      </c>
      <c r="D75" s="6" t="str">
        <f>IF(A75="","",IF(C75="Saldo Iniziale","Balance",IF(C75="CASH DEPOSIT","Deposit",IF(C75="CASH WITHDRAWAL","Withdrawal",IF(C75="STAMP DUTY","Tax",IF(C75="TOBIN TAX","Tax",IF(C75="WITHHOLDING TAX","Tax",IF(C75="DIVIDEND","Dividend",IF(C75="COUPON","Coupon",IF(C75="ACCRUED INT","Accrued Int.",IF(C75="SEC LENDING","Sec. Lending",IF(C75="REDEMPTION","Redemption",IF(C75="DISTRIBUTION","Distribution",IF(ISNUMBER(SEARCH("Rimborso",'Statements (Raw)'!D73)),"Redemption",IF(ISNUMBER(SEARCH("Cedola",'Statements (Raw)'!D73)),"Coupon",IF(ISNUMBER(SEARCH("Incasso Dividendi",'Statements (Raw)'!D73)),"Dividend",IF(ISNUMBER(SEARCH("Provento Etf",'Statements (Raw)'!D73)),"Distribution",IF(ISNUMBER(SEARCH("Rit.provento",'Statements (Raw)'!D73)),"Tax",IF(ISNUMBER(SEARCH("Ratei Pass",'Statements (Raw)'!D73)),"Accrued Int.",IF(ISNUMBER(SEARCH("Interessi Prest",'Statements (Raw)'!D73)),"Sec. Lending",IF('Statements (Raw)'!G73="","Other",IF('Statements (Raw)'!G73&gt;0,"Buy","Sell"))))))))))))))))))))))</f>
        <v>Buy</v>
      </c>
      <c r="E75" s="6" t="str">
        <f t="shared" si="2"/>
        <v>Crypto ETP</v>
      </c>
      <c r="F75" s="8">
        <f>IF(A75="","",IF('Statements (Raw)'!E73="","",'Statements (Raw)'!E73))</f>
        <v>88.444999999999993</v>
      </c>
      <c r="G75" s="6" t="str">
        <f>IF(A75="","",IF('Statements (Raw)'!F73="","",'Statements (Raw)'!F73))</f>
        <v>EUR</v>
      </c>
      <c r="H75" s="9">
        <f>IF(A75="","",IF('Statements (Raw)'!G73="","",'Statements (Raw)'!G73))</f>
        <v>1</v>
      </c>
      <c r="I75" s="10">
        <f>IF(A75="","",IF('Statements (Raw)'!H73="","",'Statements (Raw)'!H73))</f>
        <v>-88.45</v>
      </c>
      <c r="J75" s="10">
        <f>IF(A75="",0,IF('Statements (Raw)'!I73="",0,'Statements (Raw)'!I73))</f>
        <v>-9.5</v>
      </c>
      <c r="K75" s="10">
        <f t="shared" si="3"/>
        <v>-97.95</v>
      </c>
    </row>
    <row r="76" spans="1:11" x14ac:dyDescent="0.3">
      <c r="A76" s="171">
        <f>IF(OR('Statements (Raw)'!A74="",'Statements (Raw)'!A74&gt;Holdings!$G$3),"",'Statements (Raw)'!A74)</f>
        <v>45863</v>
      </c>
      <c r="B76" s="7">
        <f>IF(A76="","",IF('Statements (Raw)'!B74="","",'Statements (Raw)'!B74))</f>
        <v>45867</v>
      </c>
      <c r="C76" s="6" t="str">
        <f>IF(A76="","",IF('Statements (Raw)'!C74&lt;&gt;"",'Statements (Raw)'!C74,IF(ISNUMBER(SEARCH("Conferimento",'Statements (Raw)'!D74)),"CASH DEPOSIT",IF(ISNUMBER(SEARCH("Prelievo",'Statements (Raw)'!D74)),"CASH WITHDRAWAL",IF(ISNUMBER(SEARCH("Bollo",'Statements (Raw)'!D74)),"STAMP DUTY",IF(ISNUMBER(SEARCH("Tobin Tax",'Statements (Raw)'!D74)),"TOBIN TAX",IF(ISNUMBER(SEARCH("Rit.provento",'Statements (Raw)'!D74)),"WITHHOLDING TAX",IF(ISNUMBER(SEARCH("Incasso Dividendi",'Statements (Raw)'!D74)),"DIVIDEND",IF(ISNUMBER(SEARCH("Cedola",'Statements (Raw)'!D74)),"COUPON",IF(ISNUMBER(SEARCH("Ratei Pass",'Statements (Raw)'!D74)),"ACCRUED INT",IF(ISNUMBER(SEARCH("Interessi Prest",'Statements (Raw)'!D74)),"SEC LENDING",IF(ISNUMBER(SEARCH("Rimborso",'Statements (Raw)'!D74)),"REDEMPTION",IF(ISNUMBER(SEARCH("Provento",'Statements (Raw)'!D74)),"DISTRIBUTION","OTHER")))))))))))))</f>
        <v>Bitwise Physical Ethereum ETP</v>
      </c>
      <c r="D76" s="6" t="str">
        <f>IF(A76="","",IF(C76="Saldo Iniziale","Balance",IF(C76="CASH DEPOSIT","Deposit",IF(C76="CASH WITHDRAWAL","Withdrawal",IF(C76="STAMP DUTY","Tax",IF(C76="TOBIN TAX","Tax",IF(C76="WITHHOLDING TAX","Tax",IF(C76="DIVIDEND","Dividend",IF(C76="COUPON","Coupon",IF(C76="ACCRUED INT","Accrued Int.",IF(C76="SEC LENDING","Sec. Lending",IF(C76="REDEMPTION","Redemption",IF(C76="DISTRIBUTION","Distribution",IF(ISNUMBER(SEARCH("Rimborso",'Statements (Raw)'!D74)),"Redemption",IF(ISNUMBER(SEARCH("Cedola",'Statements (Raw)'!D74)),"Coupon",IF(ISNUMBER(SEARCH("Incasso Dividendi",'Statements (Raw)'!D74)),"Dividend",IF(ISNUMBER(SEARCH("Provento Etf",'Statements (Raw)'!D74)),"Distribution",IF(ISNUMBER(SEARCH("Rit.provento",'Statements (Raw)'!D74)),"Tax",IF(ISNUMBER(SEARCH("Ratei Pass",'Statements (Raw)'!D74)),"Accrued Int.",IF(ISNUMBER(SEARCH("Interessi Prest",'Statements (Raw)'!D74)),"Sec. Lending",IF('Statements (Raw)'!G74="","Other",IF('Statements (Raw)'!G74&gt;0,"Buy","Sell"))))))))))))))))))))))</f>
        <v>Buy</v>
      </c>
      <c r="E76" s="6" t="str">
        <f t="shared" si="2"/>
        <v>Crypto ETP</v>
      </c>
      <c r="F76" s="8">
        <f>IF(A76="","",IF('Statements (Raw)'!E74="","",'Statements (Raw)'!E74))</f>
        <v>29.206</v>
      </c>
      <c r="G76" s="6" t="str">
        <f>IF(A76="","",IF('Statements (Raw)'!F74="","",'Statements (Raw)'!F74))</f>
        <v>EUR</v>
      </c>
      <c r="H76" s="9">
        <f>IF(A76="","",IF('Statements (Raw)'!G74="","",'Statements (Raw)'!G74))</f>
        <v>1</v>
      </c>
      <c r="I76" s="10">
        <f>IF(A76="","",IF('Statements (Raw)'!H74="","",'Statements (Raw)'!H74))</f>
        <v>-29.21</v>
      </c>
      <c r="J76" s="10">
        <f>IF(A76="",0,IF('Statements (Raw)'!I74="",0,'Statements (Raw)'!I74))</f>
        <v>-9.5</v>
      </c>
      <c r="K76" s="10">
        <f t="shared" si="3"/>
        <v>-38.71</v>
      </c>
    </row>
    <row r="77" spans="1:11" x14ac:dyDescent="0.3">
      <c r="A77" s="171">
        <f>IF(OR('Statements (Raw)'!A75="",'Statements (Raw)'!A75&gt;Holdings!$G$3),"",'Statements (Raw)'!A75)</f>
        <v>45863</v>
      </c>
      <c r="B77" s="7">
        <f>IF(A77="","",IF('Statements (Raw)'!B75="","",'Statements (Raw)'!B75))</f>
        <v>45867</v>
      </c>
      <c r="C77" s="6" t="str">
        <f>IF(A77="","",IF('Statements (Raw)'!C75&lt;&gt;"",'Statements (Raw)'!C75,IF(ISNUMBER(SEARCH("Conferimento",'Statements (Raw)'!D75)),"CASH DEPOSIT",IF(ISNUMBER(SEARCH("Prelievo",'Statements (Raw)'!D75)),"CASH WITHDRAWAL",IF(ISNUMBER(SEARCH("Bollo",'Statements (Raw)'!D75)),"STAMP DUTY",IF(ISNUMBER(SEARCH("Tobin Tax",'Statements (Raw)'!D75)),"TOBIN TAX",IF(ISNUMBER(SEARCH("Rit.provento",'Statements (Raw)'!D75)),"WITHHOLDING TAX",IF(ISNUMBER(SEARCH("Incasso Dividendi",'Statements (Raw)'!D75)),"DIVIDEND",IF(ISNUMBER(SEARCH("Cedola",'Statements (Raw)'!D75)),"COUPON",IF(ISNUMBER(SEARCH("Ratei Pass",'Statements (Raw)'!D75)),"ACCRUED INT",IF(ISNUMBER(SEARCH("Interessi Prest",'Statements (Raw)'!D75)),"SEC LENDING",IF(ISNUMBER(SEARCH("Rimborso",'Statements (Raw)'!D75)),"REDEMPTION",IF(ISNUMBER(SEARCH("Provento",'Statements (Raw)'!D75)),"DISTRIBUTION","OTHER")))))))))))))</f>
        <v>WISDOMTREE CORE PHYSICAL GOLD</v>
      </c>
      <c r="D77" s="6" t="str">
        <f>IF(A77="","",IF(C77="Saldo Iniziale","Balance",IF(C77="CASH DEPOSIT","Deposit",IF(C77="CASH WITHDRAWAL","Withdrawal",IF(C77="STAMP DUTY","Tax",IF(C77="TOBIN TAX","Tax",IF(C77="WITHHOLDING TAX","Tax",IF(C77="DIVIDEND","Dividend",IF(C77="COUPON","Coupon",IF(C77="ACCRUED INT","Accrued Int.",IF(C77="SEC LENDING","Sec. Lending",IF(C77="REDEMPTION","Redemption",IF(C77="DISTRIBUTION","Distribution",IF(ISNUMBER(SEARCH("Rimborso",'Statements (Raw)'!D75)),"Redemption",IF(ISNUMBER(SEARCH("Cedola",'Statements (Raw)'!D75)),"Coupon",IF(ISNUMBER(SEARCH("Incasso Dividendi",'Statements (Raw)'!D75)),"Dividend",IF(ISNUMBER(SEARCH("Provento Etf",'Statements (Raw)'!D75)),"Distribution",IF(ISNUMBER(SEARCH("Rit.provento",'Statements (Raw)'!D75)),"Tax",IF(ISNUMBER(SEARCH("Ratei Pass",'Statements (Raw)'!D75)),"Accrued Int.",IF(ISNUMBER(SEARCH("Interessi Prest",'Statements (Raw)'!D75)),"Sec. Lending",IF('Statements (Raw)'!G75="","Other",IF('Statements (Raw)'!G75&gt;0,"Buy","Sell"))))))))))))))))))))))</f>
        <v>Buy</v>
      </c>
      <c r="E77" s="6" t="str">
        <f t="shared" si="2"/>
        <v>ETF/ETC</v>
      </c>
      <c r="F77" s="8">
        <f>IF(A77="","",IF('Statements (Raw)'!E75="","",'Statements (Raw)'!E75))</f>
        <v>283.37</v>
      </c>
      <c r="G77" s="6" t="str">
        <f>IF(A77="","",IF('Statements (Raw)'!F75="","",'Statements (Raw)'!F75))</f>
        <v>EUR</v>
      </c>
      <c r="H77" s="9">
        <f>IF(A77="","",IF('Statements (Raw)'!G75="","",'Statements (Raw)'!G75))</f>
        <v>10</v>
      </c>
      <c r="I77" s="10">
        <f>IF(A77="","",IF('Statements (Raw)'!H75="","",'Statements (Raw)'!H75))</f>
        <v>-2833.7</v>
      </c>
      <c r="J77" s="10">
        <f>IF(A77="",0,IF('Statements (Raw)'!I75="",0,'Statements (Raw)'!I75))</f>
        <v>0</v>
      </c>
      <c r="K77" s="10">
        <f t="shared" si="3"/>
        <v>-2833.7</v>
      </c>
    </row>
    <row r="78" spans="1:11" x14ac:dyDescent="0.3">
      <c r="A78" s="171">
        <f>IF(OR('Statements (Raw)'!A76="",'Statements (Raw)'!A76&gt;Holdings!$G$3),"",'Statements (Raw)'!A76)</f>
        <v>45863</v>
      </c>
      <c r="B78" s="7">
        <f>IF(A78="","",IF('Statements (Raw)'!B76="","",'Statements (Raw)'!B76))</f>
        <v>45867</v>
      </c>
      <c r="C78" s="6" t="str">
        <f>IF(A78="","",IF('Statements (Raw)'!C76&lt;&gt;"",'Statements (Raw)'!C76,IF(ISNUMBER(SEARCH("Conferimento",'Statements (Raw)'!D76)),"CASH DEPOSIT",IF(ISNUMBER(SEARCH("Prelievo",'Statements (Raw)'!D76)),"CASH WITHDRAWAL",IF(ISNUMBER(SEARCH("Bollo",'Statements (Raw)'!D76)),"STAMP DUTY",IF(ISNUMBER(SEARCH("Tobin Tax",'Statements (Raw)'!D76)),"TOBIN TAX",IF(ISNUMBER(SEARCH("Rit.provento",'Statements (Raw)'!D76)),"WITHHOLDING TAX",IF(ISNUMBER(SEARCH("Incasso Dividendi",'Statements (Raw)'!D76)),"DIVIDEND",IF(ISNUMBER(SEARCH("Cedola",'Statements (Raw)'!D76)),"COUPON",IF(ISNUMBER(SEARCH("Ratei Pass",'Statements (Raw)'!D76)),"ACCRUED INT",IF(ISNUMBER(SEARCH("Interessi Prest",'Statements (Raw)'!D76)),"SEC LENDING",IF(ISNUMBER(SEARCH("Rimborso",'Statements (Raw)'!D76)),"REDEMPTION",IF(ISNUMBER(SEARCH("Provento",'Statements (Raw)'!D76)),"DISTRIBUTION","OTHER")))))))))))))</f>
        <v>WISDOMTREE PHYSICAL SILVER</v>
      </c>
      <c r="D78" s="6" t="str">
        <f>IF(A78="","",IF(C78="Saldo Iniziale","Balance",IF(C78="CASH DEPOSIT","Deposit",IF(C78="CASH WITHDRAWAL","Withdrawal",IF(C78="STAMP DUTY","Tax",IF(C78="TOBIN TAX","Tax",IF(C78="WITHHOLDING TAX","Tax",IF(C78="DIVIDEND","Dividend",IF(C78="COUPON","Coupon",IF(C78="ACCRUED INT","Accrued Int.",IF(C78="SEC LENDING","Sec. Lending",IF(C78="REDEMPTION","Redemption",IF(C78="DISTRIBUTION","Distribution",IF(ISNUMBER(SEARCH("Rimborso",'Statements (Raw)'!D76)),"Redemption",IF(ISNUMBER(SEARCH("Cedola",'Statements (Raw)'!D76)),"Coupon",IF(ISNUMBER(SEARCH("Incasso Dividendi",'Statements (Raw)'!D76)),"Dividend",IF(ISNUMBER(SEARCH("Provento Etf",'Statements (Raw)'!D76)),"Distribution",IF(ISNUMBER(SEARCH("Rit.provento",'Statements (Raw)'!D76)),"Tax",IF(ISNUMBER(SEARCH("Ratei Pass",'Statements (Raw)'!D76)),"Accrued Int.",IF(ISNUMBER(SEARCH("Interessi Prest",'Statements (Raw)'!D76)),"Sec. Lending",IF('Statements (Raw)'!G76="","Other",IF('Statements (Raw)'!G76&gt;0,"Buy","Sell"))))))))))))))))))))))</f>
        <v>Buy</v>
      </c>
      <c r="E78" s="6" t="str">
        <f t="shared" si="2"/>
        <v>ETF/ETC</v>
      </c>
      <c r="F78" s="8">
        <f>IF(A78="","",IF('Statements (Raw)'!E76="","",'Statements (Raw)'!E76))</f>
        <v>30.274999999999999</v>
      </c>
      <c r="G78" s="6" t="str">
        <f>IF(A78="","",IF('Statements (Raw)'!F76="","",'Statements (Raw)'!F76))</f>
        <v>EUR</v>
      </c>
      <c r="H78" s="9">
        <f>IF(A78="","",IF('Statements (Raw)'!G76="","",'Statements (Raw)'!G76))</f>
        <v>10</v>
      </c>
      <c r="I78" s="10">
        <f>IF(A78="","",IF('Statements (Raw)'!H76="","",'Statements (Raw)'!H76))</f>
        <v>-302.75</v>
      </c>
      <c r="J78" s="10">
        <f>IF(A78="",0,IF('Statements (Raw)'!I76="",0,'Statements (Raw)'!I76))</f>
        <v>-5</v>
      </c>
      <c r="K78" s="10">
        <f t="shared" si="3"/>
        <v>-307.75</v>
      </c>
    </row>
    <row r="79" spans="1:11" x14ac:dyDescent="0.3">
      <c r="A79" s="171">
        <f>IF(OR('Statements (Raw)'!A77="",'Statements (Raw)'!A77&gt;Holdings!$G$3),"",'Statements (Raw)'!A77)</f>
        <v>45868</v>
      </c>
      <c r="B79" s="7">
        <f>IF(A79="","",IF('Statements (Raw)'!B77="","",'Statements (Raw)'!B77))</f>
        <v>45870</v>
      </c>
      <c r="C79" s="6" t="str">
        <f>IF(A79="","",IF('Statements (Raw)'!C77&lt;&gt;"",'Statements (Raw)'!C77,IF(ISNUMBER(SEARCH("Conferimento",'Statements (Raw)'!D77)),"CASH DEPOSIT",IF(ISNUMBER(SEARCH("Prelievo",'Statements (Raw)'!D77)),"CASH WITHDRAWAL",IF(ISNUMBER(SEARCH("Bollo",'Statements (Raw)'!D77)),"STAMP DUTY",IF(ISNUMBER(SEARCH("Tobin Tax",'Statements (Raw)'!D77)),"TOBIN TAX",IF(ISNUMBER(SEARCH("Rit.provento",'Statements (Raw)'!D77)),"WITHHOLDING TAX",IF(ISNUMBER(SEARCH("Incasso Dividendi",'Statements (Raw)'!D77)),"DIVIDEND",IF(ISNUMBER(SEARCH("Cedola",'Statements (Raw)'!D77)),"COUPON",IF(ISNUMBER(SEARCH("Ratei Pass",'Statements (Raw)'!D77)),"ACCRUED INT",IF(ISNUMBER(SEARCH("Interessi Prest",'Statements (Raw)'!D77)),"SEC LENDING",IF(ISNUMBER(SEARCH("Rimborso",'Statements (Raw)'!D77)),"REDEMPTION",IF(ISNUMBER(SEARCH("Provento",'Statements (Raw)'!D77)),"DISTRIBUTION","OTHER")))))))))))))</f>
        <v>Bitwise Physical Bitcoin ETP</v>
      </c>
      <c r="D79" s="6" t="str">
        <f>IF(A79="","",IF(C79="Saldo Iniziale","Balance",IF(C79="CASH DEPOSIT","Deposit",IF(C79="CASH WITHDRAWAL","Withdrawal",IF(C79="STAMP DUTY","Tax",IF(C79="TOBIN TAX","Tax",IF(C79="WITHHOLDING TAX","Tax",IF(C79="DIVIDEND","Dividend",IF(C79="COUPON","Coupon",IF(C79="ACCRUED INT","Accrued Int.",IF(C79="SEC LENDING","Sec. Lending",IF(C79="REDEMPTION","Redemption",IF(C79="DISTRIBUTION","Distribution",IF(ISNUMBER(SEARCH("Rimborso",'Statements (Raw)'!D77)),"Redemption",IF(ISNUMBER(SEARCH("Cedola",'Statements (Raw)'!D77)),"Coupon",IF(ISNUMBER(SEARCH("Incasso Dividendi",'Statements (Raw)'!D77)),"Dividend",IF(ISNUMBER(SEARCH("Provento Etf",'Statements (Raw)'!D77)),"Distribution",IF(ISNUMBER(SEARCH("Rit.provento",'Statements (Raw)'!D77)),"Tax",IF(ISNUMBER(SEARCH("Ratei Pass",'Statements (Raw)'!D77)),"Accrued Int.",IF(ISNUMBER(SEARCH("Interessi Prest",'Statements (Raw)'!D77)),"Sec. Lending",IF('Statements (Raw)'!G77="","Other",IF('Statements (Raw)'!G77&gt;0,"Buy","Sell"))))))))))))))))))))))</f>
        <v>Buy</v>
      </c>
      <c r="E79" s="6" t="str">
        <f t="shared" si="2"/>
        <v>Crypto ETP</v>
      </c>
      <c r="F79" s="8">
        <f>IF(A79="","",IF('Statements (Raw)'!E77="","",'Statements (Raw)'!E77))</f>
        <v>92.26</v>
      </c>
      <c r="G79" s="6" t="str">
        <f>IF(A79="","",IF('Statements (Raw)'!F77="","",'Statements (Raw)'!F77))</f>
        <v>EUR</v>
      </c>
      <c r="H79" s="9">
        <f>IF(A79="","",IF('Statements (Raw)'!G77="","",'Statements (Raw)'!G77))</f>
        <v>1</v>
      </c>
      <c r="I79" s="10">
        <f>IF(A79="","",IF('Statements (Raw)'!H77="","",'Statements (Raw)'!H77))</f>
        <v>-92.26</v>
      </c>
      <c r="J79" s="10">
        <f>IF(A79="",0,IF('Statements (Raw)'!I77="",0,'Statements (Raw)'!I77))</f>
        <v>-9.5</v>
      </c>
      <c r="K79" s="10">
        <f t="shared" si="3"/>
        <v>-101.76</v>
      </c>
    </row>
    <row r="80" spans="1:11" x14ac:dyDescent="0.3">
      <c r="A80" s="171">
        <f>IF(OR('Statements (Raw)'!A78="",'Statements (Raw)'!A78&gt;Holdings!$G$3),"",'Statements (Raw)'!A78)</f>
        <v>45868</v>
      </c>
      <c r="B80" s="7">
        <f>IF(A80="","",IF('Statements (Raw)'!B78="","",'Statements (Raw)'!B78))</f>
        <v>45870</v>
      </c>
      <c r="C80" s="6" t="str">
        <f>IF(A80="","",IF('Statements (Raw)'!C78&lt;&gt;"",'Statements (Raw)'!C78,IF(ISNUMBER(SEARCH("Conferimento",'Statements (Raw)'!D78)),"CASH DEPOSIT",IF(ISNUMBER(SEARCH("Prelievo",'Statements (Raw)'!D78)),"CASH WITHDRAWAL",IF(ISNUMBER(SEARCH("Bollo",'Statements (Raw)'!D78)),"STAMP DUTY",IF(ISNUMBER(SEARCH("Tobin Tax",'Statements (Raw)'!D78)),"TOBIN TAX",IF(ISNUMBER(SEARCH("Rit.provento",'Statements (Raw)'!D78)),"WITHHOLDING TAX",IF(ISNUMBER(SEARCH("Incasso Dividendi",'Statements (Raw)'!D78)),"DIVIDEND",IF(ISNUMBER(SEARCH("Cedola",'Statements (Raw)'!D78)),"COUPON",IF(ISNUMBER(SEARCH("Ratei Pass",'Statements (Raw)'!D78)),"ACCRUED INT",IF(ISNUMBER(SEARCH("Interessi Prest",'Statements (Raw)'!D78)),"SEC LENDING",IF(ISNUMBER(SEARCH("Rimborso",'Statements (Raw)'!D78)),"REDEMPTION",IF(ISNUMBER(SEARCH("Provento",'Statements (Raw)'!D78)),"DISTRIBUTION","OTHER")))))))))))))</f>
        <v>Bitwise Ethereum Staking ETP</v>
      </c>
      <c r="D80" s="6" t="str">
        <f>IF(A80="","",IF(C80="Saldo Iniziale","Balance",IF(C80="CASH DEPOSIT","Deposit",IF(C80="CASH WITHDRAWAL","Withdrawal",IF(C80="STAMP DUTY","Tax",IF(C80="TOBIN TAX","Tax",IF(C80="WITHHOLDING TAX","Tax",IF(C80="DIVIDEND","Dividend",IF(C80="COUPON","Coupon",IF(C80="ACCRUED INT","Accrued Int.",IF(C80="SEC LENDING","Sec. Lending",IF(C80="REDEMPTION","Redemption",IF(C80="DISTRIBUTION","Distribution",IF(ISNUMBER(SEARCH("Rimborso",'Statements (Raw)'!D78)),"Redemption",IF(ISNUMBER(SEARCH("Cedola",'Statements (Raw)'!D78)),"Coupon",IF(ISNUMBER(SEARCH("Incasso Dividendi",'Statements (Raw)'!D78)),"Dividend",IF(ISNUMBER(SEARCH("Provento Etf",'Statements (Raw)'!D78)),"Distribution",IF(ISNUMBER(SEARCH("Rit.provento",'Statements (Raw)'!D78)),"Tax",IF(ISNUMBER(SEARCH("Ratei Pass",'Statements (Raw)'!D78)),"Accrued Int.",IF(ISNUMBER(SEARCH("Interessi Prest",'Statements (Raw)'!D78)),"Sec. Lending",IF('Statements (Raw)'!G78="","Other",IF('Statements (Raw)'!G78&gt;0,"Buy","Sell"))))))))))))))))))))))</f>
        <v>Buy</v>
      </c>
      <c r="E80" s="6" t="str">
        <f t="shared" si="2"/>
        <v>Crypto ETP</v>
      </c>
      <c r="F80" s="8">
        <f>IF(A80="","",IF('Statements (Raw)'!E78="","",'Statements (Raw)'!E78))</f>
        <v>6.726</v>
      </c>
      <c r="G80" s="6" t="str">
        <f>IF(A80="","",IF('Statements (Raw)'!F78="","",'Statements (Raw)'!F78))</f>
        <v>EUR</v>
      </c>
      <c r="H80" s="9">
        <f>IF(A80="","",IF('Statements (Raw)'!G78="","",'Statements (Raw)'!G78))</f>
        <v>10</v>
      </c>
      <c r="I80" s="10">
        <f>IF(A80="","",IF('Statements (Raw)'!H78="","",'Statements (Raw)'!H78))</f>
        <v>-67.260000000000005</v>
      </c>
      <c r="J80" s="10">
        <f>IF(A80="",0,IF('Statements (Raw)'!I78="",0,'Statements (Raw)'!I78))</f>
        <v>-9.5</v>
      </c>
      <c r="K80" s="10">
        <f t="shared" si="3"/>
        <v>-76.760000000000005</v>
      </c>
    </row>
    <row r="81" spans="1:11" x14ac:dyDescent="0.3">
      <c r="A81" s="171">
        <f>IF(OR('Statements (Raw)'!A79="",'Statements (Raw)'!A79&gt;Holdings!$G$3),"",'Statements (Raw)'!A79)</f>
        <v>45870</v>
      </c>
      <c r="B81" s="7" t="str">
        <f>IF(A81="","",IF('Statements (Raw)'!B79="","",'Statements (Raw)'!B79))</f>
        <v/>
      </c>
      <c r="C81" s="6" t="str">
        <f>IF(A81="","",IF('Statements (Raw)'!C79&lt;&gt;"",'Statements (Raw)'!C79,IF(ISNUMBER(SEARCH("Conferimento",'Statements (Raw)'!D79)),"CASH DEPOSIT",IF(ISNUMBER(SEARCH("Prelievo",'Statements (Raw)'!D79)),"CASH WITHDRAWAL",IF(ISNUMBER(SEARCH("Bollo",'Statements (Raw)'!D79)),"STAMP DUTY",IF(ISNUMBER(SEARCH("Tobin Tax",'Statements (Raw)'!D79)),"TOBIN TAX",IF(ISNUMBER(SEARCH("Rit.provento",'Statements (Raw)'!D79)),"WITHHOLDING TAX",IF(ISNUMBER(SEARCH("Incasso Dividendi",'Statements (Raw)'!D79)),"DIVIDEND",IF(ISNUMBER(SEARCH("Cedola",'Statements (Raw)'!D79)),"COUPON",IF(ISNUMBER(SEARCH("Ratei Pass",'Statements (Raw)'!D79)),"ACCRUED INT",IF(ISNUMBER(SEARCH("Interessi Prest",'Statements (Raw)'!D79)),"SEC LENDING",IF(ISNUMBER(SEARCH("Rimborso",'Statements (Raw)'!D79)),"REDEMPTION",IF(ISNUMBER(SEARCH("Provento",'Statements (Raw)'!D79)),"DISTRIBUTION","OTHER")))))))))))))</f>
        <v>Saldo Iniziale</v>
      </c>
      <c r="D81" s="6" t="str">
        <f>IF(A81="","",IF(C81="Saldo Iniziale","Balance",IF(C81="CASH DEPOSIT","Deposit",IF(C81="CASH WITHDRAWAL","Withdrawal",IF(C81="STAMP DUTY","Tax",IF(C81="TOBIN TAX","Tax",IF(C81="WITHHOLDING TAX","Tax",IF(C81="DIVIDEND","Dividend",IF(C81="COUPON","Coupon",IF(C81="ACCRUED INT","Accrued Int.",IF(C81="SEC LENDING","Sec. Lending",IF(C81="REDEMPTION","Redemption",IF(C81="DISTRIBUTION","Distribution",IF(ISNUMBER(SEARCH("Rimborso",'Statements (Raw)'!D79)),"Redemption",IF(ISNUMBER(SEARCH("Cedola",'Statements (Raw)'!D79)),"Coupon",IF(ISNUMBER(SEARCH("Incasso Dividendi",'Statements (Raw)'!D79)),"Dividend",IF(ISNUMBER(SEARCH("Provento Etf",'Statements (Raw)'!D79)),"Distribution",IF(ISNUMBER(SEARCH("Rit.provento",'Statements (Raw)'!D79)),"Tax",IF(ISNUMBER(SEARCH("Ratei Pass",'Statements (Raw)'!D79)),"Accrued Int.",IF(ISNUMBER(SEARCH("Interessi Prest",'Statements (Raw)'!D79)),"Sec. Lending",IF('Statements (Raw)'!G79="","Other",IF('Statements (Raw)'!G79&gt;0,"Buy","Sell"))))))))))))))))))))))</f>
        <v>Balance</v>
      </c>
      <c r="E81" s="6" t="str">
        <f t="shared" si="2"/>
        <v>Cash</v>
      </c>
      <c r="F81" s="8" t="str">
        <f>IF(A81="","",IF('Statements (Raw)'!E79="","",'Statements (Raw)'!E79))</f>
        <v/>
      </c>
      <c r="G81" s="6" t="str">
        <f>IF(A81="","",IF('Statements (Raw)'!F79="","",'Statements (Raw)'!F79))</f>
        <v/>
      </c>
      <c r="H81" s="9" t="str">
        <f>IF(A81="","",IF('Statements (Raw)'!G79="","",'Statements (Raw)'!G79))</f>
        <v/>
      </c>
      <c r="I81" s="10">
        <f>IF(A81="","",IF('Statements (Raw)'!H79="","",'Statements (Raw)'!H79))</f>
        <v>148059.59</v>
      </c>
      <c r="J81" s="10">
        <f>IF(A81="",0,IF('Statements (Raw)'!I79="",0,'Statements (Raw)'!I79))</f>
        <v>0</v>
      </c>
      <c r="K81" s="10">
        <f t="shared" si="3"/>
        <v>148059.59</v>
      </c>
    </row>
    <row r="82" spans="1:11" x14ac:dyDescent="0.3">
      <c r="A82" s="171">
        <f>IF(OR('Statements (Raw)'!A80="",'Statements (Raw)'!A80&gt;Holdings!$G$3),"",'Statements (Raw)'!A80)</f>
        <v>45870</v>
      </c>
      <c r="B82" s="7">
        <f>IF(A82="","",IF('Statements (Raw)'!B80="","",'Statements (Raw)'!B80))</f>
        <v>45874</v>
      </c>
      <c r="C82" s="6" t="str">
        <f>IF(A82="","",IF('Statements (Raw)'!C80&lt;&gt;"",'Statements (Raw)'!C80,IF(ISNUMBER(SEARCH("Conferimento",'Statements (Raw)'!D80)),"CASH DEPOSIT",IF(ISNUMBER(SEARCH("Prelievo",'Statements (Raw)'!D80)),"CASH WITHDRAWAL",IF(ISNUMBER(SEARCH("Bollo",'Statements (Raw)'!D80)),"STAMP DUTY",IF(ISNUMBER(SEARCH("Tobin Tax",'Statements (Raw)'!D80)),"TOBIN TAX",IF(ISNUMBER(SEARCH("Rit.provento",'Statements (Raw)'!D80)),"WITHHOLDING TAX",IF(ISNUMBER(SEARCH("Incasso Dividendi",'Statements (Raw)'!D80)),"DIVIDEND",IF(ISNUMBER(SEARCH("Cedola",'Statements (Raw)'!D80)),"COUPON",IF(ISNUMBER(SEARCH("Ratei Pass",'Statements (Raw)'!D80)),"ACCRUED INT",IF(ISNUMBER(SEARCH("Interessi Prest",'Statements (Raw)'!D80)),"SEC LENDING",IF(ISNUMBER(SEARCH("Rimborso",'Statements (Raw)'!D80)),"REDEMPTION",IF(ISNUMBER(SEARCH("Provento",'Statements (Raw)'!D80)),"DISTRIBUTION","OTHER")))))))))))))</f>
        <v>FERRARI</v>
      </c>
      <c r="D82" s="6" t="str">
        <f>IF(A82="","",IF(C82="Saldo Iniziale","Balance",IF(C82="CASH DEPOSIT","Deposit",IF(C82="CASH WITHDRAWAL","Withdrawal",IF(C82="STAMP DUTY","Tax",IF(C82="TOBIN TAX","Tax",IF(C82="WITHHOLDING TAX","Tax",IF(C82="DIVIDEND","Dividend",IF(C82="COUPON","Coupon",IF(C82="ACCRUED INT","Accrued Int.",IF(C82="SEC LENDING","Sec. Lending",IF(C82="REDEMPTION","Redemption",IF(C82="DISTRIBUTION","Distribution",IF(ISNUMBER(SEARCH("Rimborso",'Statements (Raw)'!D80)),"Redemption",IF(ISNUMBER(SEARCH("Cedola",'Statements (Raw)'!D80)),"Coupon",IF(ISNUMBER(SEARCH("Incasso Dividendi",'Statements (Raw)'!D80)),"Dividend",IF(ISNUMBER(SEARCH("Provento Etf",'Statements (Raw)'!D80)),"Distribution",IF(ISNUMBER(SEARCH("Rit.provento",'Statements (Raw)'!D80)),"Tax",IF(ISNUMBER(SEARCH("Ratei Pass",'Statements (Raw)'!D80)),"Accrued Int.",IF(ISNUMBER(SEARCH("Interessi Prest",'Statements (Raw)'!D80)),"Sec. Lending",IF('Statements (Raw)'!G80="","Other",IF('Statements (Raw)'!G80&gt;0,"Buy","Sell"))))))))))))))))))))))</f>
        <v>Buy</v>
      </c>
      <c r="E82" s="6" t="str">
        <f t="shared" si="2"/>
        <v>Stock</v>
      </c>
      <c r="F82" s="8">
        <f>IF(A82="","",IF('Statements (Raw)'!E80="","",'Statements (Raw)'!E80))</f>
        <v>371.8</v>
      </c>
      <c r="G82" s="6" t="str">
        <f>IF(A82="","",IF('Statements (Raw)'!F80="","",'Statements (Raw)'!F80))</f>
        <v>EUR</v>
      </c>
      <c r="H82" s="9">
        <f>IF(A82="","",IF('Statements (Raw)'!G80="","",'Statements (Raw)'!G80))</f>
        <v>14</v>
      </c>
      <c r="I82" s="10">
        <f>IF(A82="","",IF('Statements (Raw)'!H80="","",'Statements (Raw)'!H80))</f>
        <v>-5205.2</v>
      </c>
      <c r="J82" s="10">
        <f>IF(A82="",0,IF('Statements (Raw)'!I80="",0,'Statements (Raw)'!I80))</f>
        <v>-5</v>
      </c>
      <c r="K82" s="10">
        <f t="shared" si="3"/>
        <v>-5210.2</v>
      </c>
    </row>
    <row r="83" spans="1:11" x14ac:dyDescent="0.3">
      <c r="A83" s="171">
        <f>IF(OR('Statements (Raw)'!A81="",'Statements (Raw)'!A81&gt;Holdings!$G$3),"",'Statements (Raw)'!A81)</f>
        <v>45870</v>
      </c>
      <c r="B83" s="7">
        <f>IF(A83="","",IF('Statements (Raw)'!B81="","",'Statements (Raw)'!B81))</f>
        <v>45874</v>
      </c>
      <c r="C83" s="6" t="str">
        <f>IF(A83="","",IF('Statements (Raw)'!C81&lt;&gt;"",'Statements (Raw)'!C81,IF(ISNUMBER(SEARCH("Conferimento",'Statements (Raw)'!D81)),"CASH DEPOSIT",IF(ISNUMBER(SEARCH("Prelievo",'Statements (Raw)'!D81)),"CASH WITHDRAWAL",IF(ISNUMBER(SEARCH("Bollo",'Statements (Raw)'!D81)),"STAMP DUTY",IF(ISNUMBER(SEARCH("Tobin Tax",'Statements (Raw)'!D81)),"TOBIN TAX",IF(ISNUMBER(SEARCH("Rit.provento",'Statements (Raw)'!D81)),"WITHHOLDING TAX",IF(ISNUMBER(SEARCH("Incasso Dividendi",'Statements (Raw)'!D81)),"DIVIDEND",IF(ISNUMBER(SEARCH("Cedola",'Statements (Raw)'!D81)),"COUPON",IF(ISNUMBER(SEARCH("Ratei Pass",'Statements (Raw)'!D81)),"ACCRUED INT",IF(ISNUMBER(SEARCH("Interessi Prest",'Statements (Raw)'!D81)),"SEC LENDING",IF(ISNUMBER(SEARCH("Rimborso",'Statements (Raw)'!D81)),"REDEMPTION",IF(ISNUMBER(SEARCH("Provento",'Statements (Raw)'!D81)),"DISTRIBUTION","OTHER")))))))))))))</f>
        <v>FERRARI</v>
      </c>
      <c r="D83" s="6" t="str">
        <f>IF(A83="","",IF(C83="Saldo Iniziale","Balance",IF(C83="CASH DEPOSIT","Deposit",IF(C83="CASH WITHDRAWAL","Withdrawal",IF(C83="STAMP DUTY","Tax",IF(C83="TOBIN TAX","Tax",IF(C83="WITHHOLDING TAX","Tax",IF(C83="DIVIDEND","Dividend",IF(C83="COUPON","Coupon",IF(C83="ACCRUED INT","Accrued Int.",IF(C83="SEC LENDING","Sec. Lending",IF(C83="REDEMPTION","Redemption",IF(C83="DISTRIBUTION","Distribution",IF(ISNUMBER(SEARCH("Rimborso",'Statements (Raw)'!D81)),"Redemption",IF(ISNUMBER(SEARCH("Cedola",'Statements (Raw)'!D81)),"Coupon",IF(ISNUMBER(SEARCH("Incasso Dividendi",'Statements (Raw)'!D81)),"Dividend",IF(ISNUMBER(SEARCH("Provento Etf",'Statements (Raw)'!D81)),"Distribution",IF(ISNUMBER(SEARCH("Rit.provento",'Statements (Raw)'!D81)),"Tax",IF(ISNUMBER(SEARCH("Ratei Pass",'Statements (Raw)'!D81)),"Accrued Int.",IF(ISNUMBER(SEARCH("Interessi Prest",'Statements (Raw)'!D81)),"Sec. Lending",IF('Statements (Raw)'!G81="","Other",IF('Statements (Raw)'!G81&gt;0,"Buy","Sell"))))))))))))))))))))))</f>
        <v>Buy</v>
      </c>
      <c r="E83" s="6" t="str">
        <f t="shared" si="2"/>
        <v>Stock</v>
      </c>
      <c r="F83" s="8">
        <f>IF(A83="","",IF('Statements (Raw)'!E81="","",'Statements (Raw)'!E81))</f>
        <v>371.8</v>
      </c>
      <c r="G83" s="6" t="str">
        <f>IF(A83="","",IF('Statements (Raw)'!F81="","",'Statements (Raw)'!F81))</f>
        <v>EUR</v>
      </c>
      <c r="H83" s="9">
        <f>IF(A83="","",IF('Statements (Raw)'!G81="","",'Statements (Raw)'!G81))</f>
        <v>7</v>
      </c>
      <c r="I83" s="10">
        <f>IF(A83="","",IF('Statements (Raw)'!H81="","",'Statements (Raw)'!H81))</f>
        <v>-2602.6</v>
      </c>
      <c r="J83" s="10">
        <f>IF(A83="",0,IF('Statements (Raw)'!I81="",0,'Statements (Raw)'!I81))</f>
        <v>0</v>
      </c>
      <c r="K83" s="10">
        <f t="shared" si="3"/>
        <v>-2602.6</v>
      </c>
    </row>
    <row r="84" spans="1:11" x14ac:dyDescent="0.3">
      <c r="A84" s="171">
        <f>IF(OR('Statements (Raw)'!A82="",'Statements (Raw)'!A82&gt;Holdings!$G$3),"",'Statements (Raw)'!A82)</f>
        <v>45870</v>
      </c>
      <c r="B84" s="7">
        <f>IF(A84="","",IF('Statements (Raw)'!B82="","",'Statements (Raw)'!B82))</f>
        <v>45874</v>
      </c>
      <c r="C84" s="6" t="str">
        <f>IF(A84="","",IF('Statements (Raw)'!C82&lt;&gt;"",'Statements (Raw)'!C82,IF(ISNUMBER(SEARCH("Conferimento",'Statements (Raw)'!D82)),"CASH DEPOSIT",IF(ISNUMBER(SEARCH("Prelievo",'Statements (Raw)'!D82)),"CASH WITHDRAWAL",IF(ISNUMBER(SEARCH("Bollo",'Statements (Raw)'!D82)),"STAMP DUTY",IF(ISNUMBER(SEARCH("Tobin Tax",'Statements (Raw)'!D82)),"TOBIN TAX",IF(ISNUMBER(SEARCH("Rit.provento",'Statements (Raw)'!D82)),"WITHHOLDING TAX",IF(ISNUMBER(SEARCH("Incasso Dividendi",'Statements (Raw)'!D82)),"DIVIDEND",IF(ISNUMBER(SEARCH("Cedola",'Statements (Raw)'!D82)),"COUPON",IF(ISNUMBER(SEARCH("Ratei Pass",'Statements (Raw)'!D82)),"ACCRUED INT",IF(ISNUMBER(SEARCH("Interessi Prest",'Statements (Raw)'!D82)),"SEC LENDING",IF(ISNUMBER(SEARCH("Rimborso",'Statements (Raw)'!D82)),"REDEMPTION",IF(ISNUMBER(SEARCH("Provento",'Statements (Raw)'!D82)),"DISTRIBUTION","OTHER")))))))))))))</f>
        <v>FERRARI</v>
      </c>
      <c r="D84" s="6" t="str">
        <f>IF(A84="","",IF(C84="Saldo Iniziale","Balance",IF(C84="CASH DEPOSIT","Deposit",IF(C84="CASH WITHDRAWAL","Withdrawal",IF(C84="STAMP DUTY","Tax",IF(C84="TOBIN TAX","Tax",IF(C84="WITHHOLDING TAX","Tax",IF(C84="DIVIDEND","Dividend",IF(C84="COUPON","Coupon",IF(C84="ACCRUED INT","Accrued Int.",IF(C84="SEC LENDING","Sec. Lending",IF(C84="REDEMPTION","Redemption",IF(C84="DISTRIBUTION","Distribution",IF(ISNUMBER(SEARCH("Rimborso",'Statements (Raw)'!D82)),"Redemption",IF(ISNUMBER(SEARCH("Cedola",'Statements (Raw)'!D82)),"Coupon",IF(ISNUMBER(SEARCH("Incasso Dividendi",'Statements (Raw)'!D82)),"Dividend",IF(ISNUMBER(SEARCH("Provento Etf",'Statements (Raw)'!D82)),"Distribution",IF(ISNUMBER(SEARCH("Rit.provento",'Statements (Raw)'!D82)),"Tax",IF(ISNUMBER(SEARCH("Ratei Pass",'Statements (Raw)'!D82)),"Accrued Int.",IF(ISNUMBER(SEARCH("Interessi Prest",'Statements (Raw)'!D82)),"Sec. Lending",IF('Statements (Raw)'!G82="","Other",IF('Statements (Raw)'!G82&gt;0,"Buy","Sell"))))))))))))))))))))))</f>
        <v>Buy</v>
      </c>
      <c r="E84" s="6" t="str">
        <f t="shared" si="2"/>
        <v>Stock</v>
      </c>
      <c r="F84" s="8">
        <f>IF(A84="","",IF('Statements (Raw)'!E82="","",'Statements (Raw)'!E82))</f>
        <v>371.9</v>
      </c>
      <c r="G84" s="6" t="str">
        <f>IF(A84="","",IF('Statements (Raw)'!F82="","",'Statements (Raw)'!F82))</f>
        <v>EUR</v>
      </c>
      <c r="H84" s="9">
        <f>IF(A84="","",IF('Statements (Raw)'!G82="","",'Statements (Raw)'!G82))</f>
        <v>79</v>
      </c>
      <c r="I84" s="10">
        <f>IF(A84="","",IF('Statements (Raw)'!H82="","",'Statements (Raw)'!H82))</f>
        <v>-29380.1</v>
      </c>
      <c r="J84" s="10">
        <f>IF(A84="",0,IF('Statements (Raw)'!I82="",0,'Statements (Raw)'!I82))</f>
        <v>0</v>
      </c>
      <c r="K84" s="10">
        <f t="shared" si="3"/>
        <v>-29380.1</v>
      </c>
    </row>
    <row r="85" spans="1:11" x14ac:dyDescent="0.3">
      <c r="A85" s="171">
        <f>IF(OR('Statements (Raw)'!A83="",'Statements (Raw)'!A83&gt;Holdings!$G$3),"",'Statements (Raw)'!A83)</f>
        <v>45870</v>
      </c>
      <c r="B85" s="7">
        <f>IF(A85="","",IF('Statements (Raw)'!B83="","",'Statements (Raw)'!B83))</f>
        <v>45874</v>
      </c>
      <c r="C85" s="6" t="str">
        <f>IF(A85="","",IF('Statements (Raw)'!C83&lt;&gt;"",'Statements (Raw)'!C83,IF(ISNUMBER(SEARCH("Conferimento",'Statements (Raw)'!D83)),"CASH DEPOSIT",IF(ISNUMBER(SEARCH("Prelievo",'Statements (Raw)'!D83)),"CASH WITHDRAWAL",IF(ISNUMBER(SEARCH("Bollo",'Statements (Raw)'!D83)),"STAMP DUTY",IF(ISNUMBER(SEARCH("Tobin Tax",'Statements (Raw)'!D83)),"TOBIN TAX",IF(ISNUMBER(SEARCH("Rit.provento",'Statements (Raw)'!D83)),"WITHHOLDING TAX",IF(ISNUMBER(SEARCH("Incasso Dividendi",'Statements (Raw)'!D83)),"DIVIDEND",IF(ISNUMBER(SEARCH("Cedola",'Statements (Raw)'!D83)),"COUPON",IF(ISNUMBER(SEARCH("Ratei Pass",'Statements (Raw)'!D83)),"ACCRUED INT",IF(ISNUMBER(SEARCH("Interessi Prest",'Statements (Raw)'!D83)),"SEC LENDING",IF(ISNUMBER(SEARCH("Rimborso",'Statements (Raw)'!D83)),"REDEMPTION",IF(ISNUMBER(SEARCH("Provento",'Statements (Raw)'!D83)),"DISTRIBUTION","OTHER")))))))))))))</f>
        <v>EXOR NV</v>
      </c>
      <c r="D85" s="6" t="str">
        <f>IF(A85="","",IF(C85="Saldo Iniziale","Balance",IF(C85="CASH DEPOSIT","Deposit",IF(C85="CASH WITHDRAWAL","Withdrawal",IF(C85="STAMP DUTY","Tax",IF(C85="TOBIN TAX","Tax",IF(C85="WITHHOLDING TAX","Tax",IF(C85="DIVIDEND","Dividend",IF(C85="COUPON","Coupon",IF(C85="ACCRUED INT","Accrued Int.",IF(C85="SEC LENDING","Sec. Lending",IF(C85="REDEMPTION","Redemption",IF(C85="DISTRIBUTION","Distribution",IF(ISNUMBER(SEARCH("Rimborso",'Statements (Raw)'!D83)),"Redemption",IF(ISNUMBER(SEARCH("Cedola",'Statements (Raw)'!D83)),"Coupon",IF(ISNUMBER(SEARCH("Incasso Dividendi",'Statements (Raw)'!D83)),"Dividend",IF(ISNUMBER(SEARCH("Provento Etf",'Statements (Raw)'!D83)),"Distribution",IF(ISNUMBER(SEARCH("Rit.provento",'Statements (Raw)'!D83)),"Tax",IF(ISNUMBER(SEARCH("Ratei Pass",'Statements (Raw)'!D83)),"Accrued Int.",IF(ISNUMBER(SEARCH("Interessi Prest",'Statements (Raw)'!D83)),"Sec. Lending",IF('Statements (Raw)'!G83="","Other",IF('Statements (Raw)'!G83&gt;0,"Buy","Sell"))))))))))))))))))))))</f>
        <v>Buy</v>
      </c>
      <c r="E85" s="6" t="str">
        <f t="shared" si="2"/>
        <v>Stock</v>
      </c>
      <c r="F85" s="8">
        <f>IF(A85="","",IF('Statements (Raw)'!E83="","",'Statements (Raw)'!E83))</f>
        <v>83.7</v>
      </c>
      <c r="G85" s="6" t="str">
        <f>IF(A85="","",IF('Statements (Raw)'!F83="","",'Statements (Raw)'!F83))</f>
        <v>EUR</v>
      </c>
      <c r="H85" s="9">
        <f>IF(A85="","",IF('Statements (Raw)'!G83="","",'Statements (Raw)'!G83))</f>
        <v>7</v>
      </c>
      <c r="I85" s="10">
        <f>IF(A85="","",IF('Statements (Raw)'!H83="","",'Statements (Raw)'!H83))</f>
        <v>-585.9</v>
      </c>
      <c r="J85" s="10">
        <f>IF(A85="",0,IF('Statements (Raw)'!I83="",0,'Statements (Raw)'!I83))</f>
        <v>-9.5</v>
      </c>
      <c r="K85" s="10">
        <f t="shared" si="3"/>
        <v>-595.4</v>
      </c>
    </row>
    <row r="86" spans="1:11" x14ac:dyDescent="0.3">
      <c r="A86" s="171">
        <f>IF(OR('Statements (Raw)'!A84="",'Statements (Raw)'!A84&gt;Holdings!$G$3),"",'Statements (Raw)'!A84)</f>
        <v>45870</v>
      </c>
      <c r="B86" s="7">
        <f>IF(A86="","",IF('Statements (Raw)'!B84="","",'Statements (Raw)'!B84))</f>
        <v>45874</v>
      </c>
      <c r="C86" s="6" t="str">
        <f>IF(A86="","",IF('Statements (Raw)'!C84&lt;&gt;"",'Statements (Raw)'!C84,IF(ISNUMBER(SEARCH("Conferimento",'Statements (Raw)'!D84)),"CASH DEPOSIT",IF(ISNUMBER(SEARCH("Prelievo",'Statements (Raw)'!D84)),"CASH WITHDRAWAL",IF(ISNUMBER(SEARCH("Bollo",'Statements (Raw)'!D84)),"STAMP DUTY",IF(ISNUMBER(SEARCH("Tobin Tax",'Statements (Raw)'!D84)),"TOBIN TAX",IF(ISNUMBER(SEARCH("Rit.provento",'Statements (Raw)'!D84)),"WITHHOLDING TAX",IF(ISNUMBER(SEARCH("Incasso Dividendi",'Statements (Raw)'!D84)),"DIVIDEND",IF(ISNUMBER(SEARCH("Cedola",'Statements (Raw)'!D84)),"COUPON",IF(ISNUMBER(SEARCH("Ratei Pass",'Statements (Raw)'!D84)),"ACCRUED INT",IF(ISNUMBER(SEARCH("Interessi Prest",'Statements (Raw)'!D84)),"SEC LENDING",IF(ISNUMBER(SEARCH("Rimborso",'Statements (Raw)'!D84)),"REDEMPTION",IF(ISNUMBER(SEARCH("Provento",'Statements (Raw)'!D84)),"DISTRIBUTION","OTHER")))))))))))))</f>
        <v>EXOR NV</v>
      </c>
      <c r="D86" s="6" t="str">
        <f>IF(A86="","",IF(C86="Saldo Iniziale","Balance",IF(C86="CASH DEPOSIT","Deposit",IF(C86="CASH WITHDRAWAL","Withdrawal",IF(C86="STAMP DUTY","Tax",IF(C86="TOBIN TAX","Tax",IF(C86="WITHHOLDING TAX","Tax",IF(C86="DIVIDEND","Dividend",IF(C86="COUPON","Coupon",IF(C86="ACCRUED INT","Accrued Int.",IF(C86="SEC LENDING","Sec. Lending",IF(C86="REDEMPTION","Redemption",IF(C86="DISTRIBUTION","Distribution",IF(ISNUMBER(SEARCH("Rimborso",'Statements (Raw)'!D84)),"Redemption",IF(ISNUMBER(SEARCH("Cedola",'Statements (Raw)'!D84)),"Coupon",IF(ISNUMBER(SEARCH("Incasso Dividendi",'Statements (Raw)'!D84)),"Dividend",IF(ISNUMBER(SEARCH("Provento Etf",'Statements (Raw)'!D84)),"Distribution",IF(ISNUMBER(SEARCH("Rit.provento",'Statements (Raw)'!D84)),"Tax",IF(ISNUMBER(SEARCH("Ratei Pass",'Statements (Raw)'!D84)),"Accrued Int.",IF(ISNUMBER(SEARCH("Interessi Prest",'Statements (Raw)'!D84)),"Sec. Lending",IF('Statements (Raw)'!G84="","Other",IF('Statements (Raw)'!G84&gt;0,"Buy","Sell"))))))))))))))))))))))</f>
        <v>Buy</v>
      </c>
      <c r="E86" s="6" t="str">
        <f t="shared" si="2"/>
        <v>Stock</v>
      </c>
      <c r="F86" s="8">
        <f>IF(A86="","",IF('Statements (Raw)'!E84="","",'Statements (Raw)'!E84))</f>
        <v>83.7</v>
      </c>
      <c r="G86" s="6" t="str">
        <f>IF(A86="","",IF('Statements (Raw)'!F84="","",'Statements (Raw)'!F84))</f>
        <v>EUR</v>
      </c>
      <c r="H86" s="9">
        <f>IF(A86="","",IF('Statements (Raw)'!G84="","",'Statements (Raw)'!G84))</f>
        <v>1</v>
      </c>
      <c r="I86" s="10">
        <f>IF(A86="","",IF('Statements (Raw)'!H84="","",'Statements (Raw)'!H84))</f>
        <v>-83.7</v>
      </c>
      <c r="J86" s="10">
        <f>IF(A86="",0,IF('Statements (Raw)'!I84="",0,'Statements (Raw)'!I84))</f>
        <v>0</v>
      </c>
      <c r="K86" s="10">
        <f t="shared" si="3"/>
        <v>-83.7</v>
      </c>
    </row>
    <row r="87" spans="1:11" x14ac:dyDescent="0.3">
      <c r="A87" s="171">
        <f>IF(OR('Statements (Raw)'!A85="",'Statements (Raw)'!A85&gt;Holdings!$G$3),"",'Statements (Raw)'!A85)</f>
        <v>45870</v>
      </c>
      <c r="B87" s="7">
        <f>IF(A87="","",IF('Statements (Raw)'!B85="","",'Statements (Raw)'!B85))</f>
        <v>45874</v>
      </c>
      <c r="C87" s="6" t="str">
        <f>IF(A87="","",IF('Statements (Raw)'!C85&lt;&gt;"",'Statements (Raw)'!C85,IF(ISNUMBER(SEARCH("Conferimento",'Statements (Raw)'!D85)),"CASH DEPOSIT",IF(ISNUMBER(SEARCH("Prelievo",'Statements (Raw)'!D85)),"CASH WITHDRAWAL",IF(ISNUMBER(SEARCH("Bollo",'Statements (Raw)'!D85)),"STAMP DUTY",IF(ISNUMBER(SEARCH("Tobin Tax",'Statements (Raw)'!D85)),"TOBIN TAX",IF(ISNUMBER(SEARCH("Rit.provento",'Statements (Raw)'!D85)),"WITHHOLDING TAX",IF(ISNUMBER(SEARCH("Incasso Dividendi",'Statements (Raw)'!D85)),"DIVIDEND",IF(ISNUMBER(SEARCH("Cedola",'Statements (Raw)'!D85)),"COUPON",IF(ISNUMBER(SEARCH("Ratei Pass",'Statements (Raw)'!D85)),"ACCRUED INT",IF(ISNUMBER(SEARCH("Interessi Prest",'Statements (Raw)'!D85)),"SEC LENDING",IF(ISNUMBER(SEARCH("Rimborso",'Statements (Raw)'!D85)),"REDEMPTION",IF(ISNUMBER(SEARCH("Provento",'Statements (Raw)'!D85)),"DISTRIBUTION","OTHER")))))))))))))</f>
        <v>EXOR NV</v>
      </c>
      <c r="D87" s="6" t="str">
        <f>IF(A87="","",IF(C87="Saldo Iniziale","Balance",IF(C87="CASH DEPOSIT","Deposit",IF(C87="CASH WITHDRAWAL","Withdrawal",IF(C87="STAMP DUTY","Tax",IF(C87="TOBIN TAX","Tax",IF(C87="WITHHOLDING TAX","Tax",IF(C87="DIVIDEND","Dividend",IF(C87="COUPON","Coupon",IF(C87="ACCRUED INT","Accrued Int.",IF(C87="SEC LENDING","Sec. Lending",IF(C87="REDEMPTION","Redemption",IF(C87="DISTRIBUTION","Distribution",IF(ISNUMBER(SEARCH("Rimborso",'Statements (Raw)'!D85)),"Redemption",IF(ISNUMBER(SEARCH("Cedola",'Statements (Raw)'!D85)),"Coupon",IF(ISNUMBER(SEARCH("Incasso Dividendi",'Statements (Raw)'!D85)),"Dividend",IF(ISNUMBER(SEARCH("Provento Etf",'Statements (Raw)'!D85)),"Distribution",IF(ISNUMBER(SEARCH("Rit.provento",'Statements (Raw)'!D85)),"Tax",IF(ISNUMBER(SEARCH("Ratei Pass",'Statements (Raw)'!D85)),"Accrued Int.",IF(ISNUMBER(SEARCH("Interessi Prest",'Statements (Raw)'!D85)),"Sec. Lending",IF('Statements (Raw)'!G85="","Other",IF('Statements (Raw)'!G85&gt;0,"Buy","Sell"))))))))))))))))))))))</f>
        <v>Buy</v>
      </c>
      <c r="E87" s="6" t="str">
        <f t="shared" si="2"/>
        <v>Stock</v>
      </c>
      <c r="F87" s="8">
        <f>IF(A87="","",IF('Statements (Raw)'!E85="","",'Statements (Raw)'!E85))</f>
        <v>83.7</v>
      </c>
      <c r="G87" s="6" t="str">
        <f>IF(A87="","",IF('Statements (Raw)'!F85="","",'Statements (Raw)'!F85))</f>
        <v>EUR</v>
      </c>
      <c r="H87" s="9">
        <f>IF(A87="","",IF('Statements (Raw)'!G85="","",'Statements (Raw)'!G85))</f>
        <v>52</v>
      </c>
      <c r="I87" s="10">
        <f>IF(A87="","",IF('Statements (Raw)'!H85="","",'Statements (Raw)'!H85))</f>
        <v>-4352.3999999999996</v>
      </c>
      <c r="J87" s="10">
        <f>IF(A87="",0,IF('Statements (Raw)'!I85="",0,'Statements (Raw)'!I85))</f>
        <v>0</v>
      </c>
      <c r="K87" s="10">
        <f t="shared" si="3"/>
        <v>-4352.3999999999996</v>
      </c>
    </row>
    <row r="88" spans="1:11" x14ac:dyDescent="0.3">
      <c r="A88" s="171">
        <f>IF(OR('Statements (Raw)'!A86="",'Statements (Raw)'!A86&gt;Holdings!$G$3),"",'Statements (Raw)'!A86)</f>
        <v>45870</v>
      </c>
      <c r="B88" s="7">
        <f>IF(A88="","",IF('Statements (Raw)'!B86="","",'Statements (Raw)'!B86))</f>
        <v>45874</v>
      </c>
      <c r="C88" s="6" t="str">
        <f>IF(A88="","",IF('Statements (Raw)'!C86&lt;&gt;"",'Statements (Raw)'!C86,IF(ISNUMBER(SEARCH("Conferimento",'Statements (Raw)'!D86)),"CASH DEPOSIT",IF(ISNUMBER(SEARCH("Prelievo",'Statements (Raw)'!D86)),"CASH WITHDRAWAL",IF(ISNUMBER(SEARCH("Bollo",'Statements (Raw)'!D86)),"STAMP DUTY",IF(ISNUMBER(SEARCH("Tobin Tax",'Statements (Raw)'!D86)),"TOBIN TAX",IF(ISNUMBER(SEARCH("Rit.provento",'Statements (Raw)'!D86)),"WITHHOLDING TAX",IF(ISNUMBER(SEARCH("Incasso Dividendi",'Statements (Raw)'!D86)),"DIVIDEND",IF(ISNUMBER(SEARCH("Cedola",'Statements (Raw)'!D86)),"COUPON",IF(ISNUMBER(SEARCH("Ratei Pass",'Statements (Raw)'!D86)),"ACCRUED INT",IF(ISNUMBER(SEARCH("Interessi Prest",'Statements (Raw)'!D86)),"SEC LENDING",IF(ISNUMBER(SEARCH("Rimborso",'Statements (Raw)'!D86)),"REDEMPTION",IF(ISNUMBER(SEARCH("Provento",'Statements (Raw)'!D86)),"DISTRIBUTION","OTHER")))))))))))))</f>
        <v>EXOR NV</v>
      </c>
      <c r="D88" s="6" t="str">
        <f>IF(A88="","",IF(C88="Saldo Iniziale","Balance",IF(C88="CASH DEPOSIT","Deposit",IF(C88="CASH WITHDRAWAL","Withdrawal",IF(C88="STAMP DUTY","Tax",IF(C88="TOBIN TAX","Tax",IF(C88="WITHHOLDING TAX","Tax",IF(C88="DIVIDEND","Dividend",IF(C88="COUPON","Coupon",IF(C88="ACCRUED INT","Accrued Int.",IF(C88="SEC LENDING","Sec. Lending",IF(C88="REDEMPTION","Redemption",IF(C88="DISTRIBUTION","Distribution",IF(ISNUMBER(SEARCH("Rimborso",'Statements (Raw)'!D86)),"Redemption",IF(ISNUMBER(SEARCH("Cedola",'Statements (Raw)'!D86)),"Coupon",IF(ISNUMBER(SEARCH("Incasso Dividendi",'Statements (Raw)'!D86)),"Dividend",IF(ISNUMBER(SEARCH("Provento Etf",'Statements (Raw)'!D86)),"Distribution",IF(ISNUMBER(SEARCH("Rit.provento",'Statements (Raw)'!D86)),"Tax",IF(ISNUMBER(SEARCH("Ratei Pass",'Statements (Raw)'!D86)),"Accrued Int.",IF(ISNUMBER(SEARCH("Interessi Prest",'Statements (Raw)'!D86)),"Sec. Lending",IF('Statements (Raw)'!G86="","Other",IF('Statements (Raw)'!G86&gt;0,"Buy","Sell"))))))))))))))))))))))</f>
        <v>Buy</v>
      </c>
      <c r="E88" s="6" t="str">
        <f t="shared" si="2"/>
        <v>Stock</v>
      </c>
      <c r="F88" s="8">
        <f>IF(A88="","",IF('Statements (Raw)'!E86="","",'Statements (Raw)'!E86))</f>
        <v>83.7</v>
      </c>
      <c r="G88" s="6" t="str">
        <f>IF(A88="","",IF('Statements (Raw)'!F86="","",'Statements (Raw)'!F86))</f>
        <v>EUR</v>
      </c>
      <c r="H88" s="9">
        <f>IF(A88="","",IF('Statements (Raw)'!G86="","",'Statements (Raw)'!G86))</f>
        <v>7</v>
      </c>
      <c r="I88" s="10">
        <f>IF(A88="","",IF('Statements (Raw)'!H86="","",'Statements (Raw)'!H86))</f>
        <v>-585.9</v>
      </c>
      <c r="J88" s="10">
        <f>IF(A88="",0,IF('Statements (Raw)'!I86="",0,'Statements (Raw)'!I86))</f>
        <v>-9.5</v>
      </c>
      <c r="K88" s="10">
        <f t="shared" si="3"/>
        <v>-595.4</v>
      </c>
    </row>
    <row r="89" spans="1:11" x14ac:dyDescent="0.3">
      <c r="A89" s="171">
        <f>IF(OR('Statements (Raw)'!A87="",'Statements (Raw)'!A87&gt;Holdings!$G$3),"",'Statements (Raw)'!A87)</f>
        <v>45870</v>
      </c>
      <c r="B89" s="7">
        <f>IF(A89="","",IF('Statements (Raw)'!B87="","",'Statements (Raw)'!B87))</f>
        <v>45874</v>
      </c>
      <c r="C89" s="6" t="str">
        <f>IF(A89="","",IF('Statements (Raw)'!C87&lt;&gt;"",'Statements (Raw)'!C87,IF(ISNUMBER(SEARCH("Conferimento",'Statements (Raw)'!D87)),"CASH DEPOSIT",IF(ISNUMBER(SEARCH("Prelievo",'Statements (Raw)'!D87)),"CASH WITHDRAWAL",IF(ISNUMBER(SEARCH("Bollo",'Statements (Raw)'!D87)),"STAMP DUTY",IF(ISNUMBER(SEARCH("Tobin Tax",'Statements (Raw)'!D87)),"TOBIN TAX",IF(ISNUMBER(SEARCH("Rit.provento",'Statements (Raw)'!D87)),"WITHHOLDING TAX",IF(ISNUMBER(SEARCH("Incasso Dividendi",'Statements (Raw)'!D87)),"DIVIDEND",IF(ISNUMBER(SEARCH("Cedola",'Statements (Raw)'!D87)),"COUPON",IF(ISNUMBER(SEARCH("Ratei Pass",'Statements (Raw)'!D87)),"ACCRUED INT",IF(ISNUMBER(SEARCH("Interessi Prest",'Statements (Raw)'!D87)),"SEC LENDING",IF(ISNUMBER(SEARCH("Rimborso",'Statements (Raw)'!D87)),"REDEMPTION",IF(ISNUMBER(SEARCH("Provento",'Statements (Raw)'!D87)),"DISTRIBUTION","OTHER")))))))))))))</f>
        <v>EXOR NV</v>
      </c>
      <c r="D89" s="6" t="str">
        <f>IF(A89="","",IF(C89="Saldo Iniziale","Balance",IF(C89="CASH DEPOSIT","Deposit",IF(C89="CASH WITHDRAWAL","Withdrawal",IF(C89="STAMP DUTY","Tax",IF(C89="TOBIN TAX","Tax",IF(C89="WITHHOLDING TAX","Tax",IF(C89="DIVIDEND","Dividend",IF(C89="COUPON","Coupon",IF(C89="ACCRUED INT","Accrued Int.",IF(C89="SEC LENDING","Sec. Lending",IF(C89="REDEMPTION","Redemption",IF(C89="DISTRIBUTION","Distribution",IF(ISNUMBER(SEARCH("Rimborso",'Statements (Raw)'!D87)),"Redemption",IF(ISNUMBER(SEARCH("Cedola",'Statements (Raw)'!D87)),"Coupon",IF(ISNUMBER(SEARCH("Incasso Dividendi",'Statements (Raw)'!D87)),"Dividend",IF(ISNUMBER(SEARCH("Provento Etf",'Statements (Raw)'!D87)),"Distribution",IF(ISNUMBER(SEARCH("Rit.provento",'Statements (Raw)'!D87)),"Tax",IF(ISNUMBER(SEARCH("Ratei Pass",'Statements (Raw)'!D87)),"Accrued Int.",IF(ISNUMBER(SEARCH("Interessi Prest",'Statements (Raw)'!D87)),"Sec. Lending",IF('Statements (Raw)'!G87="","Other",IF('Statements (Raw)'!G87&gt;0,"Buy","Sell"))))))))))))))))))))))</f>
        <v>Buy</v>
      </c>
      <c r="E89" s="6" t="str">
        <f t="shared" si="2"/>
        <v>Stock</v>
      </c>
      <c r="F89" s="8">
        <f>IF(A89="","",IF('Statements (Raw)'!E87="","",'Statements (Raw)'!E87))</f>
        <v>83.7</v>
      </c>
      <c r="G89" s="6" t="str">
        <f>IF(A89="","",IF('Statements (Raw)'!F87="","",'Statements (Raw)'!F87))</f>
        <v>EUR</v>
      </c>
      <c r="H89" s="9">
        <f>IF(A89="","",IF('Statements (Raw)'!G87="","",'Statements (Raw)'!G87))</f>
        <v>53</v>
      </c>
      <c r="I89" s="10">
        <f>IF(A89="","",IF('Statements (Raw)'!H87="","",'Statements (Raw)'!H87))</f>
        <v>-4436.1000000000004</v>
      </c>
      <c r="J89" s="10">
        <f>IF(A89="",0,IF('Statements (Raw)'!I87="",0,'Statements (Raw)'!I87))</f>
        <v>0</v>
      </c>
      <c r="K89" s="10">
        <f t="shared" si="3"/>
        <v>-4436.1000000000004</v>
      </c>
    </row>
    <row r="90" spans="1:11" x14ac:dyDescent="0.3">
      <c r="A90" s="171">
        <f>IF(OR('Statements (Raw)'!A88="",'Statements (Raw)'!A88&gt;Holdings!$G$3),"",'Statements (Raw)'!A88)</f>
        <v>45870</v>
      </c>
      <c r="B90" s="7">
        <f>IF(A90="","",IF('Statements (Raw)'!B88="","",'Statements (Raw)'!B88))</f>
        <v>45874</v>
      </c>
      <c r="C90" s="6" t="str">
        <f>IF(A90="","",IF('Statements (Raw)'!C88&lt;&gt;"",'Statements (Raw)'!C88,IF(ISNUMBER(SEARCH("Conferimento",'Statements (Raw)'!D88)),"CASH DEPOSIT",IF(ISNUMBER(SEARCH("Prelievo",'Statements (Raw)'!D88)),"CASH WITHDRAWAL",IF(ISNUMBER(SEARCH("Bollo",'Statements (Raw)'!D88)),"STAMP DUTY",IF(ISNUMBER(SEARCH("Tobin Tax",'Statements (Raw)'!D88)),"TOBIN TAX",IF(ISNUMBER(SEARCH("Rit.provento",'Statements (Raw)'!D88)),"WITHHOLDING TAX",IF(ISNUMBER(SEARCH("Incasso Dividendi",'Statements (Raw)'!D88)),"DIVIDEND",IF(ISNUMBER(SEARCH("Cedola",'Statements (Raw)'!D88)),"COUPON",IF(ISNUMBER(SEARCH("Ratei Pass",'Statements (Raw)'!D88)),"ACCRUED INT",IF(ISNUMBER(SEARCH("Interessi Prest",'Statements (Raw)'!D88)),"SEC LENDING",IF(ISNUMBER(SEARCH("Rimborso",'Statements (Raw)'!D88)),"REDEMPTION",IF(ISNUMBER(SEARCH("Provento",'Statements (Raw)'!D88)),"DISTRIBUTION","OTHER")))))))))))))</f>
        <v>Bitwise Physical Bitcoin ETP</v>
      </c>
      <c r="D90" s="6" t="str">
        <f>IF(A90="","",IF(C90="Saldo Iniziale","Balance",IF(C90="CASH DEPOSIT","Deposit",IF(C90="CASH WITHDRAWAL","Withdrawal",IF(C90="STAMP DUTY","Tax",IF(C90="TOBIN TAX","Tax",IF(C90="WITHHOLDING TAX","Tax",IF(C90="DIVIDEND","Dividend",IF(C90="COUPON","Coupon",IF(C90="ACCRUED INT","Accrued Int.",IF(C90="SEC LENDING","Sec. Lending",IF(C90="REDEMPTION","Redemption",IF(C90="DISTRIBUTION","Distribution",IF(ISNUMBER(SEARCH("Rimborso",'Statements (Raw)'!D88)),"Redemption",IF(ISNUMBER(SEARCH("Cedola",'Statements (Raw)'!D88)),"Coupon",IF(ISNUMBER(SEARCH("Incasso Dividendi",'Statements (Raw)'!D88)),"Dividend",IF(ISNUMBER(SEARCH("Provento Etf",'Statements (Raw)'!D88)),"Distribution",IF(ISNUMBER(SEARCH("Rit.provento",'Statements (Raw)'!D88)),"Tax",IF(ISNUMBER(SEARCH("Ratei Pass",'Statements (Raw)'!D88)),"Accrued Int.",IF(ISNUMBER(SEARCH("Interessi Prest",'Statements (Raw)'!D88)),"Sec. Lending",IF('Statements (Raw)'!G88="","Other",IF('Statements (Raw)'!G88&gt;0,"Buy","Sell"))))))))))))))))))))))</f>
        <v>Buy</v>
      </c>
      <c r="E90" s="6" t="str">
        <f t="shared" si="2"/>
        <v>Crypto ETP</v>
      </c>
      <c r="F90" s="8">
        <f>IF(A90="","",IF('Statements (Raw)'!E88="","",'Statements (Raw)'!E88))</f>
        <v>90.805000000000007</v>
      </c>
      <c r="G90" s="6" t="str">
        <f>IF(A90="","",IF('Statements (Raw)'!F88="","",'Statements (Raw)'!F88))</f>
        <v>EUR</v>
      </c>
      <c r="H90" s="9">
        <f>IF(A90="","",IF('Statements (Raw)'!G88="","",'Statements (Raw)'!G88))</f>
        <v>1</v>
      </c>
      <c r="I90" s="10">
        <f>IF(A90="","",IF('Statements (Raw)'!H88="","",'Statements (Raw)'!H88))</f>
        <v>-90.81</v>
      </c>
      <c r="J90" s="10">
        <f>IF(A90="",0,IF('Statements (Raw)'!I88="",0,'Statements (Raw)'!I88))</f>
        <v>-9.5</v>
      </c>
      <c r="K90" s="10">
        <f t="shared" si="3"/>
        <v>-100.31</v>
      </c>
    </row>
    <row r="91" spans="1:11" x14ac:dyDescent="0.3">
      <c r="A91" s="171">
        <f>IF(OR('Statements (Raw)'!A89="",'Statements (Raw)'!A89&gt;Holdings!$G$3),"",'Statements (Raw)'!A89)</f>
        <v>45870</v>
      </c>
      <c r="B91" s="7">
        <f>IF(A91="","",IF('Statements (Raw)'!B89="","",'Statements (Raw)'!B89))</f>
        <v>45874</v>
      </c>
      <c r="C91" s="6" t="str">
        <f>IF(A91="","",IF('Statements (Raw)'!C89&lt;&gt;"",'Statements (Raw)'!C89,IF(ISNUMBER(SEARCH("Conferimento",'Statements (Raw)'!D89)),"CASH DEPOSIT",IF(ISNUMBER(SEARCH("Prelievo",'Statements (Raw)'!D89)),"CASH WITHDRAWAL",IF(ISNUMBER(SEARCH("Bollo",'Statements (Raw)'!D89)),"STAMP DUTY",IF(ISNUMBER(SEARCH("Tobin Tax",'Statements (Raw)'!D89)),"TOBIN TAX",IF(ISNUMBER(SEARCH("Rit.provento",'Statements (Raw)'!D89)),"WITHHOLDING TAX",IF(ISNUMBER(SEARCH("Incasso Dividendi",'Statements (Raw)'!D89)),"DIVIDEND",IF(ISNUMBER(SEARCH("Cedola",'Statements (Raw)'!D89)),"COUPON",IF(ISNUMBER(SEARCH("Ratei Pass",'Statements (Raw)'!D89)),"ACCRUED INT",IF(ISNUMBER(SEARCH("Interessi Prest",'Statements (Raw)'!D89)),"SEC LENDING",IF(ISNUMBER(SEARCH("Rimborso",'Statements (Raw)'!D89)),"REDEMPTION",IF(ISNUMBER(SEARCH("Provento",'Statements (Raw)'!D89)),"DISTRIBUTION","OTHER")))))))))))))</f>
        <v>Bitwise Ethereum Staking ETP</v>
      </c>
      <c r="D91" s="6" t="str">
        <f>IF(A91="","",IF(C91="Saldo Iniziale","Balance",IF(C91="CASH DEPOSIT","Deposit",IF(C91="CASH WITHDRAWAL","Withdrawal",IF(C91="STAMP DUTY","Tax",IF(C91="TOBIN TAX","Tax",IF(C91="WITHHOLDING TAX","Tax",IF(C91="DIVIDEND","Dividend",IF(C91="COUPON","Coupon",IF(C91="ACCRUED INT","Accrued Int.",IF(C91="SEC LENDING","Sec. Lending",IF(C91="REDEMPTION","Redemption",IF(C91="DISTRIBUTION","Distribution",IF(ISNUMBER(SEARCH("Rimborso",'Statements (Raw)'!D89)),"Redemption",IF(ISNUMBER(SEARCH("Cedola",'Statements (Raw)'!D89)),"Coupon",IF(ISNUMBER(SEARCH("Incasso Dividendi",'Statements (Raw)'!D89)),"Dividend",IF(ISNUMBER(SEARCH("Provento Etf",'Statements (Raw)'!D89)),"Distribution",IF(ISNUMBER(SEARCH("Rit.provento",'Statements (Raw)'!D89)),"Tax",IF(ISNUMBER(SEARCH("Ratei Pass",'Statements (Raw)'!D89)),"Accrued Int.",IF(ISNUMBER(SEARCH("Interessi Prest",'Statements (Raw)'!D89)),"Sec. Lending",IF('Statements (Raw)'!G89="","Other",IF('Statements (Raw)'!G89&gt;0,"Buy","Sell"))))))))))))))))))))))</f>
        <v>Buy</v>
      </c>
      <c r="E91" s="6" t="str">
        <f t="shared" si="2"/>
        <v>Crypto ETP</v>
      </c>
      <c r="F91" s="8">
        <f>IF(A91="","",IF('Statements (Raw)'!E89="","",'Statements (Raw)'!E89))</f>
        <v>6.4974999999999996</v>
      </c>
      <c r="G91" s="6" t="str">
        <f>IF(A91="","",IF('Statements (Raw)'!F89="","",'Statements (Raw)'!F89))</f>
        <v>EUR</v>
      </c>
      <c r="H91" s="9">
        <f>IF(A91="","",IF('Statements (Raw)'!G89="","",'Statements (Raw)'!G89))</f>
        <v>10</v>
      </c>
      <c r="I91" s="10">
        <f>IF(A91="","",IF('Statements (Raw)'!H89="","",'Statements (Raw)'!H89))</f>
        <v>-64.98</v>
      </c>
      <c r="J91" s="10">
        <f>IF(A91="",0,IF('Statements (Raw)'!I89="",0,'Statements (Raw)'!I89))</f>
        <v>-9.5</v>
      </c>
      <c r="K91" s="10">
        <f t="shared" si="3"/>
        <v>-74.48</v>
      </c>
    </row>
    <row r="92" spans="1:11" x14ac:dyDescent="0.3">
      <c r="A92" s="171">
        <f>IF(OR('Statements (Raw)'!A90="",'Statements (Raw)'!A90&gt;Holdings!$G$3),"",'Statements (Raw)'!A90)</f>
        <v>45870</v>
      </c>
      <c r="B92" s="7">
        <f>IF(A92="","",IF('Statements (Raw)'!B90="","",'Statements (Raw)'!B90))</f>
        <v>45874</v>
      </c>
      <c r="C92" s="6" t="str">
        <f>IF(A92="","",IF('Statements (Raw)'!C90&lt;&gt;"",'Statements (Raw)'!C90,IF(ISNUMBER(SEARCH("Conferimento",'Statements (Raw)'!D90)),"CASH DEPOSIT",IF(ISNUMBER(SEARCH("Prelievo",'Statements (Raw)'!D90)),"CASH WITHDRAWAL",IF(ISNUMBER(SEARCH("Bollo",'Statements (Raw)'!D90)),"STAMP DUTY",IF(ISNUMBER(SEARCH("Tobin Tax",'Statements (Raw)'!D90)),"TOBIN TAX",IF(ISNUMBER(SEARCH("Rit.provento",'Statements (Raw)'!D90)),"WITHHOLDING TAX",IF(ISNUMBER(SEARCH("Incasso Dividendi",'Statements (Raw)'!D90)),"DIVIDEND",IF(ISNUMBER(SEARCH("Cedola",'Statements (Raw)'!D90)),"COUPON",IF(ISNUMBER(SEARCH("Ratei Pass",'Statements (Raw)'!D90)),"ACCRUED INT",IF(ISNUMBER(SEARCH("Interessi Prest",'Statements (Raw)'!D90)),"SEC LENDING",IF(ISNUMBER(SEARCH("Rimborso",'Statements (Raw)'!D90)),"REDEMPTION",IF(ISNUMBER(SEARCH("Provento",'Statements (Raw)'!D90)),"DISTRIBUTION","OTHER")))))))))))))</f>
        <v>Bitwise Physical Ethereum ETP</v>
      </c>
      <c r="D92" s="6" t="str">
        <f>IF(A92="","",IF(C92="Saldo Iniziale","Balance",IF(C92="CASH DEPOSIT","Deposit",IF(C92="CASH WITHDRAWAL","Withdrawal",IF(C92="STAMP DUTY","Tax",IF(C92="TOBIN TAX","Tax",IF(C92="WITHHOLDING TAX","Tax",IF(C92="DIVIDEND","Dividend",IF(C92="COUPON","Coupon",IF(C92="ACCRUED INT","Accrued Int.",IF(C92="SEC LENDING","Sec. Lending",IF(C92="REDEMPTION","Redemption",IF(C92="DISTRIBUTION","Distribution",IF(ISNUMBER(SEARCH("Rimborso",'Statements (Raw)'!D90)),"Redemption",IF(ISNUMBER(SEARCH("Cedola",'Statements (Raw)'!D90)),"Coupon",IF(ISNUMBER(SEARCH("Incasso Dividendi",'Statements (Raw)'!D90)),"Dividend",IF(ISNUMBER(SEARCH("Provento Etf",'Statements (Raw)'!D90)),"Distribution",IF(ISNUMBER(SEARCH("Rit.provento",'Statements (Raw)'!D90)),"Tax",IF(ISNUMBER(SEARCH("Ratei Pass",'Statements (Raw)'!D90)),"Accrued Int.",IF(ISNUMBER(SEARCH("Interessi Prest",'Statements (Raw)'!D90)),"Sec. Lending",IF('Statements (Raw)'!G90="","Other",IF('Statements (Raw)'!G90&gt;0,"Buy","Sell"))))))))))))))))))))))</f>
        <v>Buy</v>
      </c>
      <c r="E92" s="6" t="str">
        <f t="shared" si="2"/>
        <v>Crypto ETP</v>
      </c>
      <c r="F92" s="8">
        <f>IF(A92="","",IF('Statements (Raw)'!E90="","",'Statements (Raw)'!E90))</f>
        <v>29.724</v>
      </c>
      <c r="G92" s="6" t="str">
        <f>IF(A92="","",IF('Statements (Raw)'!F90="","",'Statements (Raw)'!F90))</f>
        <v>EUR</v>
      </c>
      <c r="H92" s="9">
        <f>IF(A92="","",IF('Statements (Raw)'!G90="","",'Statements (Raw)'!G90))</f>
        <v>10</v>
      </c>
      <c r="I92" s="10">
        <f>IF(A92="","",IF('Statements (Raw)'!H90="","",'Statements (Raw)'!H90))</f>
        <v>-297.24</v>
      </c>
      <c r="J92" s="10">
        <f>IF(A92="",0,IF('Statements (Raw)'!I90="",0,'Statements (Raw)'!I90))</f>
        <v>-9.5</v>
      </c>
      <c r="K92" s="10">
        <f t="shared" si="3"/>
        <v>-306.74</v>
      </c>
    </row>
    <row r="93" spans="1:11" x14ac:dyDescent="0.3">
      <c r="A93" s="171">
        <f>IF(OR('Statements (Raw)'!A91="",'Statements (Raw)'!A91&gt;Holdings!$G$3),"",'Statements (Raw)'!A91)</f>
        <v>45870</v>
      </c>
      <c r="B93" s="7">
        <f>IF(A93="","",IF('Statements (Raw)'!B91="","",'Statements (Raw)'!B91))</f>
        <v>45874</v>
      </c>
      <c r="C93" s="6" t="str">
        <f>IF(A93="","",IF('Statements (Raw)'!C91&lt;&gt;"",'Statements (Raw)'!C91,IF(ISNUMBER(SEARCH("Conferimento",'Statements (Raw)'!D91)),"CASH DEPOSIT",IF(ISNUMBER(SEARCH("Prelievo",'Statements (Raw)'!D91)),"CASH WITHDRAWAL",IF(ISNUMBER(SEARCH("Bollo",'Statements (Raw)'!D91)),"STAMP DUTY",IF(ISNUMBER(SEARCH("Tobin Tax",'Statements (Raw)'!D91)),"TOBIN TAX",IF(ISNUMBER(SEARCH("Rit.provento",'Statements (Raw)'!D91)),"WITHHOLDING TAX",IF(ISNUMBER(SEARCH("Incasso Dividendi",'Statements (Raw)'!D91)),"DIVIDEND",IF(ISNUMBER(SEARCH("Cedola",'Statements (Raw)'!D91)),"COUPON",IF(ISNUMBER(SEARCH("Ratei Pass",'Statements (Raw)'!D91)),"ACCRUED INT",IF(ISNUMBER(SEARCH("Interessi Prest",'Statements (Raw)'!D91)),"SEC LENDING",IF(ISNUMBER(SEARCH("Rimborso",'Statements (Raw)'!D91)),"REDEMPTION",IF(ISNUMBER(SEARCH("Provento",'Statements (Raw)'!D91)),"DISTRIBUTION","OTHER")))))))))))))</f>
        <v>ASML HOLDING NV</v>
      </c>
      <c r="D93" s="6" t="str">
        <f>IF(A93="","",IF(C93="Saldo Iniziale","Balance",IF(C93="CASH DEPOSIT","Deposit",IF(C93="CASH WITHDRAWAL","Withdrawal",IF(C93="STAMP DUTY","Tax",IF(C93="TOBIN TAX","Tax",IF(C93="WITHHOLDING TAX","Tax",IF(C93="DIVIDEND","Dividend",IF(C93="COUPON","Coupon",IF(C93="ACCRUED INT","Accrued Int.",IF(C93="SEC LENDING","Sec. Lending",IF(C93="REDEMPTION","Redemption",IF(C93="DISTRIBUTION","Distribution",IF(ISNUMBER(SEARCH("Rimborso",'Statements (Raw)'!D91)),"Redemption",IF(ISNUMBER(SEARCH("Cedola",'Statements (Raw)'!D91)),"Coupon",IF(ISNUMBER(SEARCH("Incasso Dividendi",'Statements (Raw)'!D91)),"Dividend",IF(ISNUMBER(SEARCH("Provento Etf",'Statements (Raw)'!D91)),"Distribution",IF(ISNUMBER(SEARCH("Rit.provento",'Statements (Raw)'!D91)),"Tax",IF(ISNUMBER(SEARCH("Ratei Pass",'Statements (Raw)'!D91)),"Accrued Int.",IF(ISNUMBER(SEARCH("Interessi Prest",'Statements (Raw)'!D91)),"Sec. Lending",IF('Statements (Raw)'!G91="","Other",IF('Statements (Raw)'!G91&gt;0,"Buy","Sell"))))))))))))))))))))))</f>
        <v>Buy</v>
      </c>
      <c r="E93" s="6" t="str">
        <f t="shared" si="2"/>
        <v>Stock</v>
      </c>
      <c r="F93" s="8">
        <f>IF(A93="","",IF('Statements (Raw)'!E91="","",'Statements (Raw)'!E91))</f>
        <v>598.5</v>
      </c>
      <c r="G93" s="6" t="str">
        <f>IF(A93="","",IF('Statements (Raw)'!F91="","",'Statements (Raw)'!F91))</f>
        <v>EUR</v>
      </c>
      <c r="H93" s="9">
        <f>IF(A93="","",IF('Statements (Raw)'!G91="","",'Statements (Raw)'!G91))</f>
        <v>10</v>
      </c>
      <c r="I93" s="10">
        <f>IF(A93="","",IF('Statements (Raw)'!H91="","",'Statements (Raw)'!H91))</f>
        <v>-5985</v>
      </c>
      <c r="J93" s="10">
        <f>IF(A93="",0,IF('Statements (Raw)'!I91="",0,'Statements (Raw)'!I91))</f>
        <v>-9.5</v>
      </c>
      <c r="K93" s="10">
        <f t="shared" si="3"/>
        <v>-5994.5</v>
      </c>
    </row>
    <row r="94" spans="1:11" x14ac:dyDescent="0.3">
      <c r="A94" s="171">
        <f>IF(OR('Statements (Raw)'!A92="",'Statements (Raw)'!A92&gt;Holdings!$G$3),"",'Statements (Raw)'!A92)</f>
        <v>45870</v>
      </c>
      <c r="B94" s="7">
        <f>IF(A94="","",IF('Statements (Raw)'!B92="","",'Statements (Raw)'!B92))</f>
        <v>45874</v>
      </c>
      <c r="C94" s="6" t="str">
        <f>IF(A94="","",IF('Statements (Raw)'!C92&lt;&gt;"",'Statements (Raw)'!C92,IF(ISNUMBER(SEARCH("Conferimento",'Statements (Raw)'!D92)),"CASH DEPOSIT",IF(ISNUMBER(SEARCH("Prelievo",'Statements (Raw)'!D92)),"CASH WITHDRAWAL",IF(ISNUMBER(SEARCH("Bollo",'Statements (Raw)'!D92)),"STAMP DUTY",IF(ISNUMBER(SEARCH("Tobin Tax",'Statements (Raw)'!D92)),"TOBIN TAX",IF(ISNUMBER(SEARCH("Rit.provento",'Statements (Raw)'!D92)),"WITHHOLDING TAX",IF(ISNUMBER(SEARCH("Incasso Dividendi",'Statements (Raw)'!D92)),"DIVIDEND",IF(ISNUMBER(SEARCH("Cedola",'Statements (Raw)'!D92)),"COUPON",IF(ISNUMBER(SEARCH("Ratei Pass",'Statements (Raw)'!D92)),"ACCRUED INT",IF(ISNUMBER(SEARCH("Interessi Prest",'Statements (Raw)'!D92)),"SEC LENDING",IF(ISNUMBER(SEARCH("Rimborso",'Statements (Raw)'!D92)),"REDEMPTION",IF(ISNUMBER(SEARCH("Provento",'Statements (Raw)'!D92)),"DISTRIBUTION","OTHER")))))))))))))</f>
        <v>WisdomTree Europe Defence UCIT</v>
      </c>
      <c r="D94" s="6" t="str">
        <f>IF(A94="","",IF(C94="Saldo Iniziale","Balance",IF(C94="CASH DEPOSIT","Deposit",IF(C94="CASH WITHDRAWAL","Withdrawal",IF(C94="STAMP DUTY","Tax",IF(C94="TOBIN TAX","Tax",IF(C94="WITHHOLDING TAX","Tax",IF(C94="DIVIDEND","Dividend",IF(C94="COUPON","Coupon",IF(C94="ACCRUED INT","Accrued Int.",IF(C94="SEC LENDING","Sec. Lending",IF(C94="REDEMPTION","Redemption",IF(C94="DISTRIBUTION","Distribution",IF(ISNUMBER(SEARCH("Rimborso",'Statements (Raw)'!D92)),"Redemption",IF(ISNUMBER(SEARCH("Cedola",'Statements (Raw)'!D92)),"Coupon",IF(ISNUMBER(SEARCH("Incasso Dividendi",'Statements (Raw)'!D92)),"Dividend",IF(ISNUMBER(SEARCH("Provento Etf",'Statements (Raw)'!D92)),"Distribution",IF(ISNUMBER(SEARCH("Rit.provento",'Statements (Raw)'!D92)),"Tax",IF(ISNUMBER(SEARCH("Ratei Pass",'Statements (Raw)'!D92)),"Accrued Int.",IF(ISNUMBER(SEARCH("Interessi Prest",'Statements (Raw)'!D92)),"Sec. Lending",IF('Statements (Raw)'!G92="","Other",IF('Statements (Raw)'!G92&gt;0,"Buy","Sell"))))))))))))))))))))))</f>
        <v>Buy</v>
      </c>
      <c r="E94" s="6" t="str">
        <f t="shared" si="2"/>
        <v>ETF/ETC</v>
      </c>
      <c r="F94" s="8">
        <f>IF(A94="","",IF('Statements (Raw)'!E92="","",'Statements (Raw)'!E92))</f>
        <v>29.664999999999999</v>
      </c>
      <c r="G94" s="6" t="str">
        <f>IF(A94="","",IF('Statements (Raw)'!F92="","",'Statements (Raw)'!F92))</f>
        <v>EUR</v>
      </c>
      <c r="H94" s="9">
        <f>IF(A94="","",IF('Statements (Raw)'!G92="","",'Statements (Raw)'!G92))</f>
        <v>33</v>
      </c>
      <c r="I94" s="10">
        <f>IF(A94="","",IF('Statements (Raw)'!H92="","",'Statements (Raw)'!H92))</f>
        <v>-978.95</v>
      </c>
      <c r="J94" s="10">
        <f>IF(A94="",0,IF('Statements (Raw)'!I92="",0,'Statements (Raw)'!I92))</f>
        <v>0</v>
      </c>
      <c r="K94" s="10">
        <f t="shared" si="3"/>
        <v>-978.95</v>
      </c>
    </row>
    <row r="95" spans="1:11" x14ac:dyDescent="0.3">
      <c r="A95" s="171">
        <f>IF(OR('Statements (Raw)'!A93="",'Statements (Raw)'!A93&gt;Holdings!$G$3),"",'Statements (Raw)'!A93)</f>
        <v>45870</v>
      </c>
      <c r="B95" s="7">
        <f>IF(A95="","",IF('Statements (Raw)'!B93="","",'Statements (Raw)'!B93))</f>
        <v>45874</v>
      </c>
      <c r="C95" s="6" t="str">
        <f>IF(A95="","",IF('Statements (Raw)'!C93&lt;&gt;"",'Statements (Raw)'!C93,IF(ISNUMBER(SEARCH("Conferimento",'Statements (Raw)'!D93)),"CASH DEPOSIT",IF(ISNUMBER(SEARCH("Prelievo",'Statements (Raw)'!D93)),"CASH WITHDRAWAL",IF(ISNUMBER(SEARCH("Bollo",'Statements (Raw)'!D93)),"STAMP DUTY",IF(ISNUMBER(SEARCH("Tobin Tax",'Statements (Raw)'!D93)),"TOBIN TAX",IF(ISNUMBER(SEARCH("Rit.provento",'Statements (Raw)'!D93)),"WITHHOLDING TAX",IF(ISNUMBER(SEARCH("Incasso Dividendi",'Statements (Raw)'!D93)),"DIVIDEND",IF(ISNUMBER(SEARCH("Cedola",'Statements (Raw)'!D93)),"COUPON",IF(ISNUMBER(SEARCH("Ratei Pass",'Statements (Raw)'!D93)),"ACCRUED INT",IF(ISNUMBER(SEARCH("Interessi Prest",'Statements (Raw)'!D93)),"SEC LENDING",IF(ISNUMBER(SEARCH("Rimborso",'Statements (Raw)'!D93)),"REDEMPTION",IF(ISNUMBER(SEARCH("Provento",'Statements (Raw)'!D93)),"DISTRIBUTION","OTHER")))))))))))))</f>
        <v>ISHARES FTSE MIB UCITS ETF EUR</v>
      </c>
      <c r="D95" s="6" t="str">
        <f>IF(A95="","",IF(C95="Saldo Iniziale","Balance",IF(C95="CASH DEPOSIT","Deposit",IF(C95="CASH WITHDRAWAL","Withdrawal",IF(C95="STAMP DUTY","Tax",IF(C95="TOBIN TAX","Tax",IF(C95="WITHHOLDING TAX","Tax",IF(C95="DIVIDEND","Dividend",IF(C95="COUPON","Coupon",IF(C95="ACCRUED INT","Accrued Int.",IF(C95="SEC LENDING","Sec. Lending",IF(C95="REDEMPTION","Redemption",IF(C95="DISTRIBUTION","Distribution",IF(ISNUMBER(SEARCH("Rimborso",'Statements (Raw)'!D93)),"Redemption",IF(ISNUMBER(SEARCH("Cedola",'Statements (Raw)'!D93)),"Coupon",IF(ISNUMBER(SEARCH("Incasso Dividendi",'Statements (Raw)'!D93)),"Dividend",IF(ISNUMBER(SEARCH("Provento Etf",'Statements (Raw)'!D93)),"Distribution",IF(ISNUMBER(SEARCH("Rit.provento",'Statements (Raw)'!D93)),"Tax",IF(ISNUMBER(SEARCH("Ratei Pass",'Statements (Raw)'!D93)),"Accrued Int.",IF(ISNUMBER(SEARCH("Interessi Prest",'Statements (Raw)'!D93)),"Sec. Lending",IF('Statements (Raw)'!G93="","Other",IF('Statements (Raw)'!G93&gt;0,"Buy","Sell"))))))))))))))))))))))</f>
        <v>Buy</v>
      </c>
      <c r="E95" s="6" t="str">
        <f t="shared" si="2"/>
        <v>ETF/ETC</v>
      </c>
      <c r="F95" s="8">
        <f>IF(A95="","",IF('Statements (Raw)'!E93="","",'Statements (Raw)'!E93))</f>
        <v>190.92</v>
      </c>
      <c r="G95" s="6" t="str">
        <f>IF(A95="","",IF('Statements (Raw)'!F93="","",'Statements (Raw)'!F93))</f>
        <v>EUR</v>
      </c>
      <c r="H95" s="9">
        <f>IF(A95="","",IF('Statements (Raw)'!G93="","",'Statements (Raw)'!G93))</f>
        <v>13</v>
      </c>
      <c r="I95" s="10">
        <f>IF(A95="","",IF('Statements (Raw)'!H93="","",'Statements (Raw)'!H93))</f>
        <v>-2481.96</v>
      </c>
      <c r="J95" s="10">
        <f>IF(A95="",0,IF('Statements (Raw)'!I93="",0,'Statements (Raw)'!I93))</f>
        <v>0</v>
      </c>
      <c r="K95" s="10">
        <f t="shared" si="3"/>
        <v>-2481.96</v>
      </c>
    </row>
    <row r="96" spans="1:11" x14ac:dyDescent="0.3">
      <c r="A96" s="171">
        <f>IF(OR('Statements (Raw)'!A94="",'Statements (Raw)'!A94&gt;Holdings!$G$3),"",'Statements (Raw)'!A94)</f>
        <v>45870</v>
      </c>
      <c r="B96" s="7">
        <f>IF(A96="","",IF('Statements (Raw)'!B94="","",'Statements (Raw)'!B94))</f>
        <v>45874</v>
      </c>
      <c r="C96" s="6" t="str">
        <f>IF(A96="","",IF('Statements (Raw)'!C94&lt;&gt;"",'Statements (Raw)'!C94,IF(ISNUMBER(SEARCH("Conferimento",'Statements (Raw)'!D94)),"CASH DEPOSIT",IF(ISNUMBER(SEARCH("Prelievo",'Statements (Raw)'!D94)),"CASH WITHDRAWAL",IF(ISNUMBER(SEARCH("Bollo",'Statements (Raw)'!D94)),"STAMP DUTY",IF(ISNUMBER(SEARCH("Tobin Tax",'Statements (Raw)'!D94)),"TOBIN TAX",IF(ISNUMBER(SEARCH("Rit.provento",'Statements (Raw)'!D94)),"WITHHOLDING TAX",IF(ISNUMBER(SEARCH("Incasso Dividendi",'Statements (Raw)'!D94)),"DIVIDEND",IF(ISNUMBER(SEARCH("Cedola",'Statements (Raw)'!D94)),"COUPON",IF(ISNUMBER(SEARCH("Ratei Pass",'Statements (Raw)'!D94)),"ACCRUED INT",IF(ISNUMBER(SEARCH("Interessi Prest",'Statements (Raw)'!D94)),"SEC LENDING",IF(ISNUMBER(SEARCH("Rimborso",'Statements (Raw)'!D94)),"REDEMPTION",IF(ISNUMBER(SEARCH("Provento",'Statements (Raw)'!D94)),"DISTRIBUTION","OTHER")))))))))))))</f>
        <v>WISDOMTREE CORE PHYSICAL GOLD</v>
      </c>
      <c r="D96" s="6" t="str">
        <f>IF(A96="","",IF(C96="Saldo Iniziale","Balance",IF(C96="CASH DEPOSIT","Deposit",IF(C96="CASH WITHDRAWAL","Withdrawal",IF(C96="STAMP DUTY","Tax",IF(C96="TOBIN TAX","Tax",IF(C96="WITHHOLDING TAX","Tax",IF(C96="DIVIDEND","Dividend",IF(C96="COUPON","Coupon",IF(C96="ACCRUED INT","Accrued Int.",IF(C96="SEC LENDING","Sec. Lending",IF(C96="REDEMPTION","Redemption",IF(C96="DISTRIBUTION","Distribution",IF(ISNUMBER(SEARCH("Rimborso",'Statements (Raw)'!D94)),"Redemption",IF(ISNUMBER(SEARCH("Cedola",'Statements (Raw)'!D94)),"Coupon",IF(ISNUMBER(SEARCH("Incasso Dividendi",'Statements (Raw)'!D94)),"Dividend",IF(ISNUMBER(SEARCH("Provento Etf",'Statements (Raw)'!D94)),"Distribution",IF(ISNUMBER(SEARCH("Rit.provento",'Statements (Raw)'!D94)),"Tax",IF(ISNUMBER(SEARCH("Ratei Pass",'Statements (Raw)'!D94)),"Accrued Int.",IF(ISNUMBER(SEARCH("Interessi Prest",'Statements (Raw)'!D94)),"Sec. Lending",IF('Statements (Raw)'!G94="","Other",IF('Statements (Raw)'!G94&gt;0,"Buy","Sell"))))))))))))))))))))))</f>
        <v>Buy</v>
      </c>
      <c r="E96" s="6" t="str">
        <f t="shared" si="2"/>
        <v>ETF/ETC</v>
      </c>
      <c r="F96" s="8">
        <f>IF(A96="","",IF('Statements (Raw)'!E94="","",'Statements (Raw)'!E94))</f>
        <v>288.52999999999997</v>
      </c>
      <c r="G96" s="6" t="str">
        <f>IF(A96="","",IF('Statements (Raw)'!F94="","",'Statements (Raw)'!F94))</f>
        <v>EUR</v>
      </c>
      <c r="H96" s="9">
        <f>IF(A96="","",IF('Statements (Raw)'!G94="","",'Statements (Raw)'!G94))</f>
        <v>1</v>
      </c>
      <c r="I96" s="10">
        <f>IF(A96="","",IF('Statements (Raw)'!H94="","",'Statements (Raw)'!H94))</f>
        <v>-288.52999999999997</v>
      </c>
      <c r="J96" s="10">
        <f>IF(A96="",0,IF('Statements (Raw)'!I94="",0,'Statements (Raw)'!I94))</f>
        <v>0</v>
      </c>
      <c r="K96" s="10">
        <f t="shared" si="3"/>
        <v>-288.52999999999997</v>
      </c>
    </row>
    <row r="97" spans="1:11" x14ac:dyDescent="0.3">
      <c r="A97" s="171">
        <f>IF(OR('Statements (Raw)'!A95="",'Statements (Raw)'!A95&gt;Holdings!$G$3),"",'Statements (Raw)'!A95)</f>
        <v>45870</v>
      </c>
      <c r="B97" s="7">
        <f>IF(A97="","",IF('Statements (Raw)'!B95="","",'Statements (Raw)'!B95))</f>
        <v>45874</v>
      </c>
      <c r="C97" s="6" t="str">
        <f>IF(A97="","",IF('Statements (Raw)'!C95&lt;&gt;"",'Statements (Raw)'!C95,IF(ISNUMBER(SEARCH("Conferimento",'Statements (Raw)'!D95)),"CASH DEPOSIT",IF(ISNUMBER(SEARCH("Prelievo",'Statements (Raw)'!D95)),"CASH WITHDRAWAL",IF(ISNUMBER(SEARCH("Bollo",'Statements (Raw)'!D95)),"STAMP DUTY",IF(ISNUMBER(SEARCH("Tobin Tax",'Statements (Raw)'!D95)),"TOBIN TAX",IF(ISNUMBER(SEARCH("Rit.provento",'Statements (Raw)'!D95)),"WITHHOLDING TAX",IF(ISNUMBER(SEARCH("Incasso Dividendi",'Statements (Raw)'!D95)),"DIVIDEND",IF(ISNUMBER(SEARCH("Cedola",'Statements (Raw)'!D95)),"COUPON",IF(ISNUMBER(SEARCH("Ratei Pass",'Statements (Raw)'!D95)),"ACCRUED INT",IF(ISNUMBER(SEARCH("Interessi Prest",'Statements (Raw)'!D95)),"SEC LENDING",IF(ISNUMBER(SEARCH("Rimborso",'Statements (Raw)'!D95)),"REDEMPTION",IF(ISNUMBER(SEARCH("Provento",'Statements (Raw)'!D95)),"DISTRIBUTION","OTHER")))))))))))))</f>
        <v>WISDOMTREE PHYSICAL SILVER</v>
      </c>
      <c r="D97" s="6" t="str">
        <f>IF(A97="","",IF(C97="Saldo Iniziale","Balance",IF(C97="CASH DEPOSIT","Deposit",IF(C97="CASH WITHDRAWAL","Withdrawal",IF(C97="STAMP DUTY","Tax",IF(C97="TOBIN TAX","Tax",IF(C97="WITHHOLDING TAX","Tax",IF(C97="DIVIDEND","Dividend",IF(C97="COUPON","Coupon",IF(C97="ACCRUED INT","Accrued Int.",IF(C97="SEC LENDING","Sec. Lending",IF(C97="REDEMPTION","Redemption",IF(C97="DISTRIBUTION","Distribution",IF(ISNUMBER(SEARCH("Rimborso",'Statements (Raw)'!D95)),"Redemption",IF(ISNUMBER(SEARCH("Cedola",'Statements (Raw)'!D95)),"Coupon",IF(ISNUMBER(SEARCH("Incasso Dividendi",'Statements (Raw)'!D95)),"Dividend",IF(ISNUMBER(SEARCH("Provento Etf",'Statements (Raw)'!D95)),"Distribution",IF(ISNUMBER(SEARCH("Rit.provento",'Statements (Raw)'!D95)),"Tax",IF(ISNUMBER(SEARCH("Ratei Pass",'Statements (Raw)'!D95)),"Accrued Int.",IF(ISNUMBER(SEARCH("Interessi Prest",'Statements (Raw)'!D95)),"Sec. Lending",IF('Statements (Raw)'!G95="","Other",IF('Statements (Raw)'!G95&gt;0,"Buy","Sell"))))))))))))))))))))))</f>
        <v>Buy</v>
      </c>
      <c r="E97" s="6" t="str">
        <f t="shared" si="2"/>
        <v>ETF/ETC</v>
      </c>
      <c r="F97" s="8">
        <f>IF(A97="","",IF('Statements (Raw)'!E95="","",'Statements (Raw)'!E95))</f>
        <v>29.285</v>
      </c>
      <c r="G97" s="6" t="str">
        <f>IF(A97="","",IF('Statements (Raw)'!F95="","",'Statements (Raw)'!F95))</f>
        <v>EUR</v>
      </c>
      <c r="H97" s="9">
        <f>IF(A97="","",IF('Statements (Raw)'!G95="","",'Statements (Raw)'!G95))</f>
        <v>17</v>
      </c>
      <c r="I97" s="10">
        <f>IF(A97="","",IF('Statements (Raw)'!H95="","",'Statements (Raw)'!H95))</f>
        <v>-497.85</v>
      </c>
      <c r="J97" s="10">
        <f>IF(A97="",0,IF('Statements (Raw)'!I95="",0,'Statements (Raw)'!I95))</f>
        <v>0</v>
      </c>
      <c r="K97" s="10">
        <f t="shared" si="3"/>
        <v>-497.85</v>
      </c>
    </row>
    <row r="98" spans="1:11" x14ac:dyDescent="0.3">
      <c r="A98" s="171">
        <f>IF(OR('Statements (Raw)'!A96="",'Statements (Raw)'!A96&gt;Holdings!$G$3),"",'Statements (Raw)'!A96)</f>
        <v>45870</v>
      </c>
      <c r="B98" s="7">
        <f>IF(A98="","",IF('Statements (Raw)'!B96="","",'Statements (Raw)'!B96))</f>
        <v>45869</v>
      </c>
      <c r="C98" s="6" t="str">
        <f>IF(A98="","",IF('Statements (Raw)'!C96&lt;&gt;"",'Statements (Raw)'!C96,IF(ISNUMBER(SEARCH("Conferimento",'Statements (Raw)'!D96)),"CASH DEPOSIT",IF(ISNUMBER(SEARCH("Prelievo",'Statements (Raw)'!D96)),"CASH WITHDRAWAL",IF(ISNUMBER(SEARCH("Bollo",'Statements (Raw)'!D96)),"STAMP DUTY",IF(ISNUMBER(SEARCH("Tobin Tax",'Statements (Raw)'!D96)),"TOBIN TAX",IF(ISNUMBER(SEARCH("Rit.provento",'Statements (Raw)'!D96)),"WITHHOLDING TAX",IF(ISNUMBER(SEARCH("Incasso Dividendi",'Statements (Raw)'!D96)),"DIVIDEND",IF(ISNUMBER(SEARCH("Cedola",'Statements (Raw)'!D96)),"COUPON",IF(ISNUMBER(SEARCH("Ratei Pass",'Statements (Raw)'!D96)),"ACCRUED INT",IF(ISNUMBER(SEARCH("Interessi Prest",'Statements (Raw)'!D96)),"SEC LENDING",IF(ISNUMBER(SEARCH("Rimborso",'Statements (Raw)'!D96)),"REDEMPTION",IF(ISNUMBER(SEARCH("Provento",'Statements (Raw)'!D96)),"DISTRIBUTION","OTHER")))))))))))))</f>
        <v>SANLORENZO</v>
      </c>
      <c r="D98" s="6" t="str">
        <f>IF(A98="","",IF(C98="Saldo Iniziale","Balance",IF(C98="CASH DEPOSIT","Deposit",IF(C98="CASH WITHDRAWAL","Withdrawal",IF(C98="STAMP DUTY","Tax",IF(C98="TOBIN TAX","Tax",IF(C98="WITHHOLDING TAX","Tax",IF(C98="DIVIDEND","Dividend",IF(C98="COUPON","Coupon",IF(C98="ACCRUED INT","Accrued Int.",IF(C98="SEC LENDING","Sec. Lending",IF(C98="REDEMPTION","Redemption",IF(C98="DISTRIBUTION","Distribution",IF(ISNUMBER(SEARCH("Rimborso",'Statements (Raw)'!D96)),"Redemption",IF(ISNUMBER(SEARCH("Cedola",'Statements (Raw)'!D96)),"Coupon",IF(ISNUMBER(SEARCH("Incasso Dividendi",'Statements (Raw)'!D96)),"Dividend",IF(ISNUMBER(SEARCH("Provento Etf",'Statements (Raw)'!D96)),"Distribution",IF(ISNUMBER(SEARCH("Rit.provento",'Statements (Raw)'!D96)),"Tax",IF(ISNUMBER(SEARCH("Ratei Pass",'Statements (Raw)'!D96)),"Accrued Int.",IF(ISNUMBER(SEARCH("Interessi Prest",'Statements (Raw)'!D96)),"Sec. Lending",IF('Statements (Raw)'!G96="","Other",IF('Statements (Raw)'!G96&gt;0,"Buy","Sell"))))))))))))))))))))))</f>
        <v>Sec. Lending</v>
      </c>
      <c r="E98" s="6" t="str">
        <f t="shared" si="2"/>
        <v>Income</v>
      </c>
      <c r="F98" s="8" t="str">
        <f>IF(A98="","",IF('Statements (Raw)'!E96="","",'Statements (Raw)'!E96))</f>
        <v/>
      </c>
      <c r="G98" s="6" t="str">
        <f>IF(A98="","",IF('Statements (Raw)'!F96="","",'Statements (Raw)'!F96))</f>
        <v/>
      </c>
      <c r="H98" s="9" t="str">
        <f>IF(A98="","",IF('Statements (Raw)'!G96="","",'Statements (Raw)'!G96))</f>
        <v/>
      </c>
      <c r="I98" s="10">
        <f>IF(A98="","",IF('Statements (Raw)'!H96="","",'Statements (Raw)'!H96))</f>
        <v>7.47</v>
      </c>
      <c r="J98" s="10">
        <f>IF(A98="",0,IF('Statements (Raw)'!I96="",0,'Statements (Raw)'!I96))</f>
        <v>0</v>
      </c>
      <c r="K98" s="10">
        <f t="shared" si="3"/>
        <v>7.47</v>
      </c>
    </row>
    <row r="99" spans="1:11" x14ac:dyDescent="0.3">
      <c r="A99" s="171">
        <f>IF(OR('Statements (Raw)'!A97="",'Statements (Raw)'!A97&gt;Holdings!$G$3),"",'Statements (Raw)'!A97)</f>
        <v>45870</v>
      </c>
      <c r="B99" s="7">
        <f>IF(A99="","",IF('Statements (Raw)'!B97="","",'Statements (Raw)'!B97))</f>
        <v>45869</v>
      </c>
      <c r="C99" s="6" t="str">
        <f>IF(A99="","",IF('Statements (Raw)'!C97&lt;&gt;"",'Statements (Raw)'!C97,IF(ISNUMBER(SEARCH("Conferimento",'Statements (Raw)'!D97)),"CASH DEPOSIT",IF(ISNUMBER(SEARCH("Prelievo",'Statements (Raw)'!D97)),"CASH WITHDRAWAL",IF(ISNUMBER(SEARCH("Bollo",'Statements (Raw)'!D97)),"STAMP DUTY",IF(ISNUMBER(SEARCH("Tobin Tax",'Statements (Raw)'!D97)),"TOBIN TAX",IF(ISNUMBER(SEARCH("Rit.provento",'Statements (Raw)'!D97)),"WITHHOLDING TAX",IF(ISNUMBER(SEARCH("Incasso Dividendi",'Statements (Raw)'!D97)),"DIVIDEND",IF(ISNUMBER(SEARCH("Cedola",'Statements (Raw)'!D97)),"COUPON",IF(ISNUMBER(SEARCH("Ratei Pass",'Statements (Raw)'!D97)),"ACCRUED INT",IF(ISNUMBER(SEARCH("Interessi Prest",'Statements (Raw)'!D97)),"SEC LENDING",IF(ISNUMBER(SEARCH("Rimborso",'Statements (Raw)'!D97)),"REDEMPTION",IF(ISNUMBER(SEARCH("Provento",'Statements (Raw)'!D97)),"DISTRIBUTION","OTHER")))))))))))))</f>
        <v>BOT ZC DEC25 A EUR</v>
      </c>
      <c r="D99" s="6" t="str">
        <f>IF(A99="","",IF(C99="Saldo Iniziale","Balance",IF(C99="CASH DEPOSIT","Deposit",IF(C99="CASH WITHDRAWAL","Withdrawal",IF(C99="STAMP DUTY","Tax",IF(C99="TOBIN TAX","Tax",IF(C99="WITHHOLDING TAX","Tax",IF(C99="DIVIDEND","Dividend",IF(C99="COUPON","Coupon",IF(C99="ACCRUED INT","Accrued Int.",IF(C99="SEC LENDING","Sec. Lending",IF(C99="REDEMPTION","Redemption",IF(C99="DISTRIBUTION","Distribution",IF(ISNUMBER(SEARCH("Rimborso",'Statements (Raw)'!D97)),"Redemption",IF(ISNUMBER(SEARCH("Cedola",'Statements (Raw)'!D97)),"Coupon",IF(ISNUMBER(SEARCH("Incasso Dividendi",'Statements (Raw)'!D97)),"Dividend",IF(ISNUMBER(SEARCH("Provento Etf",'Statements (Raw)'!D97)),"Distribution",IF(ISNUMBER(SEARCH("Rit.provento",'Statements (Raw)'!D97)),"Tax",IF(ISNUMBER(SEARCH("Ratei Pass",'Statements (Raw)'!D97)),"Accrued Int.",IF(ISNUMBER(SEARCH("Interessi Prest",'Statements (Raw)'!D97)),"Sec. Lending",IF('Statements (Raw)'!G97="","Other",IF('Statements (Raw)'!G97&gt;0,"Buy","Sell"))))))))))))))))))))))</f>
        <v>Sec. Lending</v>
      </c>
      <c r="E99" s="6" t="str">
        <f t="shared" si="2"/>
        <v>Income</v>
      </c>
      <c r="F99" s="8" t="str">
        <f>IF(A99="","",IF('Statements (Raw)'!E97="","",'Statements (Raw)'!E97))</f>
        <v/>
      </c>
      <c r="G99" s="6" t="str">
        <f>IF(A99="","",IF('Statements (Raw)'!F97="","",'Statements (Raw)'!F97))</f>
        <v/>
      </c>
      <c r="H99" s="9" t="str">
        <f>IF(A99="","",IF('Statements (Raw)'!G97="","",'Statements (Raw)'!G97))</f>
        <v/>
      </c>
      <c r="I99" s="10">
        <f>IF(A99="","",IF('Statements (Raw)'!H97="","",'Statements (Raw)'!H97))</f>
        <v>1.08</v>
      </c>
      <c r="J99" s="10">
        <f>IF(A99="",0,IF('Statements (Raw)'!I97="",0,'Statements (Raw)'!I97))</f>
        <v>0</v>
      </c>
      <c r="K99" s="10">
        <f t="shared" si="3"/>
        <v>1.08</v>
      </c>
    </row>
    <row r="100" spans="1:11" x14ac:dyDescent="0.3">
      <c r="A100" s="171">
        <f>IF(OR('Statements (Raw)'!A98="",'Statements (Raw)'!A98&gt;Holdings!$G$3),"",'Statements (Raw)'!A98)</f>
        <v>45875</v>
      </c>
      <c r="B100" s="7">
        <f>IF(A100="","",IF('Statements (Raw)'!B98="","",'Statements (Raw)'!B98))</f>
        <v>45875</v>
      </c>
      <c r="C100" s="6" t="str">
        <f>IF(A100="","",IF('Statements (Raw)'!C98&lt;&gt;"",'Statements (Raw)'!C98,IF(ISNUMBER(SEARCH("Conferimento",'Statements (Raw)'!D98)),"CASH DEPOSIT",IF(ISNUMBER(SEARCH("Prelievo",'Statements (Raw)'!D98)),"CASH WITHDRAWAL",IF(ISNUMBER(SEARCH("Bollo",'Statements (Raw)'!D98)),"STAMP DUTY",IF(ISNUMBER(SEARCH("Tobin Tax",'Statements (Raw)'!D98)),"TOBIN TAX",IF(ISNUMBER(SEARCH("Rit.provento",'Statements (Raw)'!D98)),"WITHHOLDING TAX",IF(ISNUMBER(SEARCH("Incasso Dividendi",'Statements (Raw)'!D98)),"DIVIDEND",IF(ISNUMBER(SEARCH("Cedola",'Statements (Raw)'!D98)),"COUPON",IF(ISNUMBER(SEARCH("Ratei Pass",'Statements (Raw)'!D98)),"ACCRUED INT",IF(ISNUMBER(SEARCH("Interessi Prest",'Statements (Raw)'!D98)),"SEC LENDING",IF(ISNUMBER(SEARCH("Rimborso",'Statements (Raw)'!D98)),"REDEMPTION",IF(ISNUMBER(SEARCH("Provento",'Statements (Raw)'!D98)),"DISTRIBUTION","OTHER")))))))))))))</f>
        <v>ASML HOLDING NV</v>
      </c>
      <c r="D100" s="6" t="str">
        <f>IF(A100="","",IF(C100="Saldo Iniziale","Balance",IF(C100="CASH DEPOSIT","Deposit",IF(C100="CASH WITHDRAWAL","Withdrawal",IF(C100="STAMP DUTY","Tax",IF(C100="TOBIN TAX","Tax",IF(C100="WITHHOLDING TAX","Tax",IF(C100="DIVIDEND","Dividend",IF(C100="COUPON","Coupon",IF(C100="ACCRUED INT","Accrued Int.",IF(C100="SEC LENDING","Sec. Lending",IF(C100="REDEMPTION","Redemption",IF(C100="DISTRIBUTION","Distribution",IF(ISNUMBER(SEARCH("Rimborso",'Statements (Raw)'!D98)),"Redemption",IF(ISNUMBER(SEARCH("Cedola",'Statements (Raw)'!D98)),"Coupon",IF(ISNUMBER(SEARCH("Incasso Dividendi",'Statements (Raw)'!D98)),"Dividend",IF(ISNUMBER(SEARCH("Provento Etf",'Statements (Raw)'!D98)),"Distribution",IF(ISNUMBER(SEARCH("Rit.provento",'Statements (Raw)'!D98)),"Tax",IF(ISNUMBER(SEARCH("Ratei Pass",'Statements (Raw)'!D98)),"Accrued Int.",IF(ISNUMBER(SEARCH("Interessi Prest",'Statements (Raw)'!D98)),"Sec. Lending",IF('Statements (Raw)'!G98="","Other",IF('Statements (Raw)'!G98&gt;0,"Buy","Sell"))))))))))))))))))))))</f>
        <v>Dividend</v>
      </c>
      <c r="E100" s="6" t="str">
        <f t="shared" si="2"/>
        <v>Income</v>
      </c>
      <c r="F100" s="8" t="str">
        <f>IF(A100="","",IF('Statements (Raw)'!E98="","",'Statements (Raw)'!E98))</f>
        <v/>
      </c>
      <c r="G100" s="6" t="str">
        <f>IF(A100="","",IF('Statements (Raw)'!F98="","",'Statements (Raw)'!F98))</f>
        <v/>
      </c>
      <c r="H100" s="9" t="str">
        <f>IF(A100="","",IF('Statements (Raw)'!G98="","",'Statements (Raw)'!G98))</f>
        <v/>
      </c>
      <c r="I100" s="10">
        <f>IF(A100="","",IF('Statements (Raw)'!H98="","",'Statements (Raw)'!H98))</f>
        <v>27.2</v>
      </c>
      <c r="J100" s="10">
        <f>IF(A100="",0,IF('Statements (Raw)'!I98="",0,'Statements (Raw)'!I98))</f>
        <v>0</v>
      </c>
      <c r="K100" s="10">
        <f t="shared" si="3"/>
        <v>27.2</v>
      </c>
    </row>
    <row r="101" spans="1:11" x14ac:dyDescent="0.3">
      <c r="A101" s="171">
        <f>IF(OR('Statements (Raw)'!A99="",'Statements (Raw)'!A99&gt;Holdings!$G$3),"",'Statements (Raw)'!A99)</f>
        <v>45877</v>
      </c>
      <c r="B101" s="7">
        <f>IF(A101="","",IF('Statements (Raw)'!B99="","",'Statements (Raw)'!B99))</f>
        <v>45881</v>
      </c>
      <c r="C101" s="6" t="str">
        <f>IF(A101="","",IF('Statements (Raw)'!C99&lt;&gt;"",'Statements (Raw)'!C99,IF(ISNUMBER(SEARCH("Conferimento",'Statements (Raw)'!D99)),"CASH DEPOSIT",IF(ISNUMBER(SEARCH("Prelievo",'Statements (Raw)'!D99)),"CASH WITHDRAWAL",IF(ISNUMBER(SEARCH("Bollo",'Statements (Raw)'!D99)),"STAMP DUTY",IF(ISNUMBER(SEARCH("Tobin Tax",'Statements (Raw)'!D99)),"TOBIN TAX",IF(ISNUMBER(SEARCH("Rit.provento",'Statements (Raw)'!D99)),"WITHHOLDING TAX",IF(ISNUMBER(SEARCH("Incasso Dividendi",'Statements (Raw)'!D99)),"DIVIDEND",IF(ISNUMBER(SEARCH("Cedola",'Statements (Raw)'!D99)),"COUPON",IF(ISNUMBER(SEARCH("Ratei Pass",'Statements (Raw)'!D99)),"ACCRUED INT",IF(ISNUMBER(SEARCH("Interessi Prest",'Statements (Raw)'!D99)),"SEC LENDING",IF(ISNUMBER(SEARCH("Rimborso",'Statements (Raw)'!D99)),"REDEMPTION",IF(ISNUMBER(SEARCH("Provento",'Statements (Raw)'!D99)),"DISTRIBUTION","OTHER")))))))))))))</f>
        <v>Bitwise Physical Bitcoin ETP</v>
      </c>
      <c r="D101" s="6" t="str">
        <f>IF(A101="","",IF(C101="Saldo Iniziale","Balance",IF(C101="CASH DEPOSIT","Deposit",IF(C101="CASH WITHDRAWAL","Withdrawal",IF(C101="STAMP DUTY","Tax",IF(C101="TOBIN TAX","Tax",IF(C101="WITHHOLDING TAX","Tax",IF(C101="DIVIDEND","Dividend",IF(C101="COUPON","Coupon",IF(C101="ACCRUED INT","Accrued Int.",IF(C101="SEC LENDING","Sec. Lending",IF(C101="REDEMPTION","Redemption",IF(C101="DISTRIBUTION","Distribution",IF(ISNUMBER(SEARCH("Rimborso",'Statements (Raw)'!D99)),"Redemption",IF(ISNUMBER(SEARCH("Cedola",'Statements (Raw)'!D99)),"Coupon",IF(ISNUMBER(SEARCH("Incasso Dividendi",'Statements (Raw)'!D99)),"Dividend",IF(ISNUMBER(SEARCH("Provento Etf",'Statements (Raw)'!D99)),"Distribution",IF(ISNUMBER(SEARCH("Rit.provento",'Statements (Raw)'!D99)),"Tax",IF(ISNUMBER(SEARCH("Ratei Pass",'Statements (Raw)'!D99)),"Accrued Int.",IF(ISNUMBER(SEARCH("Interessi Prest",'Statements (Raw)'!D99)),"Sec. Lending",IF('Statements (Raw)'!G99="","Other",IF('Statements (Raw)'!G99&gt;0,"Buy","Sell"))))))))))))))))))))))</f>
        <v>Buy</v>
      </c>
      <c r="E101" s="6" t="str">
        <f t="shared" si="2"/>
        <v>Crypto ETP</v>
      </c>
      <c r="F101" s="8">
        <f>IF(A101="","",IF('Statements (Raw)'!E99="","",'Statements (Raw)'!E99))</f>
        <v>90.25</v>
      </c>
      <c r="G101" s="6" t="str">
        <f>IF(A101="","",IF('Statements (Raw)'!F99="","",'Statements (Raw)'!F99))</f>
        <v>EUR</v>
      </c>
      <c r="H101" s="9">
        <f>IF(A101="","",IF('Statements (Raw)'!G99="","",'Statements (Raw)'!G99))</f>
        <v>10</v>
      </c>
      <c r="I101" s="10">
        <f>IF(A101="","",IF('Statements (Raw)'!H99="","",'Statements (Raw)'!H99))</f>
        <v>-902.5</v>
      </c>
      <c r="J101" s="10">
        <f>IF(A101="",0,IF('Statements (Raw)'!I99="",0,'Statements (Raw)'!I99))</f>
        <v>0</v>
      </c>
      <c r="K101" s="10">
        <f t="shared" si="3"/>
        <v>-902.5</v>
      </c>
    </row>
    <row r="102" spans="1:11" x14ac:dyDescent="0.3">
      <c r="A102" s="171">
        <f>IF(OR('Statements (Raw)'!A100="",'Statements (Raw)'!A100&gt;Holdings!$G$3),"",'Statements (Raw)'!A100)</f>
        <v>45877</v>
      </c>
      <c r="B102" s="7">
        <f>IF(A102="","",IF('Statements (Raw)'!B100="","",'Statements (Raw)'!B100))</f>
        <v>45881</v>
      </c>
      <c r="C102" s="6" t="str">
        <f>IF(A102="","",IF('Statements (Raw)'!C100&lt;&gt;"",'Statements (Raw)'!C100,IF(ISNUMBER(SEARCH("Conferimento",'Statements (Raw)'!D100)),"CASH DEPOSIT",IF(ISNUMBER(SEARCH("Prelievo",'Statements (Raw)'!D100)),"CASH WITHDRAWAL",IF(ISNUMBER(SEARCH("Bollo",'Statements (Raw)'!D100)),"STAMP DUTY",IF(ISNUMBER(SEARCH("Tobin Tax",'Statements (Raw)'!D100)),"TOBIN TAX",IF(ISNUMBER(SEARCH("Rit.provento",'Statements (Raw)'!D100)),"WITHHOLDING TAX",IF(ISNUMBER(SEARCH("Incasso Dividendi",'Statements (Raw)'!D100)),"DIVIDEND",IF(ISNUMBER(SEARCH("Cedola",'Statements (Raw)'!D100)),"COUPON",IF(ISNUMBER(SEARCH("Ratei Pass",'Statements (Raw)'!D100)),"ACCRUED INT",IF(ISNUMBER(SEARCH("Interessi Prest",'Statements (Raw)'!D100)),"SEC LENDING",IF(ISNUMBER(SEARCH("Rimborso",'Statements (Raw)'!D100)),"REDEMPTION",IF(ISNUMBER(SEARCH("Provento",'Statements (Raw)'!D100)),"DISTRIBUTION","OTHER")))))))))))))</f>
        <v>Bitwise Ethereum Staking ETP</v>
      </c>
      <c r="D102" s="6" t="str">
        <f>IF(A102="","",IF(C102="Saldo Iniziale","Balance",IF(C102="CASH DEPOSIT","Deposit",IF(C102="CASH WITHDRAWAL","Withdrawal",IF(C102="STAMP DUTY","Tax",IF(C102="TOBIN TAX","Tax",IF(C102="WITHHOLDING TAX","Tax",IF(C102="DIVIDEND","Dividend",IF(C102="COUPON","Coupon",IF(C102="ACCRUED INT","Accrued Int.",IF(C102="SEC LENDING","Sec. Lending",IF(C102="REDEMPTION","Redemption",IF(C102="DISTRIBUTION","Distribution",IF(ISNUMBER(SEARCH("Rimborso",'Statements (Raw)'!D100)),"Redemption",IF(ISNUMBER(SEARCH("Cedola",'Statements (Raw)'!D100)),"Coupon",IF(ISNUMBER(SEARCH("Incasso Dividendi",'Statements (Raw)'!D100)),"Dividend",IF(ISNUMBER(SEARCH("Provento Etf",'Statements (Raw)'!D100)),"Distribution",IF(ISNUMBER(SEARCH("Rit.provento",'Statements (Raw)'!D100)),"Tax",IF(ISNUMBER(SEARCH("Ratei Pass",'Statements (Raw)'!D100)),"Accrued Int.",IF(ISNUMBER(SEARCH("Interessi Prest",'Statements (Raw)'!D100)),"Sec. Lending",IF('Statements (Raw)'!G100="","Other",IF('Statements (Raw)'!G100&gt;0,"Buy","Sell"))))))))))))))))))))))</f>
        <v>Buy</v>
      </c>
      <c r="E102" s="6" t="str">
        <f t="shared" si="2"/>
        <v>Crypto ETP</v>
      </c>
      <c r="F102" s="8">
        <f>IF(A102="","",IF('Statements (Raw)'!E100="","",'Statements (Raw)'!E100))</f>
        <v>6.8540000000000001</v>
      </c>
      <c r="G102" s="6" t="str">
        <f>IF(A102="","",IF('Statements (Raw)'!F100="","",'Statements (Raw)'!F100))</f>
        <v>EUR</v>
      </c>
      <c r="H102" s="9">
        <f>IF(A102="","",IF('Statements (Raw)'!G100="","",'Statements (Raw)'!G100))</f>
        <v>100</v>
      </c>
      <c r="I102" s="10">
        <f>IF(A102="","",IF('Statements (Raw)'!H100="","",'Statements (Raw)'!H100))</f>
        <v>-685.4</v>
      </c>
      <c r="J102" s="10">
        <f>IF(A102="",0,IF('Statements (Raw)'!I100="",0,'Statements (Raw)'!I100))</f>
        <v>0</v>
      </c>
      <c r="K102" s="10">
        <f t="shared" si="3"/>
        <v>-685.4</v>
      </c>
    </row>
    <row r="103" spans="1:11" x14ac:dyDescent="0.3">
      <c r="A103" s="171">
        <f>IF(OR('Statements (Raw)'!A101="",'Statements (Raw)'!A101&gt;Holdings!$G$3),"",'Statements (Raw)'!A101)</f>
        <v>45877</v>
      </c>
      <c r="B103" s="7">
        <f>IF(A103="","",IF('Statements (Raw)'!B101="","",'Statements (Raw)'!B101))</f>
        <v>45881</v>
      </c>
      <c r="C103" s="6" t="str">
        <f>IF(A103="","",IF('Statements (Raw)'!C101&lt;&gt;"",'Statements (Raw)'!C101,IF(ISNUMBER(SEARCH("Conferimento",'Statements (Raw)'!D101)),"CASH DEPOSIT",IF(ISNUMBER(SEARCH("Prelievo",'Statements (Raw)'!D101)),"CASH WITHDRAWAL",IF(ISNUMBER(SEARCH("Bollo",'Statements (Raw)'!D101)),"STAMP DUTY",IF(ISNUMBER(SEARCH("Tobin Tax",'Statements (Raw)'!D101)),"TOBIN TAX",IF(ISNUMBER(SEARCH("Rit.provento",'Statements (Raw)'!D101)),"WITHHOLDING TAX",IF(ISNUMBER(SEARCH("Incasso Dividendi",'Statements (Raw)'!D101)),"DIVIDEND",IF(ISNUMBER(SEARCH("Cedola",'Statements (Raw)'!D101)),"COUPON",IF(ISNUMBER(SEARCH("Ratei Pass",'Statements (Raw)'!D101)),"ACCRUED INT",IF(ISNUMBER(SEARCH("Interessi Prest",'Statements (Raw)'!D101)),"SEC LENDING",IF(ISNUMBER(SEARCH("Rimborso",'Statements (Raw)'!D101)),"REDEMPTION",IF(ISNUMBER(SEARCH("Provento",'Statements (Raw)'!D101)),"DISTRIBUTION","OTHER")))))))))))))</f>
        <v>Bitwise Physical Bitcoin ETP</v>
      </c>
      <c r="D103" s="6" t="str">
        <f>IF(A103="","",IF(C103="Saldo Iniziale","Balance",IF(C103="CASH DEPOSIT","Deposit",IF(C103="CASH WITHDRAWAL","Withdrawal",IF(C103="STAMP DUTY","Tax",IF(C103="TOBIN TAX","Tax",IF(C103="WITHHOLDING TAX","Tax",IF(C103="DIVIDEND","Dividend",IF(C103="COUPON","Coupon",IF(C103="ACCRUED INT","Accrued Int.",IF(C103="SEC LENDING","Sec. Lending",IF(C103="REDEMPTION","Redemption",IF(C103="DISTRIBUTION","Distribution",IF(ISNUMBER(SEARCH("Rimborso",'Statements (Raw)'!D101)),"Redemption",IF(ISNUMBER(SEARCH("Cedola",'Statements (Raw)'!D101)),"Coupon",IF(ISNUMBER(SEARCH("Incasso Dividendi",'Statements (Raw)'!D101)),"Dividend",IF(ISNUMBER(SEARCH("Provento Etf",'Statements (Raw)'!D101)),"Distribution",IF(ISNUMBER(SEARCH("Rit.provento",'Statements (Raw)'!D101)),"Tax",IF(ISNUMBER(SEARCH("Ratei Pass",'Statements (Raw)'!D101)),"Accrued Int.",IF(ISNUMBER(SEARCH("Interessi Prest",'Statements (Raw)'!D101)),"Sec. Lending",IF('Statements (Raw)'!G101="","Other",IF('Statements (Raw)'!G101&gt;0,"Buy","Sell"))))))))))))))))))))))</f>
        <v>Buy</v>
      </c>
      <c r="E103" s="6" t="str">
        <f t="shared" si="2"/>
        <v>Crypto ETP</v>
      </c>
      <c r="F103" s="8">
        <f>IF(A103="","",IF('Statements (Raw)'!E101="","",'Statements (Raw)'!E101))</f>
        <v>90.25</v>
      </c>
      <c r="G103" s="6" t="str">
        <f>IF(A103="","",IF('Statements (Raw)'!F101="","",'Statements (Raw)'!F101))</f>
        <v>EUR</v>
      </c>
      <c r="H103" s="9">
        <f>IF(A103="","",IF('Statements (Raw)'!G101="","",'Statements (Raw)'!G101))</f>
        <v>50</v>
      </c>
      <c r="I103" s="10">
        <f>IF(A103="","",IF('Statements (Raw)'!H101="","",'Statements (Raw)'!H101))</f>
        <v>-4512.5</v>
      </c>
      <c r="J103" s="10">
        <f>IF(A103="",0,IF('Statements (Raw)'!I101="",0,'Statements (Raw)'!I101))</f>
        <v>0</v>
      </c>
      <c r="K103" s="10">
        <f t="shared" si="3"/>
        <v>-4512.5</v>
      </c>
    </row>
    <row r="104" spans="1:11" x14ac:dyDescent="0.3">
      <c r="A104" s="171">
        <f>IF(OR('Statements (Raw)'!A102="",'Statements (Raw)'!A102&gt;Holdings!$G$3),"",'Statements (Raw)'!A102)</f>
        <v>45877</v>
      </c>
      <c r="B104" s="7">
        <f>IF(A104="","",IF('Statements (Raw)'!B102="","",'Statements (Raw)'!B102))</f>
        <v>45881</v>
      </c>
      <c r="C104" s="6" t="str">
        <f>IF(A104="","",IF('Statements (Raw)'!C102&lt;&gt;"",'Statements (Raw)'!C102,IF(ISNUMBER(SEARCH("Conferimento",'Statements (Raw)'!D102)),"CASH DEPOSIT",IF(ISNUMBER(SEARCH("Prelievo",'Statements (Raw)'!D102)),"CASH WITHDRAWAL",IF(ISNUMBER(SEARCH("Bollo",'Statements (Raw)'!D102)),"STAMP DUTY",IF(ISNUMBER(SEARCH("Tobin Tax",'Statements (Raw)'!D102)),"TOBIN TAX",IF(ISNUMBER(SEARCH("Rit.provento",'Statements (Raw)'!D102)),"WITHHOLDING TAX",IF(ISNUMBER(SEARCH("Incasso Dividendi",'Statements (Raw)'!D102)),"DIVIDEND",IF(ISNUMBER(SEARCH("Cedola",'Statements (Raw)'!D102)),"COUPON",IF(ISNUMBER(SEARCH("Ratei Pass",'Statements (Raw)'!D102)),"ACCRUED INT",IF(ISNUMBER(SEARCH("Interessi Prest",'Statements (Raw)'!D102)),"SEC LENDING",IF(ISNUMBER(SEARCH("Rimborso",'Statements (Raw)'!D102)),"REDEMPTION",IF(ISNUMBER(SEARCH("Provento",'Statements (Raw)'!D102)),"DISTRIBUTION","OTHER")))))))))))))</f>
        <v>Bitwise Physical Bitcoin ETP</v>
      </c>
      <c r="D104" s="6" t="str">
        <f>IF(A104="","",IF(C104="Saldo Iniziale","Balance",IF(C104="CASH DEPOSIT","Deposit",IF(C104="CASH WITHDRAWAL","Withdrawal",IF(C104="STAMP DUTY","Tax",IF(C104="TOBIN TAX","Tax",IF(C104="WITHHOLDING TAX","Tax",IF(C104="DIVIDEND","Dividend",IF(C104="COUPON","Coupon",IF(C104="ACCRUED INT","Accrued Int.",IF(C104="SEC LENDING","Sec. Lending",IF(C104="REDEMPTION","Redemption",IF(C104="DISTRIBUTION","Distribution",IF(ISNUMBER(SEARCH("Rimborso",'Statements (Raw)'!D102)),"Redemption",IF(ISNUMBER(SEARCH("Cedola",'Statements (Raw)'!D102)),"Coupon",IF(ISNUMBER(SEARCH("Incasso Dividendi",'Statements (Raw)'!D102)),"Dividend",IF(ISNUMBER(SEARCH("Provento Etf",'Statements (Raw)'!D102)),"Distribution",IF(ISNUMBER(SEARCH("Rit.provento",'Statements (Raw)'!D102)),"Tax",IF(ISNUMBER(SEARCH("Ratei Pass",'Statements (Raw)'!D102)),"Accrued Int.",IF(ISNUMBER(SEARCH("Interessi Prest",'Statements (Raw)'!D102)),"Sec. Lending",IF('Statements (Raw)'!G102="","Other",IF('Statements (Raw)'!G102&gt;0,"Buy","Sell"))))))))))))))))))))))</f>
        <v>Buy</v>
      </c>
      <c r="E104" s="6" t="str">
        <f t="shared" si="2"/>
        <v>Crypto ETP</v>
      </c>
      <c r="F104" s="8">
        <f>IF(A104="","",IF('Statements (Raw)'!E102="","",'Statements (Raw)'!E102))</f>
        <v>90.22</v>
      </c>
      <c r="G104" s="6" t="str">
        <f>IF(A104="","",IF('Statements (Raw)'!F102="","",'Statements (Raw)'!F102))</f>
        <v>EUR</v>
      </c>
      <c r="H104" s="9">
        <f>IF(A104="","",IF('Statements (Raw)'!G102="","",'Statements (Raw)'!G102))</f>
        <v>100</v>
      </c>
      <c r="I104" s="10">
        <f>IF(A104="","",IF('Statements (Raw)'!H102="","",'Statements (Raw)'!H102))</f>
        <v>-9022</v>
      </c>
      <c r="J104" s="10">
        <f>IF(A104="",0,IF('Statements (Raw)'!I102="",0,'Statements (Raw)'!I102))</f>
        <v>0</v>
      </c>
      <c r="K104" s="10">
        <f t="shared" si="3"/>
        <v>-9022</v>
      </c>
    </row>
    <row r="105" spans="1:11" x14ac:dyDescent="0.3">
      <c r="A105" s="171">
        <f>IF(OR('Statements (Raw)'!A103="",'Statements (Raw)'!A103&gt;Holdings!$G$3),"",'Statements (Raw)'!A103)</f>
        <v>45877</v>
      </c>
      <c r="B105" s="7">
        <f>IF(A105="","",IF('Statements (Raw)'!B103="","",'Statements (Raw)'!B103))</f>
        <v>45881</v>
      </c>
      <c r="C105" s="6" t="str">
        <f>IF(A105="","",IF('Statements (Raw)'!C103&lt;&gt;"",'Statements (Raw)'!C103,IF(ISNUMBER(SEARCH("Conferimento",'Statements (Raw)'!D103)),"CASH DEPOSIT",IF(ISNUMBER(SEARCH("Prelievo",'Statements (Raw)'!D103)),"CASH WITHDRAWAL",IF(ISNUMBER(SEARCH("Bollo",'Statements (Raw)'!D103)),"STAMP DUTY",IF(ISNUMBER(SEARCH("Tobin Tax",'Statements (Raw)'!D103)),"TOBIN TAX",IF(ISNUMBER(SEARCH("Rit.provento",'Statements (Raw)'!D103)),"WITHHOLDING TAX",IF(ISNUMBER(SEARCH("Incasso Dividendi",'Statements (Raw)'!D103)),"DIVIDEND",IF(ISNUMBER(SEARCH("Cedola",'Statements (Raw)'!D103)),"COUPON",IF(ISNUMBER(SEARCH("Ratei Pass",'Statements (Raw)'!D103)),"ACCRUED INT",IF(ISNUMBER(SEARCH("Interessi Prest",'Statements (Raw)'!D103)),"SEC LENDING",IF(ISNUMBER(SEARCH("Rimborso",'Statements (Raw)'!D103)),"REDEMPTION",IF(ISNUMBER(SEARCH("Provento",'Statements (Raw)'!D103)),"DISTRIBUTION","OTHER")))))))))))))</f>
        <v>WisdomTree Europe Defence UCIT</v>
      </c>
      <c r="D105" s="6" t="str">
        <f>IF(A105="","",IF(C105="Saldo Iniziale","Balance",IF(C105="CASH DEPOSIT","Deposit",IF(C105="CASH WITHDRAWAL","Withdrawal",IF(C105="STAMP DUTY","Tax",IF(C105="TOBIN TAX","Tax",IF(C105="WITHHOLDING TAX","Tax",IF(C105="DIVIDEND","Dividend",IF(C105="COUPON","Coupon",IF(C105="ACCRUED INT","Accrued Int.",IF(C105="SEC LENDING","Sec. Lending",IF(C105="REDEMPTION","Redemption",IF(C105="DISTRIBUTION","Distribution",IF(ISNUMBER(SEARCH("Rimborso",'Statements (Raw)'!D103)),"Redemption",IF(ISNUMBER(SEARCH("Cedola",'Statements (Raw)'!D103)),"Coupon",IF(ISNUMBER(SEARCH("Incasso Dividendi",'Statements (Raw)'!D103)),"Dividend",IF(ISNUMBER(SEARCH("Provento Etf",'Statements (Raw)'!D103)),"Distribution",IF(ISNUMBER(SEARCH("Rit.provento",'Statements (Raw)'!D103)),"Tax",IF(ISNUMBER(SEARCH("Ratei Pass",'Statements (Raw)'!D103)),"Accrued Int.",IF(ISNUMBER(SEARCH("Interessi Prest",'Statements (Raw)'!D103)),"Sec. Lending",IF('Statements (Raw)'!G103="","Other",IF('Statements (Raw)'!G103&gt;0,"Buy","Sell"))))))))))))))))))))))</f>
        <v>Buy</v>
      </c>
      <c r="E105" s="6" t="str">
        <f t="shared" si="2"/>
        <v>ETF/ETC</v>
      </c>
      <c r="F105" s="8">
        <f>IF(A105="","",IF('Statements (Raw)'!E103="","",'Statements (Raw)'!E103))</f>
        <v>29.15</v>
      </c>
      <c r="G105" s="6" t="str">
        <f>IF(A105="","",IF('Statements (Raw)'!F103="","",'Statements (Raw)'!F103))</f>
        <v>EUR</v>
      </c>
      <c r="H105" s="9">
        <f>IF(A105="","",IF('Statements (Raw)'!G103="","",'Statements (Raw)'!G103))</f>
        <v>34</v>
      </c>
      <c r="I105" s="10">
        <f>IF(A105="","",IF('Statements (Raw)'!H103="","",'Statements (Raw)'!H103))</f>
        <v>-991.1</v>
      </c>
      <c r="J105" s="10">
        <f>IF(A105="",0,IF('Statements (Raw)'!I103="",0,'Statements (Raw)'!I103))</f>
        <v>0</v>
      </c>
      <c r="K105" s="10">
        <f t="shared" si="3"/>
        <v>-991.1</v>
      </c>
    </row>
    <row r="106" spans="1:11" x14ac:dyDescent="0.3">
      <c r="A106" s="171">
        <f>IF(OR('Statements (Raw)'!A104="",'Statements (Raw)'!A104&gt;Holdings!$G$3),"",'Statements (Raw)'!A104)</f>
        <v>45877</v>
      </c>
      <c r="B106" s="7">
        <f>IF(A106="","",IF('Statements (Raw)'!B104="","",'Statements (Raw)'!B104))</f>
        <v>45881</v>
      </c>
      <c r="C106" s="6" t="str">
        <f>IF(A106="","",IF('Statements (Raw)'!C104&lt;&gt;"",'Statements (Raw)'!C104,IF(ISNUMBER(SEARCH("Conferimento",'Statements (Raw)'!D104)),"CASH DEPOSIT",IF(ISNUMBER(SEARCH("Prelievo",'Statements (Raw)'!D104)),"CASH WITHDRAWAL",IF(ISNUMBER(SEARCH("Bollo",'Statements (Raw)'!D104)),"STAMP DUTY",IF(ISNUMBER(SEARCH("Tobin Tax",'Statements (Raw)'!D104)),"TOBIN TAX",IF(ISNUMBER(SEARCH("Rit.provento",'Statements (Raw)'!D104)),"WITHHOLDING TAX",IF(ISNUMBER(SEARCH("Incasso Dividendi",'Statements (Raw)'!D104)),"DIVIDEND",IF(ISNUMBER(SEARCH("Cedola",'Statements (Raw)'!D104)),"COUPON",IF(ISNUMBER(SEARCH("Ratei Pass",'Statements (Raw)'!D104)),"ACCRUED INT",IF(ISNUMBER(SEARCH("Interessi Prest",'Statements (Raw)'!D104)),"SEC LENDING",IF(ISNUMBER(SEARCH("Rimborso",'Statements (Raw)'!D104)),"REDEMPTION",IF(ISNUMBER(SEARCH("Provento",'Statements (Raw)'!D104)),"DISTRIBUTION","OTHER")))))))))))))</f>
        <v>ISHARES FTSE MIB UCITS ETF EUR</v>
      </c>
      <c r="D106" s="6" t="str">
        <f>IF(A106="","",IF(C106="Saldo Iniziale","Balance",IF(C106="CASH DEPOSIT","Deposit",IF(C106="CASH WITHDRAWAL","Withdrawal",IF(C106="STAMP DUTY","Tax",IF(C106="TOBIN TAX","Tax",IF(C106="WITHHOLDING TAX","Tax",IF(C106="DIVIDEND","Dividend",IF(C106="COUPON","Coupon",IF(C106="ACCRUED INT","Accrued Int.",IF(C106="SEC LENDING","Sec. Lending",IF(C106="REDEMPTION","Redemption",IF(C106="DISTRIBUTION","Distribution",IF(ISNUMBER(SEARCH("Rimborso",'Statements (Raw)'!D104)),"Redemption",IF(ISNUMBER(SEARCH("Cedola",'Statements (Raw)'!D104)),"Coupon",IF(ISNUMBER(SEARCH("Incasso Dividendi",'Statements (Raw)'!D104)),"Dividend",IF(ISNUMBER(SEARCH("Provento Etf",'Statements (Raw)'!D104)),"Distribution",IF(ISNUMBER(SEARCH("Rit.provento",'Statements (Raw)'!D104)),"Tax",IF(ISNUMBER(SEARCH("Ratei Pass",'Statements (Raw)'!D104)),"Accrued Int.",IF(ISNUMBER(SEARCH("Interessi Prest",'Statements (Raw)'!D104)),"Sec. Lending",IF('Statements (Raw)'!G104="","Other",IF('Statements (Raw)'!G104&gt;0,"Buy","Sell"))))))))))))))))))))))</f>
        <v>Buy</v>
      </c>
      <c r="E106" s="6" t="str">
        <f t="shared" si="2"/>
        <v>ETF/ETC</v>
      </c>
      <c r="F106" s="8">
        <f>IF(A106="","",IF('Statements (Raw)'!E104="","",'Statements (Raw)'!E104))</f>
        <v>199.02</v>
      </c>
      <c r="G106" s="6" t="str">
        <f>IF(A106="","",IF('Statements (Raw)'!F104="","",'Statements (Raw)'!F104))</f>
        <v>EUR</v>
      </c>
      <c r="H106" s="9">
        <f>IF(A106="","",IF('Statements (Raw)'!G104="","",'Statements (Raw)'!G104))</f>
        <v>12</v>
      </c>
      <c r="I106" s="10">
        <f>IF(A106="","",IF('Statements (Raw)'!H104="","",'Statements (Raw)'!H104))</f>
        <v>-2388.2399999999998</v>
      </c>
      <c r="J106" s="10">
        <f>IF(A106="",0,IF('Statements (Raw)'!I104="",0,'Statements (Raw)'!I104))</f>
        <v>0</v>
      </c>
      <c r="K106" s="10">
        <f t="shared" si="3"/>
        <v>-2388.2399999999998</v>
      </c>
    </row>
    <row r="107" spans="1:11" x14ac:dyDescent="0.3">
      <c r="A107" s="171">
        <f>IF(OR('Statements (Raw)'!A105="",'Statements (Raw)'!A105&gt;Holdings!$G$3),"",'Statements (Raw)'!A105)</f>
        <v>45877</v>
      </c>
      <c r="B107" s="7">
        <f>IF(A107="","",IF('Statements (Raw)'!B105="","",'Statements (Raw)'!B105))</f>
        <v>45881</v>
      </c>
      <c r="C107" s="6" t="str">
        <f>IF(A107="","",IF('Statements (Raw)'!C105&lt;&gt;"",'Statements (Raw)'!C105,IF(ISNUMBER(SEARCH("Conferimento",'Statements (Raw)'!D105)),"CASH DEPOSIT",IF(ISNUMBER(SEARCH("Prelievo",'Statements (Raw)'!D105)),"CASH WITHDRAWAL",IF(ISNUMBER(SEARCH("Bollo",'Statements (Raw)'!D105)),"STAMP DUTY",IF(ISNUMBER(SEARCH("Tobin Tax",'Statements (Raw)'!D105)),"TOBIN TAX",IF(ISNUMBER(SEARCH("Rit.provento",'Statements (Raw)'!D105)),"WITHHOLDING TAX",IF(ISNUMBER(SEARCH("Incasso Dividendi",'Statements (Raw)'!D105)),"DIVIDEND",IF(ISNUMBER(SEARCH("Cedola",'Statements (Raw)'!D105)),"COUPON",IF(ISNUMBER(SEARCH("Ratei Pass",'Statements (Raw)'!D105)),"ACCRUED INT",IF(ISNUMBER(SEARCH("Interessi Prest",'Statements (Raw)'!D105)),"SEC LENDING",IF(ISNUMBER(SEARCH("Rimborso",'Statements (Raw)'!D105)),"REDEMPTION",IF(ISNUMBER(SEARCH("Provento",'Statements (Raw)'!D105)),"DISTRIBUTION","OTHER")))))))))))))</f>
        <v>WISDOMTREE CORE PHYSICAL GOLD</v>
      </c>
      <c r="D107" s="6" t="str">
        <f>IF(A107="","",IF(C107="Saldo Iniziale","Balance",IF(C107="CASH DEPOSIT","Deposit",IF(C107="CASH WITHDRAWAL","Withdrawal",IF(C107="STAMP DUTY","Tax",IF(C107="TOBIN TAX","Tax",IF(C107="WITHHOLDING TAX","Tax",IF(C107="DIVIDEND","Dividend",IF(C107="COUPON","Coupon",IF(C107="ACCRUED INT","Accrued Int.",IF(C107="SEC LENDING","Sec. Lending",IF(C107="REDEMPTION","Redemption",IF(C107="DISTRIBUTION","Distribution",IF(ISNUMBER(SEARCH("Rimborso",'Statements (Raw)'!D105)),"Redemption",IF(ISNUMBER(SEARCH("Cedola",'Statements (Raw)'!D105)),"Coupon",IF(ISNUMBER(SEARCH("Incasso Dividendi",'Statements (Raw)'!D105)),"Dividend",IF(ISNUMBER(SEARCH("Provento Etf",'Statements (Raw)'!D105)),"Distribution",IF(ISNUMBER(SEARCH("Rit.provento",'Statements (Raw)'!D105)),"Tax",IF(ISNUMBER(SEARCH("Ratei Pass",'Statements (Raw)'!D105)),"Accrued Int.",IF(ISNUMBER(SEARCH("Interessi Prest",'Statements (Raw)'!D105)),"Sec. Lending",IF('Statements (Raw)'!G105="","Other",IF('Statements (Raw)'!G105&gt;0,"Buy","Sell"))))))))))))))))))))))</f>
        <v>Buy</v>
      </c>
      <c r="E107" s="6" t="str">
        <f t="shared" si="2"/>
        <v>ETF/ETC</v>
      </c>
      <c r="F107" s="8">
        <f>IF(A107="","",IF('Statements (Raw)'!E105="","",'Statements (Raw)'!E105))</f>
        <v>289.27</v>
      </c>
      <c r="G107" s="6" t="str">
        <f>IF(A107="","",IF('Statements (Raw)'!F105="","",'Statements (Raw)'!F105))</f>
        <v>EUR</v>
      </c>
      <c r="H107" s="9">
        <f>IF(A107="","",IF('Statements (Raw)'!G105="","",'Statements (Raw)'!G105))</f>
        <v>1</v>
      </c>
      <c r="I107" s="10">
        <f>IF(A107="","",IF('Statements (Raw)'!H105="","",'Statements (Raw)'!H105))</f>
        <v>-289.27</v>
      </c>
      <c r="J107" s="10">
        <f>IF(A107="",0,IF('Statements (Raw)'!I105="",0,'Statements (Raw)'!I105))</f>
        <v>0</v>
      </c>
      <c r="K107" s="10">
        <f t="shared" si="3"/>
        <v>-289.27</v>
      </c>
    </row>
    <row r="108" spans="1:11" x14ac:dyDescent="0.3">
      <c r="A108" s="171">
        <f>IF(OR('Statements (Raw)'!A106="",'Statements (Raw)'!A106&gt;Holdings!$G$3),"",'Statements (Raw)'!A106)</f>
        <v>45877</v>
      </c>
      <c r="B108" s="7">
        <f>IF(A108="","",IF('Statements (Raw)'!B106="","",'Statements (Raw)'!B106))</f>
        <v>45881</v>
      </c>
      <c r="C108" s="6" t="str">
        <f>IF(A108="","",IF('Statements (Raw)'!C106&lt;&gt;"",'Statements (Raw)'!C106,IF(ISNUMBER(SEARCH("Conferimento",'Statements (Raw)'!D106)),"CASH DEPOSIT",IF(ISNUMBER(SEARCH("Prelievo",'Statements (Raw)'!D106)),"CASH WITHDRAWAL",IF(ISNUMBER(SEARCH("Bollo",'Statements (Raw)'!D106)),"STAMP DUTY",IF(ISNUMBER(SEARCH("Tobin Tax",'Statements (Raw)'!D106)),"TOBIN TAX",IF(ISNUMBER(SEARCH("Rit.provento",'Statements (Raw)'!D106)),"WITHHOLDING TAX",IF(ISNUMBER(SEARCH("Incasso Dividendi",'Statements (Raw)'!D106)),"DIVIDEND",IF(ISNUMBER(SEARCH("Cedola",'Statements (Raw)'!D106)),"COUPON",IF(ISNUMBER(SEARCH("Ratei Pass",'Statements (Raw)'!D106)),"ACCRUED INT",IF(ISNUMBER(SEARCH("Interessi Prest",'Statements (Raw)'!D106)),"SEC LENDING",IF(ISNUMBER(SEARCH("Rimborso",'Statements (Raw)'!D106)),"REDEMPTION",IF(ISNUMBER(SEARCH("Provento",'Statements (Raw)'!D106)),"DISTRIBUTION","OTHER")))))))))))))</f>
        <v>WISDOMTREE PHYSICAL SILVER</v>
      </c>
      <c r="D108" s="6" t="str">
        <f>IF(A108="","",IF(C108="Saldo Iniziale","Balance",IF(C108="CASH DEPOSIT","Deposit",IF(C108="CASH WITHDRAWAL","Withdrawal",IF(C108="STAMP DUTY","Tax",IF(C108="TOBIN TAX","Tax",IF(C108="WITHHOLDING TAX","Tax",IF(C108="DIVIDEND","Dividend",IF(C108="COUPON","Coupon",IF(C108="ACCRUED INT","Accrued Int.",IF(C108="SEC LENDING","Sec. Lending",IF(C108="REDEMPTION","Redemption",IF(C108="DISTRIBUTION","Distribution",IF(ISNUMBER(SEARCH("Rimborso",'Statements (Raw)'!D106)),"Redemption",IF(ISNUMBER(SEARCH("Cedola",'Statements (Raw)'!D106)),"Coupon",IF(ISNUMBER(SEARCH("Incasso Dividendi",'Statements (Raw)'!D106)),"Dividend",IF(ISNUMBER(SEARCH("Provento Etf",'Statements (Raw)'!D106)),"Distribution",IF(ISNUMBER(SEARCH("Rit.provento",'Statements (Raw)'!D106)),"Tax",IF(ISNUMBER(SEARCH("Ratei Pass",'Statements (Raw)'!D106)),"Accrued Int.",IF(ISNUMBER(SEARCH("Interessi Prest",'Statements (Raw)'!D106)),"Sec. Lending",IF('Statements (Raw)'!G106="","Other",IF('Statements (Raw)'!G106&gt;0,"Buy","Sell"))))))))))))))))))))))</f>
        <v>Buy</v>
      </c>
      <c r="E108" s="6" t="str">
        <f t="shared" si="2"/>
        <v>ETF/ETC</v>
      </c>
      <c r="F108" s="8">
        <f>IF(A108="","",IF('Statements (Raw)'!E106="","",'Statements (Raw)'!E106))</f>
        <v>30.07</v>
      </c>
      <c r="G108" s="6" t="str">
        <f>IF(A108="","",IF('Statements (Raw)'!F106="","",'Statements (Raw)'!F106))</f>
        <v>EUR</v>
      </c>
      <c r="H108" s="9">
        <f>IF(A108="","",IF('Statements (Raw)'!G106="","",'Statements (Raw)'!G106))</f>
        <v>16</v>
      </c>
      <c r="I108" s="10">
        <f>IF(A108="","",IF('Statements (Raw)'!H106="","",'Statements (Raw)'!H106))</f>
        <v>-481.12</v>
      </c>
      <c r="J108" s="10">
        <f>IF(A108="",0,IF('Statements (Raw)'!I106="",0,'Statements (Raw)'!I106))</f>
        <v>0</v>
      </c>
      <c r="K108" s="10">
        <f t="shared" si="3"/>
        <v>-481.12</v>
      </c>
    </row>
    <row r="109" spans="1:11" x14ac:dyDescent="0.3">
      <c r="A109" s="171">
        <f>IF(OR('Statements (Raw)'!A107="",'Statements (Raw)'!A107&gt;Holdings!$G$3),"",'Statements (Raw)'!A107)</f>
        <v>45880</v>
      </c>
      <c r="B109" s="7">
        <f>IF(A109="","",IF('Statements (Raw)'!B107="","",'Statements (Raw)'!B107))</f>
        <v>45882</v>
      </c>
      <c r="C109" s="6" t="str">
        <f>IF(A109="","",IF('Statements (Raw)'!C107&lt;&gt;"",'Statements (Raw)'!C107,IF(ISNUMBER(SEARCH("Conferimento",'Statements (Raw)'!D107)),"CASH DEPOSIT",IF(ISNUMBER(SEARCH("Prelievo",'Statements (Raw)'!D107)),"CASH WITHDRAWAL",IF(ISNUMBER(SEARCH("Bollo",'Statements (Raw)'!D107)),"STAMP DUTY",IF(ISNUMBER(SEARCH("Tobin Tax",'Statements (Raw)'!D107)),"TOBIN TAX",IF(ISNUMBER(SEARCH("Rit.provento",'Statements (Raw)'!D107)),"WITHHOLDING TAX",IF(ISNUMBER(SEARCH("Incasso Dividendi",'Statements (Raw)'!D107)),"DIVIDEND",IF(ISNUMBER(SEARCH("Cedola",'Statements (Raw)'!D107)),"COUPON",IF(ISNUMBER(SEARCH("Ratei Pass",'Statements (Raw)'!D107)),"ACCRUED INT",IF(ISNUMBER(SEARCH("Interessi Prest",'Statements (Raw)'!D107)),"SEC LENDING",IF(ISNUMBER(SEARCH("Rimborso",'Statements (Raw)'!D107)),"REDEMPTION",IF(ISNUMBER(SEARCH("Provento",'Statements (Raw)'!D107)),"DISTRIBUTION","OTHER")))))))))))))</f>
        <v>Bitwise Ethereum Staking ETP</v>
      </c>
      <c r="D109" s="6" t="str">
        <f>IF(A109="","",IF(C109="Saldo Iniziale","Balance",IF(C109="CASH DEPOSIT","Deposit",IF(C109="CASH WITHDRAWAL","Withdrawal",IF(C109="STAMP DUTY","Tax",IF(C109="TOBIN TAX","Tax",IF(C109="WITHHOLDING TAX","Tax",IF(C109="DIVIDEND","Dividend",IF(C109="COUPON","Coupon",IF(C109="ACCRUED INT","Accrued Int.",IF(C109="SEC LENDING","Sec. Lending",IF(C109="REDEMPTION","Redemption",IF(C109="DISTRIBUTION","Distribution",IF(ISNUMBER(SEARCH("Rimborso",'Statements (Raw)'!D107)),"Redemption",IF(ISNUMBER(SEARCH("Cedola",'Statements (Raw)'!D107)),"Coupon",IF(ISNUMBER(SEARCH("Incasso Dividendi",'Statements (Raw)'!D107)),"Dividend",IF(ISNUMBER(SEARCH("Provento Etf",'Statements (Raw)'!D107)),"Distribution",IF(ISNUMBER(SEARCH("Rit.provento",'Statements (Raw)'!D107)),"Tax",IF(ISNUMBER(SEARCH("Ratei Pass",'Statements (Raw)'!D107)),"Accrued Int.",IF(ISNUMBER(SEARCH("Interessi Prest",'Statements (Raw)'!D107)),"Sec. Lending",IF('Statements (Raw)'!G107="","Other",IF('Statements (Raw)'!G107&gt;0,"Buy","Sell"))))))))))))))))))))))</f>
        <v>Buy</v>
      </c>
      <c r="E109" s="6" t="str">
        <f t="shared" si="2"/>
        <v>Crypto ETP</v>
      </c>
      <c r="F109" s="8">
        <f>IF(A109="","",IF('Statements (Raw)'!E107="","",'Statements (Raw)'!E107))</f>
        <v>7.4974999999999996</v>
      </c>
      <c r="G109" s="6" t="str">
        <f>IF(A109="","",IF('Statements (Raw)'!F107="","",'Statements (Raw)'!F107))</f>
        <v>EUR</v>
      </c>
      <c r="H109" s="9">
        <f>IF(A109="","",IF('Statements (Raw)'!G107="","",'Statements (Raw)'!G107))</f>
        <v>200</v>
      </c>
      <c r="I109" s="10">
        <f>IF(A109="","",IF('Statements (Raw)'!H107="","",'Statements (Raw)'!H107))</f>
        <v>-1499.5</v>
      </c>
      <c r="J109" s="10">
        <f>IF(A109="",0,IF('Statements (Raw)'!I107="",0,'Statements (Raw)'!I107))</f>
        <v>0</v>
      </c>
      <c r="K109" s="10">
        <f t="shared" si="3"/>
        <v>-1499.5</v>
      </c>
    </row>
    <row r="110" spans="1:11" x14ac:dyDescent="0.3">
      <c r="A110" s="171">
        <f>IF(OR('Statements (Raw)'!A108="",'Statements (Raw)'!A108&gt;Holdings!$G$3),"",'Statements (Raw)'!A108)</f>
        <v>45880</v>
      </c>
      <c r="B110" s="7">
        <f>IF(A110="","",IF('Statements (Raw)'!B108="","",'Statements (Raw)'!B108))</f>
        <v>45882</v>
      </c>
      <c r="C110" s="6" t="str">
        <f>IF(A110="","",IF('Statements (Raw)'!C108&lt;&gt;"",'Statements (Raw)'!C108,IF(ISNUMBER(SEARCH("Conferimento",'Statements (Raw)'!D108)),"CASH DEPOSIT",IF(ISNUMBER(SEARCH("Prelievo",'Statements (Raw)'!D108)),"CASH WITHDRAWAL",IF(ISNUMBER(SEARCH("Bollo",'Statements (Raw)'!D108)),"STAMP DUTY",IF(ISNUMBER(SEARCH("Tobin Tax",'Statements (Raw)'!D108)),"TOBIN TAX",IF(ISNUMBER(SEARCH("Rit.provento",'Statements (Raw)'!D108)),"WITHHOLDING TAX",IF(ISNUMBER(SEARCH("Incasso Dividendi",'Statements (Raw)'!D108)),"DIVIDEND",IF(ISNUMBER(SEARCH("Cedola",'Statements (Raw)'!D108)),"COUPON",IF(ISNUMBER(SEARCH("Ratei Pass",'Statements (Raw)'!D108)),"ACCRUED INT",IF(ISNUMBER(SEARCH("Interessi Prest",'Statements (Raw)'!D108)),"SEC LENDING",IF(ISNUMBER(SEARCH("Rimborso",'Statements (Raw)'!D108)),"REDEMPTION",IF(ISNUMBER(SEARCH("Provento",'Statements (Raw)'!D108)),"DISTRIBUTION","OTHER")))))))))))))</f>
        <v>BITWISE solana staking ETP</v>
      </c>
      <c r="D110" s="6" t="str">
        <f>IF(A110="","",IF(C110="Saldo Iniziale","Balance",IF(C110="CASH DEPOSIT","Deposit",IF(C110="CASH WITHDRAWAL","Withdrawal",IF(C110="STAMP DUTY","Tax",IF(C110="TOBIN TAX","Tax",IF(C110="WITHHOLDING TAX","Tax",IF(C110="DIVIDEND","Dividend",IF(C110="COUPON","Coupon",IF(C110="ACCRUED INT","Accrued Int.",IF(C110="SEC LENDING","Sec. Lending",IF(C110="REDEMPTION","Redemption",IF(C110="DISTRIBUTION","Distribution",IF(ISNUMBER(SEARCH("Rimborso",'Statements (Raw)'!D108)),"Redemption",IF(ISNUMBER(SEARCH("Cedola",'Statements (Raw)'!D108)),"Coupon",IF(ISNUMBER(SEARCH("Incasso Dividendi",'Statements (Raw)'!D108)),"Dividend",IF(ISNUMBER(SEARCH("Provento Etf",'Statements (Raw)'!D108)),"Distribution",IF(ISNUMBER(SEARCH("Rit.provento",'Statements (Raw)'!D108)),"Tax",IF(ISNUMBER(SEARCH("Ratei Pass",'Statements (Raw)'!D108)),"Accrued Int.",IF(ISNUMBER(SEARCH("Interessi Prest",'Statements (Raw)'!D108)),"Sec. Lending",IF('Statements (Raw)'!G108="","Other",IF('Statements (Raw)'!G108&gt;0,"Buy","Sell"))))))))))))))))))))))</f>
        <v>Buy</v>
      </c>
      <c r="E110" s="6" t="str">
        <f t="shared" si="2"/>
        <v>Crypto ETP</v>
      </c>
      <c r="F110" s="8">
        <f>IF(A110="","",IF('Statements (Raw)'!E108="","",'Statements (Raw)'!E108))</f>
        <v>8.0634999999999994</v>
      </c>
      <c r="G110" s="6" t="str">
        <f>IF(A110="","",IF('Statements (Raw)'!F108="","",'Statements (Raw)'!F108))</f>
        <v>EUR</v>
      </c>
      <c r="H110" s="9">
        <f>IF(A110="","",IF('Statements (Raw)'!G108="","",'Statements (Raw)'!G108))</f>
        <v>200</v>
      </c>
      <c r="I110" s="10">
        <f>IF(A110="","",IF('Statements (Raw)'!H108="","",'Statements (Raw)'!H108))</f>
        <v>-1612.7</v>
      </c>
      <c r="J110" s="10">
        <f>IF(A110="",0,IF('Statements (Raw)'!I108="",0,'Statements (Raw)'!I108))</f>
        <v>0</v>
      </c>
      <c r="K110" s="10">
        <f t="shared" si="3"/>
        <v>-1612.7</v>
      </c>
    </row>
    <row r="111" spans="1:11" x14ac:dyDescent="0.3">
      <c r="A111" s="171">
        <f>IF(OR('Statements (Raw)'!A109="",'Statements (Raw)'!A109&gt;Holdings!$G$3),"",'Statements (Raw)'!A109)</f>
        <v>45881</v>
      </c>
      <c r="B111" s="7">
        <f>IF(A111="","",IF('Statements (Raw)'!B109="","",'Statements (Raw)'!B109))</f>
        <v>45883</v>
      </c>
      <c r="C111" s="6" t="str">
        <f>IF(A111="","",IF('Statements (Raw)'!C109&lt;&gt;"",'Statements (Raw)'!C109,IF(ISNUMBER(SEARCH("Conferimento",'Statements (Raw)'!D109)),"CASH DEPOSIT",IF(ISNUMBER(SEARCH("Prelievo",'Statements (Raw)'!D109)),"CASH WITHDRAWAL",IF(ISNUMBER(SEARCH("Bollo",'Statements (Raw)'!D109)),"STAMP DUTY",IF(ISNUMBER(SEARCH("Tobin Tax",'Statements (Raw)'!D109)),"TOBIN TAX",IF(ISNUMBER(SEARCH("Rit.provento",'Statements (Raw)'!D109)),"WITHHOLDING TAX",IF(ISNUMBER(SEARCH("Incasso Dividendi",'Statements (Raw)'!D109)),"DIVIDEND",IF(ISNUMBER(SEARCH("Cedola",'Statements (Raw)'!D109)),"COUPON",IF(ISNUMBER(SEARCH("Ratei Pass",'Statements (Raw)'!D109)),"ACCRUED INT",IF(ISNUMBER(SEARCH("Interessi Prest",'Statements (Raw)'!D109)),"SEC LENDING",IF(ISNUMBER(SEARCH("Rimborso",'Statements (Raw)'!D109)),"REDEMPTION",IF(ISNUMBER(SEARCH("Provento",'Statements (Raw)'!D109)),"DISTRIBUTION","OTHER")))))))))))))</f>
        <v>BITWISE solana staking ETP</v>
      </c>
      <c r="D111" s="6" t="str">
        <f>IF(A111="","",IF(C111="Saldo Iniziale","Balance",IF(C111="CASH DEPOSIT","Deposit",IF(C111="CASH WITHDRAWAL","Withdrawal",IF(C111="STAMP DUTY","Tax",IF(C111="TOBIN TAX","Tax",IF(C111="WITHHOLDING TAX","Tax",IF(C111="DIVIDEND","Dividend",IF(C111="COUPON","Coupon",IF(C111="ACCRUED INT","Accrued Int.",IF(C111="SEC LENDING","Sec. Lending",IF(C111="REDEMPTION","Redemption",IF(C111="DISTRIBUTION","Distribution",IF(ISNUMBER(SEARCH("Rimborso",'Statements (Raw)'!D109)),"Redemption",IF(ISNUMBER(SEARCH("Cedola",'Statements (Raw)'!D109)),"Coupon",IF(ISNUMBER(SEARCH("Incasso Dividendi",'Statements (Raw)'!D109)),"Dividend",IF(ISNUMBER(SEARCH("Provento Etf",'Statements (Raw)'!D109)),"Distribution",IF(ISNUMBER(SEARCH("Rit.provento",'Statements (Raw)'!D109)),"Tax",IF(ISNUMBER(SEARCH("Ratei Pass",'Statements (Raw)'!D109)),"Accrued Int.",IF(ISNUMBER(SEARCH("Interessi Prest",'Statements (Raw)'!D109)),"Sec. Lending",IF('Statements (Raw)'!G109="","Other",IF('Statements (Raw)'!G109&gt;0,"Buy","Sell"))))))))))))))))))))))</f>
        <v>Buy</v>
      </c>
      <c r="E111" s="6" t="str">
        <f t="shared" si="2"/>
        <v>Crypto ETP</v>
      </c>
      <c r="F111" s="8">
        <f>IF(A111="","",IF('Statements (Raw)'!E109="","",'Statements (Raw)'!E109))</f>
        <v>7.8440000000000003</v>
      </c>
      <c r="G111" s="6" t="str">
        <f>IF(A111="","",IF('Statements (Raw)'!F109="","",'Statements (Raw)'!F109))</f>
        <v>EUR</v>
      </c>
      <c r="H111" s="9">
        <f>IF(A111="","",IF('Statements (Raw)'!G109="","",'Statements (Raw)'!G109))</f>
        <v>200</v>
      </c>
      <c r="I111" s="10">
        <f>IF(A111="","",IF('Statements (Raw)'!H109="","",'Statements (Raw)'!H109))</f>
        <v>-1568.8</v>
      </c>
      <c r="J111" s="10">
        <f>IF(A111="",0,IF('Statements (Raw)'!I109="",0,'Statements (Raw)'!I109))</f>
        <v>0</v>
      </c>
      <c r="K111" s="10">
        <f t="shared" si="3"/>
        <v>-1568.8</v>
      </c>
    </row>
    <row r="112" spans="1:11" x14ac:dyDescent="0.3">
      <c r="A112" s="171">
        <f>IF(OR('Statements (Raw)'!A110="",'Statements (Raw)'!A110&gt;Holdings!$G$3),"",'Statements (Raw)'!A110)</f>
        <v>45881</v>
      </c>
      <c r="B112" s="7">
        <f>IF(A112="","",IF('Statements (Raw)'!B110="","",'Statements (Raw)'!B110))</f>
        <v>45883</v>
      </c>
      <c r="C112" s="6" t="str">
        <f>IF(A112="","",IF('Statements (Raw)'!C110&lt;&gt;"",'Statements (Raw)'!C110,IF(ISNUMBER(SEARCH("Conferimento",'Statements (Raw)'!D110)),"CASH DEPOSIT",IF(ISNUMBER(SEARCH("Prelievo",'Statements (Raw)'!D110)),"CASH WITHDRAWAL",IF(ISNUMBER(SEARCH("Bollo",'Statements (Raw)'!D110)),"STAMP DUTY",IF(ISNUMBER(SEARCH("Tobin Tax",'Statements (Raw)'!D110)),"TOBIN TAX",IF(ISNUMBER(SEARCH("Rit.provento",'Statements (Raw)'!D110)),"WITHHOLDING TAX",IF(ISNUMBER(SEARCH("Incasso Dividendi",'Statements (Raw)'!D110)),"DIVIDEND",IF(ISNUMBER(SEARCH("Cedola",'Statements (Raw)'!D110)),"COUPON",IF(ISNUMBER(SEARCH("Ratei Pass",'Statements (Raw)'!D110)),"ACCRUED INT",IF(ISNUMBER(SEARCH("Interessi Prest",'Statements (Raw)'!D110)),"SEC LENDING",IF(ISNUMBER(SEARCH("Rimborso",'Statements (Raw)'!D110)),"REDEMPTION",IF(ISNUMBER(SEARCH("Provento",'Statements (Raw)'!D110)),"DISTRIBUTION","OTHER")))))))))))))</f>
        <v>Bitwise Ethereum Staking ETP</v>
      </c>
      <c r="D112" s="6" t="str">
        <f>IF(A112="","",IF(C112="Saldo Iniziale","Balance",IF(C112="CASH DEPOSIT","Deposit",IF(C112="CASH WITHDRAWAL","Withdrawal",IF(C112="STAMP DUTY","Tax",IF(C112="TOBIN TAX","Tax",IF(C112="WITHHOLDING TAX","Tax",IF(C112="DIVIDEND","Dividend",IF(C112="COUPON","Coupon",IF(C112="ACCRUED INT","Accrued Int.",IF(C112="SEC LENDING","Sec. Lending",IF(C112="REDEMPTION","Redemption",IF(C112="DISTRIBUTION","Distribution",IF(ISNUMBER(SEARCH("Rimborso",'Statements (Raw)'!D110)),"Redemption",IF(ISNUMBER(SEARCH("Cedola",'Statements (Raw)'!D110)),"Coupon",IF(ISNUMBER(SEARCH("Incasso Dividendi",'Statements (Raw)'!D110)),"Dividend",IF(ISNUMBER(SEARCH("Provento Etf",'Statements (Raw)'!D110)),"Distribution",IF(ISNUMBER(SEARCH("Rit.provento",'Statements (Raw)'!D110)),"Tax",IF(ISNUMBER(SEARCH("Ratei Pass",'Statements (Raw)'!D110)),"Accrued Int.",IF(ISNUMBER(SEARCH("Interessi Prest",'Statements (Raw)'!D110)),"Sec. Lending",IF('Statements (Raw)'!G110="","Other",IF('Statements (Raw)'!G110&gt;0,"Buy","Sell"))))))))))))))))))))))</f>
        <v>Buy</v>
      </c>
      <c r="E112" s="6" t="str">
        <f t="shared" si="2"/>
        <v>Crypto ETP</v>
      </c>
      <c r="F112" s="8">
        <f>IF(A112="","",IF('Statements (Raw)'!E110="","",'Statements (Raw)'!E110))</f>
        <v>7.7164999999999999</v>
      </c>
      <c r="G112" s="6" t="str">
        <f>IF(A112="","",IF('Statements (Raw)'!F110="","",'Statements (Raw)'!F110))</f>
        <v>EUR</v>
      </c>
      <c r="H112" s="9">
        <f>IF(A112="","",IF('Statements (Raw)'!G110="","",'Statements (Raw)'!G110))</f>
        <v>200</v>
      </c>
      <c r="I112" s="10">
        <f>IF(A112="","",IF('Statements (Raw)'!H110="","",'Statements (Raw)'!H110))</f>
        <v>-1543.3</v>
      </c>
      <c r="J112" s="10">
        <f>IF(A112="",0,IF('Statements (Raw)'!I110="",0,'Statements (Raw)'!I110))</f>
        <v>0</v>
      </c>
      <c r="K112" s="10">
        <f t="shared" si="3"/>
        <v>-1543.3</v>
      </c>
    </row>
    <row r="113" spans="1:11" x14ac:dyDescent="0.3">
      <c r="A113" s="171">
        <f>IF(OR('Statements (Raw)'!A111="",'Statements (Raw)'!A111&gt;Holdings!$G$3),"",'Statements (Raw)'!A111)</f>
        <v>45881</v>
      </c>
      <c r="B113" s="7">
        <f>IF(A113="","",IF('Statements (Raw)'!B111="","",'Statements (Raw)'!B111))</f>
        <v>45883</v>
      </c>
      <c r="C113" s="6" t="str">
        <f>IF(A113="","",IF('Statements (Raw)'!C111&lt;&gt;"",'Statements (Raw)'!C111,IF(ISNUMBER(SEARCH("Conferimento",'Statements (Raw)'!D111)),"CASH DEPOSIT",IF(ISNUMBER(SEARCH("Prelievo",'Statements (Raw)'!D111)),"CASH WITHDRAWAL",IF(ISNUMBER(SEARCH("Bollo",'Statements (Raw)'!D111)),"STAMP DUTY",IF(ISNUMBER(SEARCH("Tobin Tax",'Statements (Raw)'!D111)),"TOBIN TAX",IF(ISNUMBER(SEARCH("Rit.provento",'Statements (Raw)'!D111)),"WITHHOLDING TAX",IF(ISNUMBER(SEARCH("Incasso Dividendi",'Statements (Raw)'!D111)),"DIVIDEND",IF(ISNUMBER(SEARCH("Cedola",'Statements (Raw)'!D111)),"COUPON",IF(ISNUMBER(SEARCH("Ratei Pass",'Statements (Raw)'!D111)),"ACCRUED INT",IF(ISNUMBER(SEARCH("Interessi Prest",'Statements (Raw)'!D111)),"SEC LENDING",IF(ISNUMBER(SEARCH("Rimborso",'Statements (Raw)'!D111)),"REDEMPTION",IF(ISNUMBER(SEARCH("Provento",'Statements (Raw)'!D111)),"DISTRIBUTION","OTHER")))))))))))))</f>
        <v>Bitwise Physical Ethereum ETP</v>
      </c>
      <c r="D113" s="6" t="str">
        <f>IF(A113="","",IF(C113="Saldo Iniziale","Balance",IF(C113="CASH DEPOSIT","Deposit",IF(C113="CASH WITHDRAWAL","Withdrawal",IF(C113="STAMP DUTY","Tax",IF(C113="TOBIN TAX","Tax",IF(C113="WITHHOLDING TAX","Tax",IF(C113="DIVIDEND","Dividend",IF(C113="COUPON","Coupon",IF(C113="ACCRUED INT","Accrued Int.",IF(C113="SEC LENDING","Sec. Lending",IF(C113="REDEMPTION","Redemption",IF(C113="DISTRIBUTION","Distribution",IF(ISNUMBER(SEARCH("Rimborso",'Statements (Raw)'!D111)),"Redemption",IF(ISNUMBER(SEARCH("Cedola",'Statements (Raw)'!D111)),"Coupon",IF(ISNUMBER(SEARCH("Incasso Dividendi",'Statements (Raw)'!D111)),"Dividend",IF(ISNUMBER(SEARCH("Provento Etf",'Statements (Raw)'!D111)),"Distribution",IF(ISNUMBER(SEARCH("Rit.provento",'Statements (Raw)'!D111)),"Tax",IF(ISNUMBER(SEARCH("Ratei Pass",'Statements (Raw)'!D111)),"Accrued Int.",IF(ISNUMBER(SEARCH("Interessi Prest",'Statements (Raw)'!D111)),"Sec. Lending",IF('Statements (Raw)'!G111="","Other",IF('Statements (Raw)'!G111&gt;0,"Buy","Sell"))))))))))))))))))))))</f>
        <v>Buy</v>
      </c>
      <c r="E113" s="6" t="str">
        <f t="shared" si="2"/>
        <v>Crypto ETP</v>
      </c>
      <c r="F113" s="8">
        <f>IF(A113="","",IF('Statements (Raw)'!E111="","",'Statements (Raw)'!E111))</f>
        <v>34.950000000000003</v>
      </c>
      <c r="G113" s="6" t="str">
        <f>IF(A113="","",IF('Statements (Raw)'!F111="","",'Statements (Raw)'!F111))</f>
        <v>EUR</v>
      </c>
      <c r="H113" s="9">
        <f>IF(A113="","",IF('Statements (Raw)'!G111="","",'Statements (Raw)'!G111))</f>
        <v>100</v>
      </c>
      <c r="I113" s="10">
        <f>IF(A113="","",IF('Statements (Raw)'!H111="","",'Statements (Raw)'!H111))</f>
        <v>-3495</v>
      </c>
      <c r="J113" s="10">
        <f>IF(A113="",0,IF('Statements (Raw)'!I111="",0,'Statements (Raw)'!I111))</f>
        <v>0</v>
      </c>
      <c r="K113" s="10">
        <f t="shared" si="3"/>
        <v>-3495</v>
      </c>
    </row>
    <row r="114" spans="1:11" x14ac:dyDescent="0.3">
      <c r="A114" s="171">
        <f>IF(OR('Statements (Raw)'!A112="",'Statements (Raw)'!A112&gt;Holdings!$G$3),"",'Statements (Raw)'!A112)</f>
        <v>45881</v>
      </c>
      <c r="B114" s="7">
        <f>IF(A114="","",IF('Statements (Raw)'!B112="","",'Statements (Raw)'!B112))</f>
        <v>45883</v>
      </c>
      <c r="C114" s="6" t="str">
        <f>IF(A114="","",IF('Statements (Raw)'!C112&lt;&gt;"",'Statements (Raw)'!C112,IF(ISNUMBER(SEARCH("Conferimento",'Statements (Raw)'!D112)),"CASH DEPOSIT",IF(ISNUMBER(SEARCH("Prelievo",'Statements (Raw)'!D112)),"CASH WITHDRAWAL",IF(ISNUMBER(SEARCH("Bollo",'Statements (Raw)'!D112)),"STAMP DUTY",IF(ISNUMBER(SEARCH("Tobin Tax",'Statements (Raw)'!D112)),"TOBIN TAX",IF(ISNUMBER(SEARCH("Rit.provento",'Statements (Raw)'!D112)),"WITHHOLDING TAX",IF(ISNUMBER(SEARCH("Incasso Dividendi",'Statements (Raw)'!D112)),"DIVIDEND",IF(ISNUMBER(SEARCH("Cedola",'Statements (Raw)'!D112)),"COUPON",IF(ISNUMBER(SEARCH("Ratei Pass",'Statements (Raw)'!D112)),"ACCRUED INT",IF(ISNUMBER(SEARCH("Interessi Prest",'Statements (Raw)'!D112)),"SEC LENDING",IF(ISNUMBER(SEARCH("Rimborso",'Statements (Raw)'!D112)),"REDEMPTION",IF(ISNUMBER(SEARCH("Provento",'Statements (Raw)'!D112)),"DISTRIBUTION","OTHER")))))))))))))</f>
        <v>Bitwise Ethereum Staking ETP</v>
      </c>
      <c r="D114" s="6" t="str">
        <f>IF(A114="","",IF(C114="Saldo Iniziale","Balance",IF(C114="CASH DEPOSIT","Deposit",IF(C114="CASH WITHDRAWAL","Withdrawal",IF(C114="STAMP DUTY","Tax",IF(C114="TOBIN TAX","Tax",IF(C114="WITHHOLDING TAX","Tax",IF(C114="DIVIDEND","Dividend",IF(C114="COUPON","Coupon",IF(C114="ACCRUED INT","Accrued Int.",IF(C114="SEC LENDING","Sec. Lending",IF(C114="REDEMPTION","Redemption",IF(C114="DISTRIBUTION","Distribution",IF(ISNUMBER(SEARCH("Rimborso",'Statements (Raw)'!D112)),"Redemption",IF(ISNUMBER(SEARCH("Cedola",'Statements (Raw)'!D112)),"Coupon",IF(ISNUMBER(SEARCH("Incasso Dividendi",'Statements (Raw)'!D112)),"Dividend",IF(ISNUMBER(SEARCH("Provento Etf",'Statements (Raw)'!D112)),"Distribution",IF(ISNUMBER(SEARCH("Rit.provento",'Statements (Raw)'!D112)),"Tax",IF(ISNUMBER(SEARCH("Ratei Pass",'Statements (Raw)'!D112)),"Accrued Int.",IF(ISNUMBER(SEARCH("Interessi Prest",'Statements (Raw)'!D112)),"Sec. Lending",IF('Statements (Raw)'!G112="","Other",IF('Statements (Raw)'!G112&gt;0,"Buy","Sell"))))))))))))))))))))))</f>
        <v>Buy</v>
      </c>
      <c r="E114" s="6" t="str">
        <f t="shared" si="2"/>
        <v>Crypto ETP</v>
      </c>
      <c r="F114" s="8">
        <f>IF(A114="","",IF('Statements (Raw)'!E112="","",'Statements (Raw)'!E112))</f>
        <v>7.7154999999999996</v>
      </c>
      <c r="G114" s="6" t="str">
        <f>IF(A114="","",IF('Statements (Raw)'!F112="","",'Statements (Raw)'!F112))</f>
        <v>EUR</v>
      </c>
      <c r="H114" s="9">
        <f>IF(A114="","",IF('Statements (Raw)'!G112="","",'Statements (Raw)'!G112))</f>
        <v>200</v>
      </c>
      <c r="I114" s="10">
        <f>IF(A114="","",IF('Statements (Raw)'!H112="","",'Statements (Raw)'!H112))</f>
        <v>-1543.1</v>
      </c>
      <c r="J114" s="10">
        <f>IF(A114="",0,IF('Statements (Raw)'!I112="",0,'Statements (Raw)'!I112))</f>
        <v>0</v>
      </c>
      <c r="K114" s="10">
        <f t="shared" si="3"/>
        <v>-1543.1</v>
      </c>
    </row>
    <row r="115" spans="1:11" x14ac:dyDescent="0.3">
      <c r="A115" s="171">
        <f>IF(OR('Statements (Raw)'!A113="",'Statements (Raw)'!A113&gt;Holdings!$G$3),"",'Statements (Raw)'!A113)</f>
        <v>45881</v>
      </c>
      <c r="B115" s="7">
        <f>IF(A115="","",IF('Statements (Raw)'!B113="","",'Statements (Raw)'!B113))</f>
        <v>45883</v>
      </c>
      <c r="C115" s="6" t="str">
        <f>IF(A115="","",IF('Statements (Raw)'!C113&lt;&gt;"",'Statements (Raw)'!C113,IF(ISNUMBER(SEARCH("Conferimento",'Statements (Raw)'!D113)),"CASH DEPOSIT",IF(ISNUMBER(SEARCH("Prelievo",'Statements (Raw)'!D113)),"CASH WITHDRAWAL",IF(ISNUMBER(SEARCH("Bollo",'Statements (Raw)'!D113)),"STAMP DUTY",IF(ISNUMBER(SEARCH("Tobin Tax",'Statements (Raw)'!D113)),"TOBIN TAX",IF(ISNUMBER(SEARCH("Rit.provento",'Statements (Raw)'!D113)),"WITHHOLDING TAX",IF(ISNUMBER(SEARCH("Incasso Dividendi",'Statements (Raw)'!D113)),"DIVIDEND",IF(ISNUMBER(SEARCH("Cedola",'Statements (Raw)'!D113)),"COUPON",IF(ISNUMBER(SEARCH("Ratei Pass",'Statements (Raw)'!D113)),"ACCRUED INT",IF(ISNUMBER(SEARCH("Interessi Prest",'Statements (Raw)'!D113)),"SEC LENDING",IF(ISNUMBER(SEARCH("Rimborso",'Statements (Raw)'!D113)),"REDEMPTION",IF(ISNUMBER(SEARCH("Provento",'Statements (Raw)'!D113)),"DISTRIBUTION","OTHER")))))))))))))</f>
        <v>Bitwise Physical Ethereum ETP</v>
      </c>
      <c r="D115" s="6" t="str">
        <f>IF(A115="","",IF(C115="Saldo Iniziale","Balance",IF(C115="CASH DEPOSIT","Deposit",IF(C115="CASH WITHDRAWAL","Withdrawal",IF(C115="STAMP DUTY","Tax",IF(C115="TOBIN TAX","Tax",IF(C115="WITHHOLDING TAX","Tax",IF(C115="DIVIDEND","Dividend",IF(C115="COUPON","Coupon",IF(C115="ACCRUED INT","Accrued Int.",IF(C115="SEC LENDING","Sec. Lending",IF(C115="REDEMPTION","Redemption",IF(C115="DISTRIBUTION","Distribution",IF(ISNUMBER(SEARCH("Rimborso",'Statements (Raw)'!D113)),"Redemption",IF(ISNUMBER(SEARCH("Cedola",'Statements (Raw)'!D113)),"Coupon",IF(ISNUMBER(SEARCH("Incasso Dividendi",'Statements (Raw)'!D113)),"Dividend",IF(ISNUMBER(SEARCH("Provento Etf",'Statements (Raw)'!D113)),"Distribution",IF(ISNUMBER(SEARCH("Rit.provento",'Statements (Raw)'!D113)),"Tax",IF(ISNUMBER(SEARCH("Ratei Pass",'Statements (Raw)'!D113)),"Accrued Int.",IF(ISNUMBER(SEARCH("Interessi Prest",'Statements (Raw)'!D113)),"Sec. Lending",IF('Statements (Raw)'!G113="","Other",IF('Statements (Raw)'!G113&gt;0,"Buy","Sell"))))))))))))))))))))))</f>
        <v>Buy</v>
      </c>
      <c r="E115" s="6" t="str">
        <f t="shared" si="2"/>
        <v>Crypto ETP</v>
      </c>
      <c r="F115" s="8">
        <f>IF(A115="","",IF('Statements (Raw)'!E113="","",'Statements (Raw)'!E113))</f>
        <v>34.97</v>
      </c>
      <c r="G115" s="6" t="str">
        <f>IF(A115="","",IF('Statements (Raw)'!F113="","",'Statements (Raw)'!F113))</f>
        <v>EUR</v>
      </c>
      <c r="H115" s="9">
        <f>IF(A115="","",IF('Statements (Raw)'!G113="","",'Statements (Raw)'!G113))</f>
        <v>100</v>
      </c>
      <c r="I115" s="10">
        <f>IF(A115="","",IF('Statements (Raw)'!H113="","",'Statements (Raw)'!H113))</f>
        <v>-3497</v>
      </c>
      <c r="J115" s="10">
        <f>IF(A115="",0,IF('Statements (Raw)'!I113="",0,'Statements (Raw)'!I113))</f>
        <v>0</v>
      </c>
      <c r="K115" s="10">
        <f t="shared" si="3"/>
        <v>-3497</v>
      </c>
    </row>
    <row r="116" spans="1:11" x14ac:dyDescent="0.3">
      <c r="A116" s="171">
        <f>IF(OR('Statements (Raw)'!A114="",'Statements (Raw)'!A114&gt;Holdings!$G$3),"",'Statements (Raw)'!A114)</f>
        <v>45887</v>
      </c>
      <c r="B116" s="7">
        <f>IF(A116="","",IF('Statements (Raw)'!B114="","",'Statements (Raw)'!B114))</f>
        <v>45889</v>
      </c>
      <c r="C116" s="6" t="str">
        <f>IF(A116="","",IF('Statements (Raw)'!C114&lt;&gt;"",'Statements (Raw)'!C114,IF(ISNUMBER(SEARCH("Conferimento",'Statements (Raw)'!D114)),"CASH DEPOSIT",IF(ISNUMBER(SEARCH("Prelievo",'Statements (Raw)'!D114)),"CASH WITHDRAWAL",IF(ISNUMBER(SEARCH("Bollo",'Statements (Raw)'!D114)),"STAMP DUTY",IF(ISNUMBER(SEARCH("Tobin Tax",'Statements (Raw)'!D114)),"TOBIN TAX",IF(ISNUMBER(SEARCH("Rit.provento",'Statements (Raw)'!D114)),"WITHHOLDING TAX",IF(ISNUMBER(SEARCH("Incasso Dividendi",'Statements (Raw)'!D114)),"DIVIDEND",IF(ISNUMBER(SEARCH("Cedola",'Statements (Raw)'!D114)),"COUPON",IF(ISNUMBER(SEARCH("Ratei Pass",'Statements (Raw)'!D114)),"ACCRUED INT",IF(ISNUMBER(SEARCH("Interessi Prest",'Statements (Raw)'!D114)),"SEC LENDING",IF(ISNUMBER(SEARCH("Rimborso",'Statements (Raw)'!D114)),"REDEMPTION",IF(ISNUMBER(SEARCH("Provento",'Statements (Raw)'!D114)),"DISTRIBUTION","OTHER")))))))))))))</f>
        <v>WisdomTree Europe Defence UCIT</v>
      </c>
      <c r="D116" s="6" t="str">
        <f>IF(A116="","",IF(C116="Saldo Iniziale","Balance",IF(C116="CASH DEPOSIT","Deposit",IF(C116="CASH WITHDRAWAL","Withdrawal",IF(C116="STAMP DUTY","Tax",IF(C116="TOBIN TAX","Tax",IF(C116="WITHHOLDING TAX","Tax",IF(C116="DIVIDEND","Dividend",IF(C116="COUPON","Coupon",IF(C116="ACCRUED INT","Accrued Int.",IF(C116="SEC LENDING","Sec. Lending",IF(C116="REDEMPTION","Redemption",IF(C116="DISTRIBUTION","Distribution",IF(ISNUMBER(SEARCH("Rimborso",'Statements (Raw)'!D114)),"Redemption",IF(ISNUMBER(SEARCH("Cedola",'Statements (Raw)'!D114)),"Coupon",IF(ISNUMBER(SEARCH("Incasso Dividendi",'Statements (Raw)'!D114)),"Dividend",IF(ISNUMBER(SEARCH("Provento Etf",'Statements (Raw)'!D114)),"Distribution",IF(ISNUMBER(SEARCH("Rit.provento",'Statements (Raw)'!D114)),"Tax",IF(ISNUMBER(SEARCH("Ratei Pass",'Statements (Raw)'!D114)),"Accrued Int.",IF(ISNUMBER(SEARCH("Interessi Prest",'Statements (Raw)'!D114)),"Sec. Lending",IF('Statements (Raw)'!G114="","Other",IF('Statements (Raw)'!G114&gt;0,"Buy","Sell"))))))))))))))))))))))</f>
        <v>Buy</v>
      </c>
      <c r="E116" s="6" t="str">
        <f t="shared" si="2"/>
        <v>ETF/ETC</v>
      </c>
      <c r="F116" s="8">
        <f>IF(A116="","",IF('Statements (Raw)'!E114="","",'Statements (Raw)'!E114))</f>
        <v>30.204999999999998</v>
      </c>
      <c r="G116" s="6" t="str">
        <f>IF(A116="","",IF('Statements (Raw)'!F114="","",'Statements (Raw)'!F114))</f>
        <v>EUR</v>
      </c>
      <c r="H116" s="9">
        <f>IF(A116="","",IF('Statements (Raw)'!G114="","",'Statements (Raw)'!G114))</f>
        <v>32</v>
      </c>
      <c r="I116" s="10">
        <f>IF(A116="","",IF('Statements (Raw)'!H114="","",'Statements (Raw)'!H114))</f>
        <v>-966.56</v>
      </c>
      <c r="J116" s="10">
        <f>IF(A116="",0,IF('Statements (Raw)'!I114="",0,'Statements (Raw)'!I114))</f>
        <v>0</v>
      </c>
      <c r="K116" s="10">
        <f t="shared" si="3"/>
        <v>-966.56</v>
      </c>
    </row>
    <row r="117" spans="1:11" x14ac:dyDescent="0.3">
      <c r="A117" s="171">
        <f>IF(OR('Statements (Raw)'!A115="",'Statements (Raw)'!A115&gt;Holdings!$G$3),"",'Statements (Raw)'!A115)</f>
        <v>45887</v>
      </c>
      <c r="B117" s="7">
        <f>IF(A117="","",IF('Statements (Raw)'!B115="","",'Statements (Raw)'!B115))</f>
        <v>45889</v>
      </c>
      <c r="C117" s="6" t="str">
        <f>IF(A117="","",IF('Statements (Raw)'!C115&lt;&gt;"",'Statements (Raw)'!C115,IF(ISNUMBER(SEARCH("Conferimento",'Statements (Raw)'!D115)),"CASH DEPOSIT",IF(ISNUMBER(SEARCH("Prelievo",'Statements (Raw)'!D115)),"CASH WITHDRAWAL",IF(ISNUMBER(SEARCH("Bollo",'Statements (Raw)'!D115)),"STAMP DUTY",IF(ISNUMBER(SEARCH("Tobin Tax",'Statements (Raw)'!D115)),"TOBIN TAX",IF(ISNUMBER(SEARCH("Rit.provento",'Statements (Raw)'!D115)),"WITHHOLDING TAX",IF(ISNUMBER(SEARCH("Incasso Dividendi",'Statements (Raw)'!D115)),"DIVIDEND",IF(ISNUMBER(SEARCH("Cedola",'Statements (Raw)'!D115)),"COUPON",IF(ISNUMBER(SEARCH("Ratei Pass",'Statements (Raw)'!D115)),"ACCRUED INT",IF(ISNUMBER(SEARCH("Interessi Prest",'Statements (Raw)'!D115)),"SEC LENDING",IF(ISNUMBER(SEARCH("Rimborso",'Statements (Raw)'!D115)),"REDEMPTION",IF(ISNUMBER(SEARCH("Provento",'Statements (Raw)'!D115)),"DISTRIBUTION","OTHER")))))))))))))</f>
        <v>ISHARES FTSE MIB UCITS ETF EUR</v>
      </c>
      <c r="D117" s="6" t="str">
        <f>IF(A117="","",IF(C117="Saldo Iniziale","Balance",IF(C117="CASH DEPOSIT","Deposit",IF(C117="CASH WITHDRAWAL","Withdrawal",IF(C117="STAMP DUTY","Tax",IF(C117="TOBIN TAX","Tax",IF(C117="WITHHOLDING TAX","Tax",IF(C117="DIVIDEND","Dividend",IF(C117="COUPON","Coupon",IF(C117="ACCRUED INT","Accrued Int.",IF(C117="SEC LENDING","Sec. Lending",IF(C117="REDEMPTION","Redemption",IF(C117="DISTRIBUTION","Distribution",IF(ISNUMBER(SEARCH("Rimborso",'Statements (Raw)'!D115)),"Redemption",IF(ISNUMBER(SEARCH("Cedola",'Statements (Raw)'!D115)),"Coupon",IF(ISNUMBER(SEARCH("Incasso Dividendi",'Statements (Raw)'!D115)),"Dividend",IF(ISNUMBER(SEARCH("Provento Etf",'Statements (Raw)'!D115)),"Distribution",IF(ISNUMBER(SEARCH("Rit.provento",'Statements (Raw)'!D115)),"Tax",IF(ISNUMBER(SEARCH("Ratei Pass",'Statements (Raw)'!D115)),"Accrued Int.",IF(ISNUMBER(SEARCH("Interessi Prest",'Statements (Raw)'!D115)),"Sec. Lending",IF('Statements (Raw)'!G115="","Other",IF('Statements (Raw)'!G115&gt;0,"Buy","Sell"))))))))))))))))))))))</f>
        <v>Buy</v>
      </c>
      <c r="E117" s="6" t="str">
        <f t="shared" si="2"/>
        <v>ETF/ETC</v>
      </c>
      <c r="F117" s="8">
        <f>IF(A117="","",IF('Statements (Raw)'!E115="","",'Statements (Raw)'!E115))</f>
        <v>203.95</v>
      </c>
      <c r="G117" s="6" t="str">
        <f>IF(A117="","",IF('Statements (Raw)'!F115="","",'Statements (Raw)'!F115))</f>
        <v>EUR</v>
      </c>
      <c r="H117" s="9">
        <f>IF(A117="","",IF('Statements (Raw)'!G115="","",'Statements (Raw)'!G115))</f>
        <v>12</v>
      </c>
      <c r="I117" s="10">
        <f>IF(A117="","",IF('Statements (Raw)'!H115="","",'Statements (Raw)'!H115))</f>
        <v>-2447.4</v>
      </c>
      <c r="J117" s="10">
        <f>IF(A117="",0,IF('Statements (Raw)'!I115="",0,'Statements (Raw)'!I115))</f>
        <v>0</v>
      </c>
      <c r="K117" s="10">
        <f t="shared" si="3"/>
        <v>-2447.4</v>
      </c>
    </row>
    <row r="118" spans="1:11" x14ac:dyDescent="0.3">
      <c r="A118" s="171">
        <f>IF(OR('Statements (Raw)'!A116="",'Statements (Raw)'!A116&gt;Holdings!$G$3),"",'Statements (Raw)'!A116)</f>
        <v>45887</v>
      </c>
      <c r="B118" s="7">
        <f>IF(A118="","",IF('Statements (Raw)'!B116="","",'Statements (Raw)'!B116))</f>
        <v>45889</v>
      </c>
      <c r="C118" s="6" t="str">
        <f>IF(A118="","",IF('Statements (Raw)'!C116&lt;&gt;"",'Statements (Raw)'!C116,IF(ISNUMBER(SEARCH("Conferimento",'Statements (Raw)'!D116)),"CASH DEPOSIT",IF(ISNUMBER(SEARCH("Prelievo",'Statements (Raw)'!D116)),"CASH WITHDRAWAL",IF(ISNUMBER(SEARCH("Bollo",'Statements (Raw)'!D116)),"STAMP DUTY",IF(ISNUMBER(SEARCH("Tobin Tax",'Statements (Raw)'!D116)),"TOBIN TAX",IF(ISNUMBER(SEARCH("Rit.provento",'Statements (Raw)'!D116)),"WITHHOLDING TAX",IF(ISNUMBER(SEARCH("Incasso Dividendi",'Statements (Raw)'!D116)),"DIVIDEND",IF(ISNUMBER(SEARCH("Cedola",'Statements (Raw)'!D116)),"COUPON",IF(ISNUMBER(SEARCH("Ratei Pass",'Statements (Raw)'!D116)),"ACCRUED INT",IF(ISNUMBER(SEARCH("Interessi Prest",'Statements (Raw)'!D116)),"SEC LENDING",IF(ISNUMBER(SEARCH("Rimborso",'Statements (Raw)'!D116)),"REDEMPTION",IF(ISNUMBER(SEARCH("Provento",'Statements (Raw)'!D116)),"DISTRIBUTION","OTHER")))))))))))))</f>
        <v>WISDOMTREE CORE PHYSICAL GOLD</v>
      </c>
      <c r="D118" s="6" t="str">
        <f>IF(A118="","",IF(C118="Saldo Iniziale","Balance",IF(C118="CASH DEPOSIT","Deposit",IF(C118="CASH WITHDRAWAL","Withdrawal",IF(C118="STAMP DUTY","Tax",IF(C118="TOBIN TAX","Tax",IF(C118="WITHHOLDING TAX","Tax",IF(C118="DIVIDEND","Dividend",IF(C118="COUPON","Coupon",IF(C118="ACCRUED INT","Accrued Int.",IF(C118="SEC LENDING","Sec. Lending",IF(C118="REDEMPTION","Redemption",IF(C118="DISTRIBUTION","Distribution",IF(ISNUMBER(SEARCH("Rimborso",'Statements (Raw)'!D116)),"Redemption",IF(ISNUMBER(SEARCH("Cedola",'Statements (Raw)'!D116)),"Coupon",IF(ISNUMBER(SEARCH("Incasso Dividendi",'Statements (Raw)'!D116)),"Dividend",IF(ISNUMBER(SEARCH("Provento Etf",'Statements (Raw)'!D116)),"Distribution",IF(ISNUMBER(SEARCH("Rit.provento",'Statements (Raw)'!D116)),"Tax",IF(ISNUMBER(SEARCH("Ratei Pass",'Statements (Raw)'!D116)),"Accrued Int.",IF(ISNUMBER(SEARCH("Interessi Prest",'Statements (Raw)'!D116)),"Sec. Lending",IF('Statements (Raw)'!G116="","Other",IF('Statements (Raw)'!G116&gt;0,"Buy","Sell"))))))))))))))))))))))</f>
        <v>Buy</v>
      </c>
      <c r="E118" s="6" t="str">
        <f t="shared" si="2"/>
        <v>ETF/ETC</v>
      </c>
      <c r="F118" s="8">
        <f>IF(A118="","",IF('Statements (Raw)'!E116="","",'Statements (Raw)'!E116))</f>
        <v>284.06</v>
      </c>
      <c r="G118" s="6" t="str">
        <f>IF(A118="","",IF('Statements (Raw)'!F116="","",'Statements (Raw)'!F116))</f>
        <v>EUR</v>
      </c>
      <c r="H118" s="9">
        <f>IF(A118="","",IF('Statements (Raw)'!G116="","",'Statements (Raw)'!G116))</f>
        <v>1</v>
      </c>
      <c r="I118" s="10">
        <f>IF(A118="","",IF('Statements (Raw)'!H116="","",'Statements (Raw)'!H116))</f>
        <v>-284.06</v>
      </c>
      <c r="J118" s="10">
        <f>IF(A118="",0,IF('Statements (Raw)'!I116="",0,'Statements (Raw)'!I116))</f>
        <v>0</v>
      </c>
      <c r="K118" s="10">
        <f t="shared" si="3"/>
        <v>-284.06</v>
      </c>
    </row>
    <row r="119" spans="1:11" x14ac:dyDescent="0.3">
      <c r="A119" s="171">
        <f>IF(OR('Statements (Raw)'!A117="",'Statements (Raw)'!A117&gt;Holdings!$G$3),"",'Statements (Raw)'!A117)</f>
        <v>45887</v>
      </c>
      <c r="B119" s="7">
        <f>IF(A119="","",IF('Statements (Raw)'!B117="","",'Statements (Raw)'!B117))</f>
        <v>45889</v>
      </c>
      <c r="C119" s="6" t="str">
        <f>IF(A119="","",IF('Statements (Raw)'!C117&lt;&gt;"",'Statements (Raw)'!C117,IF(ISNUMBER(SEARCH("Conferimento",'Statements (Raw)'!D117)),"CASH DEPOSIT",IF(ISNUMBER(SEARCH("Prelievo",'Statements (Raw)'!D117)),"CASH WITHDRAWAL",IF(ISNUMBER(SEARCH("Bollo",'Statements (Raw)'!D117)),"STAMP DUTY",IF(ISNUMBER(SEARCH("Tobin Tax",'Statements (Raw)'!D117)),"TOBIN TAX",IF(ISNUMBER(SEARCH("Rit.provento",'Statements (Raw)'!D117)),"WITHHOLDING TAX",IF(ISNUMBER(SEARCH("Incasso Dividendi",'Statements (Raw)'!D117)),"DIVIDEND",IF(ISNUMBER(SEARCH("Cedola",'Statements (Raw)'!D117)),"COUPON",IF(ISNUMBER(SEARCH("Ratei Pass",'Statements (Raw)'!D117)),"ACCRUED INT",IF(ISNUMBER(SEARCH("Interessi Prest",'Statements (Raw)'!D117)),"SEC LENDING",IF(ISNUMBER(SEARCH("Rimborso",'Statements (Raw)'!D117)),"REDEMPTION",IF(ISNUMBER(SEARCH("Provento",'Statements (Raw)'!D117)),"DISTRIBUTION","OTHER")))))))))))))</f>
        <v>WISDOMTREE PHYSICAL SILVER</v>
      </c>
      <c r="D119" s="6" t="str">
        <f>IF(A119="","",IF(C119="Saldo Iniziale","Balance",IF(C119="CASH DEPOSIT","Deposit",IF(C119="CASH WITHDRAWAL","Withdrawal",IF(C119="STAMP DUTY","Tax",IF(C119="TOBIN TAX","Tax",IF(C119="WITHHOLDING TAX","Tax",IF(C119="DIVIDEND","Dividend",IF(C119="COUPON","Coupon",IF(C119="ACCRUED INT","Accrued Int.",IF(C119="SEC LENDING","Sec. Lending",IF(C119="REDEMPTION","Redemption",IF(C119="DISTRIBUTION","Distribution",IF(ISNUMBER(SEARCH("Rimborso",'Statements (Raw)'!D117)),"Redemption",IF(ISNUMBER(SEARCH("Cedola",'Statements (Raw)'!D117)),"Coupon",IF(ISNUMBER(SEARCH("Incasso Dividendi",'Statements (Raw)'!D117)),"Dividend",IF(ISNUMBER(SEARCH("Provento Etf",'Statements (Raw)'!D117)),"Distribution",IF(ISNUMBER(SEARCH("Rit.provento",'Statements (Raw)'!D117)),"Tax",IF(ISNUMBER(SEARCH("Ratei Pass",'Statements (Raw)'!D117)),"Accrued Int.",IF(ISNUMBER(SEARCH("Interessi Prest",'Statements (Raw)'!D117)),"Sec. Lending",IF('Statements (Raw)'!G117="","Other",IF('Statements (Raw)'!G117&gt;0,"Buy","Sell"))))))))))))))))))))))</f>
        <v>Buy</v>
      </c>
      <c r="E119" s="6" t="str">
        <f t="shared" si="2"/>
        <v>ETF/ETC</v>
      </c>
      <c r="F119" s="8">
        <f>IF(A119="","",IF('Statements (Raw)'!E117="","",'Statements (Raw)'!E117))</f>
        <v>29.82</v>
      </c>
      <c r="G119" s="6" t="str">
        <f>IF(A119="","",IF('Statements (Raw)'!F117="","",'Statements (Raw)'!F117))</f>
        <v>EUR</v>
      </c>
      <c r="H119" s="9">
        <f>IF(A119="","",IF('Statements (Raw)'!G117="","",'Statements (Raw)'!G117))</f>
        <v>16</v>
      </c>
      <c r="I119" s="10">
        <f>IF(A119="","",IF('Statements (Raw)'!H117="","",'Statements (Raw)'!H117))</f>
        <v>-477.12</v>
      </c>
      <c r="J119" s="10">
        <f>IF(A119="",0,IF('Statements (Raw)'!I117="",0,'Statements (Raw)'!I117))</f>
        <v>0</v>
      </c>
      <c r="K119" s="10">
        <f t="shared" si="3"/>
        <v>-477.12</v>
      </c>
    </row>
    <row r="120" spans="1:11" x14ac:dyDescent="0.3">
      <c r="A120" s="171">
        <f>IF(OR('Statements (Raw)'!A118="",'Statements (Raw)'!A118&gt;Holdings!$G$3),"",'Statements (Raw)'!A118)</f>
        <v>45894</v>
      </c>
      <c r="B120" s="7">
        <f>IF(A120="","",IF('Statements (Raw)'!B118="","",'Statements (Raw)'!B118))</f>
        <v>45896</v>
      </c>
      <c r="C120" s="6" t="str">
        <f>IF(A120="","",IF('Statements (Raw)'!C118&lt;&gt;"",'Statements (Raw)'!C118,IF(ISNUMBER(SEARCH("Conferimento",'Statements (Raw)'!D118)),"CASH DEPOSIT",IF(ISNUMBER(SEARCH("Prelievo",'Statements (Raw)'!D118)),"CASH WITHDRAWAL",IF(ISNUMBER(SEARCH("Bollo",'Statements (Raw)'!D118)),"STAMP DUTY",IF(ISNUMBER(SEARCH("Tobin Tax",'Statements (Raw)'!D118)),"TOBIN TAX",IF(ISNUMBER(SEARCH("Rit.provento",'Statements (Raw)'!D118)),"WITHHOLDING TAX",IF(ISNUMBER(SEARCH("Incasso Dividendi",'Statements (Raw)'!D118)),"DIVIDEND",IF(ISNUMBER(SEARCH("Cedola",'Statements (Raw)'!D118)),"COUPON",IF(ISNUMBER(SEARCH("Ratei Pass",'Statements (Raw)'!D118)),"ACCRUED INT",IF(ISNUMBER(SEARCH("Interessi Prest",'Statements (Raw)'!D118)),"SEC LENDING",IF(ISNUMBER(SEARCH("Rimborso",'Statements (Raw)'!D118)),"REDEMPTION",IF(ISNUMBER(SEARCH("Provento",'Statements (Raw)'!D118)),"DISTRIBUTION","OTHER")))))))))))))</f>
        <v>WisdomTree Europe Defence UCIT</v>
      </c>
      <c r="D120" s="6" t="str">
        <f>IF(A120="","",IF(C120="Saldo Iniziale","Balance",IF(C120="CASH DEPOSIT","Deposit",IF(C120="CASH WITHDRAWAL","Withdrawal",IF(C120="STAMP DUTY","Tax",IF(C120="TOBIN TAX","Tax",IF(C120="WITHHOLDING TAX","Tax",IF(C120="DIVIDEND","Dividend",IF(C120="COUPON","Coupon",IF(C120="ACCRUED INT","Accrued Int.",IF(C120="SEC LENDING","Sec. Lending",IF(C120="REDEMPTION","Redemption",IF(C120="DISTRIBUTION","Distribution",IF(ISNUMBER(SEARCH("Rimborso",'Statements (Raw)'!D118)),"Redemption",IF(ISNUMBER(SEARCH("Cedola",'Statements (Raw)'!D118)),"Coupon",IF(ISNUMBER(SEARCH("Incasso Dividendi",'Statements (Raw)'!D118)),"Dividend",IF(ISNUMBER(SEARCH("Provento Etf",'Statements (Raw)'!D118)),"Distribution",IF(ISNUMBER(SEARCH("Rit.provento",'Statements (Raw)'!D118)),"Tax",IF(ISNUMBER(SEARCH("Ratei Pass",'Statements (Raw)'!D118)),"Accrued Int.",IF(ISNUMBER(SEARCH("Interessi Prest",'Statements (Raw)'!D118)),"Sec. Lending",IF('Statements (Raw)'!G118="","Other",IF('Statements (Raw)'!G118&gt;0,"Buy","Sell"))))))))))))))))))))))</f>
        <v>Buy</v>
      </c>
      <c r="E120" s="6" t="str">
        <f t="shared" si="2"/>
        <v>ETF/ETC</v>
      </c>
      <c r="F120" s="8">
        <f>IF(A120="","",IF('Statements (Raw)'!E118="","",'Statements (Raw)'!E118))</f>
        <v>29.725000000000001</v>
      </c>
      <c r="G120" s="6" t="str">
        <f>IF(A120="","",IF('Statements (Raw)'!F118="","",'Statements (Raw)'!F118))</f>
        <v>EUR</v>
      </c>
      <c r="H120" s="9">
        <f>IF(A120="","",IF('Statements (Raw)'!G118="","",'Statements (Raw)'!G118))</f>
        <v>33</v>
      </c>
      <c r="I120" s="10">
        <f>IF(A120="","",IF('Statements (Raw)'!H118="","",'Statements (Raw)'!H118))</f>
        <v>-980.93</v>
      </c>
      <c r="J120" s="10">
        <f>IF(A120="",0,IF('Statements (Raw)'!I118="",0,'Statements (Raw)'!I118))</f>
        <v>0</v>
      </c>
      <c r="K120" s="10">
        <f t="shared" si="3"/>
        <v>-980.93</v>
      </c>
    </row>
    <row r="121" spans="1:11" x14ac:dyDescent="0.3">
      <c r="A121" s="171">
        <f>IF(OR('Statements (Raw)'!A119="",'Statements (Raw)'!A119&gt;Holdings!$G$3),"",'Statements (Raw)'!A119)</f>
        <v>45894</v>
      </c>
      <c r="B121" s="7">
        <f>IF(A121="","",IF('Statements (Raw)'!B119="","",'Statements (Raw)'!B119))</f>
        <v>45896</v>
      </c>
      <c r="C121" s="6" t="str">
        <f>IF(A121="","",IF('Statements (Raw)'!C119&lt;&gt;"",'Statements (Raw)'!C119,IF(ISNUMBER(SEARCH("Conferimento",'Statements (Raw)'!D119)),"CASH DEPOSIT",IF(ISNUMBER(SEARCH("Prelievo",'Statements (Raw)'!D119)),"CASH WITHDRAWAL",IF(ISNUMBER(SEARCH("Bollo",'Statements (Raw)'!D119)),"STAMP DUTY",IF(ISNUMBER(SEARCH("Tobin Tax",'Statements (Raw)'!D119)),"TOBIN TAX",IF(ISNUMBER(SEARCH("Rit.provento",'Statements (Raw)'!D119)),"WITHHOLDING TAX",IF(ISNUMBER(SEARCH("Incasso Dividendi",'Statements (Raw)'!D119)),"DIVIDEND",IF(ISNUMBER(SEARCH("Cedola",'Statements (Raw)'!D119)),"COUPON",IF(ISNUMBER(SEARCH("Ratei Pass",'Statements (Raw)'!D119)),"ACCRUED INT",IF(ISNUMBER(SEARCH("Interessi Prest",'Statements (Raw)'!D119)),"SEC LENDING",IF(ISNUMBER(SEARCH("Rimborso",'Statements (Raw)'!D119)),"REDEMPTION",IF(ISNUMBER(SEARCH("Provento",'Statements (Raw)'!D119)),"DISTRIBUTION","OTHER")))))))))))))</f>
        <v>ISHARES FTSE MIB UCITS ETF EUR</v>
      </c>
      <c r="D121" s="6" t="str">
        <f>IF(A121="","",IF(C121="Saldo Iniziale","Balance",IF(C121="CASH DEPOSIT","Deposit",IF(C121="CASH WITHDRAWAL","Withdrawal",IF(C121="STAMP DUTY","Tax",IF(C121="TOBIN TAX","Tax",IF(C121="WITHHOLDING TAX","Tax",IF(C121="DIVIDEND","Dividend",IF(C121="COUPON","Coupon",IF(C121="ACCRUED INT","Accrued Int.",IF(C121="SEC LENDING","Sec. Lending",IF(C121="REDEMPTION","Redemption",IF(C121="DISTRIBUTION","Distribution",IF(ISNUMBER(SEARCH("Rimborso",'Statements (Raw)'!D119)),"Redemption",IF(ISNUMBER(SEARCH("Cedola",'Statements (Raw)'!D119)),"Coupon",IF(ISNUMBER(SEARCH("Incasso Dividendi",'Statements (Raw)'!D119)),"Dividend",IF(ISNUMBER(SEARCH("Provento Etf",'Statements (Raw)'!D119)),"Distribution",IF(ISNUMBER(SEARCH("Rit.provento",'Statements (Raw)'!D119)),"Tax",IF(ISNUMBER(SEARCH("Ratei Pass",'Statements (Raw)'!D119)),"Accrued Int.",IF(ISNUMBER(SEARCH("Interessi Prest",'Statements (Raw)'!D119)),"Sec. Lending",IF('Statements (Raw)'!G119="","Other",IF('Statements (Raw)'!G119&gt;0,"Buy","Sell"))))))))))))))))))))))</f>
        <v>Buy</v>
      </c>
      <c r="E121" s="6" t="str">
        <f t="shared" si="2"/>
        <v>ETF/ETC</v>
      </c>
      <c r="F121" s="8">
        <f>IF(A121="","",IF('Statements (Raw)'!E119="","",'Statements (Raw)'!E119))</f>
        <v>206.75</v>
      </c>
      <c r="G121" s="6" t="str">
        <f>IF(A121="","",IF('Statements (Raw)'!F119="","",'Statements (Raw)'!F119))</f>
        <v>EUR</v>
      </c>
      <c r="H121" s="9">
        <f>IF(A121="","",IF('Statements (Raw)'!G119="","",'Statements (Raw)'!G119))</f>
        <v>12</v>
      </c>
      <c r="I121" s="10">
        <f>IF(A121="","",IF('Statements (Raw)'!H119="","",'Statements (Raw)'!H119))</f>
        <v>-2481</v>
      </c>
      <c r="J121" s="10">
        <f>IF(A121="",0,IF('Statements (Raw)'!I119="",0,'Statements (Raw)'!I119))</f>
        <v>0</v>
      </c>
      <c r="K121" s="10">
        <f t="shared" si="3"/>
        <v>-2481</v>
      </c>
    </row>
    <row r="122" spans="1:11" x14ac:dyDescent="0.3">
      <c r="A122" s="171">
        <f>IF(OR('Statements (Raw)'!A120="",'Statements (Raw)'!A120&gt;Holdings!$G$3),"",'Statements (Raw)'!A120)</f>
        <v>45894</v>
      </c>
      <c r="B122" s="7">
        <f>IF(A122="","",IF('Statements (Raw)'!B120="","",'Statements (Raw)'!B120))</f>
        <v>45896</v>
      </c>
      <c r="C122" s="6" t="str">
        <f>IF(A122="","",IF('Statements (Raw)'!C120&lt;&gt;"",'Statements (Raw)'!C120,IF(ISNUMBER(SEARCH("Conferimento",'Statements (Raw)'!D120)),"CASH DEPOSIT",IF(ISNUMBER(SEARCH("Prelievo",'Statements (Raw)'!D120)),"CASH WITHDRAWAL",IF(ISNUMBER(SEARCH("Bollo",'Statements (Raw)'!D120)),"STAMP DUTY",IF(ISNUMBER(SEARCH("Tobin Tax",'Statements (Raw)'!D120)),"TOBIN TAX",IF(ISNUMBER(SEARCH("Rit.provento",'Statements (Raw)'!D120)),"WITHHOLDING TAX",IF(ISNUMBER(SEARCH("Incasso Dividendi",'Statements (Raw)'!D120)),"DIVIDEND",IF(ISNUMBER(SEARCH("Cedola",'Statements (Raw)'!D120)),"COUPON",IF(ISNUMBER(SEARCH("Ratei Pass",'Statements (Raw)'!D120)),"ACCRUED INT",IF(ISNUMBER(SEARCH("Interessi Prest",'Statements (Raw)'!D120)),"SEC LENDING",IF(ISNUMBER(SEARCH("Rimborso",'Statements (Raw)'!D120)),"REDEMPTION",IF(ISNUMBER(SEARCH("Provento",'Statements (Raw)'!D120)),"DISTRIBUTION","OTHER")))))))))))))</f>
        <v>WISDOMTREE CORE PHYSICAL GOLD</v>
      </c>
      <c r="D122" s="6" t="str">
        <f>IF(A122="","",IF(C122="Saldo Iniziale","Balance",IF(C122="CASH DEPOSIT","Deposit",IF(C122="CASH WITHDRAWAL","Withdrawal",IF(C122="STAMP DUTY","Tax",IF(C122="TOBIN TAX","Tax",IF(C122="WITHHOLDING TAX","Tax",IF(C122="DIVIDEND","Dividend",IF(C122="COUPON","Coupon",IF(C122="ACCRUED INT","Accrued Int.",IF(C122="SEC LENDING","Sec. Lending",IF(C122="REDEMPTION","Redemption",IF(C122="DISTRIBUTION","Distribution",IF(ISNUMBER(SEARCH("Rimborso",'Statements (Raw)'!D120)),"Redemption",IF(ISNUMBER(SEARCH("Cedola",'Statements (Raw)'!D120)),"Coupon",IF(ISNUMBER(SEARCH("Incasso Dividendi",'Statements (Raw)'!D120)),"Dividend",IF(ISNUMBER(SEARCH("Provento Etf",'Statements (Raw)'!D120)),"Distribution",IF(ISNUMBER(SEARCH("Rit.provento",'Statements (Raw)'!D120)),"Tax",IF(ISNUMBER(SEARCH("Ratei Pass",'Statements (Raw)'!D120)),"Accrued Int.",IF(ISNUMBER(SEARCH("Interessi Prest",'Statements (Raw)'!D120)),"Sec. Lending",IF('Statements (Raw)'!G120="","Other",IF('Statements (Raw)'!G120&gt;0,"Buy","Sell"))))))))))))))))))))))</f>
        <v>Buy</v>
      </c>
      <c r="E122" s="6" t="str">
        <f t="shared" si="2"/>
        <v>ETF/ETC</v>
      </c>
      <c r="F122" s="8">
        <f>IF(A122="","",IF('Statements (Raw)'!E120="","",'Statements (Raw)'!E120))</f>
        <v>287.08</v>
      </c>
      <c r="G122" s="6" t="str">
        <f>IF(A122="","",IF('Statements (Raw)'!F120="","",'Statements (Raw)'!F120))</f>
        <v>EUR</v>
      </c>
      <c r="H122" s="9">
        <f>IF(A122="","",IF('Statements (Raw)'!G120="","",'Statements (Raw)'!G120))</f>
        <v>1</v>
      </c>
      <c r="I122" s="10">
        <f>IF(A122="","",IF('Statements (Raw)'!H120="","",'Statements (Raw)'!H120))</f>
        <v>-287.08</v>
      </c>
      <c r="J122" s="10">
        <f>IF(A122="",0,IF('Statements (Raw)'!I120="",0,'Statements (Raw)'!I120))</f>
        <v>0</v>
      </c>
      <c r="K122" s="10">
        <f t="shared" si="3"/>
        <v>-287.08</v>
      </c>
    </row>
    <row r="123" spans="1:11" x14ac:dyDescent="0.3">
      <c r="A123" s="171">
        <f>IF(OR('Statements (Raw)'!A121="",'Statements (Raw)'!A121&gt;Holdings!$G$3),"",'Statements (Raw)'!A121)</f>
        <v>45894</v>
      </c>
      <c r="B123" s="7">
        <f>IF(A123="","",IF('Statements (Raw)'!B121="","",'Statements (Raw)'!B121))</f>
        <v>45896</v>
      </c>
      <c r="C123" s="6" t="str">
        <f>IF(A123="","",IF('Statements (Raw)'!C121&lt;&gt;"",'Statements (Raw)'!C121,IF(ISNUMBER(SEARCH("Conferimento",'Statements (Raw)'!D121)),"CASH DEPOSIT",IF(ISNUMBER(SEARCH("Prelievo",'Statements (Raw)'!D121)),"CASH WITHDRAWAL",IF(ISNUMBER(SEARCH("Bollo",'Statements (Raw)'!D121)),"STAMP DUTY",IF(ISNUMBER(SEARCH("Tobin Tax",'Statements (Raw)'!D121)),"TOBIN TAX",IF(ISNUMBER(SEARCH("Rit.provento",'Statements (Raw)'!D121)),"WITHHOLDING TAX",IF(ISNUMBER(SEARCH("Incasso Dividendi",'Statements (Raw)'!D121)),"DIVIDEND",IF(ISNUMBER(SEARCH("Cedola",'Statements (Raw)'!D121)),"COUPON",IF(ISNUMBER(SEARCH("Ratei Pass",'Statements (Raw)'!D121)),"ACCRUED INT",IF(ISNUMBER(SEARCH("Interessi Prest",'Statements (Raw)'!D121)),"SEC LENDING",IF(ISNUMBER(SEARCH("Rimborso",'Statements (Raw)'!D121)),"REDEMPTION",IF(ISNUMBER(SEARCH("Provento",'Statements (Raw)'!D121)),"DISTRIBUTION","OTHER")))))))))))))</f>
        <v>WISDOMTREE PHYSICAL SILVER</v>
      </c>
      <c r="D123" s="6" t="str">
        <f>IF(A123="","",IF(C123="Saldo Iniziale","Balance",IF(C123="CASH DEPOSIT","Deposit",IF(C123="CASH WITHDRAWAL","Withdrawal",IF(C123="STAMP DUTY","Tax",IF(C123="TOBIN TAX","Tax",IF(C123="WITHHOLDING TAX","Tax",IF(C123="DIVIDEND","Dividend",IF(C123="COUPON","Coupon",IF(C123="ACCRUED INT","Accrued Int.",IF(C123="SEC LENDING","Sec. Lending",IF(C123="REDEMPTION","Redemption",IF(C123="DISTRIBUTION","Distribution",IF(ISNUMBER(SEARCH("Rimborso",'Statements (Raw)'!D121)),"Redemption",IF(ISNUMBER(SEARCH("Cedola",'Statements (Raw)'!D121)),"Coupon",IF(ISNUMBER(SEARCH("Incasso Dividendi",'Statements (Raw)'!D121)),"Dividend",IF(ISNUMBER(SEARCH("Provento Etf",'Statements (Raw)'!D121)),"Distribution",IF(ISNUMBER(SEARCH("Rit.provento",'Statements (Raw)'!D121)),"Tax",IF(ISNUMBER(SEARCH("Ratei Pass",'Statements (Raw)'!D121)),"Accrued Int.",IF(ISNUMBER(SEARCH("Interessi Prest",'Statements (Raw)'!D121)),"Sec. Lending",IF('Statements (Raw)'!G121="","Other",IF('Statements (Raw)'!G121&gt;0,"Buy","Sell"))))))))))))))))))))))</f>
        <v>Buy</v>
      </c>
      <c r="E123" s="6" t="str">
        <f t="shared" si="2"/>
        <v>ETF/ETC</v>
      </c>
      <c r="F123" s="8">
        <f>IF(A123="","",IF('Statements (Raw)'!E121="","",'Statements (Raw)'!E121))</f>
        <v>30.39</v>
      </c>
      <c r="G123" s="6" t="str">
        <f>IF(A123="","",IF('Statements (Raw)'!F121="","",'Statements (Raw)'!F121))</f>
        <v>EUR</v>
      </c>
      <c r="H123" s="9">
        <f>IF(A123="","",IF('Statements (Raw)'!G121="","",'Statements (Raw)'!G121))</f>
        <v>16</v>
      </c>
      <c r="I123" s="10">
        <f>IF(A123="","",IF('Statements (Raw)'!H121="","",'Statements (Raw)'!H121))</f>
        <v>-486.24</v>
      </c>
      <c r="J123" s="10">
        <f>IF(A123="",0,IF('Statements (Raw)'!I121="",0,'Statements (Raw)'!I121))</f>
        <v>0</v>
      </c>
      <c r="K123" s="10">
        <f t="shared" si="3"/>
        <v>-486.24</v>
      </c>
    </row>
    <row r="124" spans="1:11" x14ac:dyDescent="0.3">
      <c r="A124" s="171">
        <f>IF(OR('Statements (Raw)'!A122="",'Statements (Raw)'!A122&gt;Holdings!$G$3),"",'Statements (Raw)'!A122)</f>
        <v>45897</v>
      </c>
      <c r="B124" s="7">
        <f>IF(A124="","",IF('Statements (Raw)'!B122="","",'Statements (Raw)'!B122))</f>
        <v>45901</v>
      </c>
      <c r="C124" s="6" t="str">
        <f>IF(A124="","",IF('Statements (Raw)'!C122&lt;&gt;"",'Statements (Raw)'!C122,IF(ISNUMBER(SEARCH("Conferimento",'Statements (Raw)'!D122)),"CASH DEPOSIT",IF(ISNUMBER(SEARCH("Prelievo",'Statements (Raw)'!D122)),"CASH WITHDRAWAL",IF(ISNUMBER(SEARCH("Bollo",'Statements (Raw)'!D122)),"STAMP DUTY",IF(ISNUMBER(SEARCH("Tobin Tax",'Statements (Raw)'!D122)),"TOBIN TAX",IF(ISNUMBER(SEARCH("Rit.provento",'Statements (Raw)'!D122)),"WITHHOLDING TAX",IF(ISNUMBER(SEARCH("Incasso Dividendi",'Statements (Raw)'!D122)),"DIVIDEND",IF(ISNUMBER(SEARCH("Cedola",'Statements (Raw)'!D122)),"COUPON",IF(ISNUMBER(SEARCH("Ratei Pass",'Statements (Raw)'!D122)),"ACCRUED INT",IF(ISNUMBER(SEARCH("Interessi Prest",'Statements (Raw)'!D122)),"SEC LENDING",IF(ISNUMBER(SEARCH("Rimborso",'Statements (Raw)'!D122)),"REDEMPTION",IF(ISNUMBER(SEARCH("Provento",'Statements (Raw)'!D122)),"DISTRIBUTION","OTHER")))))))))))))</f>
        <v>TAMBURI</v>
      </c>
      <c r="D124" s="6" t="str">
        <f>IF(A124="","",IF(C124="Saldo Iniziale","Balance",IF(C124="CASH DEPOSIT","Deposit",IF(C124="CASH WITHDRAWAL","Withdrawal",IF(C124="STAMP DUTY","Tax",IF(C124="TOBIN TAX","Tax",IF(C124="WITHHOLDING TAX","Tax",IF(C124="DIVIDEND","Dividend",IF(C124="COUPON","Coupon",IF(C124="ACCRUED INT","Accrued Int.",IF(C124="SEC LENDING","Sec. Lending",IF(C124="REDEMPTION","Redemption",IF(C124="DISTRIBUTION","Distribution",IF(ISNUMBER(SEARCH("Rimborso",'Statements (Raw)'!D122)),"Redemption",IF(ISNUMBER(SEARCH("Cedola",'Statements (Raw)'!D122)),"Coupon",IF(ISNUMBER(SEARCH("Incasso Dividendi",'Statements (Raw)'!D122)),"Dividend",IF(ISNUMBER(SEARCH("Provento Etf",'Statements (Raw)'!D122)),"Distribution",IF(ISNUMBER(SEARCH("Rit.provento",'Statements (Raw)'!D122)),"Tax",IF(ISNUMBER(SEARCH("Ratei Pass",'Statements (Raw)'!D122)),"Accrued Int.",IF(ISNUMBER(SEARCH("Interessi Prest",'Statements (Raw)'!D122)),"Sec. Lending",IF('Statements (Raw)'!G122="","Other",IF('Statements (Raw)'!G122&gt;0,"Buy","Sell"))))))))))))))))))))))</f>
        <v>Buy</v>
      </c>
      <c r="E124" s="6" t="str">
        <f t="shared" si="2"/>
        <v>Stock</v>
      </c>
      <c r="F124" s="8">
        <f>IF(A124="","",IF('Statements (Raw)'!E122="","",'Statements (Raw)'!E122))</f>
        <v>8.25</v>
      </c>
      <c r="G124" s="6" t="str">
        <f>IF(A124="","",IF('Statements (Raw)'!F122="","",'Statements (Raw)'!F122))</f>
        <v>EUR</v>
      </c>
      <c r="H124" s="9">
        <f>IF(A124="","",IF('Statements (Raw)'!G122="","",'Statements (Raw)'!G122))</f>
        <v>485</v>
      </c>
      <c r="I124" s="10">
        <f>IF(A124="","",IF('Statements (Raw)'!H122="","",'Statements (Raw)'!H122))</f>
        <v>-4001.25</v>
      </c>
      <c r="J124" s="10">
        <f>IF(A124="",0,IF('Statements (Raw)'!I122="",0,'Statements (Raw)'!I122))</f>
        <v>-5</v>
      </c>
      <c r="K124" s="10">
        <f t="shared" si="3"/>
        <v>-4006.25</v>
      </c>
    </row>
    <row r="125" spans="1:11" x14ac:dyDescent="0.3">
      <c r="A125" s="171">
        <f>IF(OR('Statements (Raw)'!A123="",'Statements (Raw)'!A123&gt;Holdings!$G$3),"",'Statements (Raw)'!A123)</f>
        <v>45897</v>
      </c>
      <c r="B125" s="7">
        <f>IF(A125="","",IF('Statements (Raw)'!B123="","",'Statements (Raw)'!B123))</f>
        <v>45901</v>
      </c>
      <c r="C125" s="6" t="str">
        <f>IF(A125="","",IF('Statements (Raw)'!C123&lt;&gt;"",'Statements (Raw)'!C123,IF(ISNUMBER(SEARCH("Conferimento",'Statements (Raw)'!D123)),"CASH DEPOSIT",IF(ISNUMBER(SEARCH("Prelievo",'Statements (Raw)'!D123)),"CASH WITHDRAWAL",IF(ISNUMBER(SEARCH("Bollo",'Statements (Raw)'!D123)),"STAMP DUTY",IF(ISNUMBER(SEARCH("Tobin Tax",'Statements (Raw)'!D123)),"TOBIN TAX",IF(ISNUMBER(SEARCH("Rit.provento",'Statements (Raw)'!D123)),"WITHHOLDING TAX",IF(ISNUMBER(SEARCH("Incasso Dividendi",'Statements (Raw)'!D123)),"DIVIDEND",IF(ISNUMBER(SEARCH("Cedola",'Statements (Raw)'!D123)),"COUPON",IF(ISNUMBER(SEARCH("Ratei Pass",'Statements (Raw)'!D123)),"ACCRUED INT",IF(ISNUMBER(SEARCH("Interessi Prest",'Statements (Raw)'!D123)),"SEC LENDING",IF(ISNUMBER(SEARCH("Rimborso",'Statements (Raw)'!D123)),"REDEMPTION",IF(ISNUMBER(SEARCH("Provento",'Statements (Raw)'!D123)),"DISTRIBUTION","OTHER")))))))))))))</f>
        <v>TAMBURI</v>
      </c>
      <c r="D125" s="6" t="str">
        <f>IF(A125="","",IF(C125="Saldo Iniziale","Balance",IF(C125="CASH DEPOSIT","Deposit",IF(C125="CASH WITHDRAWAL","Withdrawal",IF(C125="STAMP DUTY","Tax",IF(C125="TOBIN TAX","Tax",IF(C125="WITHHOLDING TAX","Tax",IF(C125="DIVIDEND","Dividend",IF(C125="COUPON","Coupon",IF(C125="ACCRUED INT","Accrued Int.",IF(C125="SEC LENDING","Sec. Lending",IF(C125="REDEMPTION","Redemption",IF(C125="DISTRIBUTION","Distribution",IF(ISNUMBER(SEARCH("Rimborso",'Statements (Raw)'!D123)),"Redemption",IF(ISNUMBER(SEARCH("Cedola",'Statements (Raw)'!D123)),"Coupon",IF(ISNUMBER(SEARCH("Incasso Dividendi",'Statements (Raw)'!D123)),"Dividend",IF(ISNUMBER(SEARCH("Provento Etf",'Statements (Raw)'!D123)),"Distribution",IF(ISNUMBER(SEARCH("Rit.provento",'Statements (Raw)'!D123)),"Tax",IF(ISNUMBER(SEARCH("Ratei Pass",'Statements (Raw)'!D123)),"Accrued Int.",IF(ISNUMBER(SEARCH("Interessi Prest",'Statements (Raw)'!D123)),"Sec. Lending",IF('Statements (Raw)'!G123="","Other",IF('Statements (Raw)'!G123&gt;0,"Buy","Sell"))))))))))))))))))))))</f>
        <v>Buy</v>
      </c>
      <c r="E125" s="6" t="str">
        <f t="shared" si="2"/>
        <v>Stock</v>
      </c>
      <c r="F125" s="8">
        <f>IF(A125="","",IF('Statements (Raw)'!E123="","",'Statements (Raw)'!E123))</f>
        <v>8.25</v>
      </c>
      <c r="G125" s="6" t="str">
        <f>IF(A125="","",IF('Statements (Raw)'!F123="","",'Statements (Raw)'!F123))</f>
        <v>EUR</v>
      </c>
      <c r="H125" s="9">
        <f>IF(A125="","",IF('Statements (Raw)'!G123="","",'Statements (Raw)'!G123))</f>
        <v>139</v>
      </c>
      <c r="I125" s="10">
        <f>IF(A125="","",IF('Statements (Raw)'!H123="","",'Statements (Raw)'!H123))</f>
        <v>-1146.75</v>
      </c>
      <c r="J125" s="10">
        <f>IF(A125="",0,IF('Statements (Raw)'!I123="",0,'Statements (Raw)'!I123))</f>
        <v>0</v>
      </c>
      <c r="K125" s="10">
        <f t="shared" si="3"/>
        <v>-1146.75</v>
      </c>
    </row>
    <row r="126" spans="1:11" x14ac:dyDescent="0.3">
      <c r="A126" s="171">
        <f>IF(OR('Statements (Raw)'!A124="",'Statements (Raw)'!A124&gt;Holdings!$G$3),"",'Statements (Raw)'!A124)</f>
        <v>45897</v>
      </c>
      <c r="B126" s="7">
        <f>IF(A126="","",IF('Statements (Raw)'!B124="","",'Statements (Raw)'!B124))</f>
        <v>45901</v>
      </c>
      <c r="C126" s="6" t="str">
        <f>IF(A126="","",IF('Statements (Raw)'!C124&lt;&gt;"",'Statements (Raw)'!C124,IF(ISNUMBER(SEARCH("Conferimento",'Statements (Raw)'!D124)),"CASH DEPOSIT",IF(ISNUMBER(SEARCH("Prelievo",'Statements (Raw)'!D124)),"CASH WITHDRAWAL",IF(ISNUMBER(SEARCH("Bollo",'Statements (Raw)'!D124)),"STAMP DUTY",IF(ISNUMBER(SEARCH("Tobin Tax",'Statements (Raw)'!D124)),"TOBIN TAX",IF(ISNUMBER(SEARCH("Rit.provento",'Statements (Raw)'!D124)),"WITHHOLDING TAX",IF(ISNUMBER(SEARCH("Incasso Dividendi",'Statements (Raw)'!D124)),"DIVIDEND",IF(ISNUMBER(SEARCH("Cedola",'Statements (Raw)'!D124)),"COUPON",IF(ISNUMBER(SEARCH("Ratei Pass",'Statements (Raw)'!D124)),"ACCRUED INT",IF(ISNUMBER(SEARCH("Interessi Prest",'Statements (Raw)'!D124)),"SEC LENDING",IF(ISNUMBER(SEARCH("Rimborso",'Statements (Raw)'!D124)),"REDEMPTION",IF(ISNUMBER(SEARCH("Provento",'Statements (Raw)'!D124)),"DISTRIBUTION","OTHER")))))))))))))</f>
        <v>TAMBURI</v>
      </c>
      <c r="D126" s="6" t="str">
        <f>IF(A126="","",IF(C126="Saldo Iniziale","Balance",IF(C126="CASH DEPOSIT","Deposit",IF(C126="CASH WITHDRAWAL","Withdrawal",IF(C126="STAMP DUTY","Tax",IF(C126="TOBIN TAX","Tax",IF(C126="WITHHOLDING TAX","Tax",IF(C126="DIVIDEND","Dividend",IF(C126="COUPON","Coupon",IF(C126="ACCRUED INT","Accrued Int.",IF(C126="SEC LENDING","Sec. Lending",IF(C126="REDEMPTION","Redemption",IF(C126="DISTRIBUTION","Distribution",IF(ISNUMBER(SEARCH("Rimborso",'Statements (Raw)'!D124)),"Redemption",IF(ISNUMBER(SEARCH("Cedola",'Statements (Raw)'!D124)),"Coupon",IF(ISNUMBER(SEARCH("Incasso Dividendi",'Statements (Raw)'!D124)),"Dividend",IF(ISNUMBER(SEARCH("Provento Etf",'Statements (Raw)'!D124)),"Distribution",IF(ISNUMBER(SEARCH("Rit.provento",'Statements (Raw)'!D124)),"Tax",IF(ISNUMBER(SEARCH("Ratei Pass",'Statements (Raw)'!D124)),"Accrued Int.",IF(ISNUMBER(SEARCH("Interessi Prest",'Statements (Raw)'!D124)),"Sec. Lending",IF('Statements (Raw)'!G124="","Other",IF('Statements (Raw)'!G124&gt;0,"Buy","Sell"))))))))))))))))))))))</f>
        <v>Buy</v>
      </c>
      <c r="E126" s="6" t="str">
        <f t="shared" si="2"/>
        <v>Stock</v>
      </c>
      <c r="F126" s="8">
        <f>IF(A126="","",IF('Statements (Raw)'!E124="","",'Statements (Raw)'!E124))</f>
        <v>8.25</v>
      </c>
      <c r="G126" s="6" t="str">
        <f>IF(A126="","",IF('Statements (Raw)'!F124="","",'Statements (Raw)'!F124))</f>
        <v>EUR</v>
      </c>
      <c r="H126" s="9">
        <f>IF(A126="","",IF('Statements (Raw)'!G124="","",'Statements (Raw)'!G124))</f>
        <v>250</v>
      </c>
      <c r="I126" s="10">
        <f>IF(A126="","",IF('Statements (Raw)'!H124="","",'Statements (Raw)'!H124))</f>
        <v>-2062.5</v>
      </c>
      <c r="J126" s="10">
        <f>IF(A126="",0,IF('Statements (Raw)'!I124="",0,'Statements (Raw)'!I124))</f>
        <v>0</v>
      </c>
      <c r="K126" s="10">
        <f t="shared" si="3"/>
        <v>-2062.5</v>
      </c>
    </row>
    <row r="127" spans="1:11" x14ac:dyDescent="0.3">
      <c r="A127" s="171">
        <f>IF(OR('Statements (Raw)'!A125="",'Statements (Raw)'!A125&gt;Holdings!$G$3),"",'Statements (Raw)'!A125)</f>
        <v>45897</v>
      </c>
      <c r="B127" s="7">
        <f>IF(A127="","",IF('Statements (Raw)'!B125="","",'Statements (Raw)'!B125))</f>
        <v>45901</v>
      </c>
      <c r="C127" s="6" t="str">
        <f>IF(A127="","",IF('Statements (Raw)'!C125&lt;&gt;"",'Statements (Raw)'!C125,IF(ISNUMBER(SEARCH("Conferimento",'Statements (Raw)'!D125)),"CASH DEPOSIT",IF(ISNUMBER(SEARCH("Prelievo",'Statements (Raw)'!D125)),"CASH WITHDRAWAL",IF(ISNUMBER(SEARCH("Bollo",'Statements (Raw)'!D125)),"STAMP DUTY",IF(ISNUMBER(SEARCH("Tobin Tax",'Statements (Raw)'!D125)),"TOBIN TAX",IF(ISNUMBER(SEARCH("Rit.provento",'Statements (Raw)'!D125)),"WITHHOLDING TAX",IF(ISNUMBER(SEARCH("Incasso Dividendi",'Statements (Raw)'!D125)),"DIVIDEND",IF(ISNUMBER(SEARCH("Cedola",'Statements (Raw)'!D125)),"COUPON",IF(ISNUMBER(SEARCH("Ratei Pass",'Statements (Raw)'!D125)),"ACCRUED INT",IF(ISNUMBER(SEARCH("Interessi Prest",'Statements (Raw)'!D125)),"SEC LENDING",IF(ISNUMBER(SEARCH("Rimborso",'Statements (Raw)'!D125)),"REDEMPTION",IF(ISNUMBER(SEARCH("Provento",'Statements (Raw)'!D125)),"DISTRIBUTION","OTHER")))))))))))))</f>
        <v>TAMBURI</v>
      </c>
      <c r="D127" s="6" t="str">
        <f>IF(A127="","",IF(C127="Saldo Iniziale","Balance",IF(C127="CASH DEPOSIT","Deposit",IF(C127="CASH WITHDRAWAL","Withdrawal",IF(C127="STAMP DUTY","Tax",IF(C127="TOBIN TAX","Tax",IF(C127="WITHHOLDING TAX","Tax",IF(C127="DIVIDEND","Dividend",IF(C127="COUPON","Coupon",IF(C127="ACCRUED INT","Accrued Int.",IF(C127="SEC LENDING","Sec. Lending",IF(C127="REDEMPTION","Redemption",IF(C127="DISTRIBUTION","Distribution",IF(ISNUMBER(SEARCH("Rimborso",'Statements (Raw)'!D125)),"Redemption",IF(ISNUMBER(SEARCH("Cedola",'Statements (Raw)'!D125)),"Coupon",IF(ISNUMBER(SEARCH("Incasso Dividendi",'Statements (Raw)'!D125)),"Dividend",IF(ISNUMBER(SEARCH("Provento Etf",'Statements (Raw)'!D125)),"Distribution",IF(ISNUMBER(SEARCH("Rit.provento",'Statements (Raw)'!D125)),"Tax",IF(ISNUMBER(SEARCH("Ratei Pass",'Statements (Raw)'!D125)),"Accrued Int.",IF(ISNUMBER(SEARCH("Interessi Prest",'Statements (Raw)'!D125)),"Sec. Lending",IF('Statements (Raw)'!G125="","Other",IF('Statements (Raw)'!G125&gt;0,"Buy","Sell"))))))))))))))))))))))</f>
        <v>Buy</v>
      </c>
      <c r="E127" s="6" t="str">
        <f t="shared" si="2"/>
        <v>Stock</v>
      </c>
      <c r="F127" s="8">
        <f>IF(A127="","",IF('Statements (Raw)'!E125="","",'Statements (Raw)'!E125))</f>
        <v>8.25</v>
      </c>
      <c r="G127" s="6" t="str">
        <f>IF(A127="","",IF('Statements (Raw)'!F125="","",'Statements (Raw)'!F125))</f>
        <v>EUR</v>
      </c>
      <c r="H127" s="9">
        <f>IF(A127="","",IF('Statements (Raw)'!G125="","",'Statements (Raw)'!G125))</f>
        <v>393</v>
      </c>
      <c r="I127" s="10">
        <f>IF(A127="","",IF('Statements (Raw)'!H125="","",'Statements (Raw)'!H125))</f>
        <v>-3242.25</v>
      </c>
      <c r="J127" s="10">
        <f>IF(A127="",0,IF('Statements (Raw)'!I125="",0,'Statements (Raw)'!I125))</f>
        <v>0</v>
      </c>
      <c r="K127" s="10">
        <f t="shared" si="3"/>
        <v>-3242.25</v>
      </c>
    </row>
    <row r="128" spans="1:11" x14ac:dyDescent="0.3">
      <c r="A128" s="171">
        <f>IF(OR('Statements (Raw)'!A126="",'Statements (Raw)'!A126&gt;Holdings!$G$3),"",'Statements (Raw)'!A126)</f>
        <v>45897</v>
      </c>
      <c r="B128" s="7">
        <f>IF(A128="","",IF('Statements (Raw)'!B126="","",'Statements (Raw)'!B126))</f>
        <v>45901</v>
      </c>
      <c r="C128" s="6" t="str">
        <f>IF(A128="","",IF('Statements (Raw)'!C126&lt;&gt;"",'Statements (Raw)'!C126,IF(ISNUMBER(SEARCH("Conferimento",'Statements (Raw)'!D126)),"CASH DEPOSIT",IF(ISNUMBER(SEARCH("Prelievo",'Statements (Raw)'!D126)),"CASH WITHDRAWAL",IF(ISNUMBER(SEARCH("Bollo",'Statements (Raw)'!D126)),"STAMP DUTY",IF(ISNUMBER(SEARCH("Tobin Tax",'Statements (Raw)'!D126)),"TOBIN TAX",IF(ISNUMBER(SEARCH("Rit.provento",'Statements (Raw)'!D126)),"WITHHOLDING TAX",IF(ISNUMBER(SEARCH("Incasso Dividendi",'Statements (Raw)'!D126)),"DIVIDEND",IF(ISNUMBER(SEARCH("Cedola",'Statements (Raw)'!D126)),"COUPON",IF(ISNUMBER(SEARCH("Ratei Pass",'Statements (Raw)'!D126)),"ACCRUED INT",IF(ISNUMBER(SEARCH("Interessi Prest",'Statements (Raw)'!D126)),"SEC LENDING",IF(ISNUMBER(SEARCH("Rimborso",'Statements (Raw)'!D126)),"REDEMPTION",IF(ISNUMBER(SEARCH("Provento",'Statements (Raw)'!D126)),"DISTRIBUTION","OTHER")))))))))))))</f>
        <v>TAMBURI</v>
      </c>
      <c r="D128" s="6" t="str">
        <f>IF(A128="","",IF(C128="Saldo Iniziale","Balance",IF(C128="CASH DEPOSIT","Deposit",IF(C128="CASH WITHDRAWAL","Withdrawal",IF(C128="STAMP DUTY","Tax",IF(C128="TOBIN TAX","Tax",IF(C128="WITHHOLDING TAX","Tax",IF(C128="DIVIDEND","Dividend",IF(C128="COUPON","Coupon",IF(C128="ACCRUED INT","Accrued Int.",IF(C128="SEC LENDING","Sec. Lending",IF(C128="REDEMPTION","Redemption",IF(C128="DISTRIBUTION","Distribution",IF(ISNUMBER(SEARCH("Rimborso",'Statements (Raw)'!D126)),"Redemption",IF(ISNUMBER(SEARCH("Cedola",'Statements (Raw)'!D126)),"Coupon",IF(ISNUMBER(SEARCH("Incasso Dividendi",'Statements (Raw)'!D126)),"Dividend",IF(ISNUMBER(SEARCH("Provento Etf",'Statements (Raw)'!D126)),"Distribution",IF(ISNUMBER(SEARCH("Rit.provento",'Statements (Raw)'!D126)),"Tax",IF(ISNUMBER(SEARCH("Ratei Pass",'Statements (Raw)'!D126)),"Accrued Int.",IF(ISNUMBER(SEARCH("Interessi Prest",'Statements (Raw)'!D126)),"Sec. Lending",IF('Statements (Raw)'!G126="","Other",IF('Statements (Raw)'!G126&gt;0,"Buy","Sell"))))))))))))))))))))))</f>
        <v>Buy</v>
      </c>
      <c r="E128" s="6" t="str">
        <f t="shared" si="2"/>
        <v>Stock</v>
      </c>
      <c r="F128" s="8">
        <f>IF(A128="","",IF('Statements (Raw)'!E126="","",'Statements (Raw)'!E126))</f>
        <v>8.25</v>
      </c>
      <c r="G128" s="6" t="str">
        <f>IF(A128="","",IF('Statements (Raw)'!F126="","",'Statements (Raw)'!F126))</f>
        <v>EUR</v>
      </c>
      <c r="H128" s="9">
        <f>IF(A128="","",IF('Statements (Raw)'!G126="","",'Statements (Raw)'!G126))</f>
        <v>650</v>
      </c>
      <c r="I128" s="10">
        <f>IF(A128="","",IF('Statements (Raw)'!H126="","",'Statements (Raw)'!H126))</f>
        <v>-5362.5</v>
      </c>
      <c r="J128" s="10">
        <f>IF(A128="",0,IF('Statements (Raw)'!I126="",0,'Statements (Raw)'!I126))</f>
        <v>0</v>
      </c>
      <c r="K128" s="10">
        <f t="shared" si="3"/>
        <v>-5362.5</v>
      </c>
    </row>
    <row r="129" spans="1:11" x14ac:dyDescent="0.3">
      <c r="A129" s="171">
        <f>IF(OR('Statements (Raw)'!A127="",'Statements (Raw)'!A127&gt;Holdings!$G$3),"",'Statements (Raw)'!A127)</f>
        <v>45897</v>
      </c>
      <c r="B129" s="7">
        <f>IF(A129="","",IF('Statements (Raw)'!B127="","",'Statements (Raw)'!B127))</f>
        <v>45901</v>
      </c>
      <c r="C129" s="6" t="str">
        <f>IF(A129="","",IF('Statements (Raw)'!C127&lt;&gt;"",'Statements (Raw)'!C127,IF(ISNUMBER(SEARCH("Conferimento",'Statements (Raw)'!D127)),"CASH DEPOSIT",IF(ISNUMBER(SEARCH("Prelievo",'Statements (Raw)'!D127)),"CASH WITHDRAWAL",IF(ISNUMBER(SEARCH("Bollo",'Statements (Raw)'!D127)),"STAMP DUTY",IF(ISNUMBER(SEARCH("Tobin Tax",'Statements (Raw)'!D127)),"TOBIN TAX",IF(ISNUMBER(SEARCH("Rit.provento",'Statements (Raw)'!D127)),"WITHHOLDING TAX",IF(ISNUMBER(SEARCH("Incasso Dividendi",'Statements (Raw)'!D127)),"DIVIDEND",IF(ISNUMBER(SEARCH("Cedola",'Statements (Raw)'!D127)),"COUPON",IF(ISNUMBER(SEARCH("Ratei Pass",'Statements (Raw)'!D127)),"ACCRUED INT",IF(ISNUMBER(SEARCH("Interessi Prest",'Statements (Raw)'!D127)),"SEC LENDING",IF(ISNUMBER(SEARCH("Rimborso",'Statements (Raw)'!D127)),"REDEMPTION",IF(ISNUMBER(SEARCH("Provento",'Statements (Raw)'!D127)),"DISTRIBUTION","OTHER")))))))))))))</f>
        <v>TAMBURI</v>
      </c>
      <c r="D129" s="6" t="str">
        <f>IF(A129="","",IF(C129="Saldo Iniziale","Balance",IF(C129="CASH DEPOSIT","Deposit",IF(C129="CASH WITHDRAWAL","Withdrawal",IF(C129="STAMP DUTY","Tax",IF(C129="TOBIN TAX","Tax",IF(C129="WITHHOLDING TAX","Tax",IF(C129="DIVIDEND","Dividend",IF(C129="COUPON","Coupon",IF(C129="ACCRUED INT","Accrued Int.",IF(C129="SEC LENDING","Sec. Lending",IF(C129="REDEMPTION","Redemption",IF(C129="DISTRIBUTION","Distribution",IF(ISNUMBER(SEARCH("Rimborso",'Statements (Raw)'!D127)),"Redemption",IF(ISNUMBER(SEARCH("Cedola",'Statements (Raw)'!D127)),"Coupon",IF(ISNUMBER(SEARCH("Incasso Dividendi",'Statements (Raw)'!D127)),"Dividend",IF(ISNUMBER(SEARCH("Provento Etf",'Statements (Raw)'!D127)),"Distribution",IF(ISNUMBER(SEARCH("Rit.provento",'Statements (Raw)'!D127)),"Tax",IF(ISNUMBER(SEARCH("Ratei Pass",'Statements (Raw)'!D127)),"Accrued Int.",IF(ISNUMBER(SEARCH("Interessi Prest",'Statements (Raw)'!D127)),"Sec. Lending",IF('Statements (Raw)'!G127="","Other",IF('Statements (Raw)'!G127&gt;0,"Buy","Sell"))))))))))))))))))))))</f>
        <v>Buy</v>
      </c>
      <c r="E129" s="6" t="str">
        <f t="shared" si="2"/>
        <v>Stock</v>
      </c>
      <c r="F129" s="8">
        <f>IF(A129="","",IF('Statements (Raw)'!E127="","",'Statements (Raw)'!E127))</f>
        <v>8.25</v>
      </c>
      <c r="G129" s="6" t="str">
        <f>IF(A129="","",IF('Statements (Raw)'!F127="","",'Statements (Raw)'!F127))</f>
        <v>EUR</v>
      </c>
      <c r="H129" s="9">
        <f>IF(A129="","",IF('Statements (Raw)'!G127="","",'Statements (Raw)'!G127))</f>
        <v>20</v>
      </c>
      <c r="I129" s="10">
        <f>IF(A129="","",IF('Statements (Raw)'!H127="","",'Statements (Raw)'!H127))</f>
        <v>-165</v>
      </c>
      <c r="J129" s="10">
        <f>IF(A129="",0,IF('Statements (Raw)'!I127="",0,'Statements (Raw)'!I127))</f>
        <v>0</v>
      </c>
      <c r="K129" s="10">
        <f t="shared" si="3"/>
        <v>-165</v>
      </c>
    </row>
    <row r="130" spans="1:11" x14ac:dyDescent="0.3">
      <c r="A130" s="171">
        <f>IF(OR('Statements (Raw)'!A128="",'Statements (Raw)'!A128&gt;Holdings!$G$3),"",'Statements (Raw)'!A128)</f>
        <v>45897</v>
      </c>
      <c r="B130" s="7">
        <f>IF(A130="","",IF('Statements (Raw)'!B128="","",'Statements (Raw)'!B128))</f>
        <v>45901</v>
      </c>
      <c r="C130" s="6" t="str">
        <f>IF(A130="","",IF('Statements (Raw)'!C128&lt;&gt;"",'Statements (Raw)'!C128,IF(ISNUMBER(SEARCH("Conferimento",'Statements (Raw)'!D128)),"CASH DEPOSIT",IF(ISNUMBER(SEARCH("Prelievo",'Statements (Raw)'!D128)),"CASH WITHDRAWAL",IF(ISNUMBER(SEARCH("Bollo",'Statements (Raw)'!D128)),"STAMP DUTY",IF(ISNUMBER(SEARCH("Tobin Tax",'Statements (Raw)'!D128)),"TOBIN TAX",IF(ISNUMBER(SEARCH("Rit.provento",'Statements (Raw)'!D128)),"WITHHOLDING TAX",IF(ISNUMBER(SEARCH("Incasso Dividendi",'Statements (Raw)'!D128)),"DIVIDEND",IF(ISNUMBER(SEARCH("Cedola",'Statements (Raw)'!D128)),"COUPON",IF(ISNUMBER(SEARCH("Ratei Pass",'Statements (Raw)'!D128)),"ACCRUED INT",IF(ISNUMBER(SEARCH("Interessi Prest",'Statements (Raw)'!D128)),"SEC LENDING",IF(ISNUMBER(SEARCH("Rimborso",'Statements (Raw)'!D128)),"REDEMPTION",IF(ISNUMBER(SEARCH("Provento",'Statements (Raw)'!D128)),"DISTRIBUTION","OTHER")))))))))))))</f>
        <v>TAMBURI</v>
      </c>
      <c r="D130" s="6" t="str">
        <f>IF(A130="","",IF(C130="Saldo Iniziale","Balance",IF(C130="CASH DEPOSIT","Deposit",IF(C130="CASH WITHDRAWAL","Withdrawal",IF(C130="STAMP DUTY","Tax",IF(C130="TOBIN TAX","Tax",IF(C130="WITHHOLDING TAX","Tax",IF(C130="DIVIDEND","Dividend",IF(C130="COUPON","Coupon",IF(C130="ACCRUED INT","Accrued Int.",IF(C130="SEC LENDING","Sec. Lending",IF(C130="REDEMPTION","Redemption",IF(C130="DISTRIBUTION","Distribution",IF(ISNUMBER(SEARCH("Rimborso",'Statements (Raw)'!D128)),"Redemption",IF(ISNUMBER(SEARCH("Cedola",'Statements (Raw)'!D128)),"Coupon",IF(ISNUMBER(SEARCH("Incasso Dividendi",'Statements (Raw)'!D128)),"Dividend",IF(ISNUMBER(SEARCH("Provento Etf",'Statements (Raw)'!D128)),"Distribution",IF(ISNUMBER(SEARCH("Rit.provento",'Statements (Raw)'!D128)),"Tax",IF(ISNUMBER(SEARCH("Ratei Pass",'Statements (Raw)'!D128)),"Accrued Int.",IF(ISNUMBER(SEARCH("Interessi Prest",'Statements (Raw)'!D128)),"Sec. Lending",IF('Statements (Raw)'!G128="","Other",IF('Statements (Raw)'!G128&gt;0,"Buy","Sell"))))))))))))))))))))))</f>
        <v>Buy</v>
      </c>
      <c r="E130" s="6" t="str">
        <f t="shared" si="2"/>
        <v>Stock</v>
      </c>
      <c r="F130" s="8">
        <f>IF(A130="","",IF('Statements (Raw)'!E128="","",'Statements (Raw)'!E128))</f>
        <v>8.26</v>
      </c>
      <c r="G130" s="6" t="str">
        <f>IF(A130="","",IF('Statements (Raw)'!F128="","",'Statements (Raw)'!F128))</f>
        <v>EUR</v>
      </c>
      <c r="H130" s="9">
        <f>IF(A130="","",IF('Statements (Raw)'!G128="","",'Statements (Raw)'!G128))</f>
        <v>250</v>
      </c>
      <c r="I130" s="10">
        <f>IF(A130="","",IF('Statements (Raw)'!H128="","",'Statements (Raw)'!H128))</f>
        <v>-2065</v>
      </c>
      <c r="J130" s="10">
        <f>IF(A130="",0,IF('Statements (Raw)'!I128="",0,'Statements (Raw)'!I128))</f>
        <v>0</v>
      </c>
      <c r="K130" s="10">
        <f t="shared" si="3"/>
        <v>-2065</v>
      </c>
    </row>
    <row r="131" spans="1:11" x14ac:dyDescent="0.3">
      <c r="A131" s="171">
        <f>IF(OR('Statements (Raw)'!A129="",'Statements (Raw)'!A129&gt;Holdings!$G$3),"",'Statements (Raw)'!A129)</f>
        <v>45897</v>
      </c>
      <c r="B131" s="7">
        <f>IF(A131="","",IF('Statements (Raw)'!B129="","",'Statements (Raw)'!B129))</f>
        <v>45901</v>
      </c>
      <c r="C131" s="6" t="str">
        <f>IF(A131="","",IF('Statements (Raw)'!C129&lt;&gt;"",'Statements (Raw)'!C129,IF(ISNUMBER(SEARCH("Conferimento",'Statements (Raw)'!D129)),"CASH DEPOSIT",IF(ISNUMBER(SEARCH("Prelievo",'Statements (Raw)'!D129)),"CASH WITHDRAWAL",IF(ISNUMBER(SEARCH("Bollo",'Statements (Raw)'!D129)),"STAMP DUTY",IF(ISNUMBER(SEARCH("Tobin Tax",'Statements (Raw)'!D129)),"TOBIN TAX",IF(ISNUMBER(SEARCH("Rit.provento",'Statements (Raw)'!D129)),"WITHHOLDING TAX",IF(ISNUMBER(SEARCH("Incasso Dividendi",'Statements (Raw)'!D129)),"DIVIDEND",IF(ISNUMBER(SEARCH("Cedola",'Statements (Raw)'!D129)),"COUPON",IF(ISNUMBER(SEARCH("Ratei Pass",'Statements (Raw)'!D129)),"ACCRUED INT",IF(ISNUMBER(SEARCH("Interessi Prest",'Statements (Raw)'!D129)),"SEC LENDING",IF(ISNUMBER(SEARCH("Rimborso",'Statements (Raw)'!D129)),"REDEMPTION",IF(ISNUMBER(SEARCH("Provento",'Statements (Raw)'!D129)),"DISTRIBUTION","OTHER")))))))))))))</f>
        <v>TAMBURI</v>
      </c>
      <c r="D131" s="6" t="str">
        <f>IF(A131="","",IF(C131="Saldo Iniziale","Balance",IF(C131="CASH DEPOSIT","Deposit",IF(C131="CASH WITHDRAWAL","Withdrawal",IF(C131="STAMP DUTY","Tax",IF(C131="TOBIN TAX","Tax",IF(C131="WITHHOLDING TAX","Tax",IF(C131="DIVIDEND","Dividend",IF(C131="COUPON","Coupon",IF(C131="ACCRUED INT","Accrued Int.",IF(C131="SEC LENDING","Sec. Lending",IF(C131="REDEMPTION","Redemption",IF(C131="DISTRIBUTION","Distribution",IF(ISNUMBER(SEARCH("Rimborso",'Statements (Raw)'!D129)),"Redemption",IF(ISNUMBER(SEARCH("Cedola",'Statements (Raw)'!D129)),"Coupon",IF(ISNUMBER(SEARCH("Incasso Dividendi",'Statements (Raw)'!D129)),"Dividend",IF(ISNUMBER(SEARCH("Provento Etf",'Statements (Raw)'!D129)),"Distribution",IF(ISNUMBER(SEARCH("Rit.provento",'Statements (Raw)'!D129)),"Tax",IF(ISNUMBER(SEARCH("Ratei Pass",'Statements (Raw)'!D129)),"Accrued Int.",IF(ISNUMBER(SEARCH("Interessi Prest",'Statements (Raw)'!D129)),"Sec. Lending",IF('Statements (Raw)'!G129="","Other",IF('Statements (Raw)'!G129&gt;0,"Buy","Sell"))))))))))))))))))))))</f>
        <v>Buy</v>
      </c>
      <c r="E131" s="6" t="str">
        <f t="shared" si="2"/>
        <v>Stock</v>
      </c>
      <c r="F131" s="8">
        <f>IF(A131="","",IF('Statements (Raw)'!E129="","",'Statements (Raw)'!E129))</f>
        <v>8.26</v>
      </c>
      <c r="G131" s="6" t="str">
        <f>IF(A131="","",IF('Statements (Raw)'!F129="","",'Statements (Raw)'!F129))</f>
        <v>EUR</v>
      </c>
      <c r="H131" s="9">
        <f>IF(A131="","",IF('Statements (Raw)'!G129="","",'Statements (Raw)'!G129))</f>
        <v>313</v>
      </c>
      <c r="I131" s="10">
        <f>IF(A131="","",IF('Statements (Raw)'!H129="","",'Statements (Raw)'!H129))</f>
        <v>-2585.38</v>
      </c>
      <c r="J131" s="10">
        <f>IF(A131="",0,IF('Statements (Raw)'!I129="",0,'Statements (Raw)'!I129))</f>
        <v>0</v>
      </c>
      <c r="K131" s="10">
        <f t="shared" si="3"/>
        <v>-2585.38</v>
      </c>
    </row>
    <row r="132" spans="1:11" x14ac:dyDescent="0.3">
      <c r="A132" s="171">
        <f>IF(OR('Statements (Raw)'!A130="",'Statements (Raw)'!A130&gt;Holdings!$G$3),"",'Statements (Raw)'!A130)</f>
        <v>45897</v>
      </c>
      <c r="B132" s="7">
        <f>IF(A132="","",IF('Statements (Raw)'!B130="","",'Statements (Raw)'!B130))</f>
        <v>45901</v>
      </c>
      <c r="C132" s="6" t="str">
        <f>IF(A132="","",IF('Statements (Raw)'!C130&lt;&gt;"",'Statements (Raw)'!C130,IF(ISNUMBER(SEARCH("Conferimento",'Statements (Raw)'!D130)),"CASH DEPOSIT",IF(ISNUMBER(SEARCH("Prelievo",'Statements (Raw)'!D130)),"CASH WITHDRAWAL",IF(ISNUMBER(SEARCH("Bollo",'Statements (Raw)'!D130)),"STAMP DUTY",IF(ISNUMBER(SEARCH("Tobin Tax",'Statements (Raw)'!D130)),"TOBIN TAX",IF(ISNUMBER(SEARCH("Rit.provento",'Statements (Raw)'!D130)),"WITHHOLDING TAX",IF(ISNUMBER(SEARCH("Incasso Dividendi",'Statements (Raw)'!D130)),"DIVIDEND",IF(ISNUMBER(SEARCH("Cedola",'Statements (Raw)'!D130)),"COUPON",IF(ISNUMBER(SEARCH("Ratei Pass",'Statements (Raw)'!D130)),"ACCRUED INT",IF(ISNUMBER(SEARCH("Interessi Prest",'Statements (Raw)'!D130)),"SEC LENDING",IF(ISNUMBER(SEARCH("Rimborso",'Statements (Raw)'!D130)),"REDEMPTION",IF(ISNUMBER(SEARCH("Provento",'Statements (Raw)'!D130)),"DISTRIBUTION","OTHER")))))))))))))</f>
        <v>TOBIN TAX</v>
      </c>
      <c r="D132" s="6" t="str">
        <f>IF(A132="","",IF(C132="Saldo Iniziale","Balance",IF(C132="CASH DEPOSIT","Deposit",IF(C132="CASH WITHDRAWAL","Withdrawal",IF(C132="STAMP DUTY","Tax",IF(C132="TOBIN TAX","Tax",IF(C132="WITHHOLDING TAX","Tax",IF(C132="DIVIDEND","Dividend",IF(C132="COUPON","Coupon",IF(C132="ACCRUED INT","Accrued Int.",IF(C132="SEC LENDING","Sec. Lending",IF(C132="REDEMPTION","Redemption",IF(C132="DISTRIBUTION","Distribution",IF(ISNUMBER(SEARCH("Rimborso",'Statements (Raw)'!D130)),"Redemption",IF(ISNUMBER(SEARCH("Cedola",'Statements (Raw)'!D130)),"Coupon",IF(ISNUMBER(SEARCH("Incasso Dividendi",'Statements (Raw)'!D130)),"Dividend",IF(ISNUMBER(SEARCH("Provento Etf",'Statements (Raw)'!D130)),"Distribution",IF(ISNUMBER(SEARCH("Rit.provento",'Statements (Raw)'!D130)),"Tax",IF(ISNUMBER(SEARCH("Ratei Pass",'Statements (Raw)'!D130)),"Accrued Int.",IF(ISNUMBER(SEARCH("Interessi Prest",'Statements (Raw)'!D130)),"Sec. Lending",IF('Statements (Raw)'!G130="","Other",IF('Statements (Raw)'!G130&gt;0,"Buy","Sell"))))))))))))))))))))))</f>
        <v>Tax</v>
      </c>
      <c r="E132" s="6" t="str">
        <f t="shared" si="2"/>
        <v>Tax/Fee</v>
      </c>
      <c r="F132" s="8" t="str">
        <f>IF(A132="","",IF('Statements (Raw)'!E130="","",'Statements (Raw)'!E130))</f>
        <v/>
      </c>
      <c r="G132" s="6" t="str">
        <f>IF(A132="","",IF('Statements (Raw)'!F130="","",'Statements (Raw)'!F130))</f>
        <v/>
      </c>
      <c r="H132" s="9" t="str">
        <f>IF(A132="","",IF('Statements (Raw)'!G130="","",'Statements (Raw)'!G130))</f>
        <v/>
      </c>
      <c r="I132" s="10">
        <f>IF(A132="","",IF('Statements (Raw)'!H130="","",'Statements (Raw)'!H130))</f>
        <v>-20.63</v>
      </c>
      <c r="J132" s="10">
        <f>IF(A132="",0,IF('Statements (Raw)'!I130="",0,'Statements (Raw)'!I130))</f>
        <v>0</v>
      </c>
      <c r="K132" s="10">
        <f t="shared" si="3"/>
        <v>-20.63</v>
      </c>
    </row>
    <row r="133" spans="1:11" x14ac:dyDescent="0.3">
      <c r="A133" s="171">
        <f>IF(OR('Statements (Raw)'!A131="",'Statements (Raw)'!A131&gt;Holdings!$G$3),"",'Statements (Raw)'!A131)</f>
        <v>45901</v>
      </c>
      <c r="B133" s="7" t="str">
        <f>IF(A133="","",IF('Statements (Raw)'!B131="","",'Statements (Raw)'!B131))</f>
        <v/>
      </c>
      <c r="C133" s="6" t="str">
        <f>IF(A133="","",IF('Statements (Raw)'!C131&lt;&gt;"",'Statements (Raw)'!C131,IF(ISNUMBER(SEARCH("Conferimento",'Statements (Raw)'!D131)),"CASH DEPOSIT",IF(ISNUMBER(SEARCH("Prelievo",'Statements (Raw)'!D131)),"CASH WITHDRAWAL",IF(ISNUMBER(SEARCH("Bollo",'Statements (Raw)'!D131)),"STAMP DUTY",IF(ISNUMBER(SEARCH("Tobin Tax",'Statements (Raw)'!D131)),"TOBIN TAX",IF(ISNUMBER(SEARCH("Rit.provento",'Statements (Raw)'!D131)),"WITHHOLDING TAX",IF(ISNUMBER(SEARCH("Incasso Dividendi",'Statements (Raw)'!D131)),"DIVIDEND",IF(ISNUMBER(SEARCH("Cedola",'Statements (Raw)'!D131)),"COUPON",IF(ISNUMBER(SEARCH("Ratei Pass",'Statements (Raw)'!D131)),"ACCRUED INT",IF(ISNUMBER(SEARCH("Interessi Prest",'Statements (Raw)'!D131)),"SEC LENDING",IF(ISNUMBER(SEARCH("Rimborso",'Statements (Raw)'!D131)),"REDEMPTION",IF(ISNUMBER(SEARCH("Provento",'Statements (Raw)'!D131)),"DISTRIBUTION","OTHER")))))))))))))</f>
        <v>Saldo Iniziale</v>
      </c>
      <c r="D133" s="6" t="str">
        <f>IF(A133="","",IF(C133="Saldo Iniziale","Balance",IF(C133="CASH DEPOSIT","Deposit",IF(C133="CASH WITHDRAWAL","Withdrawal",IF(C133="STAMP DUTY","Tax",IF(C133="TOBIN TAX","Tax",IF(C133="WITHHOLDING TAX","Tax",IF(C133="DIVIDEND","Dividend",IF(C133="COUPON","Coupon",IF(C133="ACCRUED INT","Accrued Int.",IF(C133="SEC LENDING","Sec. Lending",IF(C133="REDEMPTION","Redemption",IF(C133="DISTRIBUTION","Distribution",IF(ISNUMBER(SEARCH("Rimborso",'Statements (Raw)'!D131)),"Redemption",IF(ISNUMBER(SEARCH("Cedola",'Statements (Raw)'!D131)),"Coupon",IF(ISNUMBER(SEARCH("Incasso Dividendi",'Statements (Raw)'!D131)),"Dividend",IF(ISNUMBER(SEARCH("Provento Etf",'Statements (Raw)'!D131)),"Distribution",IF(ISNUMBER(SEARCH("Rit.provento",'Statements (Raw)'!D131)),"Tax",IF(ISNUMBER(SEARCH("Ratei Pass",'Statements (Raw)'!D131)),"Accrued Int.",IF(ISNUMBER(SEARCH("Interessi Prest",'Statements (Raw)'!D131)),"Sec. Lending",IF('Statements (Raw)'!G131="","Other",IF('Statements (Raw)'!G131&gt;0,"Buy","Sell"))))))))))))))))))))))</f>
        <v>Balance</v>
      </c>
      <c r="E133" s="6" t="str">
        <f t="shared" ref="E133:E196" si="4">IF(D133="","",IF(OR(D133="Balance",D133="Deposit",D133="Withdrawal"),"Cash",IF(D133="Tax","Tax/Fee",IF(OR(D133="Dividend",D133="Coupon",D133="Distribution",D133="Sec. Lending",D133="Accrued Int."),"Income",IF(D133="Redemption","Bond",IF(OR(D133="Buy",D133="Sell"),IF(OR(ISNUMBER(SEARCH("BOT ",C133)),ISNUMBER(SEARCH("BTP ",C133)),ISNUMBER(SEARCH("CARRARO",C133))),"Bond",IF(OR(ISNUMBER(SEARCH("isdom",C133)),ISNUMBER(SEARCH("ISHARES",C133)),ISNUMBER(SEARCH("iShares",C133))),"ETF/ETC",IF(OR(ISNUMBER(SEARCH("Bitwise",C133)),ISNUMBER(SEARCH("BITWISE",C133))),"Crypto ETP","Stock"))),"Other"))))))</f>
        <v>Cash</v>
      </c>
      <c r="F133" s="8" t="str">
        <f>IF(A133="","",IF('Statements (Raw)'!E131="","",'Statements (Raw)'!E131))</f>
        <v/>
      </c>
      <c r="G133" s="6" t="str">
        <f>IF(A133="","",IF('Statements (Raw)'!F131="","",'Statements (Raw)'!F131))</f>
        <v/>
      </c>
      <c r="H133" s="9" t="str">
        <f>IF(A133="","",IF('Statements (Raw)'!G131="","",'Statements (Raw)'!G131))</f>
        <v/>
      </c>
      <c r="I133" s="10">
        <f>IF(A133="","",IF('Statements (Raw)'!H131="","",'Statements (Raw)'!H131))</f>
        <v>27017.94</v>
      </c>
      <c r="J133" s="10">
        <f>IF(A133="",0,IF('Statements (Raw)'!I131="",0,'Statements (Raw)'!I131))</f>
        <v>0</v>
      </c>
      <c r="K133" s="10">
        <f t="shared" ref="K133:K196" si="5">IF(I133="","",I133+J133)</f>
        <v>27017.94</v>
      </c>
    </row>
    <row r="134" spans="1:11" x14ac:dyDescent="0.3">
      <c r="A134" s="171">
        <f>IF(OR('Statements (Raw)'!A132="",'Statements (Raw)'!A132&gt;Holdings!$G$3),"",'Statements (Raw)'!A132)</f>
        <v>45901</v>
      </c>
      <c r="B134" s="7">
        <f>IF(A134="","",IF('Statements (Raw)'!B132="","",'Statements (Raw)'!B132))</f>
        <v>45903</v>
      </c>
      <c r="C134" s="6" t="str">
        <f>IF(A134="","",IF('Statements (Raw)'!C132&lt;&gt;"",'Statements (Raw)'!C132,IF(ISNUMBER(SEARCH("Conferimento",'Statements (Raw)'!D132)),"CASH DEPOSIT",IF(ISNUMBER(SEARCH("Prelievo",'Statements (Raw)'!D132)),"CASH WITHDRAWAL",IF(ISNUMBER(SEARCH("Bollo",'Statements (Raw)'!D132)),"STAMP DUTY",IF(ISNUMBER(SEARCH("Tobin Tax",'Statements (Raw)'!D132)),"TOBIN TAX",IF(ISNUMBER(SEARCH("Rit.provento",'Statements (Raw)'!D132)),"WITHHOLDING TAX",IF(ISNUMBER(SEARCH("Incasso Dividendi",'Statements (Raw)'!D132)),"DIVIDEND",IF(ISNUMBER(SEARCH("Cedola",'Statements (Raw)'!D132)),"COUPON",IF(ISNUMBER(SEARCH("Ratei Pass",'Statements (Raw)'!D132)),"ACCRUED INT",IF(ISNUMBER(SEARCH("Interessi Prest",'Statements (Raw)'!D132)),"SEC LENDING",IF(ISNUMBER(SEARCH("Rimborso",'Statements (Raw)'!D132)),"REDEMPTION",IF(ISNUMBER(SEARCH("Provento",'Statements (Raw)'!D132)),"DISTRIBUTION","OTHER")))))))))))))</f>
        <v>WisdomTree Europe Defence UCIT</v>
      </c>
      <c r="D134" s="6" t="str">
        <f>IF(A134="","",IF(C134="Saldo Iniziale","Balance",IF(C134="CASH DEPOSIT","Deposit",IF(C134="CASH WITHDRAWAL","Withdrawal",IF(C134="STAMP DUTY","Tax",IF(C134="TOBIN TAX","Tax",IF(C134="WITHHOLDING TAX","Tax",IF(C134="DIVIDEND","Dividend",IF(C134="COUPON","Coupon",IF(C134="ACCRUED INT","Accrued Int.",IF(C134="SEC LENDING","Sec. Lending",IF(C134="REDEMPTION","Redemption",IF(C134="DISTRIBUTION","Distribution",IF(ISNUMBER(SEARCH("Rimborso",'Statements (Raw)'!D132)),"Redemption",IF(ISNUMBER(SEARCH("Cedola",'Statements (Raw)'!D132)),"Coupon",IF(ISNUMBER(SEARCH("Incasso Dividendi",'Statements (Raw)'!D132)),"Dividend",IF(ISNUMBER(SEARCH("Provento Etf",'Statements (Raw)'!D132)),"Distribution",IF(ISNUMBER(SEARCH("Rit.provento",'Statements (Raw)'!D132)),"Tax",IF(ISNUMBER(SEARCH("Ratei Pass",'Statements (Raw)'!D132)),"Accrued Int.",IF(ISNUMBER(SEARCH("Interessi Prest",'Statements (Raw)'!D132)),"Sec. Lending",IF('Statements (Raw)'!G132="","Other",IF('Statements (Raw)'!G132&gt;0,"Buy","Sell"))))))))))))))))))))))</f>
        <v>Buy</v>
      </c>
      <c r="E134" s="6" t="str">
        <f t="shared" si="4"/>
        <v>ETF/ETC</v>
      </c>
      <c r="F134" s="8">
        <f>IF(A134="","",IF('Statements (Raw)'!E132="","",'Statements (Raw)'!E132))</f>
        <v>30.545000000000002</v>
      </c>
      <c r="G134" s="6" t="str">
        <f>IF(A134="","",IF('Statements (Raw)'!F132="","",'Statements (Raw)'!F132))</f>
        <v>EUR</v>
      </c>
      <c r="H134" s="9">
        <f>IF(A134="","",IF('Statements (Raw)'!G132="","",'Statements (Raw)'!G132))</f>
        <v>32</v>
      </c>
      <c r="I134" s="10">
        <f>IF(A134="","",IF('Statements (Raw)'!H132="","",'Statements (Raw)'!H132))</f>
        <v>-977.44</v>
      </c>
      <c r="J134" s="10">
        <f>IF(A134="",0,IF('Statements (Raw)'!I132="",0,'Statements (Raw)'!I132))</f>
        <v>0</v>
      </c>
      <c r="K134" s="10">
        <f t="shared" si="5"/>
        <v>-977.44</v>
      </c>
    </row>
    <row r="135" spans="1:11" x14ac:dyDescent="0.3">
      <c r="A135" s="171">
        <f>IF(OR('Statements (Raw)'!A133="",'Statements (Raw)'!A133&gt;Holdings!$G$3),"",'Statements (Raw)'!A133)</f>
        <v>45901</v>
      </c>
      <c r="B135" s="7">
        <f>IF(A135="","",IF('Statements (Raw)'!B133="","",'Statements (Raw)'!B133))</f>
        <v>45903</v>
      </c>
      <c r="C135" s="6" t="str">
        <f>IF(A135="","",IF('Statements (Raw)'!C133&lt;&gt;"",'Statements (Raw)'!C133,IF(ISNUMBER(SEARCH("Conferimento",'Statements (Raw)'!D133)),"CASH DEPOSIT",IF(ISNUMBER(SEARCH("Prelievo",'Statements (Raw)'!D133)),"CASH WITHDRAWAL",IF(ISNUMBER(SEARCH("Bollo",'Statements (Raw)'!D133)),"STAMP DUTY",IF(ISNUMBER(SEARCH("Tobin Tax",'Statements (Raw)'!D133)),"TOBIN TAX",IF(ISNUMBER(SEARCH("Rit.provento",'Statements (Raw)'!D133)),"WITHHOLDING TAX",IF(ISNUMBER(SEARCH("Incasso Dividendi",'Statements (Raw)'!D133)),"DIVIDEND",IF(ISNUMBER(SEARCH("Cedola",'Statements (Raw)'!D133)),"COUPON",IF(ISNUMBER(SEARCH("Ratei Pass",'Statements (Raw)'!D133)),"ACCRUED INT",IF(ISNUMBER(SEARCH("Interessi Prest",'Statements (Raw)'!D133)),"SEC LENDING",IF(ISNUMBER(SEARCH("Rimborso",'Statements (Raw)'!D133)),"REDEMPTION",IF(ISNUMBER(SEARCH("Provento",'Statements (Raw)'!D133)),"DISTRIBUTION","OTHER")))))))))))))</f>
        <v>ISHARES FTSE MIB UCITS ETF EUR</v>
      </c>
      <c r="D135" s="6" t="str">
        <f>IF(A135="","",IF(C135="Saldo Iniziale","Balance",IF(C135="CASH DEPOSIT","Deposit",IF(C135="CASH WITHDRAWAL","Withdrawal",IF(C135="STAMP DUTY","Tax",IF(C135="TOBIN TAX","Tax",IF(C135="WITHHOLDING TAX","Tax",IF(C135="DIVIDEND","Dividend",IF(C135="COUPON","Coupon",IF(C135="ACCRUED INT","Accrued Int.",IF(C135="SEC LENDING","Sec. Lending",IF(C135="REDEMPTION","Redemption",IF(C135="DISTRIBUTION","Distribution",IF(ISNUMBER(SEARCH("Rimborso",'Statements (Raw)'!D133)),"Redemption",IF(ISNUMBER(SEARCH("Cedola",'Statements (Raw)'!D133)),"Coupon",IF(ISNUMBER(SEARCH("Incasso Dividendi",'Statements (Raw)'!D133)),"Dividend",IF(ISNUMBER(SEARCH("Provento Etf",'Statements (Raw)'!D133)),"Distribution",IF(ISNUMBER(SEARCH("Rit.provento",'Statements (Raw)'!D133)),"Tax",IF(ISNUMBER(SEARCH("Ratei Pass",'Statements (Raw)'!D133)),"Accrued Int.",IF(ISNUMBER(SEARCH("Interessi Prest",'Statements (Raw)'!D133)),"Sec. Lending",IF('Statements (Raw)'!G133="","Other",IF('Statements (Raw)'!G133&gt;0,"Buy","Sell"))))))))))))))))))))))</f>
        <v>Buy</v>
      </c>
      <c r="E135" s="6" t="str">
        <f t="shared" si="4"/>
        <v>ETF/ETC</v>
      </c>
      <c r="F135" s="8">
        <f>IF(A135="","",IF('Statements (Raw)'!E133="","",'Statements (Raw)'!E133))</f>
        <v>202.8</v>
      </c>
      <c r="G135" s="6" t="str">
        <f>IF(A135="","",IF('Statements (Raw)'!F133="","",'Statements (Raw)'!F133))</f>
        <v>EUR</v>
      </c>
      <c r="H135" s="9">
        <f>IF(A135="","",IF('Statements (Raw)'!G133="","",'Statements (Raw)'!G133))</f>
        <v>12</v>
      </c>
      <c r="I135" s="10">
        <f>IF(A135="","",IF('Statements (Raw)'!H133="","",'Statements (Raw)'!H133))</f>
        <v>-2433.6</v>
      </c>
      <c r="J135" s="10">
        <f>IF(A135="",0,IF('Statements (Raw)'!I133="",0,'Statements (Raw)'!I133))</f>
        <v>0</v>
      </c>
      <c r="K135" s="10">
        <f t="shared" si="5"/>
        <v>-2433.6</v>
      </c>
    </row>
    <row r="136" spans="1:11" x14ac:dyDescent="0.3">
      <c r="A136" s="171">
        <f>IF(OR('Statements (Raw)'!A134="",'Statements (Raw)'!A134&gt;Holdings!$G$3),"",'Statements (Raw)'!A134)</f>
        <v>45901</v>
      </c>
      <c r="B136" s="7">
        <f>IF(A136="","",IF('Statements (Raw)'!B134="","",'Statements (Raw)'!B134))</f>
        <v>45903</v>
      </c>
      <c r="C136" s="6" t="str">
        <f>IF(A136="","",IF('Statements (Raw)'!C134&lt;&gt;"",'Statements (Raw)'!C134,IF(ISNUMBER(SEARCH("Conferimento",'Statements (Raw)'!D134)),"CASH DEPOSIT",IF(ISNUMBER(SEARCH("Prelievo",'Statements (Raw)'!D134)),"CASH WITHDRAWAL",IF(ISNUMBER(SEARCH("Bollo",'Statements (Raw)'!D134)),"STAMP DUTY",IF(ISNUMBER(SEARCH("Tobin Tax",'Statements (Raw)'!D134)),"TOBIN TAX",IF(ISNUMBER(SEARCH("Rit.provento",'Statements (Raw)'!D134)),"WITHHOLDING TAX",IF(ISNUMBER(SEARCH("Incasso Dividendi",'Statements (Raw)'!D134)),"DIVIDEND",IF(ISNUMBER(SEARCH("Cedola",'Statements (Raw)'!D134)),"COUPON",IF(ISNUMBER(SEARCH("Ratei Pass",'Statements (Raw)'!D134)),"ACCRUED INT",IF(ISNUMBER(SEARCH("Interessi Prest",'Statements (Raw)'!D134)),"SEC LENDING",IF(ISNUMBER(SEARCH("Rimborso",'Statements (Raw)'!D134)),"REDEMPTION",IF(ISNUMBER(SEARCH("Provento",'Statements (Raw)'!D134)),"DISTRIBUTION","OTHER")))))))))))))</f>
        <v>WISDOMTREE CORE PHYSICAL GOLD</v>
      </c>
      <c r="D136" s="6" t="str">
        <f>IF(A136="","",IF(C136="Saldo Iniziale","Balance",IF(C136="CASH DEPOSIT","Deposit",IF(C136="CASH WITHDRAWAL","Withdrawal",IF(C136="STAMP DUTY","Tax",IF(C136="TOBIN TAX","Tax",IF(C136="WITHHOLDING TAX","Tax",IF(C136="DIVIDEND","Dividend",IF(C136="COUPON","Coupon",IF(C136="ACCRUED INT","Accrued Int.",IF(C136="SEC LENDING","Sec. Lending",IF(C136="REDEMPTION","Redemption",IF(C136="DISTRIBUTION","Distribution",IF(ISNUMBER(SEARCH("Rimborso",'Statements (Raw)'!D134)),"Redemption",IF(ISNUMBER(SEARCH("Cedola",'Statements (Raw)'!D134)),"Coupon",IF(ISNUMBER(SEARCH("Incasso Dividendi",'Statements (Raw)'!D134)),"Dividend",IF(ISNUMBER(SEARCH("Provento Etf",'Statements (Raw)'!D134)),"Distribution",IF(ISNUMBER(SEARCH("Rit.provento",'Statements (Raw)'!D134)),"Tax",IF(ISNUMBER(SEARCH("Ratei Pass",'Statements (Raw)'!D134)),"Accrued Int.",IF(ISNUMBER(SEARCH("Interessi Prest",'Statements (Raw)'!D134)),"Sec. Lending",IF('Statements (Raw)'!G134="","Other",IF('Statements (Raw)'!G134&gt;0,"Buy","Sell"))))))))))))))))))))))</f>
        <v>Buy</v>
      </c>
      <c r="E136" s="6" t="str">
        <f t="shared" si="4"/>
        <v>ETF/ETC</v>
      </c>
      <c r="F136" s="8">
        <f>IF(A136="","",IF('Statements (Raw)'!E134="","",'Statements (Raw)'!E134))</f>
        <v>295.39999999999998</v>
      </c>
      <c r="G136" s="6" t="str">
        <f>IF(A136="","",IF('Statements (Raw)'!F134="","",'Statements (Raw)'!F134))</f>
        <v>EUR</v>
      </c>
      <c r="H136" s="9">
        <f>IF(A136="","",IF('Statements (Raw)'!G134="","",'Statements (Raw)'!G134))</f>
        <v>1</v>
      </c>
      <c r="I136" s="10">
        <f>IF(A136="","",IF('Statements (Raw)'!H134="","",'Statements (Raw)'!H134))</f>
        <v>-295.39999999999998</v>
      </c>
      <c r="J136" s="10">
        <f>IF(A136="",0,IF('Statements (Raw)'!I134="",0,'Statements (Raw)'!I134))</f>
        <v>0</v>
      </c>
      <c r="K136" s="10">
        <f t="shared" si="5"/>
        <v>-295.39999999999998</v>
      </c>
    </row>
    <row r="137" spans="1:11" x14ac:dyDescent="0.3">
      <c r="A137" s="171">
        <f>IF(OR('Statements (Raw)'!A135="",'Statements (Raw)'!A135&gt;Holdings!$G$3),"",'Statements (Raw)'!A135)</f>
        <v>45901</v>
      </c>
      <c r="B137" s="7">
        <f>IF(A137="","",IF('Statements (Raw)'!B135="","",'Statements (Raw)'!B135))</f>
        <v>45903</v>
      </c>
      <c r="C137" s="6" t="str">
        <f>IF(A137="","",IF('Statements (Raw)'!C135&lt;&gt;"",'Statements (Raw)'!C135,IF(ISNUMBER(SEARCH("Conferimento",'Statements (Raw)'!D135)),"CASH DEPOSIT",IF(ISNUMBER(SEARCH("Prelievo",'Statements (Raw)'!D135)),"CASH WITHDRAWAL",IF(ISNUMBER(SEARCH("Bollo",'Statements (Raw)'!D135)),"STAMP DUTY",IF(ISNUMBER(SEARCH("Tobin Tax",'Statements (Raw)'!D135)),"TOBIN TAX",IF(ISNUMBER(SEARCH("Rit.provento",'Statements (Raw)'!D135)),"WITHHOLDING TAX",IF(ISNUMBER(SEARCH("Incasso Dividendi",'Statements (Raw)'!D135)),"DIVIDEND",IF(ISNUMBER(SEARCH("Cedola",'Statements (Raw)'!D135)),"COUPON",IF(ISNUMBER(SEARCH("Ratei Pass",'Statements (Raw)'!D135)),"ACCRUED INT",IF(ISNUMBER(SEARCH("Interessi Prest",'Statements (Raw)'!D135)),"SEC LENDING",IF(ISNUMBER(SEARCH("Rimborso",'Statements (Raw)'!D135)),"REDEMPTION",IF(ISNUMBER(SEARCH("Provento",'Statements (Raw)'!D135)),"DISTRIBUTION","OTHER")))))))))))))</f>
        <v>WISDOMTREE PHYSICAL SILVER</v>
      </c>
      <c r="D137" s="6" t="str">
        <f>IF(A137="","",IF(C137="Saldo Iniziale","Balance",IF(C137="CASH DEPOSIT","Deposit",IF(C137="CASH WITHDRAWAL","Withdrawal",IF(C137="STAMP DUTY","Tax",IF(C137="TOBIN TAX","Tax",IF(C137="WITHHOLDING TAX","Tax",IF(C137="DIVIDEND","Dividend",IF(C137="COUPON","Coupon",IF(C137="ACCRUED INT","Accrued Int.",IF(C137="SEC LENDING","Sec. Lending",IF(C137="REDEMPTION","Redemption",IF(C137="DISTRIBUTION","Distribution",IF(ISNUMBER(SEARCH("Rimborso",'Statements (Raw)'!D135)),"Redemption",IF(ISNUMBER(SEARCH("Cedola",'Statements (Raw)'!D135)),"Coupon",IF(ISNUMBER(SEARCH("Incasso Dividendi",'Statements (Raw)'!D135)),"Dividend",IF(ISNUMBER(SEARCH("Provento Etf",'Statements (Raw)'!D135)),"Distribution",IF(ISNUMBER(SEARCH("Rit.provento",'Statements (Raw)'!D135)),"Tax",IF(ISNUMBER(SEARCH("Ratei Pass",'Statements (Raw)'!D135)),"Accrued Int.",IF(ISNUMBER(SEARCH("Interessi Prest",'Statements (Raw)'!D135)),"Sec. Lending",IF('Statements (Raw)'!G135="","Other",IF('Statements (Raw)'!G135&gt;0,"Buy","Sell"))))))))))))))))))))))</f>
        <v>Buy</v>
      </c>
      <c r="E137" s="6" t="str">
        <f t="shared" si="4"/>
        <v>ETF/ETC</v>
      </c>
      <c r="F137" s="8">
        <f>IF(A137="","",IF('Statements (Raw)'!E135="","",'Statements (Raw)'!E135))</f>
        <v>31.805</v>
      </c>
      <c r="G137" s="6" t="str">
        <f>IF(A137="","",IF('Statements (Raw)'!F135="","",'Statements (Raw)'!F135))</f>
        <v>EUR</v>
      </c>
      <c r="H137" s="9">
        <f>IF(A137="","",IF('Statements (Raw)'!G135="","",'Statements (Raw)'!G135))</f>
        <v>15</v>
      </c>
      <c r="I137" s="10">
        <f>IF(A137="","",IF('Statements (Raw)'!H135="","",'Statements (Raw)'!H135))</f>
        <v>-477.08</v>
      </c>
      <c r="J137" s="10">
        <f>IF(A137="",0,IF('Statements (Raw)'!I135="",0,'Statements (Raw)'!I135))</f>
        <v>0</v>
      </c>
      <c r="K137" s="10">
        <f t="shared" si="5"/>
        <v>-477.08</v>
      </c>
    </row>
    <row r="138" spans="1:11" x14ac:dyDescent="0.3">
      <c r="A138" s="171">
        <f>IF(OR('Statements (Raw)'!A136="",'Statements (Raw)'!A136&gt;Holdings!$G$3),"",'Statements (Raw)'!A136)</f>
        <v>45901</v>
      </c>
      <c r="B138" s="7">
        <f>IF(A138="","",IF('Statements (Raw)'!B136="","",'Statements (Raw)'!B136))</f>
        <v>45900</v>
      </c>
      <c r="C138" s="6" t="str">
        <f>IF(A138="","",IF('Statements (Raw)'!C136&lt;&gt;"",'Statements (Raw)'!C136,IF(ISNUMBER(SEARCH("Conferimento",'Statements (Raw)'!D136)),"CASH DEPOSIT",IF(ISNUMBER(SEARCH("Prelievo",'Statements (Raw)'!D136)),"CASH WITHDRAWAL",IF(ISNUMBER(SEARCH("Bollo",'Statements (Raw)'!D136)),"STAMP DUTY",IF(ISNUMBER(SEARCH("Tobin Tax",'Statements (Raw)'!D136)),"TOBIN TAX",IF(ISNUMBER(SEARCH("Rit.provento",'Statements (Raw)'!D136)),"WITHHOLDING TAX",IF(ISNUMBER(SEARCH("Incasso Dividendi",'Statements (Raw)'!D136)),"DIVIDEND",IF(ISNUMBER(SEARCH("Cedola",'Statements (Raw)'!D136)),"COUPON",IF(ISNUMBER(SEARCH("Ratei Pass",'Statements (Raw)'!D136)),"ACCRUED INT",IF(ISNUMBER(SEARCH("Interessi Prest",'Statements (Raw)'!D136)),"SEC LENDING",IF(ISNUMBER(SEARCH("Rimborso",'Statements (Raw)'!D136)),"REDEMPTION",IF(ISNUMBER(SEARCH("Provento",'Statements (Raw)'!D136)),"DISTRIBUTION","OTHER")))))))))))))</f>
        <v>SANLORENZO</v>
      </c>
      <c r="D138" s="6" t="str">
        <f>IF(A138="","",IF(C138="Saldo Iniziale","Balance",IF(C138="CASH DEPOSIT","Deposit",IF(C138="CASH WITHDRAWAL","Withdrawal",IF(C138="STAMP DUTY","Tax",IF(C138="TOBIN TAX","Tax",IF(C138="WITHHOLDING TAX","Tax",IF(C138="DIVIDEND","Dividend",IF(C138="COUPON","Coupon",IF(C138="ACCRUED INT","Accrued Int.",IF(C138="SEC LENDING","Sec. Lending",IF(C138="REDEMPTION","Redemption",IF(C138="DISTRIBUTION","Distribution",IF(ISNUMBER(SEARCH("Rimborso",'Statements (Raw)'!D136)),"Redemption",IF(ISNUMBER(SEARCH("Cedola",'Statements (Raw)'!D136)),"Coupon",IF(ISNUMBER(SEARCH("Incasso Dividendi",'Statements (Raw)'!D136)),"Dividend",IF(ISNUMBER(SEARCH("Provento Etf",'Statements (Raw)'!D136)),"Distribution",IF(ISNUMBER(SEARCH("Rit.provento",'Statements (Raw)'!D136)),"Tax",IF(ISNUMBER(SEARCH("Ratei Pass",'Statements (Raw)'!D136)),"Accrued Int.",IF(ISNUMBER(SEARCH("Interessi Prest",'Statements (Raw)'!D136)),"Sec. Lending",IF('Statements (Raw)'!G136="","Other",IF('Statements (Raw)'!G136&gt;0,"Buy","Sell"))))))))))))))))))))))</f>
        <v>Sec. Lending</v>
      </c>
      <c r="E138" s="6" t="str">
        <f t="shared" si="4"/>
        <v>Income</v>
      </c>
      <c r="F138" s="8" t="str">
        <f>IF(A138="","",IF('Statements (Raw)'!E136="","",'Statements (Raw)'!E136))</f>
        <v/>
      </c>
      <c r="G138" s="6" t="str">
        <f>IF(A138="","",IF('Statements (Raw)'!F136="","",'Statements (Raw)'!F136))</f>
        <v/>
      </c>
      <c r="H138" s="9" t="str">
        <f>IF(A138="","",IF('Statements (Raw)'!G136="","",'Statements (Raw)'!G136))</f>
        <v/>
      </c>
      <c r="I138" s="10">
        <f>IF(A138="","",IF('Statements (Raw)'!H136="","",'Statements (Raw)'!H136))</f>
        <v>3.06</v>
      </c>
      <c r="J138" s="10">
        <f>IF(A138="",0,IF('Statements (Raw)'!I136="",0,'Statements (Raw)'!I136))</f>
        <v>0</v>
      </c>
      <c r="K138" s="10">
        <f t="shared" si="5"/>
        <v>3.06</v>
      </c>
    </row>
    <row r="139" spans="1:11" x14ac:dyDescent="0.3">
      <c r="A139" s="171">
        <f>IF(OR('Statements (Raw)'!A137="",'Statements (Raw)'!A137&gt;Holdings!$G$3),"",'Statements (Raw)'!A137)</f>
        <v>45901</v>
      </c>
      <c r="B139" s="7">
        <f>IF(A139="","",IF('Statements (Raw)'!B137="","",'Statements (Raw)'!B137))</f>
        <v>45900</v>
      </c>
      <c r="C139" s="6" t="str">
        <f>IF(A139="","",IF('Statements (Raw)'!C137&lt;&gt;"",'Statements (Raw)'!C137,IF(ISNUMBER(SEARCH("Conferimento",'Statements (Raw)'!D137)),"CASH DEPOSIT",IF(ISNUMBER(SEARCH("Prelievo",'Statements (Raw)'!D137)),"CASH WITHDRAWAL",IF(ISNUMBER(SEARCH("Bollo",'Statements (Raw)'!D137)),"STAMP DUTY",IF(ISNUMBER(SEARCH("Tobin Tax",'Statements (Raw)'!D137)),"TOBIN TAX",IF(ISNUMBER(SEARCH("Rit.provento",'Statements (Raw)'!D137)),"WITHHOLDING TAX",IF(ISNUMBER(SEARCH("Incasso Dividendi",'Statements (Raw)'!D137)),"DIVIDEND",IF(ISNUMBER(SEARCH("Cedola",'Statements (Raw)'!D137)),"COUPON",IF(ISNUMBER(SEARCH("Ratei Pass",'Statements (Raw)'!D137)),"ACCRUED INT",IF(ISNUMBER(SEARCH("Interessi Prest",'Statements (Raw)'!D137)),"SEC LENDING",IF(ISNUMBER(SEARCH("Rimborso",'Statements (Raw)'!D137)),"REDEMPTION",IF(ISNUMBER(SEARCH("Provento",'Statements (Raw)'!D137)),"DISTRIBUTION","OTHER")))))))))))))</f>
        <v>BOT ZC DEC25 A EUR</v>
      </c>
      <c r="D139" s="6" t="str">
        <f>IF(A139="","",IF(C139="Saldo Iniziale","Balance",IF(C139="CASH DEPOSIT","Deposit",IF(C139="CASH WITHDRAWAL","Withdrawal",IF(C139="STAMP DUTY","Tax",IF(C139="TOBIN TAX","Tax",IF(C139="WITHHOLDING TAX","Tax",IF(C139="DIVIDEND","Dividend",IF(C139="COUPON","Coupon",IF(C139="ACCRUED INT","Accrued Int.",IF(C139="SEC LENDING","Sec. Lending",IF(C139="REDEMPTION","Redemption",IF(C139="DISTRIBUTION","Distribution",IF(ISNUMBER(SEARCH("Rimborso",'Statements (Raw)'!D137)),"Redemption",IF(ISNUMBER(SEARCH("Cedola",'Statements (Raw)'!D137)),"Coupon",IF(ISNUMBER(SEARCH("Incasso Dividendi",'Statements (Raw)'!D137)),"Dividend",IF(ISNUMBER(SEARCH("Provento Etf",'Statements (Raw)'!D137)),"Distribution",IF(ISNUMBER(SEARCH("Rit.provento",'Statements (Raw)'!D137)),"Tax",IF(ISNUMBER(SEARCH("Ratei Pass",'Statements (Raw)'!D137)),"Accrued Int.",IF(ISNUMBER(SEARCH("Interessi Prest",'Statements (Raw)'!D137)),"Sec. Lending",IF('Statements (Raw)'!G137="","Other",IF('Statements (Raw)'!G137&gt;0,"Buy","Sell"))))))))))))))))))))))</f>
        <v>Sec. Lending</v>
      </c>
      <c r="E139" s="6" t="str">
        <f t="shared" si="4"/>
        <v>Income</v>
      </c>
      <c r="F139" s="8" t="str">
        <f>IF(A139="","",IF('Statements (Raw)'!E137="","",'Statements (Raw)'!E137))</f>
        <v/>
      </c>
      <c r="G139" s="6" t="str">
        <f>IF(A139="","",IF('Statements (Raw)'!F137="","",'Statements (Raw)'!F137))</f>
        <v/>
      </c>
      <c r="H139" s="9" t="str">
        <f>IF(A139="","",IF('Statements (Raw)'!G137="","",'Statements (Raw)'!G137))</f>
        <v/>
      </c>
      <c r="I139" s="10">
        <f>IF(A139="","",IF('Statements (Raw)'!H137="","",'Statements (Raw)'!H137))</f>
        <v>4.8600000000000003</v>
      </c>
      <c r="J139" s="10">
        <f>IF(A139="",0,IF('Statements (Raw)'!I137="",0,'Statements (Raw)'!I137))</f>
        <v>0</v>
      </c>
      <c r="K139" s="10">
        <f t="shared" si="5"/>
        <v>4.8600000000000003</v>
      </c>
    </row>
    <row r="140" spans="1:11" x14ac:dyDescent="0.3">
      <c r="A140" s="171">
        <f>IF(OR('Statements (Raw)'!A138="",'Statements (Raw)'!A138&gt;Holdings!$G$3),"",'Statements (Raw)'!A138)</f>
        <v>45908</v>
      </c>
      <c r="B140" s="7">
        <f>IF(A140="","",IF('Statements (Raw)'!B138="","",'Statements (Raw)'!B138))</f>
        <v>45910</v>
      </c>
      <c r="C140" s="6" t="str">
        <f>IF(A140="","",IF('Statements (Raw)'!C138&lt;&gt;"",'Statements (Raw)'!C138,IF(ISNUMBER(SEARCH("Conferimento",'Statements (Raw)'!D138)),"CASH DEPOSIT",IF(ISNUMBER(SEARCH("Prelievo",'Statements (Raw)'!D138)),"CASH WITHDRAWAL",IF(ISNUMBER(SEARCH("Bollo",'Statements (Raw)'!D138)),"STAMP DUTY",IF(ISNUMBER(SEARCH("Tobin Tax",'Statements (Raw)'!D138)),"TOBIN TAX",IF(ISNUMBER(SEARCH("Rit.provento",'Statements (Raw)'!D138)),"WITHHOLDING TAX",IF(ISNUMBER(SEARCH("Incasso Dividendi",'Statements (Raw)'!D138)),"DIVIDEND",IF(ISNUMBER(SEARCH("Cedola",'Statements (Raw)'!D138)),"COUPON",IF(ISNUMBER(SEARCH("Ratei Pass",'Statements (Raw)'!D138)),"ACCRUED INT",IF(ISNUMBER(SEARCH("Interessi Prest",'Statements (Raw)'!D138)),"SEC LENDING",IF(ISNUMBER(SEARCH("Rimborso",'Statements (Raw)'!D138)),"REDEMPTION",IF(ISNUMBER(SEARCH("Provento",'Statements (Raw)'!D138)),"DISTRIBUTION","OTHER")))))))))))))</f>
        <v>WisdomTree Europe Defence UCIT</v>
      </c>
      <c r="D140" s="6" t="str">
        <f>IF(A140="","",IF(C140="Saldo Iniziale","Balance",IF(C140="CASH DEPOSIT","Deposit",IF(C140="CASH WITHDRAWAL","Withdrawal",IF(C140="STAMP DUTY","Tax",IF(C140="TOBIN TAX","Tax",IF(C140="WITHHOLDING TAX","Tax",IF(C140="DIVIDEND","Dividend",IF(C140="COUPON","Coupon",IF(C140="ACCRUED INT","Accrued Int.",IF(C140="SEC LENDING","Sec. Lending",IF(C140="REDEMPTION","Redemption",IF(C140="DISTRIBUTION","Distribution",IF(ISNUMBER(SEARCH("Rimborso",'Statements (Raw)'!D138)),"Redemption",IF(ISNUMBER(SEARCH("Cedola",'Statements (Raw)'!D138)),"Coupon",IF(ISNUMBER(SEARCH("Incasso Dividendi",'Statements (Raw)'!D138)),"Dividend",IF(ISNUMBER(SEARCH("Provento Etf",'Statements (Raw)'!D138)),"Distribution",IF(ISNUMBER(SEARCH("Rit.provento",'Statements (Raw)'!D138)),"Tax",IF(ISNUMBER(SEARCH("Ratei Pass",'Statements (Raw)'!D138)),"Accrued Int.",IF(ISNUMBER(SEARCH("Interessi Prest",'Statements (Raw)'!D138)),"Sec. Lending",IF('Statements (Raw)'!G138="","Other",IF('Statements (Raw)'!G138&gt;0,"Buy","Sell"))))))))))))))))))))))</f>
        <v>Buy</v>
      </c>
      <c r="E140" s="6" t="str">
        <f t="shared" si="4"/>
        <v>ETF/ETC</v>
      </c>
      <c r="F140" s="8">
        <f>IF(A140="","",IF('Statements (Raw)'!E138="","",'Statements (Raw)'!E138))</f>
        <v>30.25</v>
      </c>
      <c r="G140" s="6" t="str">
        <f>IF(A140="","",IF('Statements (Raw)'!F138="","",'Statements (Raw)'!F138))</f>
        <v>EUR</v>
      </c>
      <c r="H140" s="9">
        <f>IF(A140="","",IF('Statements (Raw)'!G138="","",'Statements (Raw)'!G138))</f>
        <v>32</v>
      </c>
      <c r="I140" s="10">
        <f>IF(A140="","",IF('Statements (Raw)'!H138="","",'Statements (Raw)'!H138))</f>
        <v>-968</v>
      </c>
      <c r="J140" s="10">
        <f>IF(A140="",0,IF('Statements (Raw)'!I138="",0,'Statements (Raw)'!I138))</f>
        <v>0</v>
      </c>
      <c r="K140" s="10">
        <f t="shared" si="5"/>
        <v>-968</v>
      </c>
    </row>
    <row r="141" spans="1:11" x14ac:dyDescent="0.3">
      <c r="A141" s="171">
        <f>IF(OR('Statements (Raw)'!A139="",'Statements (Raw)'!A139&gt;Holdings!$G$3),"",'Statements (Raw)'!A139)</f>
        <v>45908</v>
      </c>
      <c r="B141" s="7">
        <f>IF(A141="","",IF('Statements (Raw)'!B139="","",'Statements (Raw)'!B139))</f>
        <v>45910</v>
      </c>
      <c r="C141" s="6" t="str">
        <f>IF(A141="","",IF('Statements (Raw)'!C139&lt;&gt;"",'Statements (Raw)'!C139,IF(ISNUMBER(SEARCH("Conferimento",'Statements (Raw)'!D139)),"CASH DEPOSIT",IF(ISNUMBER(SEARCH("Prelievo",'Statements (Raw)'!D139)),"CASH WITHDRAWAL",IF(ISNUMBER(SEARCH("Bollo",'Statements (Raw)'!D139)),"STAMP DUTY",IF(ISNUMBER(SEARCH("Tobin Tax",'Statements (Raw)'!D139)),"TOBIN TAX",IF(ISNUMBER(SEARCH("Rit.provento",'Statements (Raw)'!D139)),"WITHHOLDING TAX",IF(ISNUMBER(SEARCH("Incasso Dividendi",'Statements (Raw)'!D139)),"DIVIDEND",IF(ISNUMBER(SEARCH("Cedola",'Statements (Raw)'!D139)),"COUPON",IF(ISNUMBER(SEARCH("Ratei Pass",'Statements (Raw)'!D139)),"ACCRUED INT",IF(ISNUMBER(SEARCH("Interessi Prest",'Statements (Raw)'!D139)),"SEC LENDING",IF(ISNUMBER(SEARCH("Rimborso",'Statements (Raw)'!D139)),"REDEMPTION",IF(ISNUMBER(SEARCH("Provento",'Statements (Raw)'!D139)),"DISTRIBUTION","OTHER")))))))))))))</f>
        <v>ISHARES FTSE MIB UCITS ETF EUR</v>
      </c>
      <c r="D141" s="6" t="str">
        <f>IF(A141="","",IF(C141="Saldo Iniziale","Balance",IF(C141="CASH DEPOSIT","Deposit",IF(C141="CASH WITHDRAWAL","Withdrawal",IF(C141="STAMP DUTY","Tax",IF(C141="TOBIN TAX","Tax",IF(C141="WITHHOLDING TAX","Tax",IF(C141="DIVIDEND","Dividend",IF(C141="COUPON","Coupon",IF(C141="ACCRUED INT","Accrued Int.",IF(C141="SEC LENDING","Sec. Lending",IF(C141="REDEMPTION","Redemption",IF(C141="DISTRIBUTION","Distribution",IF(ISNUMBER(SEARCH("Rimborso",'Statements (Raw)'!D139)),"Redemption",IF(ISNUMBER(SEARCH("Cedola",'Statements (Raw)'!D139)),"Coupon",IF(ISNUMBER(SEARCH("Incasso Dividendi",'Statements (Raw)'!D139)),"Dividend",IF(ISNUMBER(SEARCH("Provento Etf",'Statements (Raw)'!D139)),"Distribution",IF(ISNUMBER(SEARCH("Rit.provento",'Statements (Raw)'!D139)),"Tax",IF(ISNUMBER(SEARCH("Ratei Pass",'Statements (Raw)'!D139)),"Accrued Int.",IF(ISNUMBER(SEARCH("Interessi Prest",'Statements (Raw)'!D139)),"Sec. Lending",IF('Statements (Raw)'!G139="","Other",IF('Statements (Raw)'!G139&gt;0,"Buy","Sell"))))))))))))))))))))))</f>
        <v>Buy</v>
      </c>
      <c r="E141" s="6" t="str">
        <f t="shared" si="4"/>
        <v>ETF/ETC</v>
      </c>
      <c r="F141" s="8">
        <f>IF(A141="","",IF('Statements (Raw)'!E139="","",'Statements (Raw)'!E139))</f>
        <v>199.5</v>
      </c>
      <c r="G141" s="6" t="str">
        <f>IF(A141="","",IF('Statements (Raw)'!F139="","",'Statements (Raw)'!F139))</f>
        <v>EUR</v>
      </c>
      <c r="H141" s="9">
        <f>IF(A141="","",IF('Statements (Raw)'!G139="","",'Statements (Raw)'!G139))</f>
        <v>12</v>
      </c>
      <c r="I141" s="10">
        <f>IF(A141="","",IF('Statements (Raw)'!H139="","",'Statements (Raw)'!H139))</f>
        <v>-2394</v>
      </c>
      <c r="J141" s="10">
        <f>IF(A141="",0,IF('Statements (Raw)'!I139="",0,'Statements (Raw)'!I139))</f>
        <v>0</v>
      </c>
      <c r="K141" s="10">
        <f t="shared" si="5"/>
        <v>-2394</v>
      </c>
    </row>
    <row r="142" spans="1:11" x14ac:dyDescent="0.3">
      <c r="A142" s="171">
        <f>IF(OR('Statements (Raw)'!A140="",'Statements (Raw)'!A140&gt;Holdings!$G$3),"",'Statements (Raw)'!A140)</f>
        <v>45908</v>
      </c>
      <c r="B142" s="7">
        <f>IF(A142="","",IF('Statements (Raw)'!B140="","",'Statements (Raw)'!B140))</f>
        <v>45910</v>
      </c>
      <c r="C142" s="6" t="str">
        <f>IF(A142="","",IF('Statements (Raw)'!C140&lt;&gt;"",'Statements (Raw)'!C140,IF(ISNUMBER(SEARCH("Conferimento",'Statements (Raw)'!D140)),"CASH DEPOSIT",IF(ISNUMBER(SEARCH("Prelievo",'Statements (Raw)'!D140)),"CASH WITHDRAWAL",IF(ISNUMBER(SEARCH("Bollo",'Statements (Raw)'!D140)),"STAMP DUTY",IF(ISNUMBER(SEARCH("Tobin Tax",'Statements (Raw)'!D140)),"TOBIN TAX",IF(ISNUMBER(SEARCH("Rit.provento",'Statements (Raw)'!D140)),"WITHHOLDING TAX",IF(ISNUMBER(SEARCH("Incasso Dividendi",'Statements (Raw)'!D140)),"DIVIDEND",IF(ISNUMBER(SEARCH("Cedola",'Statements (Raw)'!D140)),"COUPON",IF(ISNUMBER(SEARCH("Ratei Pass",'Statements (Raw)'!D140)),"ACCRUED INT",IF(ISNUMBER(SEARCH("Interessi Prest",'Statements (Raw)'!D140)),"SEC LENDING",IF(ISNUMBER(SEARCH("Rimborso",'Statements (Raw)'!D140)),"REDEMPTION",IF(ISNUMBER(SEARCH("Provento",'Statements (Raw)'!D140)),"DISTRIBUTION","OTHER")))))))))))))</f>
        <v>WISDOMTREE CORE PHYSICAL GOLD</v>
      </c>
      <c r="D142" s="6" t="str">
        <f>IF(A142="","",IF(C142="Saldo Iniziale","Balance",IF(C142="CASH DEPOSIT","Deposit",IF(C142="CASH WITHDRAWAL","Withdrawal",IF(C142="STAMP DUTY","Tax",IF(C142="TOBIN TAX","Tax",IF(C142="WITHHOLDING TAX","Tax",IF(C142="DIVIDEND","Dividend",IF(C142="COUPON","Coupon",IF(C142="ACCRUED INT","Accrued Int.",IF(C142="SEC LENDING","Sec. Lending",IF(C142="REDEMPTION","Redemption",IF(C142="DISTRIBUTION","Distribution",IF(ISNUMBER(SEARCH("Rimborso",'Statements (Raw)'!D140)),"Redemption",IF(ISNUMBER(SEARCH("Cedola",'Statements (Raw)'!D140)),"Coupon",IF(ISNUMBER(SEARCH("Incasso Dividendi",'Statements (Raw)'!D140)),"Dividend",IF(ISNUMBER(SEARCH("Provento Etf",'Statements (Raw)'!D140)),"Distribution",IF(ISNUMBER(SEARCH("Rit.provento",'Statements (Raw)'!D140)),"Tax",IF(ISNUMBER(SEARCH("Ratei Pass",'Statements (Raw)'!D140)),"Accrued Int.",IF(ISNUMBER(SEARCH("Interessi Prest",'Statements (Raw)'!D140)),"Sec. Lending",IF('Statements (Raw)'!G140="","Other",IF('Statements (Raw)'!G140&gt;0,"Buy","Sell"))))))))))))))))))))))</f>
        <v>Buy</v>
      </c>
      <c r="E142" s="6" t="str">
        <f t="shared" si="4"/>
        <v>ETF/ETC</v>
      </c>
      <c r="F142" s="8">
        <f>IF(A142="","",IF('Statements (Raw)'!E140="","",'Statements (Raw)'!E140))</f>
        <v>307.70999999999998</v>
      </c>
      <c r="G142" s="6" t="str">
        <f>IF(A142="","",IF('Statements (Raw)'!F140="","",'Statements (Raw)'!F140))</f>
        <v>EUR</v>
      </c>
      <c r="H142" s="9">
        <f>IF(A142="","",IF('Statements (Raw)'!G140="","",'Statements (Raw)'!G140))</f>
        <v>1</v>
      </c>
      <c r="I142" s="10">
        <f>IF(A142="","",IF('Statements (Raw)'!H140="","",'Statements (Raw)'!H140))</f>
        <v>-307.70999999999998</v>
      </c>
      <c r="J142" s="10">
        <f>IF(A142="",0,IF('Statements (Raw)'!I140="",0,'Statements (Raw)'!I140))</f>
        <v>0</v>
      </c>
      <c r="K142" s="10">
        <f t="shared" si="5"/>
        <v>-307.70999999999998</v>
      </c>
    </row>
    <row r="143" spans="1:11" x14ac:dyDescent="0.3">
      <c r="A143" s="171">
        <f>IF(OR('Statements (Raw)'!A141="",'Statements (Raw)'!A141&gt;Holdings!$G$3),"",'Statements (Raw)'!A141)</f>
        <v>45908</v>
      </c>
      <c r="B143" s="7">
        <f>IF(A143="","",IF('Statements (Raw)'!B141="","",'Statements (Raw)'!B141))</f>
        <v>45910</v>
      </c>
      <c r="C143" s="6" t="str">
        <f>IF(A143="","",IF('Statements (Raw)'!C141&lt;&gt;"",'Statements (Raw)'!C141,IF(ISNUMBER(SEARCH("Conferimento",'Statements (Raw)'!D141)),"CASH DEPOSIT",IF(ISNUMBER(SEARCH("Prelievo",'Statements (Raw)'!D141)),"CASH WITHDRAWAL",IF(ISNUMBER(SEARCH("Bollo",'Statements (Raw)'!D141)),"STAMP DUTY",IF(ISNUMBER(SEARCH("Tobin Tax",'Statements (Raw)'!D141)),"TOBIN TAX",IF(ISNUMBER(SEARCH("Rit.provento",'Statements (Raw)'!D141)),"WITHHOLDING TAX",IF(ISNUMBER(SEARCH("Incasso Dividendi",'Statements (Raw)'!D141)),"DIVIDEND",IF(ISNUMBER(SEARCH("Cedola",'Statements (Raw)'!D141)),"COUPON",IF(ISNUMBER(SEARCH("Ratei Pass",'Statements (Raw)'!D141)),"ACCRUED INT",IF(ISNUMBER(SEARCH("Interessi Prest",'Statements (Raw)'!D141)),"SEC LENDING",IF(ISNUMBER(SEARCH("Rimborso",'Statements (Raw)'!D141)),"REDEMPTION",IF(ISNUMBER(SEARCH("Provento",'Statements (Raw)'!D141)),"DISTRIBUTION","OTHER")))))))))))))</f>
        <v>WISDOMTREE PHYSICAL SILVER</v>
      </c>
      <c r="D143" s="6" t="str">
        <f>IF(A143="","",IF(C143="Saldo Iniziale","Balance",IF(C143="CASH DEPOSIT","Deposit",IF(C143="CASH WITHDRAWAL","Withdrawal",IF(C143="STAMP DUTY","Tax",IF(C143="TOBIN TAX","Tax",IF(C143="WITHHOLDING TAX","Tax",IF(C143="DIVIDEND","Dividend",IF(C143="COUPON","Coupon",IF(C143="ACCRUED INT","Accrued Int.",IF(C143="SEC LENDING","Sec. Lending",IF(C143="REDEMPTION","Redemption",IF(C143="DISTRIBUTION","Distribution",IF(ISNUMBER(SEARCH("Rimborso",'Statements (Raw)'!D141)),"Redemption",IF(ISNUMBER(SEARCH("Cedola",'Statements (Raw)'!D141)),"Coupon",IF(ISNUMBER(SEARCH("Incasso Dividendi",'Statements (Raw)'!D141)),"Dividend",IF(ISNUMBER(SEARCH("Provento Etf",'Statements (Raw)'!D141)),"Distribution",IF(ISNUMBER(SEARCH("Rit.provento",'Statements (Raw)'!D141)),"Tax",IF(ISNUMBER(SEARCH("Ratei Pass",'Statements (Raw)'!D141)),"Accrued Int.",IF(ISNUMBER(SEARCH("Interessi Prest",'Statements (Raw)'!D141)),"Sec. Lending",IF('Statements (Raw)'!G141="","Other",IF('Statements (Raw)'!G141&gt;0,"Buy","Sell"))))))))))))))))))))))</f>
        <v>Buy</v>
      </c>
      <c r="E143" s="6" t="str">
        <f t="shared" si="4"/>
        <v>ETF/ETC</v>
      </c>
      <c r="F143" s="8">
        <f>IF(A143="","",IF('Statements (Raw)'!E141="","",'Statements (Raw)'!E141))</f>
        <v>32.130000000000003</v>
      </c>
      <c r="G143" s="6" t="str">
        <f>IF(A143="","",IF('Statements (Raw)'!F141="","",'Statements (Raw)'!F141))</f>
        <v>EUR</v>
      </c>
      <c r="H143" s="9">
        <f>IF(A143="","",IF('Statements (Raw)'!G141="","",'Statements (Raw)'!G141))</f>
        <v>15</v>
      </c>
      <c r="I143" s="10">
        <f>IF(A143="","",IF('Statements (Raw)'!H141="","",'Statements (Raw)'!H141))</f>
        <v>-481.95</v>
      </c>
      <c r="J143" s="10">
        <f>IF(A143="",0,IF('Statements (Raw)'!I141="",0,'Statements (Raw)'!I141))</f>
        <v>0</v>
      </c>
      <c r="K143" s="10">
        <f t="shared" si="5"/>
        <v>-481.95</v>
      </c>
    </row>
    <row r="144" spans="1:11" x14ac:dyDescent="0.3">
      <c r="A144" s="171">
        <f>IF(OR('Statements (Raw)'!A142="",'Statements (Raw)'!A142&gt;Holdings!$G$3),"",'Statements (Raw)'!A142)</f>
        <v>45910</v>
      </c>
      <c r="B144" s="7">
        <f>IF(A144="","",IF('Statements (Raw)'!B142="","",'Statements (Raw)'!B142))</f>
        <v>45924</v>
      </c>
      <c r="C144" s="6" t="str">
        <f>IF(A144="","",IF('Statements (Raw)'!C142&lt;&gt;"",'Statements (Raw)'!C142,IF(ISNUMBER(SEARCH("Conferimento",'Statements (Raw)'!D142)),"CASH DEPOSIT",IF(ISNUMBER(SEARCH("Prelievo",'Statements (Raw)'!D142)),"CASH WITHDRAWAL",IF(ISNUMBER(SEARCH("Bollo",'Statements (Raw)'!D142)),"STAMP DUTY",IF(ISNUMBER(SEARCH("Tobin Tax",'Statements (Raw)'!D142)),"TOBIN TAX",IF(ISNUMBER(SEARCH("Rit.provento",'Statements (Raw)'!D142)),"WITHHOLDING TAX",IF(ISNUMBER(SEARCH("Incasso Dividendi",'Statements (Raw)'!D142)),"DIVIDEND",IF(ISNUMBER(SEARCH("Cedola",'Statements (Raw)'!D142)),"COUPON",IF(ISNUMBER(SEARCH("Ratei Pass",'Statements (Raw)'!D142)),"ACCRUED INT",IF(ISNUMBER(SEARCH("Interessi Prest",'Statements (Raw)'!D142)),"SEC LENDING",IF(ISNUMBER(SEARCH("Rimborso",'Statements (Raw)'!D142)),"REDEMPTION",IF(ISNUMBER(SEARCH("Provento",'Statements (Raw)'!D142)),"DISTRIBUTION","OTHER")))))))))))))</f>
        <v>ISHARES HIGH YLD CORP UCITS ET</v>
      </c>
      <c r="D144" s="6" t="str">
        <f>IF(A144="","",IF(C144="Saldo Iniziale","Balance",IF(C144="CASH DEPOSIT","Deposit",IF(C144="CASH WITHDRAWAL","Withdrawal",IF(C144="STAMP DUTY","Tax",IF(C144="TOBIN TAX","Tax",IF(C144="WITHHOLDING TAX","Tax",IF(C144="DIVIDEND","Dividend",IF(C144="COUPON","Coupon",IF(C144="ACCRUED INT","Accrued Int.",IF(C144="SEC LENDING","Sec. Lending",IF(C144="REDEMPTION","Redemption",IF(C144="DISTRIBUTION","Distribution",IF(ISNUMBER(SEARCH("Rimborso",'Statements (Raw)'!D142)),"Redemption",IF(ISNUMBER(SEARCH("Cedola",'Statements (Raw)'!D142)),"Coupon",IF(ISNUMBER(SEARCH("Incasso Dividendi",'Statements (Raw)'!D142)),"Dividend",IF(ISNUMBER(SEARCH("Provento Etf",'Statements (Raw)'!D142)),"Distribution",IF(ISNUMBER(SEARCH("Rit.provento",'Statements (Raw)'!D142)),"Tax",IF(ISNUMBER(SEARCH("Ratei Pass",'Statements (Raw)'!D142)),"Accrued Int.",IF(ISNUMBER(SEARCH("Interessi Prest",'Statements (Raw)'!D142)),"Sec. Lending",IF('Statements (Raw)'!G142="","Other",IF('Statements (Raw)'!G142&gt;0,"Buy","Sell"))))))))))))))))))))))</f>
        <v>Distribution</v>
      </c>
      <c r="E144" s="6" t="str">
        <f t="shared" si="4"/>
        <v>Income</v>
      </c>
      <c r="F144" s="8" t="str">
        <f>IF(A144="","",IF('Statements (Raw)'!E142="","",'Statements (Raw)'!E142))</f>
        <v/>
      </c>
      <c r="G144" s="6" t="str">
        <f>IF(A144="","",IF('Statements (Raw)'!F142="","",'Statements (Raw)'!F142))</f>
        <v/>
      </c>
      <c r="H144" s="9" t="str">
        <f>IF(A144="","",IF('Statements (Raw)'!G142="","",'Statements (Raw)'!G142))</f>
        <v/>
      </c>
      <c r="I144" s="10">
        <f>IF(A144="","",IF('Statements (Raw)'!H142="","",'Statements (Raw)'!H142))</f>
        <v>604.33000000000004</v>
      </c>
      <c r="J144" s="10">
        <f>IF(A144="",0,IF('Statements (Raw)'!I142="",0,'Statements (Raw)'!I142))</f>
        <v>0</v>
      </c>
      <c r="K144" s="10">
        <f t="shared" si="5"/>
        <v>604.33000000000004</v>
      </c>
    </row>
    <row r="145" spans="1:11" x14ac:dyDescent="0.3">
      <c r="A145" s="171">
        <f>IF(OR('Statements (Raw)'!A143="",'Statements (Raw)'!A143&gt;Holdings!$G$3),"",'Statements (Raw)'!A143)</f>
        <v>45910</v>
      </c>
      <c r="B145" s="7">
        <f>IF(A145="","",IF('Statements (Raw)'!B143="","",'Statements (Raw)'!B143))</f>
        <v>45924</v>
      </c>
      <c r="C145" s="6" t="str">
        <f>IF(A145="","",IF('Statements (Raw)'!C143&lt;&gt;"",'Statements (Raw)'!C143,IF(ISNUMBER(SEARCH("Conferimento",'Statements (Raw)'!D143)),"CASH DEPOSIT",IF(ISNUMBER(SEARCH("Prelievo",'Statements (Raw)'!D143)),"CASH WITHDRAWAL",IF(ISNUMBER(SEARCH("Bollo",'Statements (Raw)'!D143)),"STAMP DUTY",IF(ISNUMBER(SEARCH("Tobin Tax",'Statements (Raw)'!D143)),"TOBIN TAX",IF(ISNUMBER(SEARCH("Rit.provento",'Statements (Raw)'!D143)),"WITHHOLDING TAX",IF(ISNUMBER(SEARCH("Incasso Dividendi",'Statements (Raw)'!D143)),"DIVIDEND",IF(ISNUMBER(SEARCH("Cedola",'Statements (Raw)'!D143)),"COUPON",IF(ISNUMBER(SEARCH("Ratei Pass",'Statements (Raw)'!D143)),"ACCRUED INT",IF(ISNUMBER(SEARCH("Interessi Prest",'Statements (Raw)'!D143)),"SEC LENDING",IF(ISNUMBER(SEARCH("Rimborso",'Statements (Raw)'!D143)),"REDEMPTION",IF(ISNUMBER(SEARCH("Provento",'Statements (Raw)'!D143)),"DISTRIBUTION","OTHER")))))))))))))</f>
        <v>ISHARES HIGH YLD CORP UCITS ET</v>
      </c>
      <c r="D145" s="6" t="str">
        <f>IF(A145="","",IF(C145="Saldo Iniziale","Balance",IF(C145="CASH DEPOSIT","Deposit",IF(C145="CASH WITHDRAWAL","Withdrawal",IF(C145="STAMP DUTY","Tax",IF(C145="TOBIN TAX","Tax",IF(C145="WITHHOLDING TAX","Tax",IF(C145="DIVIDEND","Dividend",IF(C145="COUPON","Coupon",IF(C145="ACCRUED INT","Accrued Int.",IF(C145="SEC LENDING","Sec. Lending",IF(C145="REDEMPTION","Redemption",IF(C145="DISTRIBUTION","Distribution",IF(ISNUMBER(SEARCH("Rimborso",'Statements (Raw)'!D143)),"Redemption",IF(ISNUMBER(SEARCH("Cedola",'Statements (Raw)'!D143)),"Coupon",IF(ISNUMBER(SEARCH("Incasso Dividendi",'Statements (Raw)'!D143)),"Dividend",IF(ISNUMBER(SEARCH("Provento Etf",'Statements (Raw)'!D143)),"Distribution",IF(ISNUMBER(SEARCH("Rit.provento",'Statements (Raw)'!D143)),"Tax",IF(ISNUMBER(SEARCH("Ratei Pass",'Statements (Raw)'!D143)),"Accrued Int.",IF(ISNUMBER(SEARCH("Interessi Prest",'Statements (Raw)'!D143)),"Sec. Lending",IF('Statements (Raw)'!G143="","Other",IF('Statements (Raw)'!G143&gt;0,"Buy","Sell"))))))))))))))))))))))</f>
        <v>Distribution</v>
      </c>
      <c r="E145" s="6" t="str">
        <f t="shared" si="4"/>
        <v>Income</v>
      </c>
      <c r="F145" s="8" t="str">
        <f>IF(A145="","",IF('Statements (Raw)'!E143="","",'Statements (Raw)'!E143))</f>
        <v/>
      </c>
      <c r="G145" s="6" t="str">
        <f>IF(A145="","",IF('Statements (Raw)'!F143="","",'Statements (Raw)'!F143))</f>
        <v/>
      </c>
      <c r="H145" s="9" t="str">
        <f>IF(A145="","",IF('Statements (Raw)'!G143="","",'Statements (Raw)'!G143))</f>
        <v/>
      </c>
      <c r="I145" s="10">
        <f>IF(A145="","",IF('Statements (Raw)'!H143="","",'Statements (Raw)'!H143))</f>
        <v>-156.72999999999999</v>
      </c>
      <c r="J145" s="10">
        <f>IF(A145="",0,IF('Statements (Raw)'!I143="",0,'Statements (Raw)'!I143))</f>
        <v>0</v>
      </c>
      <c r="K145" s="10">
        <f t="shared" si="5"/>
        <v>-156.72999999999999</v>
      </c>
    </row>
    <row r="146" spans="1:11" x14ac:dyDescent="0.3">
      <c r="A146" s="171">
        <f>IF(OR('Statements (Raw)'!A144="",'Statements (Raw)'!A144&gt;Holdings!$G$3),"",'Statements (Raw)'!A144)</f>
        <v>45911</v>
      </c>
      <c r="B146" s="7">
        <f>IF(A146="","",IF('Statements (Raw)'!B144="","",'Statements (Raw)'!B144))</f>
        <v>45912</v>
      </c>
      <c r="C146" s="6" t="str">
        <f>IF(A146="","",IF('Statements (Raw)'!C144&lt;&gt;"",'Statements (Raw)'!C144,IF(ISNUMBER(SEARCH("Conferimento",'Statements (Raw)'!D144)),"CASH DEPOSIT",IF(ISNUMBER(SEARCH("Prelievo",'Statements (Raw)'!D144)),"CASH WITHDRAWAL",IF(ISNUMBER(SEARCH("Bollo",'Statements (Raw)'!D144)),"STAMP DUTY",IF(ISNUMBER(SEARCH("Tobin Tax",'Statements (Raw)'!D144)),"TOBIN TAX",IF(ISNUMBER(SEARCH("Rit.provento",'Statements (Raw)'!D144)),"WITHHOLDING TAX",IF(ISNUMBER(SEARCH("Incasso Dividendi",'Statements (Raw)'!D144)),"DIVIDEND",IF(ISNUMBER(SEARCH("Cedola",'Statements (Raw)'!D144)),"COUPON",IF(ISNUMBER(SEARCH("Ratei Pass",'Statements (Raw)'!D144)),"ACCRUED INT",IF(ISNUMBER(SEARCH("Interessi Prest",'Statements (Raw)'!D144)),"SEC LENDING",IF(ISNUMBER(SEARCH("Rimborso",'Statements (Raw)'!D144)),"REDEMPTION",IF(ISNUMBER(SEARCH("Provento",'Statements (Raw)'!D144)),"DISTRIBUTION","OTHER")))))))))))))</f>
        <v>ORACLE CORP</v>
      </c>
      <c r="D146" s="6" t="str">
        <f>IF(A146="","",IF(C146="Saldo Iniziale","Balance",IF(C146="CASH DEPOSIT","Deposit",IF(C146="CASH WITHDRAWAL","Withdrawal",IF(C146="STAMP DUTY","Tax",IF(C146="TOBIN TAX","Tax",IF(C146="WITHHOLDING TAX","Tax",IF(C146="DIVIDEND","Dividend",IF(C146="COUPON","Coupon",IF(C146="ACCRUED INT","Accrued Int.",IF(C146="SEC LENDING","Sec. Lending",IF(C146="REDEMPTION","Redemption",IF(C146="DISTRIBUTION","Distribution",IF(ISNUMBER(SEARCH("Rimborso",'Statements (Raw)'!D144)),"Redemption",IF(ISNUMBER(SEARCH("Cedola",'Statements (Raw)'!D144)),"Coupon",IF(ISNUMBER(SEARCH("Incasso Dividendi",'Statements (Raw)'!D144)),"Dividend",IF(ISNUMBER(SEARCH("Provento Etf",'Statements (Raw)'!D144)),"Distribution",IF(ISNUMBER(SEARCH("Rit.provento",'Statements (Raw)'!D144)),"Tax",IF(ISNUMBER(SEARCH("Ratei Pass",'Statements (Raw)'!D144)),"Accrued Int.",IF(ISNUMBER(SEARCH("Interessi Prest",'Statements (Raw)'!D144)),"Sec. Lending",IF('Statements (Raw)'!G144="","Other",IF('Statements (Raw)'!G144&gt;0,"Buy","Sell"))))))))))))))))))))))</f>
        <v>Buy</v>
      </c>
      <c r="E146" s="6" t="str">
        <f t="shared" si="4"/>
        <v>Stock</v>
      </c>
      <c r="F146" s="8">
        <f>IF(A146="","",IF('Statements (Raw)'!E144="","",'Statements (Raw)'!E144))</f>
        <v>330</v>
      </c>
      <c r="G146" s="6" t="str">
        <f>IF(A146="","",IF('Statements (Raw)'!F144="","",'Statements (Raw)'!F144))</f>
        <v>USD</v>
      </c>
      <c r="H146" s="9">
        <f>IF(A146="","",IF('Statements (Raw)'!G144="","",'Statements (Raw)'!G144))</f>
        <v>10</v>
      </c>
      <c r="I146" s="10">
        <f>IF(A146="","",IF('Statements (Raw)'!H144="","",'Statements (Raw)'!H144))</f>
        <v>-2811.14</v>
      </c>
      <c r="J146" s="10">
        <f>IF(A146="",0,IF('Statements (Raw)'!I144="",0,'Statements (Raw)'!I144))</f>
        <v>-7.67</v>
      </c>
      <c r="K146" s="10">
        <f t="shared" si="5"/>
        <v>-2818.81</v>
      </c>
    </row>
    <row r="147" spans="1:11" x14ac:dyDescent="0.3">
      <c r="A147" s="171">
        <f>IF(OR('Statements (Raw)'!A145="",'Statements (Raw)'!A145&gt;Holdings!$G$3),"",'Statements (Raw)'!A145)</f>
        <v>45911</v>
      </c>
      <c r="B147" s="7">
        <f>IF(A147="","",IF('Statements (Raw)'!B145="","",'Statements (Raw)'!B145))</f>
        <v>45915</v>
      </c>
      <c r="C147" s="6" t="str">
        <f>IF(A147="","",IF('Statements (Raw)'!C145&lt;&gt;"",'Statements (Raw)'!C145,IF(ISNUMBER(SEARCH("Conferimento",'Statements (Raw)'!D145)),"CASH DEPOSIT",IF(ISNUMBER(SEARCH("Prelievo",'Statements (Raw)'!D145)),"CASH WITHDRAWAL",IF(ISNUMBER(SEARCH("Bollo",'Statements (Raw)'!D145)),"STAMP DUTY",IF(ISNUMBER(SEARCH("Tobin Tax",'Statements (Raw)'!D145)),"TOBIN TAX",IF(ISNUMBER(SEARCH("Rit.provento",'Statements (Raw)'!D145)),"WITHHOLDING TAX",IF(ISNUMBER(SEARCH("Incasso Dividendi",'Statements (Raw)'!D145)),"DIVIDEND",IF(ISNUMBER(SEARCH("Cedola",'Statements (Raw)'!D145)),"COUPON",IF(ISNUMBER(SEARCH("Ratei Pass",'Statements (Raw)'!D145)),"ACCRUED INT",IF(ISNUMBER(SEARCH("Interessi Prest",'Statements (Raw)'!D145)),"SEC LENDING",IF(ISNUMBER(SEARCH("Rimborso",'Statements (Raw)'!D145)),"REDEMPTION",IF(ISNUMBER(SEARCH("Provento",'Statements (Raw)'!D145)),"DISTRIBUTION","OTHER")))))))))))))</f>
        <v>NEXI</v>
      </c>
      <c r="D147" s="6" t="str">
        <f>IF(A147="","",IF(C147="Saldo Iniziale","Balance",IF(C147="CASH DEPOSIT","Deposit",IF(C147="CASH WITHDRAWAL","Withdrawal",IF(C147="STAMP DUTY","Tax",IF(C147="TOBIN TAX","Tax",IF(C147="WITHHOLDING TAX","Tax",IF(C147="DIVIDEND","Dividend",IF(C147="COUPON","Coupon",IF(C147="ACCRUED INT","Accrued Int.",IF(C147="SEC LENDING","Sec. Lending",IF(C147="REDEMPTION","Redemption",IF(C147="DISTRIBUTION","Distribution",IF(ISNUMBER(SEARCH("Rimborso",'Statements (Raw)'!D145)),"Redemption",IF(ISNUMBER(SEARCH("Cedola",'Statements (Raw)'!D145)),"Coupon",IF(ISNUMBER(SEARCH("Incasso Dividendi",'Statements (Raw)'!D145)),"Dividend",IF(ISNUMBER(SEARCH("Provento Etf",'Statements (Raw)'!D145)),"Distribution",IF(ISNUMBER(SEARCH("Rit.provento",'Statements (Raw)'!D145)),"Tax",IF(ISNUMBER(SEARCH("Ratei Pass",'Statements (Raw)'!D145)),"Accrued Int.",IF(ISNUMBER(SEARCH("Interessi Prest",'Statements (Raw)'!D145)),"Sec. Lending",IF('Statements (Raw)'!G145="","Other",IF('Statements (Raw)'!G145&gt;0,"Buy","Sell"))))))))))))))))))))))</f>
        <v>Buy</v>
      </c>
      <c r="E147" s="6" t="str">
        <f t="shared" si="4"/>
        <v>Stock</v>
      </c>
      <c r="F147" s="8">
        <f>IF(A147="","",IF('Statements (Raw)'!E145="","",'Statements (Raw)'!E145))</f>
        <v>4.7380000000000004</v>
      </c>
      <c r="G147" s="6" t="str">
        <f>IF(A147="","",IF('Statements (Raw)'!F145="","",'Statements (Raw)'!F145))</f>
        <v>EUR</v>
      </c>
      <c r="H147" s="9">
        <f>IF(A147="","",IF('Statements (Raw)'!G145="","",'Statements (Raw)'!G145))</f>
        <v>500</v>
      </c>
      <c r="I147" s="10">
        <f>IF(A147="","",IF('Statements (Raw)'!H145="","",'Statements (Raw)'!H145))</f>
        <v>-2369</v>
      </c>
      <c r="J147" s="10">
        <f>IF(A147="",0,IF('Statements (Raw)'!I145="",0,'Statements (Raw)'!I145))</f>
        <v>-5</v>
      </c>
      <c r="K147" s="10">
        <f t="shared" si="5"/>
        <v>-2374</v>
      </c>
    </row>
    <row r="148" spans="1:11" x14ac:dyDescent="0.3">
      <c r="A148" s="171">
        <f>IF(OR('Statements (Raw)'!A146="",'Statements (Raw)'!A146&gt;Holdings!$G$3),"",'Statements (Raw)'!A146)</f>
        <v>45911</v>
      </c>
      <c r="B148" s="7">
        <f>IF(A148="","",IF('Statements (Raw)'!B146="","",'Statements (Raw)'!B146))</f>
        <v>45915</v>
      </c>
      <c r="C148" s="6" t="str">
        <f>IF(A148="","",IF('Statements (Raw)'!C146&lt;&gt;"",'Statements (Raw)'!C146,IF(ISNUMBER(SEARCH("Conferimento",'Statements (Raw)'!D146)),"CASH DEPOSIT",IF(ISNUMBER(SEARCH("Prelievo",'Statements (Raw)'!D146)),"CASH WITHDRAWAL",IF(ISNUMBER(SEARCH("Bollo",'Statements (Raw)'!D146)),"STAMP DUTY",IF(ISNUMBER(SEARCH("Tobin Tax",'Statements (Raw)'!D146)),"TOBIN TAX",IF(ISNUMBER(SEARCH("Rit.provento",'Statements (Raw)'!D146)),"WITHHOLDING TAX",IF(ISNUMBER(SEARCH("Incasso Dividendi",'Statements (Raw)'!D146)),"DIVIDEND",IF(ISNUMBER(SEARCH("Cedola",'Statements (Raw)'!D146)),"COUPON",IF(ISNUMBER(SEARCH("Ratei Pass",'Statements (Raw)'!D146)),"ACCRUED INT",IF(ISNUMBER(SEARCH("Interessi Prest",'Statements (Raw)'!D146)),"SEC LENDING",IF(ISNUMBER(SEARCH("Rimborso",'Statements (Raw)'!D146)),"REDEMPTION",IF(ISNUMBER(SEARCH("Provento",'Statements (Raw)'!D146)),"DISTRIBUTION","OTHER")))))))))))))</f>
        <v>EXOR NV</v>
      </c>
      <c r="D148" s="6" t="str">
        <f>IF(A148="","",IF(C148="Saldo Iniziale","Balance",IF(C148="CASH DEPOSIT","Deposit",IF(C148="CASH WITHDRAWAL","Withdrawal",IF(C148="STAMP DUTY","Tax",IF(C148="TOBIN TAX","Tax",IF(C148="WITHHOLDING TAX","Tax",IF(C148="DIVIDEND","Dividend",IF(C148="COUPON","Coupon",IF(C148="ACCRUED INT","Accrued Int.",IF(C148="SEC LENDING","Sec. Lending",IF(C148="REDEMPTION","Redemption",IF(C148="DISTRIBUTION","Distribution",IF(ISNUMBER(SEARCH("Rimborso",'Statements (Raw)'!D146)),"Redemption",IF(ISNUMBER(SEARCH("Cedola",'Statements (Raw)'!D146)),"Coupon",IF(ISNUMBER(SEARCH("Incasso Dividendi",'Statements (Raw)'!D146)),"Dividend",IF(ISNUMBER(SEARCH("Provento Etf",'Statements (Raw)'!D146)),"Distribution",IF(ISNUMBER(SEARCH("Rit.provento",'Statements (Raw)'!D146)),"Tax",IF(ISNUMBER(SEARCH("Ratei Pass",'Statements (Raw)'!D146)),"Accrued Int.",IF(ISNUMBER(SEARCH("Interessi Prest",'Statements (Raw)'!D146)),"Sec. Lending",IF('Statements (Raw)'!G146="","Other",IF('Statements (Raw)'!G146&gt;0,"Buy","Sell"))))))))))))))))))))))</f>
        <v>Buy</v>
      </c>
      <c r="E148" s="6" t="str">
        <f t="shared" si="4"/>
        <v>Stock</v>
      </c>
      <c r="F148" s="8">
        <f>IF(A148="","",IF('Statements (Raw)'!E146="","",'Statements (Raw)'!E146))</f>
        <v>83.45</v>
      </c>
      <c r="G148" s="6" t="str">
        <f>IF(A148="","",IF('Statements (Raw)'!F146="","",'Statements (Raw)'!F146))</f>
        <v>EUR</v>
      </c>
      <c r="H148" s="9">
        <f>IF(A148="","",IF('Statements (Raw)'!G146="","",'Statements (Raw)'!G146))</f>
        <v>80</v>
      </c>
      <c r="I148" s="10">
        <f>IF(A148="","",IF('Statements (Raw)'!H146="","",'Statements (Raw)'!H146))</f>
        <v>-6676</v>
      </c>
      <c r="J148" s="10">
        <f>IF(A148="",0,IF('Statements (Raw)'!I146="",0,'Statements (Raw)'!I146))</f>
        <v>-9.5</v>
      </c>
      <c r="K148" s="10">
        <f t="shared" si="5"/>
        <v>-6685.5</v>
      </c>
    </row>
    <row r="149" spans="1:11" x14ac:dyDescent="0.3">
      <c r="A149" s="171">
        <f>IF(OR('Statements (Raw)'!A147="",'Statements (Raw)'!A147&gt;Holdings!$G$3),"",'Statements (Raw)'!A147)</f>
        <v>45911</v>
      </c>
      <c r="B149" s="7">
        <f>IF(A149="","",IF('Statements (Raw)'!B147="","",'Statements (Raw)'!B147))</f>
        <v>45915</v>
      </c>
      <c r="C149" s="6" t="str">
        <f>IF(A149="","",IF('Statements (Raw)'!C147&lt;&gt;"",'Statements (Raw)'!C147,IF(ISNUMBER(SEARCH("Conferimento",'Statements (Raw)'!D147)),"CASH DEPOSIT",IF(ISNUMBER(SEARCH("Prelievo",'Statements (Raw)'!D147)),"CASH WITHDRAWAL",IF(ISNUMBER(SEARCH("Bollo",'Statements (Raw)'!D147)),"STAMP DUTY",IF(ISNUMBER(SEARCH("Tobin Tax",'Statements (Raw)'!D147)),"TOBIN TAX",IF(ISNUMBER(SEARCH("Rit.provento",'Statements (Raw)'!D147)),"WITHHOLDING TAX",IF(ISNUMBER(SEARCH("Incasso Dividendi",'Statements (Raw)'!D147)),"DIVIDEND",IF(ISNUMBER(SEARCH("Cedola",'Statements (Raw)'!D147)),"COUPON",IF(ISNUMBER(SEARCH("Ratei Pass",'Statements (Raw)'!D147)),"ACCRUED INT",IF(ISNUMBER(SEARCH("Interessi Prest",'Statements (Raw)'!D147)),"SEC LENDING",IF(ISNUMBER(SEARCH("Rimborso",'Statements (Raw)'!D147)),"REDEMPTION",IF(ISNUMBER(SEARCH("Provento",'Statements (Raw)'!D147)),"DISTRIBUTION","OTHER")))))))))))))</f>
        <v>EXOR NV</v>
      </c>
      <c r="D149" s="6" t="str">
        <f>IF(A149="","",IF(C149="Saldo Iniziale","Balance",IF(C149="CASH DEPOSIT","Deposit",IF(C149="CASH WITHDRAWAL","Withdrawal",IF(C149="STAMP DUTY","Tax",IF(C149="TOBIN TAX","Tax",IF(C149="WITHHOLDING TAX","Tax",IF(C149="DIVIDEND","Dividend",IF(C149="COUPON","Coupon",IF(C149="ACCRUED INT","Accrued Int.",IF(C149="SEC LENDING","Sec. Lending",IF(C149="REDEMPTION","Redemption",IF(C149="DISTRIBUTION","Distribution",IF(ISNUMBER(SEARCH("Rimborso",'Statements (Raw)'!D147)),"Redemption",IF(ISNUMBER(SEARCH("Cedola",'Statements (Raw)'!D147)),"Coupon",IF(ISNUMBER(SEARCH("Incasso Dividendi",'Statements (Raw)'!D147)),"Dividend",IF(ISNUMBER(SEARCH("Provento Etf",'Statements (Raw)'!D147)),"Distribution",IF(ISNUMBER(SEARCH("Rit.provento",'Statements (Raw)'!D147)),"Tax",IF(ISNUMBER(SEARCH("Ratei Pass",'Statements (Raw)'!D147)),"Accrued Int.",IF(ISNUMBER(SEARCH("Interessi Prest",'Statements (Raw)'!D147)),"Sec. Lending",IF('Statements (Raw)'!G147="","Other",IF('Statements (Raw)'!G147&gt;0,"Buy","Sell"))))))))))))))))))))))</f>
        <v>Buy</v>
      </c>
      <c r="E149" s="6" t="str">
        <f t="shared" si="4"/>
        <v>Stock</v>
      </c>
      <c r="F149" s="8">
        <f>IF(A149="","",IF('Statements (Raw)'!E147="","",'Statements (Raw)'!E147))</f>
        <v>83.45</v>
      </c>
      <c r="G149" s="6" t="str">
        <f>IF(A149="","",IF('Statements (Raw)'!F147="","",'Statements (Raw)'!F147))</f>
        <v>EUR</v>
      </c>
      <c r="H149" s="9">
        <f>IF(A149="","",IF('Statements (Raw)'!G147="","",'Statements (Raw)'!G147))</f>
        <v>20</v>
      </c>
      <c r="I149" s="10">
        <f>IF(A149="","",IF('Statements (Raw)'!H147="","",'Statements (Raw)'!H147))</f>
        <v>-1669</v>
      </c>
      <c r="J149" s="10">
        <f>IF(A149="",0,IF('Statements (Raw)'!I147="",0,'Statements (Raw)'!I147))</f>
        <v>0</v>
      </c>
      <c r="K149" s="10">
        <f t="shared" si="5"/>
        <v>-1669</v>
      </c>
    </row>
    <row r="150" spans="1:11" x14ac:dyDescent="0.3">
      <c r="A150" s="171">
        <f>IF(OR('Statements (Raw)'!A148="",'Statements (Raw)'!A148&gt;Holdings!$G$3),"",'Statements (Raw)'!A148)</f>
        <v>45911</v>
      </c>
      <c r="B150" s="7">
        <f>IF(A150="","",IF('Statements (Raw)'!B148="","",'Statements (Raw)'!B148))</f>
        <v>45915</v>
      </c>
      <c r="C150" s="6" t="str">
        <f>IF(A150="","",IF('Statements (Raw)'!C148&lt;&gt;"",'Statements (Raw)'!C148,IF(ISNUMBER(SEARCH("Conferimento",'Statements (Raw)'!D148)),"CASH DEPOSIT",IF(ISNUMBER(SEARCH("Prelievo",'Statements (Raw)'!D148)),"CASH WITHDRAWAL",IF(ISNUMBER(SEARCH("Bollo",'Statements (Raw)'!D148)),"STAMP DUTY",IF(ISNUMBER(SEARCH("Tobin Tax",'Statements (Raw)'!D148)),"TOBIN TAX",IF(ISNUMBER(SEARCH("Rit.provento",'Statements (Raw)'!D148)),"WITHHOLDING TAX",IF(ISNUMBER(SEARCH("Incasso Dividendi",'Statements (Raw)'!D148)),"DIVIDEND",IF(ISNUMBER(SEARCH("Cedola",'Statements (Raw)'!D148)),"COUPON",IF(ISNUMBER(SEARCH("Ratei Pass",'Statements (Raw)'!D148)),"ACCRUED INT",IF(ISNUMBER(SEARCH("Interessi Prest",'Statements (Raw)'!D148)),"SEC LENDING",IF(ISNUMBER(SEARCH("Rimborso",'Statements (Raw)'!D148)),"REDEMPTION",IF(ISNUMBER(SEARCH("Provento",'Statements (Raw)'!D148)),"DISTRIBUTION","OTHER")))))))))))))</f>
        <v>NEXI</v>
      </c>
      <c r="D150" s="6" t="str">
        <f>IF(A150="","",IF(C150="Saldo Iniziale","Balance",IF(C150="CASH DEPOSIT","Deposit",IF(C150="CASH WITHDRAWAL","Withdrawal",IF(C150="STAMP DUTY","Tax",IF(C150="TOBIN TAX","Tax",IF(C150="WITHHOLDING TAX","Tax",IF(C150="DIVIDEND","Dividend",IF(C150="COUPON","Coupon",IF(C150="ACCRUED INT","Accrued Int.",IF(C150="SEC LENDING","Sec. Lending",IF(C150="REDEMPTION","Redemption",IF(C150="DISTRIBUTION","Distribution",IF(ISNUMBER(SEARCH("Rimborso",'Statements (Raw)'!D148)),"Redemption",IF(ISNUMBER(SEARCH("Cedola",'Statements (Raw)'!D148)),"Coupon",IF(ISNUMBER(SEARCH("Incasso Dividendi",'Statements (Raw)'!D148)),"Dividend",IF(ISNUMBER(SEARCH("Provento Etf",'Statements (Raw)'!D148)),"Distribution",IF(ISNUMBER(SEARCH("Rit.provento",'Statements (Raw)'!D148)),"Tax",IF(ISNUMBER(SEARCH("Ratei Pass",'Statements (Raw)'!D148)),"Accrued Int.",IF(ISNUMBER(SEARCH("Interessi Prest",'Statements (Raw)'!D148)),"Sec. Lending",IF('Statements (Raw)'!G148="","Other",IF('Statements (Raw)'!G148&gt;0,"Buy","Sell"))))))))))))))))))))))</f>
        <v>Buy</v>
      </c>
      <c r="E150" s="6" t="str">
        <f t="shared" si="4"/>
        <v>Stock</v>
      </c>
      <c r="F150" s="8">
        <f>IF(A150="","",IF('Statements (Raw)'!E148="","",'Statements (Raw)'!E148))</f>
        <v>4.6909999999999998</v>
      </c>
      <c r="G150" s="6" t="str">
        <f>IF(A150="","",IF('Statements (Raw)'!F148="","",'Statements (Raw)'!F148))</f>
        <v>EUR</v>
      </c>
      <c r="H150" s="9">
        <f>IF(A150="","",IF('Statements (Raw)'!G148="","",'Statements (Raw)'!G148))</f>
        <v>138</v>
      </c>
      <c r="I150" s="10">
        <f>IF(A150="","",IF('Statements (Raw)'!H148="","",'Statements (Raw)'!H148))</f>
        <v>-647.36</v>
      </c>
      <c r="J150" s="10">
        <f>IF(A150="",0,IF('Statements (Raw)'!I148="",0,'Statements (Raw)'!I148))</f>
        <v>-5</v>
      </c>
      <c r="K150" s="10">
        <f t="shared" si="5"/>
        <v>-652.36</v>
      </c>
    </row>
    <row r="151" spans="1:11" x14ac:dyDescent="0.3">
      <c r="A151" s="171">
        <f>IF(OR('Statements (Raw)'!A149="",'Statements (Raw)'!A149&gt;Holdings!$G$3),"",'Statements (Raw)'!A149)</f>
        <v>45911</v>
      </c>
      <c r="B151" s="7">
        <f>IF(A151="","",IF('Statements (Raw)'!B149="","",'Statements (Raw)'!B149))</f>
        <v>45915</v>
      </c>
      <c r="C151" s="6" t="str">
        <f>IF(A151="","",IF('Statements (Raw)'!C149&lt;&gt;"",'Statements (Raw)'!C149,IF(ISNUMBER(SEARCH("Conferimento",'Statements (Raw)'!D149)),"CASH DEPOSIT",IF(ISNUMBER(SEARCH("Prelievo",'Statements (Raw)'!D149)),"CASH WITHDRAWAL",IF(ISNUMBER(SEARCH("Bollo",'Statements (Raw)'!D149)),"STAMP DUTY",IF(ISNUMBER(SEARCH("Tobin Tax",'Statements (Raw)'!D149)),"TOBIN TAX",IF(ISNUMBER(SEARCH("Rit.provento",'Statements (Raw)'!D149)),"WITHHOLDING TAX",IF(ISNUMBER(SEARCH("Incasso Dividendi",'Statements (Raw)'!D149)),"DIVIDEND",IF(ISNUMBER(SEARCH("Cedola",'Statements (Raw)'!D149)),"COUPON",IF(ISNUMBER(SEARCH("Ratei Pass",'Statements (Raw)'!D149)),"ACCRUED INT",IF(ISNUMBER(SEARCH("Interessi Prest",'Statements (Raw)'!D149)),"SEC LENDING",IF(ISNUMBER(SEARCH("Rimborso",'Statements (Raw)'!D149)),"REDEMPTION",IF(ISNUMBER(SEARCH("Provento",'Statements (Raw)'!D149)),"DISTRIBUTION","OTHER")))))))))))))</f>
        <v>NEXI</v>
      </c>
      <c r="D151" s="6" t="str">
        <f>IF(A151="","",IF(C151="Saldo Iniziale","Balance",IF(C151="CASH DEPOSIT","Deposit",IF(C151="CASH WITHDRAWAL","Withdrawal",IF(C151="STAMP DUTY","Tax",IF(C151="TOBIN TAX","Tax",IF(C151="WITHHOLDING TAX","Tax",IF(C151="DIVIDEND","Dividend",IF(C151="COUPON","Coupon",IF(C151="ACCRUED INT","Accrued Int.",IF(C151="SEC LENDING","Sec. Lending",IF(C151="REDEMPTION","Redemption",IF(C151="DISTRIBUTION","Distribution",IF(ISNUMBER(SEARCH("Rimborso",'Statements (Raw)'!D149)),"Redemption",IF(ISNUMBER(SEARCH("Cedola",'Statements (Raw)'!D149)),"Coupon",IF(ISNUMBER(SEARCH("Incasso Dividendi",'Statements (Raw)'!D149)),"Dividend",IF(ISNUMBER(SEARCH("Provento Etf",'Statements (Raw)'!D149)),"Distribution",IF(ISNUMBER(SEARCH("Rit.provento",'Statements (Raw)'!D149)),"Tax",IF(ISNUMBER(SEARCH("Ratei Pass",'Statements (Raw)'!D149)),"Accrued Int.",IF(ISNUMBER(SEARCH("Interessi Prest",'Statements (Raw)'!D149)),"Sec. Lending",IF('Statements (Raw)'!G149="","Other",IF('Statements (Raw)'!G149&gt;0,"Buy","Sell"))))))))))))))))))))))</f>
        <v>Buy</v>
      </c>
      <c r="E151" s="6" t="str">
        <f t="shared" si="4"/>
        <v>Stock</v>
      </c>
      <c r="F151" s="8">
        <f>IF(A151="","",IF('Statements (Raw)'!E149="","",'Statements (Raw)'!E149))</f>
        <v>4.6909999999999998</v>
      </c>
      <c r="G151" s="6" t="str">
        <f>IF(A151="","",IF('Statements (Raw)'!F149="","",'Statements (Raw)'!F149))</f>
        <v>EUR</v>
      </c>
      <c r="H151" s="9">
        <f>IF(A151="","",IF('Statements (Raw)'!G149="","",'Statements (Raw)'!G149))</f>
        <v>362</v>
      </c>
      <c r="I151" s="10">
        <f>IF(A151="","",IF('Statements (Raw)'!H149="","",'Statements (Raw)'!H149))</f>
        <v>-1698.14</v>
      </c>
      <c r="J151" s="10">
        <f>IF(A151="",0,IF('Statements (Raw)'!I149="",0,'Statements (Raw)'!I149))</f>
        <v>0</v>
      </c>
      <c r="K151" s="10">
        <f t="shared" si="5"/>
        <v>-1698.14</v>
      </c>
    </row>
    <row r="152" spans="1:11" x14ac:dyDescent="0.3">
      <c r="A152" s="171">
        <f>IF(OR('Statements (Raw)'!A150="",'Statements (Raw)'!A150&gt;Holdings!$G$3),"",'Statements (Raw)'!A150)</f>
        <v>45911</v>
      </c>
      <c r="B152" s="7">
        <f>IF(A152="","",IF('Statements (Raw)'!B150="","",'Statements (Raw)'!B150))</f>
        <v>45915</v>
      </c>
      <c r="C152" s="6" t="str">
        <f>IF(A152="","",IF('Statements (Raw)'!C150&lt;&gt;"",'Statements (Raw)'!C150,IF(ISNUMBER(SEARCH("Conferimento",'Statements (Raw)'!D150)),"CASH DEPOSIT",IF(ISNUMBER(SEARCH("Prelievo",'Statements (Raw)'!D150)),"CASH WITHDRAWAL",IF(ISNUMBER(SEARCH("Bollo",'Statements (Raw)'!D150)),"STAMP DUTY",IF(ISNUMBER(SEARCH("Tobin Tax",'Statements (Raw)'!D150)),"TOBIN TAX",IF(ISNUMBER(SEARCH("Rit.provento",'Statements (Raw)'!D150)),"WITHHOLDING TAX",IF(ISNUMBER(SEARCH("Incasso Dividendi",'Statements (Raw)'!D150)),"DIVIDEND",IF(ISNUMBER(SEARCH("Cedola",'Statements (Raw)'!D150)),"COUPON",IF(ISNUMBER(SEARCH("Ratei Pass",'Statements (Raw)'!D150)),"ACCRUED INT",IF(ISNUMBER(SEARCH("Interessi Prest",'Statements (Raw)'!D150)),"SEC LENDING",IF(ISNUMBER(SEARCH("Rimborso",'Statements (Raw)'!D150)),"REDEMPTION",IF(ISNUMBER(SEARCH("Provento",'Statements (Raw)'!D150)),"DISTRIBUTION","OTHER")))))))))))))</f>
        <v>TOBIN TAX</v>
      </c>
      <c r="D152" s="6" t="str">
        <f>IF(A152="","",IF(C152="Saldo Iniziale","Balance",IF(C152="CASH DEPOSIT","Deposit",IF(C152="CASH WITHDRAWAL","Withdrawal",IF(C152="STAMP DUTY","Tax",IF(C152="TOBIN TAX","Tax",IF(C152="WITHHOLDING TAX","Tax",IF(C152="DIVIDEND","Dividend",IF(C152="COUPON","Coupon",IF(C152="ACCRUED INT","Accrued Int.",IF(C152="SEC LENDING","Sec. Lending",IF(C152="REDEMPTION","Redemption",IF(C152="DISTRIBUTION","Distribution",IF(ISNUMBER(SEARCH("Rimborso",'Statements (Raw)'!D150)),"Redemption",IF(ISNUMBER(SEARCH("Cedola",'Statements (Raw)'!D150)),"Coupon",IF(ISNUMBER(SEARCH("Incasso Dividendi",'Statements (Raw)'!D150)),"Dividend",IF(ISNUMBER(SEARCH("Provento Etf",'Statements (Raw)'!D150)),"Distribution",IF(ISNUMBER(SEARCH("Rit.provento",'Statements (Raw)'!D150)),"Tax",IF(ISNUMBER(SEARCH("Ratei Pass",'Statements (Raw)'!D150)),"Accrued Int.",IF(ISNUMBER(SEARCH("Interessi Prest",'Statements (Raw)'!D150)),"Sec. Lending",IF('Statements (Raw)'!G150="","Other",IF('Statements (Raw)'!G150&gt;0,"Buy","Sell"))))))))))))))))))))))</f>
        <v>Tax</v>
      </c>
      <c r="E152" s="6" t="str">
        <f t="shared" si="4"/>
        <v>Tax/Fee</v>
      </c>
      <c r="F152" s="8" t="str">
        <f>IF(A152="","",IF('Statements (Raw)'!E150="","",'Statements (Raw)'!E150))</f>
        <v/>
      </c>
      <c r="G152" s="6" t="str">
        <f>IF(A152="","",IF('Statements (Raw)'!F150="","",'Statements (Raw)'!F150))</f>
        <v/>
      </c>
      <c r="H152" s="9" t="str">
        <f>IF(A152="","",IF('Statements (Raw)'!G150="","",'Statements (Raw)'!G150))</f>
        <v/>
      </c>
      <c r="I152" s="10">
        <f>IF(A152="","",IF('Statements (Raw)'!H150="","",'Statements (Raw)'!H150))</f>
        <v>-4.71</v>
      </c>
      <c r="J152" s="10">
        <f>IF(A152="",0,IF('Statements (Raw)'!I150="",0,'Statements (Raw)'!I150))</f>
        <v>0</v>
      </c>
      <c r="K152" s="10">
        <f t="shared" si="5"/>
        <v>-4.71</v>
      </c>
    </row>
    <row r="153" spans="1:11" x14ac:dyDescent="0.3">
      <c r="A153" s="171">
        <f>IF(OR('Statements (Raw)'!A151="",'Statements (Raw)'!A151&gt;Holdings!$G$3),"",'Statements (Raw)'!A151)</f>
        <v>45912</v>
      </c>
      <c r="B153" s="7">
        <f>IF(A153="","",IF('Statements (Raw)'!B151="","",'Statements (Raw)'!B151))</f>
        <v>45915</v>
      </c>
      <c r="C153" s="6" t="str">
        <f>IF(A153="","",IF('Statements (Raw)'!C151&lt;&gt;"",'Statements (Raw)'!C151,IF(ISNUMBER(SEARCH("Conferimento",'Statements (Raw)'!D151)),"CASH DEPOSIT",IF(ISNUMBER(SEARCH("Prelievo",'Statements (Raw)'!D151)),"CASH WITHDRAWAL",IF(ISNUMBER(SEARCH("Bollo",'Statements (Raw)'!D151)),"STAMP DUTY",IF(ISNUMBER(SEARCH("Tobin Tax",'Statements (Raw)'!D151)),"TOBIN TAX",IF(ISNUMBER(SEARCH("Rit.provento",'Statements (Raw)'!D151)),"WITHHOLDING TAX",IF(ISNUMBER(SEARCH("Incasso Dividendi",'Statements (Raw)'!D151)),"DIVIDEND",IF(ISNUMBER(SEARCH("Cedola",'Statements (Raw)'!D151)),"COUPON",IF(ISNUMBER(SEARCH("Ratei Pass",'Statements (Raw)'!D151)),"ACCRUED INT",IF(ISNUMBER(SEARCH("Interessi Prest",'Statements (Raw)'!D151)),"SEC LENDING",IF(ISNUMBER(SEARCH("Rimborso",'Statements (Raw)'!D151)),"REDEMPTION",IF(ISNUMBER(SEARCH("Provento",'Statements (Raw)'!D151)),"DISTRIBUTION","OTHER")))))))))))))</f>
        <v>ORACLE CORP</v>
      </c>
      <c r="D153" s="6" t="str">
        <f>IF(A153="","",IF(C153="Saldo Iniziale","Balance",IF(C153="CASH DEPOSIT","Deposit",IF(C153="CASH WITHDRAWAL","Withdrawal",IF(C153="STAMP DUTY","Tax",IF(C153="TOBIN TAX","Tax",IF(C153="WITHHOLDING TAX","Tax",IF(C153="DIVIDEND","Dividend",IF(C153="COUPON","Coupon",IF(C153="ACCRUED INT","Accrued Int.",IF(C153="SEC LENDING","Sec. Lending",IF(C153="REDEMPTION","Redemption",IF(C153="DISTRIBUTION","Distribution",IF(ISNUMBER(SEARCH("Rimborso",'Statements (Raw)'!D151)),"Redemption",IF(ISNUMBER(SEARCH("Cedola",'Statements (Raw)'!D151)),"Coupon",IF(ISNUMBER(SEARCH("Incasso Dividendi",'Statements (Raw)'!D151)),"Dividend",IF(ISNUMBER(SEARCH("Provento Etf",'Statements (Raw)'!D151)),"Distribution",IF(ISNUMBER(SEARCH("Rit.provento",'Statements (Raw)'!D151)),"Tax",IF(ISNUMBER(SEARCH("Ratei Pass",'Statements (Raw)'!D151)),"Accrued Int.",IF(ISNUMBER(SEARCH("Interessi Prest",'Statements (Raw)'!D151)),"Sec. Lending",IF('Statements (Raw)'!G151="","Other",IF('Statements (Raw)'!G151&gt;0,"Buy","Sell"))))))))))))))))))))))</f>
        <v>Buy</v>
      </c>
      <c r="E153" s="6" t="str">
        <f t="shared" si="4"/>
        <v>Stock</v>
      </c>
      <c r="F153" s="8">
        <f>IF(A153="","",IF('Statements (Raw)'!E151="","",'Statements (Raw)'!E151))</f>
        <v>306</v>
      </c>
      <c r="G153" s="6" t="str">
        <f>IF(A153="","",IF('Statements (Raw)'!F151="","",'Statements (Raw)'!F151))</f>
        <v>USD</v>
      </c>
      <c r="H153" s="9">
        <f>IF(A153="","",IF('Statements (Raw)'!G151="","",'Statements (Raw)'!G151))</f>
        <v>5</v>
      </c>
      <c r="I153" s="10">
        <f>IF(A153="","",IF('Statements (Raw)'!H151="","",'Statements (Raw)'!H151))</f>
        <v>-1303.57</v>
      </c>
      <c r="J153" s="10">
        <f>IF(A153="",0,IF('Statements (Raw)'!I151="",0,'Statements (Raw)'!I151))</f>
        <v>-7.67</v>
      </c>
      <c r="K153" s="10">
        <f t="shared" si="5"/>
        <v>-1311.24</v>
      </c>
    </row>
    <row r="154" spans="1:11" x14ac:dyDescent="0.3">
      <c r="A154" s="171">
        <f>IF(OR('Statements (Raw)'!A152="",'Statements (Raw)'!A152&gt;Holdings!$G$3),"",'Statements (Raw)'!A152)</f>
        <v>45912</v>
      </c>
      <c r="B154" s="7">
        <f>IF(A154="","",IF('Statements (Raw)'!B152="","",'Statements (Raw)'!B152))</f>
        <v>45915</v>
      </c>
      <c r="C154" s="6" t="str">
        <f>IF(A154="","",IF('Statements (Raw)'!C152&lt;&gt;"",'Statements (Raw)'!C152,IF(ISNUMBER(SEARCH("Conferimento",'Statements (Raw)'!D152)),"CASH DEPOSIT",IF(ISNUMBER(SEARCH("Prelievo",'Statements (Raw)'!D152)),"CASH WITHDRAWAL",IF(ISNUMBER(SEARCH("Bollo",'Statements (Raw)'!D152)),"STAMP DUTY",IF(ISNUMBER(SEARCH("Tobin Tax",'Statements (Raw)'!D152)),"TOBIN TAX",IF(ISNUMBER(SEARCH("Rit.provento",'Statements (Raw)'!D152)),"WITHHOLDING TAX",IF(ISNUMBER(SEARCH("Incasso Dividendi",'Statements (Raw)'!D152)),"DIVIDEND",IF(ISNUMBER(SEARCH("Cedola",'Statements (Raw)'!D152)),"COUPON",IF(ISNUMBER(SEARCH("Ratei Pass",'Statements (Raw)'!D152)),"ACCRUED INT",IF(ISNUMBER(SEARCH("Interessi Prest",'Statements (Raw)'!D152)),"SEC LENDING",IF(ISNUMBER(SEARCH("Rimborso",'Statements (Raw)'!D152)),"REDEMPTION",IF(ISNUMBER(SEARCH("Provento",'Statements (Raw)'!D152)),"DISTRIBUTION","OTHER")))))))))))))</f>
        <v>ORACLE CORP</v>
      </c>
      <c r="D154" s="6" t="str">
        <f>IF(A154="","",IF(C154="Saldo Iniziale","Balance",IF(C154="CASH DEPOSIT","Deposit",IF(C154="CASH WITHDRAWAL","Withdrawal",IF(C154="STAMP DUTY","Tax",IF(C154="TOBIN TAX","Tax",IF(C154="WITHHOLDING TAX","Tax",IF(C154="DIVIDEND","Dividend",IF(C154="COUPON","Coupon",IF(C154="ACCRUED INT","Accrued Int.",IF(C154="SEC LENDING","Sec. Lending",IF(C154="REDEMPTION","Redemption",IF(C154="DISTRIBUTION","Distribution",IF(ISNUMBER(SEARCH("Rimborso",'Statements (Raw)'!D152)),"Redemption",IF(ISNUMBER(SEARCH("Cedola",'Statements (Raw)'!D152)),"Coupon",IF(ISNUMBER(SEARCH("Incasso Dividendi",'Statements (Raw)'!D152)),"Dividend",IF(ISNUMBER(SEARCH("Provento Etf",'Statements (Raw)'!D152)),"Distribution",IF(ISNUMBER(SEARCH("Rit.provento",'Statements (Raw)'!D152)),"Tax",IF(ISNUMBER(SEARCH("Ratei Pass",'Statements (Raw)'!D152)),"Accrued Int.",IF(ISNUMBER(SEARCH("Interessi Prest",'Statements (Raw)'!D152)),"Sec. Lending",IF('Statements (Raw)'!G152="","Other",IF('Statements (Raw)'!G152&gt;0,"Buy","Sell"))))))))))))))))))))))</f>
        <v>Buy</v>
      </c>
      <c r="E154" s="6" t="str">
        <f t="shared" si="4"/>
        <v>Stock</v>
      </c>
      <c r="F154" s="8">
        <f>IF(A154="","",IF('Statements (Raw)'!E152="","",'Statements (Raw)'!E152))</f>
        <v>294.47449999999998</v>
      </c>
      <c r="G154" s="6" t="str">
        <f>IF(A154="","",IF('Statements (Raw)'!F152="","",'Statements (Raw)'!F152))</f>
        <v>USD</v>
      </c>
      <c r="H154" s="9">
        <f>IF(A154="","",IF('Statements (Raw)'!G152="","",'Statements (Raw)'!G152))</f>
        <v>10</v>
      </c>
      <c r="I154" s="10">
        <f>IF(A154="","",IF('Statements (Raw)'!H152="","",'Statements (Raw)'!H152))</f>
        <v>-2508.9499999999998</v>
      </c>
      <c r="J154" s="10">
        <f>IF(A154="",0,IF('Statements (Raw)'!I152="",0,'Statements (Raw)'!I152))</f>
        <v>-7.67</v>
      </c>
      <c r="K154" s="10">
        <f t="shared" si="5"/>
        <v>-2516.62</v>
      </c>
    </row>
    <row r="155" spans="1:11" x14ac:dyDescent="0.3">
      <c r="A155" s="171">
        <f>IF(OR('Statements (Raw)'!A153="",'Statements (Raw)'!A153&gt;Holdings!$G$3),"",'Statements (Raw)'!A153)</f>
        <v>45912</v>
      </c>
      <c r="B155" s="7">
        <f>IF(A155="","",IF('Statements (Raw)'!B153="","",'Statements (Raw)'!B153))</f>
        <v>45916</v>
      </c>
      <c r="C155" s="6" t="str">
        <f>IF(A155="","",IF('Statements (Raw)'!C153&lt;&gt;"",'Statements (Raw)'!C153,IF(ISNUMBER(SEARCH("Conferimento",'Statements (Raw)'!D153)),"CASH DEPOSIT",IF(ISNUMBER(SEARCH("Prelievo",'Statements (Raw)'!D153)),"CASH WITHDRAWAL",IF(ISNUMBER(SEARCH("Bollo",'Statements (Raw)'!D153)),"STAMP DUTY",IF(ISNUMBER(SEARCH("Tobin Tax",'Statements (Raw)'!D153)),"TOBIN TAX",IF(ISNUMBER(SEARCH("Rit.provento",'Statements (Raw)'!D153)),"WITHHOLDING TAX",IF(ISNUMBER(SEARCH("Incasso Dividendi",'Statements (Raw)'!D153)),"DIVIDEND",IF(ISNUMBER(SEARCH("Cedola",'Statements (Raw)'!D153)),"COUPON",IF(ISNUMBER(SEARCH("Ratei Pass",'Statements (Raw)'!D153)),"ACCRUED INT",IF(ISNUMBER(SEARCH("Interessi Prest",'Statements (Raw)'!D153)),"SEC LENDING",IF(ISNUMBER(SEARCH("Rimborso",'Statements (Raw)'!D153)),"REDEMPTION",IF(ISNUMBER(SEARCH("Provento",'Statements (Raw)'!D153)),"DISTRIBUTION","OTHER")))))))))))))</f>
        <v>NEXI</v>
      </c>
      <c r="D155" s="6" t="str">
        <f>IF(A155="","",IF(C155="Saldo Iniziale","Balance",IF(C155="CASH DEPOSIT","Deposit",IF(C155="CASH WITHDRAWAL","Withdrawal",IF(C155="STAMP DUTY","Tax",IF(C155="TOBIN TAX","Tax",IF(C155="WITHHOLDING TAX","Tax",IF(C155="DIVIDEND","Dividend",IF(C155="COUPON","Coupon",IF(C155="ACCRUED INT","Accrued Int.",IF(C155="SEC LENDING","Sec. Lending",IF(C155="REDEMPTION","Redemption",IF(C155="DISTRIBUTION","Distribution",IF(ISNUMBER(SEARCH("Rimborso",'Statements (Raw)'!D153)),"Redemption",IF(ISNUMBER(SEARCH("Cedola",'Statements (Raw)'!D153)),"Coupon",IF(ISNUMBER(SEARCH("Incasso Dividendi",'Statements (Raw)'!D153)),"Dividend",IF(ISNUMBER(SEARCH("Provento Etf",'Statements (Raw)'!D153)),"Distribution",IF(ISNUMBER(SEARCH("Rit.provento",'Statements (Raw)'!D153)),"Tax",IF(ISNUMBER(SEARCH("Ratei Pass",'Statements (Raw)'!D153)),"Accrued Int.",IF(ISNUMBER(SEARCH("Interessi Prest",'Statements (Raw)'!D153)),"Sec. Lending",IF('Statements (Raw)'!G153="","Other",IF('Statements (Raw)'!G153&gt;0,"Buy","Sell"))))))))))))))))))))))</f>
        <v>Buy</v>
      </c>
      <c r="E155" s="6" t="str">
        <f t="shared" si="4"/>
        <v>Stock</v>
      </c>
      <c r="F155" s="8">
        <f>IF(A155="","",IF('Statements (Raw)'!E153="","",'Statements (Raw)'!E153))</f>
        <v>4.6559999999999997</v>
      </c>
      <c r="G155" s="6" t="str">
        <f>IF(A155="","",IF('Statements (Raw)'!F153="","",'Statements (Raw)'!F153))</f>
        <v>EUR</v>
      </c>
      <c r="H155" s="9">
        <f>IF(A155="","",IF('Statements (Raw)'!G153="","",'Statements (Raw)'!G153))</f>
        <v>500</v>
      </c>
      <c r="I155" s="10">
        <f>IF(A155="","",IF('Statements (Raw)'!H153="","",'Statements (Raw)'!H153))</f>
        <v>-2328</v>
      </c>
      <c r="J155" s="10">
        <f>IF(A155="",0,IF('Statements (Raw)'!I153="",0,'Statements (Raw)'!I153))</f>
        <v>-5</v>
      </c>
      <c r="K155" s="10">
        <f t="shared" si="5"/>
        <v>-2333</v>
      </c>
    </row>
    <row r="156" spans="1:11" x14ac:dyDescent="0.3">
      <c r="A156" s="171">
        <f>IF(OR('Statements (Raw)'!A154="",'Statements (Raw)'!A154&gt;Holdings!$G$3),"",'Statements (Raw)'!A154)</f>
        <v>45912</v>
      </c>
      <c r="B156" s="7">
        <f>IF(A156="","",IF('Statements (Raw)'!B154="","",'Statements (Raw)'!B154))</f>
        <v>45912</v>
      </c>
      <c r="C156" s="6" t="str">
        <f>IF(A156="","",IF('Statements (Raw)'!C154&lt;&gt;"",'Statements (Raw)'!C154,IF(ISNUMBER(SEARCH("Conferimento",'Statements (Raw)'!D154)),"CASH DEPOSIT",IF(ISNUMBER(SEARCH("Prelievo",'Statements (Raw)'!D154)),"CASH WITHDRAWAL",IF(ISNUMBER(SEARCH("Bollo",'Statements (Raw)'!D154)),"STAMP DUTY",IF(ISNUMBER(SEARCH("Tobin Tax",'Statements (Raw)'!D154)),"TOBIN TAX",IF(ISNUMBER(SEARCH("Rit.provento",'Statements (Raw)'!D154)),"WITHHOLDING TAX",IF(ISNUMBER(SEARCH("Incasso Dividendi",'Statements (Raw)'!D154)),"DIVIDEND",IF(ISNUMBER(SEARCH("Cedola",'Statements (Raw)'!D154)),"COUPON",IF(ISNUMBER(SEARCH("Ratei Pass",'Statements (Raw)'!D154)),"ACCRUED INT",IF(ISNUMBER(SEARCH("Interessi Prest",'Statements (Raw)'!D154)),"SEC LENDING",IF(ISNUMBER(SEARCH("Rimborso",'Statements (Raw)'!D154)),"REDEMPTION",IF(ISNUMBER(SEARCH("Provento",'Statements (Raw)'!D154)),"DISTRIBUTION","OTHER")))))))))))))</f>
        <v>CASH DEPOSIT</v>
      </c>
      <c r="D156" s="6" t="str">
        <f>IF(A156="","",IF(C156="Saldo Iniziale","Balance",IF(C156="CASH DEPOSIT","Deposit",IF(C156="CASH WITHDRAWAL","Withdrawal",IF(C156="STAMP DUTY","Tax",IF(C156="TOBIN TAX","Tax",IF(C156="WITHHOLDING TAX","Tax",IF(C156="DIVIDEND","Dividend",IF(C156="COUPON","Coupon",IF(C156="ACCRUED INT","Accrued Int.",IF(C156="SEC LENDING","Sec. Lending",IF(C156="REDEMPTION","Redemption",IF(C156="DISTRIBUTION","Distribution",IF(ISNUMBER(SEARCH("Rimborso",'Statements (Raw)'!D154)),"Redemption",IF(ISNUMBER(SEARCH("Cedola",'Statements (Raw)'!D154)),"Coupon",IF(ISNUMBER(SEARCH("Incasso Dividendi",'Statements (Raw)'!D154)),"Dividend",IF(ISNUMBER(SEARCH("Provento Etf",'Statements (Raw)'!D154)),"Distribution",IF(ISNUMBER(SEARCH("Rit.provento",'Statements (Raw)'!D154)),"Tax",IF(ISNUMBER(SEARCH("Ratei Pass",'Statements (Raw)'!D154)),"Accrued Int.",IF(ISNUMBER(SEARCH("Interessi Prest",'Statements (Raw)'!D154)),"Sec. Lending",IF('Statements (Raw)'!G154="","Other",IF('Statements (Raw)'!G154&gt;0,"Buy","Sell"))))))))))))))))))))))</f>
        <v>Deposit</v>
      </c>
      <c r="E156" s="6" t="str">
        <f t="shared" si="4"/>
        <v>Cash</v>
      </c>
      <c r="F156" s="8" t="str">
        <f>IF(A156="","",IF('Statements (Raw)'!E154="","",'Statements (Raw)'!E154))</f>
        <v/>
      </c>
      <c r="G156" s="6" t="str">
        <f>IF(A156="","",IF('Statements (Raw)'!F154="","",'Statements (Raw)'!F154))</f>
        <v/>
      </c>
      <c r="H156" s="9" t="str">
        <f>IF(A156="","",IF('Statements (Raw)'!G154="","",'Statements (Raw)'!G154))</f>
        <v/>
      </c>
      <c r="I156" s="10">
        <f>IF(A156="","",IF('Statements (Raw)'!H154="","",'Statements (Raw)'!H154))</f>
        <v>400000</v>
      </c>
      <c r="J156" s="10">
        <f>IF(A156="",0,IF('Statements (Raw)'!I154="",0,'Statements (Raw)'!I154))</f>
        <v>0</v>
      </c>
      <c r="K156" s="10">
        <f t="shared" si="5"/>
        <v>400000</v>
      </c>
    </row>
    <row r="157" spans="1:11" x14ac:dyDescent="0.3">
      <c r="A157" s="171">
        <f>IF(OR('Statements (Raw)'!A155="",'Statements (Raw)'!A155&gt;Holdings!$G$3),"",'Statements (Raw)'!A155)</f>
        <v>45912</v>
      </c>
      <c r="B157" s="7">
        <f>IF(A157="","",IF('Statements (Raw)'!B155="","",'Statements (Raw)'!B155))</f>
        <v>45916</v>
      </c>
      <c r="C157" s="6" t="str">
        <f>IF(A157="","",IF('Statements (Raw)'!C155&lt;&gt;"",'Statements (Raw)'!C155,IF(ISNUMBER(SEARCH("Conferimento",'Statements (Raw)'!D155)),"CASH DEPOSIT",IF(ISNUMBER(SEARCH("Prelievo",'Statements (Raw)'!D155)),"CASH WITHDRAWAL",IF(ISNUMBER(SEARCH("Bollo",'Statements (Raw)'!D155)),"STAMP DUTY",IF(ISNUMBER(SEARCH("Tobin Tax",'Statements (Raw)'!D155)),"TOBIN TAX",IF(ISNUMBER(SEARCH("Rit.provento",'Statements (Raw)'!D155)),"WITHHOLDING TAX",IF(ISNUMBER(SEARCH("Incasso Dividendi",'Statements (Raw)'!D155)),"DIVIDEND",IF(ISNUMBER(SEARCH("Cedola",'Statements (Raw)'!D155)),"COUPON",IF(ISNUMBER(SEARCH("Ratei Pass",'Statements (Raw)'!D155)),"ACCRUED INT",IF(ISNUMBER(SEARCH("Interessi Prest",'Statements (Raw)'!D155)),"SEC LENDING",IF(ISNUMBER(SEARCH("Rimborso",'Statements (Raw)'!D155)),"REDEMPTION",IF(ISNUMBER(SEARCH("Provento",'Statements (Raw)'!D155)),"DISTRIBUTION","OTHER")))))))))))))</f>
        <v>TOBIN TAX</v>
      </c>
      <c r="D157" s="6" t="str">
        <f>IF(A157="","",IF(C157="Saldo Iniziale","Balance",IF(C157="CASH DEPOSIT","Deposit",IF(C157="CASH WITHDRAWAL","Withdrawal",IF(C157="STAMP DUTY","Tax",IF(C157="TOBIN TAX","Tax",IF(C157="WITHHOLDING TAX","Tax",IF(C157="DIVIDEND","Dividend",IF(C157="COUPON","Coupon",IF(C157="ACCRUED INT","Accrued Int.",IF(C157="SEC LENDING","Sec. Lending",IF(C157="REDEMPTION","Redemption",IF(C157="DISTRIBUTION","Distribution",IF(ISNUMBER(SEARCH("Rimborso",'Statements (Raw)'!D155)),"Redemption",IF(ISNUMBER(SEARCH("Cedola",'Statements (Raw)'!D155)),"Coupon",IF(ISNUMBER(SEARCH("Incasso Dividendi",'Statements (Raw)'!D155)),"Dividend",IF(ISNUMBER(SEARCH("Provento Etf",'Statements (Raw)'!D155)),"Distribution",IF(ISNUMBER(SEARCH("Rit.provento",'Statements (Raw)'!D155)),"Tax",IF(ISNUMBER(SEARCH("Ratei Pass",'Statements (Raw)'!D155)),"Accrued Int.",IF(ISNUMBER(SEARCH("Interessi Prest",'Statements (Raw)'!D155)),"Sec. Lending",IF('Statements (Raw)'!G155="","Other",IF('Statements (Raw)'!G155&gt;0,"Buy","Sell"))))))))))))))))))))))</f>
        <v>Tax</v>
      </c>
      <c r="E157" s="6" t="str">
        <f t="shared" si="4"/>
        <v>Tax/Fee</v>
      </c>
      <c r="F157" s="8" t="str">
        <f>IF(A157="","",IF('Statements (Raw)'!E155="","",'Statements (Raw)'!E155))</f>
        <v/>
      </c>
      <c r="G157" s="6" t="str">
        <f>IF(A157="","",IF('Statements (Raw)'!F155="","",'Statements (Raw)'!F155))</f>
        <v/>
      </c>
      <c r="H157" s="9" t="str">
        <f>IF(A157="","",IF('Statements (Raw)'!G155="","",'Statements (Raw)'!G155))</f>
        <v/>
      </c>
      <c r="I157" s="10">
        <f>IF(A157="","",IF('Statements (Raw)'!H155="","",'Statements (Raw)'!H155))</f>
        <v>-2.33</v>
      </c>
      <c r="J157" s="10">
        <f>IF(A157="",0,IF('Statements (Raw)'!I155="",0,'Statements (Raw)'!I155))</f>
        <v>0</v>
      </c>
      <c r="K157" s="10">
        <f t="shared" si="5"/>
        <v>-2.33</v>
      </c>
    </row>
    <row r="158" spans="1:11" x14ac:dyDescent="0.3">
      <c r="A158" s="171">
        <f>IF(OR('Statements (Raw)'!A156="",'Statements (Raw)'!A156&gt;Holdings!$G$3),"",'Statements (Raw)'!A156)</f>
        <v>45915</v>
      </c>
      <c r="B158" s="7">
        <f>IF(A158="","",IF('Statements (Raw)'!B156="","",'Statements (Raw)'!B156))</f>
        <v>45917</v>
      </c>
      <c r="C158" s="6" t="str">
        <f>IF(A158="","",IF('Statements (Raw)'!C156&lt;&gt;"",'Statements (Raw)'!C156,IF(ISNUMBER(SEARCH("Conferimento",'Statements (Raw)'!D156)),"CASH DEPOSIT",IF(ISNUMBER(SEARCH("Prelievo",'Statements (Raw)'!D156)),"CASH WITHDRAWAL",IF(ISNUMBER(SEARCH("Bollo",'Statements (Raw)'!D156)),"STAMP DUTY",IF(ISNUMBER(SEARCH("Tobin Tax",'Statements (Raw)'!D156)),"TOBIN TAX",IF(ISNUMBER(SEARCH("Rit.provento",'Statements (Raw)'!D156)),"WITHHOLDING TAX",IF(ISNUMBER(SEARCH("Incasso Dividendi",'Statements (Raw)'!D156)),"DIVIDEND",IF(ISNUMBER(SEARCH("Cedola",'Statements (Raw)'!D156)),"COUPON",IF(ISNUMBER(SEARCH("Ratei Pass",'Statements (Raw)'!D156)),"ACCRUED INT",IF(ISNUMBER(SEARCH("Interessi Prest",'Statements (Raw)'!D156)),"SEC LENDING",IF(ISNUMBER(SEARCH("Rimborso",'Statements (Raw)'!D156)),"REDEMPTION",IF(ISNUMBER(SEARCH("Provento",'Statements (Raw)'!D156)),"DISTRIBUTION","OTHER")))))))))))))</f>
        <v>WisdomTree Europe Defence UCIT</v>
      </c>
      <c r="D158" s="6" t="str">
        <f>IF(A158="","",IF(C158="Saldo Iniziale","Balance",IF(C158="CASH DEPOSIT","Deposit",IF(C158="CASH WITHDRAWAL","Withdrawal",IF(C158="STAMP DUTY","Tax",IF(C158="TOBIN TAX","Tax",IF(C158="WITHHOLDING TAX","Tax",IF(C158="DIVIDEND","Dividend",IF(C158="COUPON","Coupon",IF(C158="ACCRUED INT","Accrued Int.",IF(C158="SEC LENDING","Sec. Lending",IF(C158="REDEMPTION","Redemption",IF(C158="DISTRIBUTION","Distribution",IF(ISNUMBER(SEARCH("Rimborso",'Statements (Raw)'!D156)),"Redemption",IF(ISNUMBER(SEARCH("Cedola",'Statements (Raw)'!D156)),"Coupon",IF(ISNUMBER(SEARCH("Incasso Dividendi",'Statements (Raw)'!D156)),"Dividend",IF(ISNUMBER(SEARCH("Provento Etf",'Statements (Raw)'!D156)),"Distribution",IF(ISNUMBER(SEARCH("Rit.provento",'Statements (Raw)'!D156)),"Tax",IF(ISNUMBER(SEARCH("Ratei Pass",'Statements (Raw)'!D156)),"Accrued Int.",IF(ISNUMBER(SEARCH("Interessi Prest",'Statements (Raw)'!D156)),"Sec. Lending",IF('Statements (Raw)'!G156="","Other",IF('Statements (Raw)'!G156&gt;0,"Buy","Sell"))))))))))))))))))))))</f>
        <v>Buy</v>
      </c>
      <c r="E158" s="6" t="str">
        <f t="shared" si="4"/>
        <v>ETF/ETC</v>
      </c>
      <c r="F158" s="8">
        <f>IF(A158="","",IF('Statements (Raw)'!E156="","",'Statements (Raw)'!E156))</f>
        <v>32.700000000000003</v>
      </c>
      <c r="G158" s="6" t="str">
        <f>IF(A158="","",IF('Statements (Raw)'!F156="","",'Statements (Raw)'!F156))</f>
        <v>EUR</v>
      </c>
      <c r="H158" s="9">
        <f>IF(A158="","",IF('Statements (Raw)'!G156="","",'Statements (Raw)'!G156))</f>
        <v>30</v>
      </c>
      <c r="I158" s="10">
        <f>IF(A158="","",IF('Statements (Raw)'!H156="","",'Statements (Raw)'!H156))</f>
        <v>-981</v>
      </c>
      <c r="J158" s="10">
        <f>IF(A158="",0,IF('Statements (Raw)'!I156="",0,'Statements (Raw)'!I156))</f>
        <v>0</v>
      </c>
      <c r="K158" s="10">
        <f t="shared" si="5"/>
        <v>-981</v>
      </c>
    </row>
    <row r="159" spans="1:11" x14ac:dyDescent="0.3">
      <c r="A159" s="171">
        <f>IF(OR('Statements (Raw)'!A157="",'Statements (Raw)'!A157&gt;Holdings!$G$3),"",'Statements (Raw)'!A157)</f>
        <v>45915</v>
      </c>
      <c r="B159" s="7">
        <f>IF(A159="","",IF('Statements (Raw)'!B157="","",'Statements (Raw)'!B157))</f>
        <v>45917</v>
      </c>
      <c r="C159" s="6" t="str">
        <f>IF(A159="","",IF('Statements (Raw)'!C157&lt;&gt;"",'Statements (Raw)'!C157,IF(ISNUMBER(SEARCH("Conferimento",'Statements (Raw)'!D157)),"CASH DEPOSIT",IF(ISNUMBER(SEARCH("Prelievo",'Statements (Raw)'!D157)),"CASH WITHDRAWAL",IF(ISNUMBER(SEARCH("Bollo",'Statements (Raw)'!D157)),"STAMP DUTY",IF(ISNUMBER(SEARCH("Tobin Tax",'Statements (Raw)'!D157)),"TOBIN TAX",IF(ISNUMBER(SEARCH("Rit.provento",'Statements (Raw)'!D157)),"WITHHOLDING TAX",IF(ISNUMBER(SEARCH("Incasso Dividendi",'Statements (Raw)'!D157)),"DIVIDEND",IF(ISNUMBER(SEARCH("Cedola",'Statements (Raw)'!D157)),"COUPON",IF(ISNUMBER(SEARCH("Ratei Pass",'Statements (Raw)'!D157)),"ACCRUED INT",IF(ISNUMBER(SEARCH("Interessi Prest",'Statements (Raw)'!D157)),"SEC LENDING",IF(ISNUMBER(SEARCH("Rimborso",'Statements (Raw)'!D157)),"REDEMPTION",IF(ISNUMBER(SEARCH("Provento",'Statements (Raw)'!D157)),"DISTRIBUTION","OTHER")))))))))))))</f>
        <v>ISHARES FTSE MIB UCITS ETF EUR</v>
      </c>
      <c r="D159" s="6" t="str">
        <f>IF(A159="","",IF(C159="Saldo Iniziale","Balance",IF(C159="CASH DEPOSIT","Deposit",IF(C159="CASH WITHDRAWAL","Withdrawal",IF(C159="STAMP DUTY","Tax",IF(C159="TOBIN TAX","Tax",IF(C159="WITHHOLDING TAX","Tax",IF(C159="DIVIDEND","Dividend",IF(C159="COUPON","Coupon",IF(C159="ACCRUED INT","Accrued Int.",IF(C159="SEC LENDING","Sec. Lending",IF(C159="REDEMPTION","Redemption",IF(C159="DISTRIBUTION","Distribution",IF(ISNUMBER(SEARCH("Rimborso",'Statements (Raw)'!D157)),"Redemption",IF(ISNUMBER(SEARCH("Cedola",'Statements (Raw)'!D157)),"Coupon",IF(ISNUMBER(SEARCH("Incasso Dividendi",'Statements (Raw)'!D157)),"Dividend",IF(ISNUMBER(SEARCH("Provento Etf",'Statements (Raw)'!D157)),"Distribution",IF(ISNUMBER(SEARCH("Rit.provento",'Statements (Raw)'!D157)),"Tax",IF(ISNUMBER(SEARCH("Ratei Pass",'Statements (Raw)'!D157)),"Accrued Int.",IF(ISNUMBER(SEARCH("Interessi Prest",'Statements (Raw)'!D157)),"Sec. Lending",IF('Statements (Raw)'!G157="","Other",IF('Statements (Raw)'!G157&gt;0,"Buy","Sell"))))))))))))))))))))))</f>
        <v>Buy</v>
      </c>
      <c r="E159" s="6" t="str">
        <f t="shared" si="4"/>
        <v>ETF/ETC</v>
      </c>
      <c r="F159" s="8">
        <f>IF(A159="","",IF('Statements (Raw)'!E157="","",'Statements (Raw)'!E157))</f>
        <v>205.8</v>
      </c>
      <c r="G159" s="6" t="str">
        <f>IF(A159="","",IF('Statements (Raw)'!F157="","",'Statements (Raw)'!F157))</f>
        <v>EUR</v>
      </c>
      <c r="H159" s="9">
        <f>IF(A159="","",IF('Statements (Raw)'!G157="","",'Statements (Raw)'!G157))</f>
        <v>12</v>
      </c>
      <c r="I159" s="10">
        <f>IF(A159="","",IF('Statements (Raw)'!H157="","",'Statements (Raw)'!H157))</f>
        <v>-2469.6</v>
      </c>
      <c r="J159" s="10">
        <f>IF(A159="",0,IF('Statements (Raw)'!I157="",0,'Statements (Raw)'!I157))</f>
        <v>0</v>
      </c>
      <c r="K159" s="10">
        <f t="shared" si="5"/>
        <v>-2469.6</v>
      </c>
    </row>
    <row r="160" spans="1:11" x14ac:dyDescent="0.3">
      <c r="A160" s="171">
        <f>IF(OR('Statements (Raw)'!A158="",'Statements (Raw)'!A158&gt;Holdings!$G$3),"",'Statements (Raw)'!A158)</f>
        <v>45915</v>
      </c>
      <c r="B160" s="7">
        <f>IF(A160="","",IF('Statements (Raw)'!B158="","",'Statements (Raw)'!B158))</f>
        <v>45917</v>
      </c>
      <c r="C160" s="6" t="str">
        <f>IF(A160="","",IF('Statements (Raw)'!C158&lt;&gt;"",'Statements (Raw)'!C158,IF(ISNUMBER(SEARCH("Conferimento",'Statements (Raw)'!D158)),"CASH DEPOSIT",IF(ISNUMBER(SEARCH("Prelievo",'Statements (Raw)'!D158)),"CASH WITHDRAWAL",IF(ISNUMBER(SEARCH("Bollo",'Statements (Raw)'!D158)),"STAMP DUTY",IF(ISNUMBER(SEARCH("Tobin Tax",'Statements (Raw)'!D158)),"TOBIN TAX",IF(ISNUMBER(SEARCH("Rit.provento",'Statements (Raw)'!D158)),"WITHHOLDING TAX",IF(ISNUMBER(SEARCH("Incasso Dividendi",'Statements (Raw)'!D158)),"DIVIDEND",IF(ISNUMBER(SEARCH("Cedola",'Statements (Raw)'!D158)),"COUPON",IF(ISNUMBER(SEARCH("Ratei Pass",'Statements (Raw)'!D158)),"ACCRUED INT",IF(ISNUMBER(SEARCH("Interessi Prest",'Statements (Raw)'!D158)),"SEC LENDING",IF(ISNUMBER(SEARCH("Rimborso",'Statements (Raw)'!D158)),"REDEMPTION",IF(ISNUMBER(SEARCH("Provento",'Statements (Raw)'!D158)),"DISTRIBUTION","OTHER")))))))))))))</f>
        <v>WISDOMTREE CORE PHYSICAL GOLD</v>
      </c>
      <c r="D160" s="6" t="str">
        <f>IF(A160="","",IF(C160="Saldo Iniziale","Balance",IF(C160="CASH DEPOSIT","Deposit",IF(C160="CASH WITHDRAWAL","Withdrawal",IF(C160="STAMP DUTY","Tax",IF(C160="TOBIN TAX","Tax",IF(C160="WITHHOLDING TAX","Tax",IF(C160="DIVIDEND","Dividend",IF(C160="COUPON","Coupon",IF(C160="ACCRUED INT","Accrued Int.",IF(C160="SEC LENDING","Sec. Lending",IF(C160="REDEMPTION","Redemption",IF(C160="DISTRIBUTION","Distribution",IF(ISNUMBER(SEARCH("Rimborso",'Statements (Raw)'!D158)),"Redemption",IF(ISNUMBER(SEARCH("Cedola",'Statements (Raw)'!D158)),"Coupon",IF(ISNUMBER(SEARCH("Incasso Dividendi",'Statements (Raw)'!D158)),"Dividend",IF(ISNUMBER(SEARCH("Provento Etf",'Statements (Raw)'!D158)),"Distribution",IF(ISNUMBER(SEARCH("Rit.provento",'Statements (Raw)'!D158)),"Tax",IF(ISNUMBER(SEARCH("Ratei Pass",'Statements (Raw)'!D158)),"Accrued Int.",IF(ISNUMBER(SEARCH("Interessi Prest",'Statements (Raw)'!D158)),"Sec. Lending",IF('Statements (Raw)'!G158="","Other",IF('Statements (Raw)'!G158&gt;0,"Buy","Sell"))))))))))))))))))))))</f>
        <v>Buy</v>
      </c>
      <c r="E160" s="6" t="str">
        <f t="shared" si="4"/>
        <v>ETF/ETC</v>
      </c>
      <c r="F160" s="8">
        <f>IF(A160="","",IF('Statements (Raw)'!E158="","",'Statements (Raw)'!E158))</f>
        <v>309.85000000000002</v>
      </c>
      <c r="G160" s="6" t="str">
        <f>IF(A160="","",IF('Statements (Raw)'!F158="","",'Statements (Raw)'!F158))</f>
        <v>EUR</v>
      </c>
      <c r="H160" s="9">
        <f>IF(A160="","",IF('Statements (Raw)'!G158="","",'Statements (Raw)'!G158))</f>
        <v>1</v>
      </c>
      <c r="I160" s="10">
        <f>IF(A160="","",IF('Statements (Raw)'!H158="","",'Statements (Raw)'!H158))</f>
        <v>-309.85000000000002</v>
      </c>
      <c r="J160" s="10">
        <f>IF(A160="",0,IF('Statements (Raw)'!I158="",0,'Statements (Raw)'!I158))</f>
        <v>0</v>
      </c>
      <c r="K160" s="10">
        <f t="shared" si="5"/>
        <v>-309.85000000000002</v>
      </c>
    </row>
    <row r="161" spans="1:11" x14ac:dyDescent="0.3">
      <c r="A161" s="171">
        <f>IF(OR('Statements (Raw)'!A159="",'Statements (Raw)'!A159&gt;Holdings!$G$3),"",'Statements (Raw)'!A159)</f>
        <v>45915</v>
      </c>
      <c r="B161" s="7">
        <f>IF(A161="","",IF('Statements (Raw)'!B159="","",'Statements (Raw)'!B159))</f>
        <v>45917</v>
      </c>
      <c r="C161" s="6" t="str">
        <f>IF(A161="","",IF('Statements (Raw)'!C159&lt;&gt;"",'Statements (Raw)'!C159,IF(ISNUMBER(SEARCH("Conferimento",'Statements (Raw)'!D159)),"CASH DEPOSIT",IF(ISNUMBER(SEARCH("Prelievo",'Statements (Raw)'!D159)),"CASH WITHDRAWAL",IF(ISNUMBER(SEARCH("Bollo",'Statements (Raw)'!D159)),"STAMP DUTY",IF(ISNUMBER(SEARCH("Tobin Tax",'Statements (Raw)'!D159)),"TOBIN TAX",IF(ISNUMBER(SEARCH("Rit.provento",'Statements (Raw)'!D159)),"WITHHOLDING TAX",IF(ISNUMBER(SEARCH("Incasso Dividendi",'Statements (Raw)'!D159)),"DIVIDEND",IF(ISNUMBER(SEARCH("Cedola",'Statements (Raw)'!D159)),"COUPON",IF(ISNUMBER(SEARCH("Ratei Pass",'Statements (Raw)'!D159)),"ACCRUED INT",IF(ISNUMBER(SEARCH("Interessi Prest",'Statements (Raw)'!D159)),"SEC LENDING",IF(ISNUMBER(SEARCH("Rimborso",'Statements (Raw)'!D159)),"REDEMPTION",IF(ISNUMBER(SEARCH("Provento",'Statements (Raw)'!D159)),"DISTRIBUTION","OTHER")))))))))))))</f>
        <v>WISDOMTREE PHYSICAL SILVER</v>
      </c>
      <c r="D161" s="6" t="str">
        <f>IF(A161="","",IF(C161="Saldo Iniziale","Balance",IF(C161="CASH DEPOSIT","Deposit",IF(C161="CASH WITHDRAWAL","Withdrawal",IF(C161="STAMP DUTY","Tax",IF(C161="TOBIN TAX","Tax",IF(C161="WITHHOLDING TAX","Tax",IF(C161="DIVIDEND","Dividend",IF(C161="COUPON","Coupon",IF(C161="ACCRUED INT","Accrued Int.",IF(C161="SEC LENDING","Sec. Lending",IF(C161="REDEMPTION","Redemption",IF(C161="DISTRIBUTION","Distribution",IF(ISNUMBER(SEARCH("Rimborso",'Statements (Raw)'!D159)),"Redemption",IF(ISNUMBER(SEARCH("Cedola",'Statements (Raw)'!D159)),"Coupon",IF(ISNUMBER(SEARCH("Incasso Dividendi",'Statements (Raw)'!D159)),"Dividend",IF(ISNUMBER(SEARCH("Provento Etf",'Statements (Raw)'!D159)),"Distribution",IF(ISNUMBER(SEARCH("Rit.provento",'Statements (Raw)'!D159)),"Tax",IF(ISNUMBER(SEARCH("Ratei Pass",'Statements (Raw)'!D159)),"Accrued Int.",IF(ISNUMBER(SEARCH("Interessi Prest",'Statements (Raw)'!D159)),"Sec. Lending",IF('Statements (Raw)'!G159="","Other",IF('Statements (Raw)'!G159&gt;0,"Buy","Sell"))))))))))))))))))))))</f>
        <v>Buy</v>
      </c>
      <c r="E161" s="6" t="str">
        <f t="shared" si="4"/>
        <v>ETF/ETC</v>
      </c>
      <c r="F161" s="8">
        <f>IF(A161="","",IF('Statements (Raw)'!E159="","",'Statements (Raw)'!E159))</f>
        <v>32.965000000000003</v>
      </c>
      <c r="G161" s="6" t="str">
        <f>IF(A161="","",IF('Statements (Raw)'!F159="","",'Statements (Raw)'!F159))</f>
        <v>EUR</v>
      </c>
      <c r="H161" s="9">
        <f>IF(A161="","",IF('Statements (Raw)'!G159="","",'Statements (Raw)'!G159))</f>
        <v>15</v>
      </c>
      <c r="I161" s="10">
        <f>IF(A161="","",IF('Statements (Raw)'!H159="","",'Statements (Raw)'!H159))</f>
        <v>-494.48</v>
      </c>
      <c r="J161" s="10">
        <f>IF(A161="",0,IF('Statements (Raw)'!I159="",0,'Statements (Raw)'!I159))</f>
        <v>0</v>
      </c>
      <c r="K161" s="10">
        <f t="shared" si="5"/>
        <v>-494.48</v>
      </c>
    </row>
    <row r="162" spans="1:11" x14ac:dyDescent="0.3">
      <c r="A162" s="171">
        <f>IF(OR('Statements (Raw)'!A160="",'Statements (Raw)'!A160&gt;Holdings!$G$3),"",'Statements (Raw)'!A160)</f>
        <v>45916</v>
      </c>
      <c r="B162" s="7">
        <f>IF(A162="","",IF('Statements (Raw)'!B160="","",'Statements (Raw)'!B160))</f>
        <v>45917</v>
      </c>
      <c r="C162" s="6" t="str">
        <f>IF(A162="","",IF('Statements (Raw)'!C160&lt;&gt;"",'Statements (Raw)'!C160,IF(ISNUMBER(SEARCH("Conferimento",'Statements (Raw)'!D160)),"CASH DEPOSIT",IF(ISNUMBER(SEARCH("Prelievo",'Statements (Raw)'!D160)),"CASH WITHDRAWAL",IF(ISNUMBER(SEARCH("Bollo",'Statements (Raw)'!D160)),"STAMP DUTY",IF(ISNUMBER(SEARCH("Tobin Tax",'Statements (Raw)'!D160)),"TOBIN TAX",IF(ISNUMBER(SEARCH("Rit.provento",'Statements (Raw)'!D160)),"WITHHOLDING TAX",IF(ISNUMBER(SEARCH("Incasso Dividendi",'Statements (Raw)'!D160)),"DIVIDEND",IF(ISNUMBER(SEARCH("Cedola",'Statements (Raw)'!D160)),"COUPON",IF(ISNUMBER(SEARCH("Ratei Pass",'Statements (Raw)'!D160)),"ACCRUED INT",IF(ISNUMBER(SEARCH("Interessi Prest",'Statements (Raw)'!D160)),"SEC LENDING",IF(ISNUMBER(SEARCH("Rimborso",'Statements (Raw)'!D160)),"REDEMPTION",IF(ISNUMBER(SEARCH("Provento",'Statements (Raw)'!D160)),"DISTRIBUTION","OTHER")))))))))))))</f>
        <v>ORACLE CORP</v>
      </c>
      <c r="D162" s="6" t="str">
        <f>IF(A162="","",IF(C162="Saldo Iniziale","Balance",IF(C162="CASH DEPOSIT","Deposit",IF(C162="CASH WITHDRAWAL","Withdrawal",IF(C162="STAMP DUTY","Tax",IF(C162="TOBIN TAX","Tax",IF(C162="WITHHOLDING TAX","Tax",IF(C162="DIVIDEND","Dividend",IF(C162="COUPON","Coupon",IF(C162="ACCRUED INT","Accrued Int.",IF(C162="SEC LENDING","Sec. Lending",IF(C162="REDEMPTION","Redemption",IF(C162="DISTRIBUTION","Distribution",IF(ISNUMBER(SEARCH("Rimborso",'Statements (Raw)'!D160)),"Redemption",IF(ISNUMBER(SEARCH("Cedola",'Statements (Raw)'!D160)),"Coupon",IF(ISNUMBER(SEARCH("Incasso Dividendi",'Statements (Raw)'!D160)),"Dividend",IF(ISNUMBER(SEARCH("Provento Etf",'Statements (Raw)'!D160)),"Distribution",IF(ISNUMBER(SEARCH("Rit.provento",'Statements (Raw)'!D160)),"Tax",IF(ISNUMBER(SEARCH("Ratei Pass",'Statements (Raw)'!D160)),"Accrued Int.",IF(ISNUMBER(SEARCH("Interessi Prest",'Statements (Raw)'!D160)),"Sec. Lending",IF('Statements (Raw)'!G160="","Other",IF('Statements (Raw)'!G160&gt;0,"Buy","Sell"))))))))))))))))))))))</f>
        <v>Buy</v>
      </c>
      <c r="E162" s="6" t="str">
        <f t="shared" si="4"/>
        <v>Stock</v>
      </c>
      <c r="F162" s="8">
        <f>IF(A162="","",IF('Statements (Raw)'!E160="","",'Statements (Raw)'!E160))</f>
        <v>304.16000000000003</v>
      </c>
      <c r="G162" s="6" t="str">
        <f>IF(A162="","",IF('Statements (Raw)'!F160="","",'Statements (Raw)'!F160))</f>
        <v>USD</v>
      </c>
      <c r="H162" s="9">
        <f>IF(A162="","",IF('Statements (Raw)'!G160="","",'Statements (Raw)'!G160))</f>
        <v>10</v>
      </c>
      <c r="I162" s="10">
        <f>IF(A162="","",IF('Statements (Raw)'!H160="","",'Statements (Raw)'!H160))</f>
        <v>-2564.37</v>
      </c>
      <c r="J162" s="10">
        <f>IF(A162="",0,IF('Statements (Raw)'!I160="",0,'Statements (Raw)'!I160))</f>
        <v>-7.59</v>
      </c>
      <c r="K162" s="10">
        <f t="shared" si="5"/>
        <v>-2571.96</v>
      </c>
    </row>
    <row r="163" spans="1:11" x14ac:dyDescent="0.3">
      <c r="A163" s="171">
        <f>IF(OR('Statements (Raw)'!A161="",'Statements (Raw)'!A161&gt;Holdings!$G$3),"",'Statements (Raw)'!A161)</f>
        <v>45917</v>
      </c>
      <c r="B163" s="7">
        <f>IF(A163="","",IF('Statements (Raw)'!B161="","",'Statements (Raw)'!B161))</f>
        <v>45919</v>
      </c>
      <c r="C163" s="6" t="str">
        <f>IF(A163="","",IF('Statements (Raw)'!C161&lt;&gt;"",'Statements (Raw)'!C161,IF(ISNUMBER(SEARCH("Conferimento",'Statements (Raw)'!D161)),"CASH DEPOSIT",IF(ISNUMBER(SEARCH("Prelievo",'Statements (Raw)'!D161)),"CASH WITHDRAWAL",IF(ISNUMBER(SEARCH("Bollo",'Statements (Raw)'!D161)),"STAMP DUTY",IF(ISNUMBER(SEARCH("Tobin Tax",'Statements (Raw)'!D161)),"TOBIN TAX",IF(ISNUMBER(SEARCH("Rit.provento",'Statements (Raw)'!D161)),"WITHHOLDING TAX",IF(ISNUMBER(SEARCH("Incasso Dividendi",'Statements (Raw)'!D161)),"DIVIDEND",IF(ISNUMBER(SEARCH("Cedola",'Statements (Raw)'!D161)),"COUPON",IF(ISNUMBER(SEARCH("Ratei Pass",'Statements (Raw)'!D161)),"ACCRUED INT",IF(ISNUMBER(SEARCH("Interessi Prest",'Statements (Raw)'!D161)),"SEC LENDING",IF(ISNUMBER(SEARCH("Rimborso",'Statements (Raw)'!D161)),"REDEMPTION",IF(ISNUMBER(SEARCH("Provento",'Statements (Raw)'!D161)),"DISTRIBUTION","OTHER")))))))))))))</f>
        <v>TAMBURI</v>
      </c>
      <c r="D163" s="6" t="str">
        <f>IF(A163="","",IF(C163="Saldo Iniziale","Balance",IF(C163="CASH DEPOSIT","Deposit",IF(C163="CASH WITHDRAWAL","Withdrawal",IF(C163="STAMP DUTY","Tax",IF(C163="TOBIN TAX","Tax",IF(C163="WITHHOLDING TAX","Tax",IF(C163="DIVIDEND","Dividend",IF(C163="COUPON","Coupon",IF(C163="ACCRUED INT","Accrued Int.",IF(C163="SEC LENDING","Sec. Lending",IF(C163="REDEMPTION","Redemption",IF(C163="DISTRIBUTION","Distribution",IF(ISNUMBER(SEARCH("Rimborso",'Statements (Raw)'!D161)),"Redemption",IF(ISNUMBER(SEARCH("Cedola",'Statements (Raw)'!D161)),"Coupon",IF(ISNUMBER(SEARCH("Incasso Dividendi",'Statements (Raw)'!D161)),"Dividend",IF(ISNUMBER(SEARCH("Provento Etf",'Statements (Raw)'!D161)),"Distribution",IF(ISNUMBER(SEARCH("Rit.provento",'Statements (Raw)'!D161)),"Tax",IF(ISNUMBER(SEARCH("Ratei Pass",'Statements (Raw)'!D161)),"Accrued Int.",IF(ISNUMBER(SEARCH("Interessi Prest",'Statements (Raw)'!D161)),"Sec. Lending",IF('Statements (Raw)'!G161="","Other",IF('Statements (Raw)'!G161&gt;0,"Buy","Sell"))))))))))))))))))))))</f>
        <v>Buy</v>
      </c>
      <c r="E163" s="6" t="str">
        <f t="shared" si="4"/>
        <v>Stock</v>
      </c>
      <c r="F163" s="8">
        <f>IF(A163="","",IF('Statements (Raw)'!E161="","",'Statements (Raw)'!E161))</f>
        <v>8.36</v>
      </c>
      <c r="G163" s="6" t="str">
        <f>IF(A163="","",IF('Statements (Raw)'!F161="","",'Statements (Raw)'!F161))</f>
        <v>EUR</v>
      </c>
      <c r="H163" s="9">
        <f>IF(A163="","",IF('Statements (Raw)'!G161="","",'Statements (Raw)'!G161))</f>
        <v>1000</v>
      </c>
      <c r="I163" s="10">
        <f>IF(A163="","",IF('Statements (Raw)'!H161="","",'Statements (Raw)'!H161))</f>
        <v>-8360</v>
      </c>
      <c r="J163" s="10">
        <f>IF(A163="",0,IF('Statements (Raw)'!I161="",0,'Statements (Raw)'!I161))</f>
        <v>-5</v>
      </c>
      <c r="K163" s="10">
        <f t="shared" si="5"/>
        <v>-8365</v>
      </c>
    </row>
    <row r="164" spans="1:11" x14ac:dyDescent="0.3">
      <c r="A164" s="171">
        <f>IF(OR('Statements (Raw)'!A162="",'Statements (Raw)'!A162&gt;Holdings!$G$3),"",'Statements (Raw)'!A162)</f>
        <v>45917</v>
      </c>
      <c r="B164" s="7">
        <f>IF(A164="","",IF('Statements (Raw)'!B162="","",'Statements (Raw)'!B162))</f>
        <v>45919</v>
      </c>
      <c r="C164" s="6" t="str">
        <f>IF(A164="","",IF('Statements (Raw)'!C162&lt;&gt;"",'Statements (Raw)'!C162,IF(ISNUMBER(SEARCH("Conferimento",'Statements (Raw)'!D162)),"CASH DEPOSIT",IF(ISNUMBER(SEARCH("Prelievo",'Statements (Raw)'!D162)),"CASH WITHDRAWAL",IF(ISNUMBER(SEARCH("Bollo",'Statements (Raw)'!D162)),"STAMP DUTY",IF(ISNUMBER(SEARCH("Tobin Tax",'Statements (Raw)'!D162)),"TOBIN TAX",IF(ISNUMBER(SEARCH("Rit.provento",'Statements (Raw)'!D162)),"WITHHOLDING TAX",IF(ISNUMBER(SEARCH("Incasso Dividendi",'Statements (Raw)'!D162)),"DIVIDEND",IF(ISNUMBER(SEARCH("Cedola",'Statements (Raw)'!D162)),"COUPON",IF(ISNUMBER(SEARCH("Ratei Pass",'Statements (Raw)'!D162)),"ACCRUED INT",IF(ISNUMBER(SEARCH("Interessi Prest",'Statements (Raw)'!D162)),"SEC LENDING",IF(ISNUMBER(SEARCH("Rimborso",'Statements (Raw)'!D162)),"REDEMPTION",IF(ISNUMBER(SEARCH("Provento",'Statements (Raw)'!D162)),"DISTRIBUTION","OTHER")))))))))))))</f>
        <v>IGD</v>
      </c>
      <c r="D164" s="6" t="str">
        <f>IF(A164="","",IF(C164="Saldo Iniziale","Balance",IF(C164="CASH DEPOSIT","Deposit",IF(C164="CASH WITHDRAWAL","Withdrawal",IF(C164="STAMP DUTY","Tax",IF(C164="TOBIN TAX","Tax",IF(C164="WITHHOLDING TAX","Tax",IF(C164="DIVIDEND","Dividend",IF(C164="COUPON","Coupon",IF(C164="ACCRUED INT","Accrued Int.",IF(C164="SEC LENDING","Sec. Lending",IF(C164="REDEMPTION","Redemption",IF(C164="DISTRIBUTION","Distribution",IF(ISNUMBER(SEARCH("Rimborso",'Statements (Raw)'!D162)),"Redemption",IF(ISNUMBER(SEARCH("Cedola",'Statements (Raw)'!D162)),"Coupon",IF(ISNUMBER(SEARCH("Incasso Dividendi",'Statements (Raw)'!D162)),"Dividend",IF(ISNUMBER(SEARCH("Provento Etf",'Statements (Raw)'!D162)),"Distribution",IF(ISNUMBER(SEARCH("Rit.provento",'Statements (Raw)'!D162)),"Tax",IF(ISNUMBER(SEARCH("Ratei Pass",'Statements (Raw)'!D162)),"Accrued Int.",IF(ISNUMBER(SEARCH("Interessi Prest",'Statements (Raw)'!D162)),"Sec. Lending",IF('Statements (Raw)'!G162="","Other",IF('Statements (Raw)'!G162&gt;0,"Buy","Sell"))))))))))))))))))))))</f>
        <v>Buy</v>
      </c>
      <c r="E164" s="6" t="str">
        <f t="shared" si="4"/>
        <v>Stock</v>
      </c>
      <c r="F164" s="8">
        <f>IF(A164="","",IF('Statements (Raw)'!E162="","",'Statements (Raw)'!E162))</f>
        <v>3.34</v>
      </c>
      <c r="G164" s="6" t="str">
        <f>IF(A164="","",IF('Statements (Raw)'!F162="","",'Statements (Raw)'!F162))</f>
        <v>EUR</v>
      </c>
      <c r="H164" s="9">
        <f>IF(A164="","",IF('Statements (Raw)'!G162="","",'Statements (Raw)'!G162))</f>
        <v>293</v>
      </c>
      <c r="I164" s="10">
        <f>IF(A164="","",IF('Statements (Raw)'!H162="","",'Statements (Raw)'!H162))</f>
        <v>-978.62</v>
      </c>
      <c r="J164" s="10">
        <f>IF(A164="",0,IF('Statements (Raw)'!I162="",0,'Statements (Raw)'!I162))</f>
        <v>-5</v>
      </c>
      <c r="K164" s="10">
        <f t="shared" si="5"/>
        <v>-983.62</v>
      </c>
    </row>
    <row r="165" spans="1:11" x14ac:dyDescent="0.3">
      <c r="A165" s="171">
        <f>IF(OR('Statements (Raw)'!A163="",'Statements (Raw)'!A163&gt;Holdings!$G$3),"",'Statements (Raw)'!A163)</f>
        <v>45917</v>
      </c>
      <c r="B165" s="7">
        <f>IF(A165="","",IF('Statements (Raw)'!B163="","",'Statements (Raw)'!B163))</f>
        <v>45919</v>
      </c>
      <c r="C165" s="6" t="str">
        <f>IF(A165="","",IF('Statements (Raw)'!C163&lt;&gt;"",'Statements (Raw)'!C163,IF(ISNUMBER(SEARCH("Conferimento",'Statements (Raw)'!D163)),"CASH DEPOSIT",IF(ISNUMBER(SEARCH("Prelievo",'Statements (Raw)'!D163)),"CASH WITHDRAWAL",IF(ISNUMBER(SEARCH("Bollo",'Statements (Raw)'!D163)),"STAMP DUTY",IF(ISNUMBER(SEARCH("Tobin Tax",'Statements (Raw)'!D163)),"TOBIN TAX",IF(ISNUMBER(SEARCH("Rit.provento",'Statements (Raw)'!D163)),"WITHHOLDING TAX",IF(ISNUMBER(SEARCH("Incasso Dividendi",'Statements (Raw)'!D163)),"DIVIDEND",IF(ISNUMBER(SEARCH("Cedola",'Statements (Raw)'!D163)),"COUPON",IF(ISNUMBER(SEARCH("Ratei Pass",'Statements (Raw)'!D163)),"ACCRUED INT",IF(ISNUMBER(SEARCH("Interessi Prest",'Statements (Raw)'!D163)),"SEC LENDING",IF(ISNUMBER(SEARCH("Rimborso",'Statements (Raw)'!D163)),"REDEMPTION",IF(ISNUMBER(SEARCH("Provento",'Statements (Raw)'!D163)),"DISTRIBUTION","OTHER")))))))))))))</f>
        <v>IGD</v>
      </c>
      <c r="D165" s="6" t="str">
        <f>IF(A165="","",IF(C165="Saldo Iniziale","Balance",IF(C165="CASH DEPOSIT","Deposit",IF(C165="CASH WITHDRAWAL","Withdrawal",IF(C165="STAMP DUTY","Tax",IF(C165="TOBIN TAX","Tax",IF(C165="WITHHOLDING TAX","Tax",IF(C165="DIVIDEND","Dividend",IF(C165="COUPON","Coupon",IF(C165="ACCRUED INT","Accrued Int.",IF(C165="SEC LENDING","Sec. Lending",IF(C165="REDEMPTION","Redemption",IF(C165="DISTRIBUTION","Distribution",IF(ISNUMBER(SEARCH("Rimborso",'Statements (Raw)'!D163)),"Redemption",IF(ISNUMBER(SEARCH("Cedola",'Statements (Raw)'!D163)),"Coupon",IF(ISNUMBER(SEARCH("Incasso Dividendi",'Statements (Raw)'!D163)),"Dividend",IF(ISNUMBER(SEARCH("Provento Etf",'Statements (Raw)'!D163)),"Distribution",IF(ISNUMBER(SEARCH("Rit.provento",'Statements (Raw)'!D163)),"Tax",IF(ISNUMBER(SEARCH("Ratei Pass",'Statements (Raw)'!D163)),"Accrued Int.",IF(ISNUMBER(SEARCH("Interessi Prest",'Statements (Raw)'!D163)),"Sec. Lending",IF('Statements (Raw)'!G163="","Other",IF('Statements (Raw)'!G163&gt;0,"Buy","Sell"))))))))))))))))))))))</f>
        <v>Buy</v>
      </c>
      <c r="E165" s="6" t="str">
        <f t="shared" si="4"/>
        <v>Stock</v>
      </c>
      <c r="F165" s="8">
        <f>IF(A165="","",IF('Statements (Raw)'!E163="","",'Statements (Raw)'!E163))</f>
        <v>3.34</v>
      </c>
      <c r="G165" s="6" t="str">
        <f>IF(A165="","",IF('Statements (Raw)'!F163="","",'Statements (Raw)'!F163))</f>
        <v>EUR</v>
      </c>
      <c r="H165" s="9">
        <f>IF(A165="","",IF('Statements (Raw)'!G163="","",'Statements (Raw)'!G163))</f>
        <v>366</v>
      </c>
      <c r="I165" s="10">
        <f>IF(A165="","",IF('Statements (Raw)'!H163="","",'Statements (Raw)'!H163))</f>
        <v>-1222.44</v>
      </c>
      <c r="J165" s="10">
        <f>IF(A165="",0,IF('Statements (Raw)'!I163="",0,'Statements (Raw)'!I163))</f>
        <v>0</v>
      </c>
      <c r="K165" s="10">
        <f t="shared" si="5"/>
        <v>-1222.44</v>
      </c>
    </row>
    <row r="166" spans="1:11" x14ac:dyDescent="0.3">
      <c r="A166" s="171">
        <f>IF(OR('Statements (Raw)'!A164="",'Statements (Raw)'!A164&gt;Holdings!$G$3),"",'Statements (Raw)'!A164)</f>
        <v>45917</v>
      </c>
      <c r="B166" s="7">
        <f>IF(A166="","",IF('Statements (Raw)'!B164="","",'Statements (Raw)'!B164))</f>
        <v>45919</v>
      </c>
      <c r="C166" s="6" t="str">
        <f>IF(A166="","",IF('Statements (Raw)'!C164&lt;&gt;"",'Statements (Raw)'!C164,IF(ISNUMBER(SEARCH("Conferimento",'Statements (Raw)'!D164)),"CASH DEPOSIT",IF(ISNUMBER(SEARCH("Prelievo",'Statements (Raw)'!D164)),"CASH WITHDRAWAL",IF(ISNUMBER(SEARCH("Bollo",'Statements (Raw)'!D164)),"STAMP DUTY",IF(ISNUMBER(SEARCH("Tobin Tax",'Statements (Raw)'!D164)),"TOBIN TAX",IF(ISNUMBER(SEARCH("Rit.provento",'Statements (Raw)'!D164)),"WITHHOLDING TAX",IF(ISNUMBER(SEARCH("Incasso Dividendi",'Statements (Raw)'!D164)),"DIVIDEND",IF(ISNUMBER(SEARCH("Cedola",'Statements (Raw)'!D164)),"COUPON",IF(ISNUMBER(SEARCH("Ratei Pass",'Statements (Raw)'!D164)),"ACCRUED INT",IF(ISNUMBER(SEARCH("Interessi Prest",'Statements (Raw)'!D164)),"SEC LENDING",IF(ISNUMBER(SEARCH("Rimborso",'Statements (Raw)'!D164)),"REDEMPTION",IF(ISNUMBER(SEARCH("Provento",'Statements (Raw)'!D164)),"DISTRIBUTION","OTHER")))))))))))))</f>
        <v>IGD</v>
      </c>
      <c r="D166" s="6" t="str">
        <f>IF(A166="","",IF(C166="Saldo Iniziale","Balance",IF(C166="CASH DEPOSIT","Deposit",IF(C166="CASH WITHDRAWAL","Withdrawal",IF(C166="STAMP DUTY","Tax",IF(C166="TOBIN TAX","Tax",IF(C166="WITHHOLDING TAX","Tax",IF(C166="DIVIDEND","Dividend",IF(C166="COUPON","Coupon",IF(C166="ACCRUED INT","Accrued Int.",IF(C166="SEC LENDING","Sec. Lending",IF(C166="REDEMPTION","Redemption",IF(C166="DISTRIBUTION","Distribution",IF(ISNUMBER(SEARCH("Rimborso",'Statements (Raw)'!D164)),"Redemption",IF(ISNUMBER(SEARCH("Cedola",'Statements (Raw)'!D164)),"Coupon",IF(ISNUMBER(SEARCH("Incasso Dividendi",'Statements (Raw)'!D164)),"Dividend",IF(ISNUMBER(SEARCH("Provento Etf",'Statements (Raw)'!D164)),"Distribution",IF(ISNUMBER(SEARCH("Rit.provento",'Statements (Raw)'!D164)),"Tax",IF(ISNUMBER(SEARCH("Ratei Pass",'Statements (Raw)'!D164)),"Accrued Int.",IF(ISNUMBER(SEARCH("Interessi Prest",'Statements (Raw)'!D164)),"Sec. Lending",IF('Statements (Raw)'!G164="","Other",IF('Statements (Raw)'!G164&gt;0,"Buy","Sell"))))))))))))))))))))))</f>
        <v>Buy</v>
      </c>
      <c r="E166" s="6" t="str">
        <f t="shared" si="4"/>
        <v>Stock</v>
      </c>
      <c r="F166" s="8">
        <f>IF(A166="","",IF('Statements (Raw)'!E164="","",'Statements (Raw)'!E164))</f>
        <v>3.34</v>
      </c>
      <c r="G166" s="6" t="str">
        <f>IF(A166="","",IF('Statements (Raw)'!F164="","",'Statements (Raw)'!F164))</f>
        <v>EUR</v>
      </c>
      <c r="H166" s="9">
        <f>IF(A166="","",IF('Statements (Raw)'!G164="","",'Statements (Raw)'!G164))</f>
        <v>341</v>
      </c>
      <c r="I166" s="10">
        <f>IF(A166="","",IF('Statements (Raw)'!H164="","",'Statements (Raw)'!H164))</f>
        <v>-1138.94</v>
      </c>
      <c r="J166" s="10">
        <f>IF(A166="",0,IF('Statements (Raw)'!I164="",0,'Statements (Raw)'!I164))</f>
        <v>0</v>
      </c>
      <c r="K166" s="10">
        <f t="shared" si="5"/>
        <v>-1138.94</v>
      </c>
    </row>
    <row r="167" spans="1:11" x14ac:dyDescent="0.3">
      <c r="A167" s="171">
        <f>IF(OR('Statements (Raw)'!A165="",'Statements (Raw)'!A165&gt;Holdings!$G$3),"",'Statements (Raw)'!A165)</f>
        <v>45917</v>
      </c>
      <c r="B167" s="7">
        <f>IF(A167="","",IF('Statements (Raw)'!B165="","",'Statements (Raw)'!B165))</f>
        <v>45919</v>
      </c>
      <c r="C167" s="6" t="str">
        <f>IF(A167="","",IF('Statements (Raw)'!C165&lt;&gt;"",'Statements (Raw)'!C165,IF(ISNUMBER(SEARCH("Conferimento",'Statements (Raw)'!D165)),"CASH DEPOSIT",IF(ISNUMBER(SEARCH("Prelievo",'Statements (Raw)'!D165)),"CASH WITHDRAWAL",IF(ISNUMBER(SEARCH("Bollo",'Statements (Raw)'!D165)),"STAMP DUTY",IF(ISNUMBER(SEARCH("Tobin Tax",'Statements (Raw)'!D165)),"TOBIN TAX",IF(ISNUMBER(SEARCH("Rit.provento",'Statements (Raw)'!D165)),"WITHHOLDING TAX",IF(ISNUMBER(SEARCH("Incasso Dividendi",'Statements (Raw)'!D165)),"DIVIDEND",IF(ISNUMBER(SEARCH("Cedola",'Statements (Raw)'!D165)),"COUPON",IF(ISNUMBER(SEARCH("Ratei Pass",'Statements (Raw)'!D165)),"ACCRUED INT",IF(ISNUMBER(SEARCH("Interessi Prest",'Statements (Raw)'!D165)),"SEC LENDING",IF(ISNUMBER(SEARCH("Rimborso",'Statements (Raw)'!D165)),"REDEMPTION",IF(ISNUMBER(SEARCH("Provento",'Statements (Raw)'!D165)),"DISTRIBUTION","OTHER")))))))))))))</f>
        <v>WISDOMTREE NEW ECON REAL EST U</v>
      </c>
      <c r="D167" s="6" t="str">
        <f>IF(A167="","",IF(C167="Saldo Iniziale","Balance",IF(C167="CASH DEPOSIT","Deposit",IF(C167="CASH WITHDRAWAL","Withdrawal",IF(C167="STAMP DUTY","Tax",IF(C167="TOBIN TAX","Tax",IF(C167="WITHHOLDING TAX","Tax",IF(C167="DIVIDEND","Dividend",IF(C167="COUPON","Coupon",IF(C167="ACCRUED INT","Accrued Int.",IF(C167="SEC LENDING","Sec. Lending",IF(C167="REDEMPTION","Redemption",IF(C167="DISTRIBUTION","Distribution",IF(ISNUMBER(SEARCH("Rimborso",'Statements (Raw)'!D165)),"Redemption",IF(ISNUMBER(SEARCH("Cedola",'Statements (Raw)'!D165)),"Coupon",IF(ISNUMBER(SEARCH("Incasso Dividendi",'Statements (Raw)'!D165)),"Dividend",IF(ISNUMBER(SEARCH("Provento Etf",'Statements (Raw)'!D165)),"Distribution",IF(ISNUMBER(SEARCH("Rit.provento",'Statements (Raw)'!D165)),"Tax",IF(ISNUMBER(SEARCH("Ratei Pass",'Statements (Raw)'!D165)),"Accrued Int.",IF(ISNUMBER(SEARCH("Interessi Prest",'Statements (Raw)'!D165)),"Sec. Lending",IF('Statements (Raw)'!G165="","Other",IF('Statements (Raw)'!G165&gt;0,"Buy","Sell"))))))))))))))))))))))</f>
        <v>Buy</v>
      </c>
      <c r="E167" s="6" t="str">
        <f t="shared" si="4"/>
        <v>ETF/ETC</v>
      </c>
      <c r="F167" s="8">
        <f>IF(A167="","",IF('Statements (Raw)'!E165="","",'Statements (Raw)'!E165))</f>
        <v>23.45</v>
      </c>
      <c r="G167" s="6" t="str">
        <f>IF(A167="","",IF('Statements (Raw)'!F165="","",'Statements (Raw)'!F165))</f>
        <v>EUR</v>
      </c>
      <c r="H167" s="9">
        <f>IF(A167="","",IF('Statements (Raw)'!G165="","",'Statements (Raw)'!G165))</f>
        <v>78</v>
      </c>
      <c r="I167" s="10">
        <f>IF(A167="","",IF('Statements (Raw)'!H165="","",'Statements (Raw)'!H165))</f>
        <v>-1829.1</v>
      </c>
      <c r="J167" s="10">
        <f>IF(A167="",0,IF('Statements (Raw)'!I165="",0,'Statements (Raw)'!I165))</f>
        <v>0</v>
      </c>
      <c r="K167" s="10">
        <f t="shared" si="5"/>
        <v>-1829.1</v>
      </c>
    </row>
    <row r="168" spans="1:11" x14ac:dyDescent="0.3">
      <c r="A168" s="171">
        <f>IF(OR('Statements (Raw)'!A166="",'Statements (Raw)'!A166&gt;Holdings!$G$3),"",'Statements (Raw)'!A166)</f>
        <v>45917</v>
      </c>
      <c r="B168" s="7">
        <f>IF(A168="","",IF('Statements (Raw)'!B166="","",'Statements (Raw)'!B166))</f>
        <v>45919</v>
      </c>
      <c r="C168" s="6" t="str">
        <f>IF(A168="","",IF('Statements (Raw)'!C166&lt;&gt;"",'Statements (Raw)'!C166,IF(ISNUMBER(SEARCH("Conferimento",'Statements (Raw)'!D166)),"CASH DEPOSIT",IF(ISNUMBER(SEARCH("Prelievo",'Statements (Raw)'!D166)),"CASH WITHDRAWAL",IF(ISNUMBER(SEARCH("Bollo",'Statements (Raw)'!D166)),"STAMP DUTY",IF(ISNUMBER(SEARCH("Tobin Tax",'Statements (Raw)'!D166)),"TOBIN TAX",IF(ISNUMBER(SEARCH("Rit.provento",'Statements (Raw)'!D166)),"WITHHOLDING TAX",IF(ISNUMBER(SEARCH("Incasso Dividendi",'Statements (Raw)'!D166)),"DIVIDEND",IF(ISNUMBER(SEARCH("Cedola",'Statements (Raw)'!D166)),"COUPON",IF(ISNUMBER(SEARCH("Ratei Pass",'Statements (Raw)'!D166)),"ACCRUED INT",IF(ISNUMBER(SEARCH("Interessi Prest",'Statements (Raw)'!D166)),"SEC LENDING",IF(ISNUMBER(SEARCH("Rimborso",'Statements (Raw)'!D166)),"REDEMPTION",IF(ISNUMBER(SEARCH("Provento",'Statements (Raw)'!D166)),"DISTRIBUTION","OTHER")))))))))))))</f>
        <v>WISDOMTREE NEW ECON REAL EST U</v>
      </c>
      <c r="D168" s="6" t="str">
        <f>IF(A168="","",IF(C168="Saldo Iniziale","Balance",IF(C168="CASH DEPOSIT","Deposit",IF(C168="CASH WITHDRAWAL","Withdrawal",IF(C168="STAMP DUTY","Tax",IF(C168="TOBIN TAX","Tax",IF(C168="WITHHOLDING TAX","Tax",IF(C168="DIVIDEND","Dividend",IF(C168="COUPON","Coupon",IF(C168="ACCRUED INT","Accrued Int.",IF(C168="SEC LENDING","Sec. Lending",IF(C168="REDEMPTION","Redemption",IF(C168="DISTRIBUTION","Distribution",IF(ISNUMBER(SEARCH("Rimborso",'Statements (Raw)'!D166)),"Redemption",IF(ISNUMBER(SEARCH("Cedola",'Statements (Raw)'!D166)),"Coupon",IF(ISNUMBER(SEARCH("Incasso Dividendi",'Statements (Raw)'!D166)),"Dividend",IF(ISNUMBER(SEARCH("Provento Etf",'Statements (Raw)'!D166)),"Distribution",IF(ISNUMBER(SEARCH("Rit.provento",'Statements (Raw)'!D166)),"Tax",IF(ISNUMBER(SEARCH("Ratei Pass",'Statements (Raw)'!D166)),"Accrued Int.",IF(ISNUMBER(SEARCH("Interessi Prest",'Statements (Raw)'!D166)),"Sec. Lending",IF('Statements (Raw)'!G166="","Other",IF('Statements (Raw)'!G166&gt;0,"Buy","Sell"))))))))))))))))))))))</f>
        <v>Buy</v>
      </c>
      <c r="E168" s="6" t="str">
        <f t="shared" si="4"/>
        <v>ETF/ETC</v>
      </c>
      <c r="F168" s="8">
        <f>IF(A168="","",IF('Statements (Raw)'!E166="","",'Statements (Raw)'!E166))</f>
        <v>23.45</v>
      </c>
      <c r="G168" s="6" t="str">
        <f>IF(A168="","",IF('Statements (Raw)'!F166="","",'Statements (Raw)'!F166))</f>
        <v>EUR</v>
      </c>
      <c r="H168" s="9">
        <f>IF(A168="","",IF('Statements (Raw)'!G166="","",'Statements (Raw)'!G166))</f>
        <v>922</v>
      </c>
      <c r="I168" s="10">
        <f>IF(A168="","",IF('Statements (Raw)'!H166="","",'Statements (Raw)'!H166))</f>
        <v>-21620.9</v>
      </c>
      <c r="J168" s="10">
        <f>IF(A168="",0,IF('Statements (Raw)'!I166="",0,'Statements (Raw)'!I166))</f>
        <v>0</v>
      </c>
      <c r="K168" s="10">
        <f t="shared" si="5"/>
        <v>-21620.9</v>
      </c>
    </row>
    <row r="169" spans="1:11" x14ac:dyDescent="0.3">
      <c r="A169" s="171">
        <f>IF(OR('Statements (Raw)'!A167="",'Statements (Raw)'!A167&gt;Holdings!$G$3),"",'Statements (Raw)'!A167)</f>
        <v>45917</v>
      </c>
      <c r="B169" s="7">
        <f>IF(A169="","",IF('Statements (Raw)'!B167="","",'Statements (Raw)'!B167))</f>
        <v>45919</v>
      </c>
      <c r="C169" s="6" t="str">
        <f>IF(A169="","",IF('Statements (Raw)'!C167&lt;&gt;"",'Statements (Raw)'!C167,IF(ISNUMBER(SEARCH("Conferimento",'Statements (Raw)'!D167)),"CASH DEPOSIT",IF(ISNUMBER(SEARCH("Prelievo",'Statements (Raw)'!D167)),"CASH WITHDRAWAL",IF(ISNUMBER(SEARCH("Bollo",'Statements (Raw)'!D167)),"STAMP DUTY",IF(ISNUMBER(SEARCH("Tobin Tax",'Statements (Raw)'!D167)),"TOBIN TAX",IF(ISNUMBER(SEARCH("Rit.provento",'Statements (Raw)'!D167)),"WITHHOLDING TAX",IF(ISNUMBER(SEARCH("Incasso Dividendi",'Statements (Raw)'!D167)),"DIVIDEND",IF(ISNUMBER(SEARCH("Cedola",'Statements (Raw)'!D167)),"COUPON",IF(ISNUMBER(SEARCH("Ratei Pass",'Statements (Raw)'!D167)),"ACCRUED INT",IF(ISNUMBER(SEARCH("Interessi Prest",'Statements (Raw)'!D167)),"SEC LENDING",IF(ISNUMBER(SEARCH("Rimborso",'Statements (Raw)'!D167)),"REDEMPTION",IF(ISNUMBER(SEARCH("Provento",'Statements (Raw)'!D167)),"DISTRIBUTION","OTHER")))))))))))))</f>
        <v>TOBIN TAX</v>
      </c>
      <c r="D169" s="6" t="str">
        <f>IF(A169="","",IF(C169="Saldo Iniziale","Balance",IF(C169="CASH DEPOSIT","Deposit",IF(C169="CASH WITHDRAWAL","Withdrawal",IF(C169="STAMP DUTY","Tax",IF(C169="TOBIN TAX","Tax",IF(C169="WITHHOLDING TAX","Tax",IF(C169="DIVIDEND","Dividend",IF(C169="COUPON","Coupon",IF(C169="ACCRUED INT","Accrued Int.",IF(C169="SEC LENDING","Sec. Lending",IF(C169="REDEMPTION","Redemption",IF(C169="DISTRIBUTION","Distribution",IF(ISNUMBER(SEARCH("Rimborso",'Statements (Raw)'!D167)),"Redemption",IF(ISNUMBER(SEARCH("Cedola",'Statements (Raw)'!D167)),"Coupon",IF(ISNUMBER(SEARCH("Incasso Dividendi",'Statements (Raw)'!D167)),"Dividend",IF(ISNUMBER(SEARCH("Provento Etf",'Statements (Raw)'!D167)),"Distribution",IF(ISNUMBER(SEARCH("Rit.provento",'Statements (Raw)'!D167)),"Tax",IF(ISNUMBER(SEARCH("Ratei Pass",'Statements (Raw)'!D167)),"Accrued Int.",IF(ISNUMBER(SEARCH("Interessi Prest",'Statements (Raw)'!D167)),"Sec. Lending",IF('Statements (Raw)'!G167="","Other",IF('Statements (Raw)'!G167&gt;0,"Buy","Sell"))))))))))))))))))))))</f>
        <v>Tax</v>
      </c>
      <c r="E169" s="6" t="str">
        <f t="shared" si="4"/>
        <v>Tax/Fee</v>
      </c>
      <c r="F169" s="8" t="str">
        <f>IF(A169="","",IF('Statements (Raw)'!E167="","",'Statements (Raw)'!E167))</f>
        <v/>
      </c>
      <c r="G169" s="6" t="str">
        <f>IF(A169="","",IF('Statements (Raw)'!F167="","",'Statements (Raw)'!F167))</f>
        <v/>
      </c>
      <c r="H169" s="9" t="str">
        <f>IF(A169="","",IF('Statements (Raw)'!G167="","",'Statements (Raw)'!G167))</f>
        <v/>
      </c>
      <c r="I169" s="10">
        <f>IF(A169="","",IF('Statements (Raw)'!H167="","",'Statements (Raw)'!H167))</f>
        <v>-8.36</v>
      </c>
      <c r="J169" s="10">
        <f>IF(A169="",0,IF('Statements (Raw)'!I167="",0,'Statements (Raw)'!I167))</f>
        <v>0</v>
      </c>
      <c r="K169" s="10">
        <f t="shared" si="5"/>
        <v>-8.36</v>
      </c>
    </row>
    <row r="170" spans="1:11" x14ac:dyDescent="0.3">
      <c r="A170" s="171">
        <f>IF(OR('Statements (Raw)'!A168="",'Statements (Raw)'!A168&gt;Holdings!$G$3),"",'Statements (Raw)'!A168)</f>
        <v>45919</v>
      </c>
      <c r="B170" s="7">
        <f>IF(A170="","",IF('Statements (Raw)'!B168="","",'Statements (Raw)'!B168))</f>
        <v>45924</v>
      </c>
      <c r="C170" s="6" t="str">
        <f>IF(A170="","",IF('Statements (Raw)'!C168&lt;&gt;"",'Statements (Raw)'!C168,IF(ISNUMBER(SEARCH("Conferimento",'Statements (Raw)'!D168)),"CASH DEPOSIT",IF(ISNUMBER(SEARCH("Prelievo",'Statements (Raw)'!D168)),"CASH WITHDRAWAL",IF(ISNUMBER(SEARCH("Bollo",'Statements (Raw)'!D168)),"STAMP DUTY",IF(ISNUMBER(SEARCH("Tobin Tax",'Statements (Raw)'!D168)),"TOBIN TAX",IF(ISNUMBER(SEARCH("Rit.provento",'Statements (Raw)'!D168)),"WITHHOLDING TAX",IF(ISNUMBER(SEARCH("Incasso Dividendi",'Statements (Raw)'!D168)),"DIVIDEND",IF(ISNUMBER(SEARCH("Cedola",'Statements (Raw)'!D168)),"COUPON",IF(ISNUMBER(SEARCH("Ratei Pass",'Statements (Raw)'!D168)),"ACCRUED INT",IF(ISNUMBER(SEARCH("Interessi Prest",'Statements (Raw)'!D168)),"SEC LENDING",IF(ISNUMBER(SEARCH("Rimborso",'Statements (Raw)'!D168)),"REDEMPTION",IF(ISNUMBER(SEARCH("Provento",'Statements (Raw)'!D168)),"DISTRIBUTION","OTHER")))))))))))))</f>
        <v>PIAGGIO</v>
      </c>
      <c r="D170" s="6" t="str">
        <f>IF(A170="","",IF(C170="Saldo Iniziale","Balance",IF(C170="CASH DEPOSIT","Deposit",IF(C170="CASH WITHDRAWAL","Withdrawal",IF(C170="STAMP DUTY","Tax",IF(C170="TOBIN TAX","Tax",IF(C170="WITHHOLDING TAX","Tax",IF(C170="DIVIDEND","Dividend",IF(C170="COUPON","Coupon",IF(C170="ACCRUED INT","Accrued Int.",IF(C170="SEC LENDING","Sec. Lending",IF(C170="REDEMPTION","Redemption",IF(C170="DISTRIBUTION","Distribution",IF(ISNUMBER(SEARCH("Rimborso",'Statements (Raw)'!D168)),"Redemption",IF(ISNUMBER(SEARCH("Cedola",'Statements (Raw)'!D168)),"Coupon",IF(ISNUMBER(SEARCH("Incasso Dividendi",'Statements (Raw)'!D168)),"Dividend",IF(ISNUMBER(SEARCH("Provento Etf",'Statements (Raw)'!D168)),"Distribution",IF(ISNUMBER(SEARCH("Rit.provento",'Statements (Raw)'!D168)),"Tax",IF(ISNUMBER(SEARCH("Ratei Pass",'Statements (Raw)'!D168)),"Accrued Int.",IF(ISNUMBER(SEARCH("Interessi Prest",'Statements (Raw)'!D168)),"Sec. Lending",IF('Statements (Raw)'!G168="","Other",IF('Statements (Raw)'!G168&gt;0,"Buy","Sell"))))))))))))))))))))))</f>
        <v>Dividend</v>
      </c>
      <c r="E170" s="6" t="str">
        <f t="shared" si="4"/>
        <v>Income</v>
      </c>
      <c r="F170" s="8" t="str">
        <f>IF(A170="","",IF('Statements (Raw)'!E168="","",'Statements (Raw)'!E168))</f>
        <v/>
      </c>
      <c r="G170" s="6" t="str">
        <f>IF(A170="","",IF('Statements (Raw)'!F168="","",'Statements (Raw)'!F168))</f>
        <v/>
      </c>
      <c r="H170" s="9" t="str">
        <f>IF(A170="","",IF('Statements (Raw)'!G168="","",'Statements (Raw)'!G168))</f>
        <v/>
      </c>
      <c r="I170" s="10">
        <f>IF(A170="","",IF('Statements (Raw)'!H168="","",'Statements (Raw)'!H168))</f>
        <v>200</v>
      </c>
      <c r="J170" s="10">
        <f>IF(A170="",0,IF('Statements (Raw)'!I168="",0,'Statements (Raw)'!I168))</f>
        <v>0</v>
      </c>
      <c r="K170" s="10">
        <f t="shared" si="5"/>
        <v>200</v>
      </c>
    </row>
    <row r="171" spans="1:11" x14ac:dyDescent="0.3">
      <c r="A171" s="171">
        <f>IF(OR('Statements (Raw)'!A169="",'Statements (Raw)'!A169&gt;Holdings!$G$3),"",'Statements (Raw)'!A169)</f>
        <v>45923</v>
      </c>
      <c r="B171" s="7">
        <f>IF(A171="","",IF('Statements (Raw)'!B169="","",'Statements (Raw)'!B169))</f>
        <v>45925</v>
      </c>
      <c r="C171" s="6" t="str">
        <f>IF(A171="","",IF('Statements (Raw)'!C169&lt;&gt;"",'Statements (Raw)'!C169,IF(ISNUMBER(SEARCH("Conferimento",'Statements (Raw)'!D169)),"CASH DEPOSIT",IF(ISNUMBER(SEARCH("Prelievo",'Statements (Raw)'!D169)),"CASH WITHDRAWAL",IF(ISNUMBER(SEARCH("Bollo",'Statements (Raw)'!D169)),"STAMP DUTY",IF(ISNUMBER(SEARCH("Tobin Tax",'Statements (Raw)'!D169)),"TOBIN TAX",IF(ISNUMBER(SEARCH("Rit.provento",'Statements (Raw)'!D169)),"WITHHOLDING TAX",IF(ISNUMBER(SEARCH("Incasso Dividendi",'Statements (Raw)'!D169)),"DIVIDEND",IF(ISNUMBER(SEARCH("Cedola",'Statements (Raw)'!D169)),"COUPON",IF(ISNUMBER(SEARCH("Ratei Pass",'Statements (Raw)'!D169)),"ACCRUED INT",IF(ISNUMBER(SEARCH("Interessi Prest",'Statements (Raw)'!D169)),"SEC LENDING",IF(ISNUMBER(SEARCH("Rimborso",'Statements (Raw)'!D169)),"REDEMPTION",IF(ISNUMBER(SEARCH("Provento",'Statements (Raw)'!D169)),"DISTRIBUTION","OTHER")))))))))))))</f>
        <v>WisdomTree Europe Defence UCIT</v>
      </c>
      <c r="D171" s="6" t="str">
        <f>IF(A171="","",IF(C171="Saldo Iniziale","Balance",IF(C171="CASH DEPOSIT","Deposit",IF(C171="CASH WITHDRAWAL","Withdrawal",IF(C171="STAMP DUTY","Tax",IF(C171="TOBIN TAX","Tax",IF(C171="WITHHOLDING TAX","Tax",IF(C171="DIVIDEND","Dividend",IF(C171="COUPON","Coupon",IF(C171="ACCRUED INT","Accrued Int.",IF(C171="SEC LENDING","Sec. Lending",IF(C171="REDEMPTION","Redemption",IF(C171="DISTRIBUTION","Distribution",IF(ISNUMBER(SEARCH("Rimborso",'Statements (Raw)'!D169)),"Redemption",IF(ISNUMBER(SEARCH("Cedola",'Statements (Raw)'!D169)),"Coupon",IF(ISNUMBER(SEARCH("Incasso Dividendi",'Statements (Raw)'!D169)),"Dividend",IF(ISNUMBER(SEARCH("Provento Etf",'Statements (Raw)'!D169)),"Distribution",IF(ISNUMBER(SEARCH("Rit.provento",'Statements (Raw)'!D169)),"Tax",IF(ISNUMBER(SEARCH("Ratei Pass",'Statements (Raw)'!D169)),"Accrued Int.",IF(ISNUMBER(SEARCH("Interessi Prest",'Statements (Raw)'!D169)),"Sec. Lending",IF('Statements (Raw)'!G169="","Other",IF('Statements (Raw)'!G169&gt;0,"Buy","Sell"))))))))))))))))))))))</f>
        <v>Buy</v>
      </c>
      <c r="E171" s="6" t="str">
        <f t="shared" si="4"/>
        <v>ETF/ETC</v>
      </c>
      <c r="F171" s="8">
        <f>IF(A171="","",IF('Statements (Raw)'!E169="","",'Statements (Raw)'!E169))</f>
        <v>32.104999999999997</v>
      </c>
      <c r="G171" s="6" t="str">
        <f>IF(A171="","",IF('Statements (Raw)'!F169="","",'Statements (Raw)'!F169))</f>
        <v>EUR</v>
      </c>
      <c r="H171" s="9">
        <f>IF(A171="","",IF('Statements (Raw)'!G169="","",'Statements (Raw)'!G169))</f>
        <v>30</v>
      </c>
      <c r="I171" s="10">
        <f>IF(A171="","",IF('Statements (Raw)'!H169="","",'Statements (Raw)'!H169))</f>
        <v>-963.15</v>
      </c>
      <c r="J171" s="10">
        <f>IF(A171="",0,IF('Statements (Raw)'!I169="",0,'Statements (Raw)'!I169))</f>
        <v>0</v>
      </c>
      <c r="K171" s="10">
        <f t="shared" si="5"/>
        <v>-963.15</v>
      </c>
    </row>
    <row r="172" spans="1:11" x14ac:dyDescent="0.3">
      <c r="A172" s="171">
        <f>IF(OR('Statements (Raw)'!A170="",'Statements (Raw)'!A170&gt;Holdings!$G$3),"",'Statements (Raw)'!A170)</f>
        <v>45923</v>
      </c>
      <c r="B172" s="7">
        <f>IF(A172="","",IF('Statements (Raw)'!B170="","",'Statements (Raw)'!B170))</f>
        <v>45925</v>
      </c>
      <c r="C172" s="6" t="str">
        <f>IF(A172="","",IF('Statements (Raw)'!C170&lt;&gt;"",'Statements (Raw)'!C170,IF(ISNUMBER(SEARCH("Conferimento",'Statements (Raw)'!D170)),"CASH DEPOSIT",IF(ISNUMBER(SEARCH("Prelievo",'Statements (Raw)'!D170)),"CASH WITHDRAWAL",IF(ISNUMBER(SEARCH("Bollo",'Statements (Raw)'!D170)),"STAMP DUTY",IF(ISNUMBER(SEARCH("Tobin Tax",'Statements (Raw)'!D170)),"TOBIN TAX",IF(ISNUMBER(SEARCH("Rit.provento",'Statements (Raw)'!D170)),"WITHHOLDING TAX",IF(ISNUMBER(SEARCH("Incasso Dividendi",'Statements (Raw)'!D170)),"DIVIDEND",IF(ISNUMBER(SEARCH("Cedola",'Statements (Raw)'!D170)),"COUPON",IF(ISNUMBER(SEARCH("Ratei Pass",'Statements (Raw)'!D170)),"ACCRUED INT",IF(ISNUMBER(SEARCH("Interessi Prest",'Statements (Raw)'!D170)),"SEC LENDING",IF(ISNUMBER(SEARCH("Rimborso",'Statements (Raw)'!D170)),"REDEMPTION",IF(ISNUMBER(SEARCH("Provento",'Statements (Raw)'!D170)),"DISTRIBUTION","OTHER")))))))))))))</f>
        <v>ISHARES FTSE MIB UCITS ETF EUR</v>
      </c>
      <c r="D172" s="6" t="str">
        <f>IF(A172="","",IF(C172="Saldo Iniziale","Balance",IF(C172="CASH DEPOSIT","Deposit",IF(C172="CASH WITHDRAWAL","Withdrawal",IF(C172="STAMP DUTY","Tax",IF(C172="TOBIN TAX","Tax",IF(C172="WITHHOLDING TAX","Tax",IF(C172="DIVIDEND","Dividend",IF(C172="COUPON","Coupon",IF(C172="ACCRUED INT","Accrued Int.",IF(C172="SEC LENDING","Sec. Lending",IF(C172="REDEMPTION","Redemption",IF(C172="DISTRIBUTION","Distribution",IF(ISNUMBER(SEARCH("Rimborso",'Statements (Raw)'!D170)),"Redemption",IF(ISNUMBER(SEARCH("Cedola",'Statements (Raw)'!D170)),"Coupon",IF(ISNUMBER(SEARCH("Incasso Dividendi",'Statements (Raw)'!D170)),"Dividend",IF(ISNUMBER(SEARCH("Provento Etf",'Statements (Raw)'!D170)),"Distribution",IF(ISNUMBER(SEARCH("Rit.provento",'Statements (Raw)'!D170)),"Tax",IF(ISNUMBER(SEARCH("Ratei Pass",'Statements (Raw)'!D170)),"Accrued Int.",IF(ISNUMBER(SEARCH("Interessi Prest",'Statements (Raw)'!D170)),"Sec. Lending",IF('Statements (Raw)'!G170="","Other",IF('Statements (Raw)'!G170&gt;0,"Buy","Sell"))))))))))))))))))))))</f>
        <v>Buy</v>
      </c>
      <c r="E172" s="6" t="str">
        <f t="shared" si="4"/>
        <v>ETF/ETC</v>
      </c>
      <c r="F172" s="8">
        <f>IF(A172="","",IF('Statements (Raw)'!E170="","",'Statements (Raw)'!E170))</f>
        <v>203.3</v>
      </c>
      <c r="G172" s="6" t="str">
        <f>IF(A172="","",IF('Statements (Raw)'!F170="","",'Statements (Raw)'!F170))</f>
        <v>EUR</v>
      </c>
      <c r="H172" s="9">
        <f>IF(A172="","",IF('Statements (Raw)'!G170="","",'Statements (Raw)'!G170))</f>
        <v>12</v>
      </c>
      <c r="I172" s="10">
        <f>IF(A172="","",IF('Statements (Raw)'!H170="","",'Statements (Raw)'!H170))</f>
        <v>-2439.6</v>
      </c>
      <c r="J172" s="10">
        <f>IF(A172="",0,IF('Statements (Raw)'!I170="",0,'Statements (Raw)'!I170))</f>
        <v>0</v>
      </c>
      <c r="K172" s="10">
        <f t="shared" si="5"/>
        <v>-2439.6</v>
      </c>
    </row>
    <row r="173" spans="1:11" x14ac:dyDescent="0.3">
      <c r="A173" s="171">
        <f>IF(OR('Statements (Raw)'!A171="",'Statements (Raw)'!A171&gt;Holdings!$G$3),"",'Statements (Raw)'!A171)</f>
        <v>45923</v>
      </c>
      <c r="B173" s="7">
        <f>IF(A173="","",IF('Statements (Raw)'!B171="","",'Statements (Raw)'!B171))</f>
        <v>45925</v>
      </c>
      <c r="C173" s="6" t="str">
        <f>IF(A173="","",IF('Statements (Raw)'!C171&lt;&gt;"",'Statements (Raw)'!C171,IF(ISNUMBER(SEARCH("Conferimento",'Statements (Raw)'!D171)),"CASH DEPOSIT",IF(ISNUMBER(SEARCH("Prelievo",'Statements (Raw)'!D171)),"CASH WITHDRAWAL",IF(ISNUMBER(SEARCH("Bollo",'Statements (Raw)'!D171)),"STAMP DUTY",IF(ISNUMBER(SEARCH("Tobin Tax",'Statements (Raw)'!D171)),"TOBIN TAX",IF(ISNUMBER(SEARCH("Rit.provento",'Statements (Raw)'!D171)),"WITHHOLDING TAX",IF(ISNUMBER(SEARCH("Incasso Dividendi",'Statements (Raw)'!D171)),"DIVIDEND",IF(ISNUMBER(SEARCH("Cedola",'Statements (Raw)'!D171)),"COUPON",IF(ISNUMBER(SEARCH("Ratei Pass",'Statements (Raw)'!D171)),"ACCRUED INT",IF(ISNUMBER(SEARCH("Interessi Prest",'Statements (Raw)'!D171)),"SEC LENDING",IF(ISNUMBER(SEARCH("Rimborso",'Statements (Raw)'!D171)),"REDEMPTION",IF(ISNUMBER(SEARCH("Provento",'Statements (Raw)'!D171)),"DISTRIBUTION","OTHER")))))))))))))</f>
        <v>WISDOMTREE CORE PHYSICAL GOLD</v>
      </c>
      <c r="D173" s="6" t="str">
        <f>IF(A173="","",IF(C173="Saldo Iniziale","Balance",IF(C173="CASH DEPOSIT","Deposit",IF(C173="CASH WITHDRAWAL","Withdrawal",IF(C173="STAMP DUTY","Tax",IF(C173="TOBIN TAX","Tax",IF(C173="WITHHOLDING TAX","Tax",IF(C173="DIVIDEND","Dividend",IF(C173="COUPON","Coupon",IF(C173="ACCRUED INT","Accrued Int.",IF(C173="SEC LENDING","Sec. Lending",IF(C173="REDEMPTION","Redemption",IF(C173="DISTRIBUTION","Distribution",IF(ISNUMBER(SEARCH("Rimborso",'Statements (Raw)'!D171)),"Redemption",IF(ISNUMBER(SEARCH("Cedola",'Statements (Raw)'!D171)),"Coupon",IF(ISNUMBER(SEARCH("Incasso Dividendi",'Statements (Raw)'!D171)),"Dividend",IF(ISNUMBER(SEARCH("Provento Etf",'Statements (Raw)'!D171)),"Distribution",IF(ISNUMBER(SEARCH("Rit.provento",'Statements (Raw)'!D171)),"Tax",IF(ISNUMBER(SEARCH("Ratei Pass",'Statements (Raw)'!D171)),"Accrued Int.",IF(ISNUMBER(SEARCH("Interessi Prest",'Statements (Raw)'!D171)),"Sec. Lending",IF('Statements (Raw)'!G171="","Other",IF('Statements (Raw)'!G171&gt;0,"Buy","Sell"))))))))))))))))))))))</f>
        <v>Buy</v>
      </c>
      <c r="E173" s="6" t="str">
        <f t="shared" si="4"/>
        <v>ETF/ETC</v>
      </c>
      <c r="F173" s="8">
        <f>IF(A173="","",IF('Statements (Raw)'!E171="","",'Statements (Raw)'!E171))</f>
        <v>318.86</v>
      </c>
      <c r="G173" s="6" t="str">
        <f>IF(A173="","",IF('Statements (Raw)'!F171="","",'Statements (Raw)'!F171))</f>
        <v>EUR</v>
      </c>
      <c r="H173" s="9">
        <f>IF(A173="","",IF('Statements (Raw)'!G171="","",'Statements (Raw)'!G171))</f>
        <v>1</v>
      </c>
      <c r="I173" s="10">
        <f>IF(A173="","",IF('Statements (Raw)'!H171="","",'Statements (Raw)'!H171))</f>
        <v>-318.86</v>
      </c>
      <c r="J173" s="10">
        <f>IF(A173="",0,IF('Statements (Raw)'!I171="",0,'Statements (Raw)'!I171))</f>
        <v>0</v>
      </c>
      <c r="K173" s="10">
        <f t="shared" si="5"/>
        <v>-318.86</v>
      </c>
    </row>
    <row r="174" spans="1:11" x14ac:dyDescent="0.3">
      <c r="A174" s="171">
        <f>IF(OR('Statements (Raw)'!A172="",'Statements (Raw)'!A172&gt;Holdings!$G$3),"",'Statements (Raw)'!A172)</f>
        <v>45923</v>
      </c>
      <c r="B174" s="7">
        <f>IF(A174="","",IF('Statements (Raw)'!B172="","",'Statements (Raw)'!B172))</f>
        <v>45925</v>
      </c>
      <c r="C174" s="6" t="str">
        <f>IF(A174="","",IF('Statements (Raw)'!C172&lt;&gt;"",'Statements (Raw)'!C172,IF(ISNUMBER(SEARCH("Conferimento",'Statements (Raw)'!D172)),"CASH DEPOSIT",IF(ISNUMBER(SEARCH("Prelievo",'Statements (Raw)'!D172)),"CASH WITHDRAWAL",IF(ISNUMBER(SEARCH("Bollo",'Statements (Raw)'!D172)),"STAMP DUTY",IF(ISNUMBER(SEARCH("Tobin Tax",'Statements (Raw)'!D172)),"TOBIN TAX",IF(ISNUMBER(SEARCH("Rit.provento",'Statements (Raw)'!D172)),"WITHHOLDING TAX",IF(ISNUMBER(SEARCH("Incasso Dividendi",'Statements (Raw)'!D172)),"DIVIDEND",IF(ISNUMBER(SEARCH("Cedola",'Statements (Raw)'!D172)),"COUPON",IF(ISNUMBER(SEARCH("Ratei Pass",'Statements (Raw)'!D172)),"ACCRUED INT",IF(ISNUMBER(SEARCH("Interessi Prest",'Statements (Raw)'!D172)),"SEC LENDING",IF(ISNUMBER(SEARCH("Rimborso",'Statements (Raw)'!D172)),"REDEMPTION",IF(ISNUMBER(SEARCH("Provento",'Statements (Raw)'!D172)),"DISTRIBUTION","OTHER")))))))))))))</f>
        <v>WISDOMTREE PHYSICAL SILVER</v>
      </c>
      <c r="D174" s="6" t="str">
        <f>IF(A174="","",IF(C174="Saldo Iniziale","Balance",IF(C174="CASH DEPOSIT","Deposit",IF(C174="CASH WITHDRAWAL","Withdrawal",IF(C174="STAMP DUTY","Tax",IF(C174="TOBIN TAX","Tax",IF(C174="WITHHOLDING TAX","Tax",IF(C174="DIVIDEND","Dividend",IF(C174="COUPON","Coupon",IF(C174="ACCRUED INT","Accrued Int.",IF(C174="SEC LENDING","Sec. Lending",IF(C174="REDEMPTION","Redemption",IF(C174="DISTRIBUTION","Distribution",IF(ISNUMBER(SEARCH("Rimborso",'Statements (Raw)'!D172)),"Redemption",IF(ISNUMBER(SEARCH("Cedola",'Statements (Raw)'!D172)),"Coupon",IF(ISNUMBER(SEARCH("Incasso Dividendi",'Statements (Raw)'!D172)),"Dividend",IF(ISNUMBER(SEARCH("Provento Etf",'Statements (Raw)'!D172)),"Distribution",IF(ISNUMBER(SEARCH("Rit.provento",'Statements (Raw)'!D172)),"Tax",IF(ISNUMBER(SEARCH("Ratei Pass",'Statements (Raw)'!D172)),"Accrued Int.",IF(ISNUMBER(SEARCH("Interessi Prest",'Statements (Raw)'!D172)),"Sec. Lending",IF('Statements (Raw)'!G172="","Other",IF('Statements (Raw)'!G172&gt;0,"Buy","Sell"))))))))))))))))))))))</f>
        <v>Buy</v>
      </c>
      <c r="E174" s="6" t="str">
        <f t="shared" si="4"/>
        <v>ETF/ETC</v>
      </c>
      <c r="F174" s="8">
        <f>IF(A174="","",IF('Statements (Raw)'!E172="","",'Statements (Raw)'!E172))</f>
        <v>34.314999999999998</v>
      </c>
      <c r="G174" s="6" t="str">
        <f>IF(A174="","",IF('Statements (Raw)'!F172="","",'Statements (Raw)'!F172))</f>
        <v>EUR</v>
      </c>
      <c r="H174" s="9">
        <f>IF(A174="","",IF('Statements (Raw)'!G172="","",'Statements (Raw)'!G172))</f>
        <v>14</v>
      </c>
      <c r="I174" s="10">
        <f>IF(A174="","",IF('Statements (Raw)'!H172="","",'Statements (Raw)'!H172))</f>
        <v>-480.41</v>
      </c>
      <c r="J174" s="10">
        <f>IF(A174="",0,IF('Statements (Raw)'!I172="",0,'Statements (Raw)'!I172))</f>
        <v>0</v>
      </c>
      <c r="K174" s="10">
        <f t="shared" si="5"/>
        <v>-480.41</v>
      </c>
    </row>
    <row r="175" spans="1:11" x14ac:dyDescent="0.3">
      <c r="A175" s="171">
        <f>IF(OR('Statements (Raw)'!A173="",'Statements (Raw)'!A173&gt;Holdings!$G$3),"",'Statements (Raw)'!A173)</f>
        <v>45924</v>
      </c>
      <c r="B175" s="7">
        <f>IF(A175="","",IF('Statements (Raw)'!B173="","",'Statements (Raw)'!B173))</f>
        <v>45926</v>
      </c>
      <c r="C175" s="6" t="str">
        <f>IF(A175="","",IF('Statements (Raw)'!C173&lt;&gt;"",'Statements (Raw)'!C173,IF(ISNUMBER(SEARCH("Conferimento",'Statements (Raw)'!D173)),"CASH DEPOSIT",IF(ISNUMBER(SEARCH("Prelievo",'Statements (Raw)'!D173)),"CASH WITHDRAWAL",IF(ISNUMBER(SEARCH("Bollo",'Statements (Raw)'!D173)),"STAMP DUTY",IF(ISNUMBER(SEARCH("Tobin Tax",'Statements (Raw)'!D173)),"TOBIN TAX",IF(ISNUMBER(SEARCH("Rit.provento",'Statements (Raw)'!D173)),"WITHHOLDING TAX",IF(ISNUMBER(SEARCH("Incasso Dividendi",'Statements (Raw)'!D173)),"DIVIDEND",IF(ISNUMBER(SEARCH("Cedola",'Statements (Raw)'!D173)),"COUPON",IF(ISNUMBER(SEARCH("Ratei Pass",'Statements (Raw)'!D173)),"ACCRUED INT",IF(ISNUMBER(SEARCH("Interessi Prest",'Statements (Raw)'!D173)),"SEC LENDING",IF(ISNUMBER(SEARCH("Rimborso",'Statements (Raw)'!D173)),"REDEMPTION",IF(ISNUMBER(SEARCH("Provento",'Statements (Raw)'!D173)),"DISTRIBUTION","OTHER")))))))))))))</f>
        <v>IGD</v>
      </c>
      <c r="D175" s="6" t="str">
        <f>IF(A175="","",IF(C175="Saldo Iniziale","Balance",IF(C175="CASH DEPOSIT","Deposit",IF(C175="CASH WITHDRAWAL","Withdrawal",IF(C175="STAMP DUTY","Tax",IF(C175="TOBIN TAX","Tax",IF(C175="WITHHOLDING TAX","Tax",IF(C175="DIVIDEND","Dividend",IF(C175="COUPON","Coupon",IF(C175="ACCRUED INT","Accrued Int.",IF(C175="SEC LENDING","Sec. Lending",IF(C175="REDEMPTION","Redemption",IF(C175="DISTRIBUTION","Distribution",IF(ISNUMBER(SEARCH("Rimborso",'Statements (Raw)'!D173)),"Redemption",IF(ISNUMBER(SEARCH("Cedola",'Statements (Raw)'!D173)),"Coupon",IF(ISNUMBER(SEARCH("Incasso Dividendi",'Statements (Raw)'!D173)),"Dividend",IF(ISNUMBER(SEARCH("Provento Etf",'Statements (Raw)'!D173)),"Distribution",IF(ISNUMBER(SEARCH("Rit.provento",'Statements (Raw)'!D173)),"Tax",IF(ISNUMBER(SEARCH("Ratei Pass",'Statements (Raw)'!D173)),"Accrued Int.",IF(ISNUMBER(SEARCH("Interessi Prest",'Statements (Raw)'!D173)),"Sec. Lending",IF('Statements (Raw)'!G173="","Other",IF('Statements (Raw)'!G173&gt;0,"Buy","Sell"))))))))))))))))))))))</f>
        <v>Buy</v>
      </c>
      <c r="E175" s="6" t="str">
        <f t="shared" si="4"/>
        <v>Stock</v>
      </c>
      <c r="F175" s="8">
        <f>IF(A175="","",IF('Statements (Raw)'!E173="","",'Statements (Raw)'!E173))</f>
        <v>3.33</v>
      </c>
      <c r="G175" s="6" t="str">
        <f>IF(A175="","",IF('Statements (Raw)'!F173="","",'Statements (Raw)'!F173))</f>
        <v>EUR</v>
      </c>
      <c r="H175" s="9">
        <f>IF(A175="","",IF('Statements (Raw)'!G173="","",'Statements (Raw)'!G173))</f>
        <v>309</v>
      </c>
      <c r="I175" s="10">
        <f>IF(A175="","",IF('Statements (Raw)'!H173="","",'Statements (Raw)'!H173))</f>
        <v>-1028.97</v>
      </c>
      <c r="J175" s="10">
        <f>IF(A175="",0,IF('Statements (Raw)'!I173="",0,'Statements (Raw)'!I173))</f>
        <v>-5</v>
      </c>
      <c r="K175" s="10">
        <f t="shared" si="5"/>
        <v>-1033.97</v>
      </c>
    </row>
    <row r="176" spans="1:11" x14ac:dyDescent="0.3">
      <c r="A176" s="171">
        <f>IF(OR('Statements (Raw)'!A174="",'Statements (Raw)'!A174&gt;Holdings!$G$3),"",'Statements (Raw)'!A174)</f>
        <v>45924</v>
      </c>
      <c r="B176" s="7">
        <f>IF(A176="","",IF('Statements (Raw)'!B174="","",'Statements (Raw)'!B174))</f>
        <v>45926</v>
      </c>
      <c r="C176" s="6" t="str">
        <f>IF(A176="","",IF('Statements (Raw)'!C174&lt;&gt;"",'Statements (Raw)'!C174,IF(ISNUMBER(SEARCH("Conferimento",'Statements (Raw)'!D174)),"CASH DEPOSIT",IF(ISNUMBER(SEARCH("Prelievo",'Statements (Raw)'!D174)),"CASH WITHDRAWAL",IF(ISNUMBER(SEARCH("Bollo",'Statements (Raw)'!D174)),"STAMP DUTY",IF(ISNUMBER(SEARCH("Tobin Tax",'Statements (Raw)'!D174)),"TOBIN TAX",IF(ISNUMBER(SEARCH("Rit.provento",'Statements (Raw)'!D174)),"WITHHOLDING TAX",IF(ISNUMBER(SEARCH("Incasso Dividendi",'Statements (Raw)'!D174)),"DIVIDEND",IF(ISNUMBER(SEARCH("Cedola",'Statements (Raw)'!D174)),"COUPON",IF(ISNUMBER(SEARCH("Ratei Pass",'Statements (Raw)'!D174)),"ACCRUED INT",IF(ISNUMBER(SEARCH("Interessi Prest",'Statements (Raw)'!D174)),"SEC LENDING",IF(ISNUMBER(SEARCH("Rimborso",'Statements (Raw)'!D174)),"REDEMPTION",IF(ISNUMBER(SEARCH("Provento",'Statements (Raw)'!D174)),"DISTRIBUTION","OTHER")))))))))))))</f>
        <v>IGD</v>
      </c>
      <c r="D176" s="6" t="str">
        <f>IF(A176="","",IF(C176="Saldo Iniziale","Balance",IF(C176="CASH DEPOSIT","Deposit",IF(C176="CASH WITHDRAWAL","Withdrawal",IF(C176="STAMP DUTY","Tax",IF(C176="TOBIN TAX","Tax",IF(C176="WITHHOLDING TAX","Tax",IF(C176="DIVIDEND","Dividend",IF(C176="COUPON","Coupon",IF(C176="ACCRUED INT","Accrued Int.",IF(C176="SEC LENDING","Sec. Lending",IF(C176="REDEMPTION","Redemption",IF(C176="DISTRIBUTION","Distribution",IF(ISNUMBER(SEARCH("Rimborso",'Statements (Raw)'!D174)),"Redemption",IF(ISNUMBER(SEARCH("Cedola",'Statements (Raw)'!D174)),"Coupon",IF(ISNUMBER(SEARCH("Incasso Dividendi",'Statements (Raw)'!D174)),"Dividend",IF(ISNUMBER(SEARCH("Provento Etf",'Statements (Raw)'!D174)),"Distribution",IF(ISNUMBER(SEARCH("Rit.provento",'Statements (Raw)'!D174)),"Tax",IF(ISNUMBER(SEARCH("Ratei Pass",'Statements (Raw)'!D174)),"Accrued Int.",IF(ISNUMBER(SEARCH("Interessi Prest",'Statements (Raw)'!D174)),"Sec. Lending",IF('Statements (Raw)'!G174="","Other",IF('Statements (Raw)'!G174&gt;0,"Buy","Sell"))))))))))))))))))))))</f>
        <v>Buy</v>
      </c>
      <c r="E176" s="6" t="str">
        <f t="shared" si="4"/>
        <v>Stock</v>
      </c>
      <c r="F176" s="8">
        <f>IF(A176="","",IF('Statements (Raw)'!E174="","",'Statements (Raw)'!E174))</f>
        <v>3.33</v>
      </c>
      <c r="G176" s="6" t="str">
        <f>IF(A176="","",IF('Statements (Raw)'!F174="","",'Statements (Raw)'!F174))</f>
        <v>EUR</v>
      </c>
      <c r="H176" s="9">
        <f>IF(A176="","",IF('Statements (Raw)'!G174="","",'Statements (Raw)'!G174))</f>
        <v>200</v>
      </c>
      <c r="I176" s="10">
        <f>IF(A176="","",IF('Statements (Raw)'!H174="","",'Statements (Raw)'!H174))</f>
        <v>-666</v>
      </c>
      <c r="J176" s="10">
        <f>IF(A176="",0,IF('Statements (Raw)'!I174="",0,'Statements (Raw)'!I174))</f>
        <v>0</v>
      </c>
      <c r="K176" s="10">
        <f t="shared" si="5"/>
        <v>-666</v>
      </c>
    </row>
    <row r="177" spans="1:11" x14ac:dyDescent="0.3">
      <c r="A177" s="171">
        <f>IF(OR('Statements (Raw)'!A175="",'Statements (Raw)'!A175&gt;Holdings!$G$3),"",'Statements (Raw)'!A175)</f>
        <v>45924</v>
      </c>
      <c r="B177" s="7">
        <f>IF(A177="","",IF('Statements (Raw)'!B175="","",'Statements (Raw)'!B175))</f>
        <v>45926</v>
      </c>
      <c r="C177" s="6" t="str">
        <f>IF(A177="","",IF('Statements (Raw)'!C175&lt;&gt;"",'Statements (Raw)'!C175,IF(ISNUMBER(SEARCH("Conferimento",'Statements (Raw)'!D175)),"CASH DEPOSIT",IF(ISNUMBER(SEARCH("Prelievo",'Statements (Raw)'!D175)),"CASH WITHDRAWAL",IF(ISNUMBER(SEARCH("Bollo",'Statements (Raw)'!D175)),"STAMP DUTY",IF(ISNUMBER(SEARCH("Tobin Tax",'Statements (Raw)'!D175)),"TOBIN TAX",IF(ISNUMBER(SEARCH("Rit.provento",'Statements (Raw)'!D175)),"WITHHOLDING TAX",IF(ISNUMBER(SEARCH("Incasso Dividendi",'Statements (Raw)'!D175)),"DIVIDEND",IF(ISNUMBER(SEARCH("Cedola",'Statements (Raw)'!D175)),"COUPON",IF(ISNUMBER(SEARCH("Ratei Pass",'Statements (Raw)'!D175)),"ACCRUED INT",IF(ISNUMBER(SEARCH("Interessi Prest",'Statements (Raw)'!D175)),"SEC LENDING",IF(ISNUMBER(SEARCH("Rimborso",'Statements (Raw)'!D175)),"REDEMPTION",IF(ISNUMBER(SEARCH("Provento",'Statements (Raw)'!D175)),"DISTRIBUTION","OTHER")))))))))))))</f>
        <v>IGD</v>
      </c>
      <c r="D177" s="6" t="str">
        <f>IF(A177="","",IF(C177="Saldo Iniziale","Balance",IF(C177="CASH DEPOSIT","Deposit",IF(C177="CASH WITHDRAWAL","Withdrawal",IF(C177="STAMP DUTY","Tax",IF(C177="TOBIN TAX","Tax",IF(C177="WITHHOLDING TAX","Tax",IF(C177="DIVIDEND","Dividend",IF(C177="COUPON","Coupon",IF(C177="ACCRUED INT","Accrued Int.",IF(C177="SEC LENDING","Sec. Lending",IF(C177="REDEMPTION","Redemption",IF(C177="DISTRIBUTION","Distribution",IF(ISNUMBER(SEARCH("Rimborso",'Statements (Raw)'!D175)),"Redemption",IF(ISNUMBER(SEARCH("Cedola",'Statements (Raw)'!D175)),"Coupon",IF(ISNUMBER(SEARCH("Incasso Dividendi",'Statements (Raw)'!D175)),"Dividend",IF(ISNUMBER(SEARCH("Provento Etf",'Statements (Raw)'!D175)),"Distribution",IF(ISNUMBER(SEARCH("Rit.provento",'Statements (Raw)'!D175)),"Tax",IF(ISNUMBER(SEARCH("Ratei Pass",'Statements (Raw)'!D175)),"Accrued Int.",IF(ISNUMBER(SEARCH("Interessi Prest",'Statements (Raw)'!D175)),"Sec. Lending",IF('Statements (Raw)'!G175="","Other",IF('Statements (Raw)'!G175&gt;0,"Buy","Sell"))))))))))))))))))))))</f>
        <v>Buy</v>
      </c>
      <c r="E177" s="6" t="str">
        <f t="shared" si="4"/>
        <v>Stock</v>
      </c>
      <c r="F177" s="8">
        <f>IF(A177="","",IF('Statements (Raw)'!E175="","",'Statements (Raw)'!E175))</f>
        <v>3.335</v>
      </c>
      <c r="G177" s="6" t="str">
        <f>IF(A177="","",IF('Statements (Raw)'!F175="","",'Statements (Raw)'!F175))</f>
        <v>EUR</v>
      </c>
      <c r="H177" s="9">
        <f>IF(A177="","",IF('Statements (Raw)'!G175="","",'Statements (Raw)'!G175))</f>
        <v>1145</v>
      </c>
      <c r="I177" s="10">
        <f>IF(A177="","",IF('Statements (Raw)'!H175="","",'Statements (Raw)'!H175))</f>
        <v>-3818.58</v>
      </c>
      <c r="J177" s="10">
        <f>IF(A177="",0,IF('Statements (Raw)'!I175="",0,'Statements (Raw)'!I175))</f>
        <v>0</v>
      </c>
      <c r="K177" s="10">
        <f t="shared" si="5"/>
        <v>-3818.58</v>
      </c>
    </row>
    <row r="178" spans="1:11" x14ac:dyDescent="0.3">
      <c r="A178" s="171">
        <f>IF(OR('Statements (Raw)'!A176="",'Statements (Raw)'!A176&gt;Holdings!$G$3),"",'Statements (Raw)'!A176)</f>
        <v>45924</v>
      </c>
      <c r="B178" s="7">
        <f>IF(A178="","",IF('Statements (Raw)'!B176="","",'Statements (Raw)'!B176))</f>
        <v>45926</v>
      </c>
      <c r="C178" s="6" t="str">
        <f>IF(A178="","",IF('Statements (Raw)'!C176&lt;&gt;"",'Statements (Raw)'!C176,IF(ISNUMBER(SEARCH("Conferimento",'Statements (Raw)'!D176)),"CASH DEPOSIT",IF(ISNUMBER(SEARCH("Prelievo",'Statements (Raw)'!D176)),"CASH WITHDRAWAL",IF(ISNUMBER(SEARCH("Bollo",'Statements (Raw)'!D176)),"STAMP DUTY",IF(ISNUMBER(SEARCH("Tobin Tax",'Statements (Raw)'!D176)),"TOBIN TAX",IF(ISNUMBER(SEARCH("Rit.provento",'Statements (Raw)'!D176)),"WITHHOLDING TAX",IF(ISNUMBER(SEARCH("Incasso Dividendi",'Statements (Raw)'!D176)),"DIVIDEND",IF(ISNUMBER(SEARCH("Cedola",'Statements (Raw)'!D176)),"COUPON",IF(ISNUMBER(SEARCH("Ratei Pass",'Statements (Raw)'!D176)),"ACCRUED INT",IF(ISNUMBER(SEARCH("Interessi Prest",'Statements (Raw)'!D176)),"SEC LENDING",IF(ISNUMBER(SEARCH("Rimborso",'Statements (Raw)'!D176)),"REDEMPTION",IF(ISNUMBER(SEARCH("Provento",'Statements (Raw)'!D176)),"DISTRIBUTION","OTHER")))))))))))))</f>
        <v>IGD</v>
      </c>
      <c r="D178" s="6" t="str">
        <f>IF(A178="","",IF(C178="Saldo Iniziale","Balance",IF(C178="CASH DEPOSIT","Deposit",IF(C178="CASH WITHDRAWAL","Withdrawal",IF(C178="STAMP DUTY","Tax",IF(C178="TOBIN TAX","Tax",IF(C178="WITHHOLDING TAX","Tax",IF(C178="DIVIDEND","Dividend",IF(C178="COUPON","Coupon",IF(C178="ACCRUED INT","Accrued Int.",IF(C178="SEC LENDING","Sec. Lending",IF(C178="REDEMPTION","Redemption",IF(C178="DISTRIBUTION","Distribution",IF(ISNUMBER(SEARCH("Rimborso",'Statements (Raw)'!D176)),"Redemption",IF(ISNUMBER(SEARCH("Cedola",'Statements (Raw)'!D176)),"Coupon",IF(ISNUMBER(SEARCH("Incasso Dividendi",'Statements (Raw)'!D176)),"Dividend",IF(ISNUMBER(SEARCH("Provento Etf",'Statements (Raw)'!D176)),"Distribution",IF(ISNUMBER(SEARCH("Rit.provento",'Statements (Raw)'!D176)),"Tax",IF(ISNUMBER(SEARCH("Ratei Pass",'Statements (Raw)'!D176)),"Accrued Int.",IF(ISNUMBER(SEARCH("Interessi Prest",'Statements (Raw)'!D176)),"Sec. Lending",IF('Statements (Raw)'!G176="","Other",IF('Statements (Raw)'!G176&gt;0,"Buy","Sell"))))))))))))))))))))))</f>
        <v>Buy</v>
      </c>
      <c r="E178" s="6" t="str">
        <f t="shared" si="4"/>
        <v>Stock</v>
      </c>
      <c r="F178" s="8">
        <f>IF(A178="","",IF('Statements (Raw)'!E176="","",'Statements (Raw)'!E176))</f>
        <v>3.34</v>
      </c>
      <c r="G178" s="6" t="str">
        <f>IF(A178="","",IF('Statements (Raw)'!F176="","",'Statements (Raw)'!F176))</f>
        <v>EUR</v>
      </c>
      <c r="H178" s="9">
        <f>IF(A178="","",IF('Statements (Raw)'!G176="","",'Statements (Raw)'!G176))</f>
        <v>346</v>
      </c>
      <c r="I178" s="10">
        <f>IF(A178="","",IF('Statements (Raw)'!H176="","",'Statements (Raw)'!H176))</f>
        <v>-1155.6400000000001</v>
      </c>
      <c r="J178" s="10">
        <f>IF(A178="",0,IF('Statements (Raw)'!I176="",0,'Statements (Raw)'!I176))</f>
        <v>0</v>
      </c>
      <c r="K178" s="10">
        <f t="shared" si="5"/>
        <v>-1155.6400000000001</v>
      </c>
    </row>
    <row r="179" spans="1:11" x14ac:dyDescent="0.3">
      <c r="A179" s="171">
        <f>IF(OR('Statements (Raw)'!A177="",'Statements (Raw)'!A177&gt;Holdings!$G$3),"",'Statements (Raw)'!A177)</f>
        <v>45929</v>
      </c>
      <c r="B179" s="7">
        <f>IF(A179="","",IF('Statements (Raw)'!B177="","",'Statements (Raw)'!B177))</f>
        <v>45931</v>
      </c>
      <c r="C179" s="6" t="str">
        <f>IF(A179="","",IF('Statements (Raw)'!C177&lt;&gt;"",'Statements (Raw)'!C177,IF(ISNUMBER(SEARCH("Conferimento",'Statements (Raw)'!D177)),"CASH DEPOSIT",IF(ISNUMBER(SEARCH("Prelievo",'Statements (Raw)'!D177)),"CASH WITHDRAWAL",IF(ISNUMBER(SEARCH("Bollo",'Statements (Raw)'!D177)),"STAMP DUTY",IF(ISNUMBER(SEARCH("Tobin Tax",'Statements (Raw)'!D177)),"TOBIN TAX",IF(ISNUMBER(SEARCH("Rit.provento",'Statements (Raw)'!D177)),"WITHHOLDING TAX",IF(ISNUMBER(SEARCH("Incasso Dividendi",'Statements (Raw)'!D177)),"DIVIDEND",IF(ISNUMBER(SEARCH("Cedola",'Statements (Raw)'!D177)),"COUPON",IF(ISNUMBER(SEARCH("Ratei Pass",'Statements (Raw)'!D177)),"ACCRUED INT",IF(ISNUMBER(SEARCH("Interessi Prest",'Statements (Raw)'!D177)),"SEC LENDING",IF(ISNUMBER(SEARCH("Rimborso",'Statements (Raw)'!D177)),"REDEMPTION",IF(ISNUMBER(SEARCH("Provento",'Statements (Raw)'!D177)),"DISTRIBUTION","OTHER")))))))))))))</f>
        <v>Bitwise Ethereum Staking ETP</v>
      </c>
      <c r="D179" s="6" t="str">
        <f>IF(A179="","",IF(C179="Saldo Iniziale","Balance",IF(C179="CASH DEPOSIT","Deposit",IF(C179="CASH WITHDRAWAL","Withdrawal",IF(C179="STAMP DUTY","Tax",IF(C179="TOBIN TAX","Tax",IF(C179="WITHHOLDING TAX","Tax",IF(C179="DIVIDEND","Dividend",IF(C179="COUPON","Coupon",IF(C179="ACCRUED INT","Accrued Int.",IF(C179="SEC LENDING","Sec. Lending",IF(C179="REDEMPTION","Redemption",IF(C179="DISTRIBUTION","Distribution",IF(ISNUMBER(SEARCH("Rimborso",'Statements (Raw)'!D177)),"Redemption",IF(ISNUMBER(SEARCH("Cedola",'Statements (Raw)'!D177)),"Coupon",IF(ISNUMBER(SEARCH("Incasso Dividendi",'Statements (Raw)'!D177)),"Dividend",IF(ISNUMBER(SEARCH("Provento Etf",'Statements (Raw)'!D177)),"Distribution",IF(ISNUMBER(SEARCH("Rit.provento",'Statements (Raw)'!D177)),"Tax",IF(ISNUMBER(SEARCH("Ratei Pass",'Statements (Raw)'!D177)),"Accrued Int.",IF(ISNUMBER(SEARCH("Interessi Prest",'Statements (Raw)'!D177)),"Sec. Lending",IF('Statements (Raw)'!G177="","Other",IF('Statements (Raw)'!G177&gt;0,"Buy","Sell"))))))))))))))))))))))</f>
        <v>Buy</v>
      </c>
      <c r="E179" s="6" t="str">
        <f t="shared" si="4"/>
        <v>Crypto ETP</v>
      </c>
      <c r="F179" s="8">
        <f>IF(A179="","",IF('Statements (Raw)'!E177="","",'Statements (Raw)'!E177))</f>
        <v>7.1555</v>
      </c>
      <c r="G179" s="6" t="str">
        <f>IF(A179="","",IF('Statements (Raw)'!F177="","",'Statements (Raw)'!F177))</f>
        <v>EUR</v>
      </c>
      <c r="H179" s="9">
        <f>IF(A179="","",IF('Statements (Raw)'!G177="","",'Statements (Raw)'!G177))</f>
        <v>500</v>
      </c>
      <c r="I179" s="10">
        <f>IF(A179="","",IF('Statements (Raw)'!H177="","",'Statements (Raw)'!H177))</f>
        <v>-3577.75</v>
      </c>
      <c r="J179" s="10">
        <f>IF(A179="",0,IF('Statements (Raw)'!I177="",0,'Statements (Raw)'!I177))</f>
        <v>0</v>
      </c>
      <c r="K179" s="10">
        <f t="shared" si="5"/>
        <v>-3577.75</v>
      </c>
    </row>
    <row r="180" spans="1:11" x14ac:dyDescent="0.3">
      <c r="A180" s="171">
        <f>IF(OR('Statements (Raw)'!A178="",'Statements (Raw)'!A178&gt;Holdings!$G$3),"",'Statements (Raw)'!A178)</f>
        <v>45929</v>
      </c>
      <c r="B180" s="7">
        <f>IF(A180="","",IF('Statements (Raw)'!B178="","",'Statements (Raw)'!B178))</f>
        <v>45931</v>
      </c>
      <c r="C180" s="6" t="str">
        <f>IF(A180="","",IF('Statements (Raw)'!C178&lt;&gt;"",'Statements (Raw)'!C178,IF(ISNUMBER(SEARCH("Conferimento",'Statements (Raw)'!D178)),"CASH DEPOSIT",IF(ISNUMBER(SEARCH("Prelievo",'Statements (Raw)'!D178)),"CASH WITHDRAWAL",IF(ISNUMBER(SEARCH("Bollo",'Statements (Raw)'!D178)),"STAMP DUTY",IF(ISNUMBER(SEARCH("Tobin Tax",'Statements (Raw)'!D178)),"TOBIN TAX",IF(ISNUMBER(SEARCH("Rit.provento",'Statements (Raw)'!D178)),"WITHHOLDING TAX",IF(ISNUMBER(SEARCH("Incasso Dividendi",'Statements (Raw)'!D178)),"DIVIDEND",IF(ISNUMBER(SEARCH("Cedola",'Statements (Raw)'!D178)),"COUPON",IF(ISNUMBER(SEARCH("Ratei Pass",'Statements (Raw)'!D178)),"ACCRUED INT",IF(ISNUMBER(SEARCH("Interessi Prest",'Statements (Raw)'!D178)),"SEC LENDING",IF(ISNUMBER(SEARCH("Rimborso",'Statements (Raw)'!D178)),"REDEMPTION",IF(ISNUMBER(SEARCH("Provento",'Statements (Raw)'!D178)),"DISTRIBUTION","OTHER")))))))))))))</f>
        <v>WISDOMTREE CORE PHYSICAL GOLD</v>
      </c>
      <c r="D180" s="6" t="str">
        <f>IF(A180="","",IF(C180="Saldo Iniziale","Balance",IF(C180="CASH DEPOSIT","Deposit",IF(C180="CASH WITHDRAWAL","Withdrawal",IF(C180="STAMP DUTY","Tax",IF(C180="TOBIN TAX","Tax",IF(C180="WITHHOLDING TAX","Tax",IF(C180="DIVIDEND","Dividend",IF(C180="COUPON","Coupon",IF(C180="ACCRUED INT","Accrued Int.",IF(C180="SEC LENDING","Sec. Lending",IF(C180="REDEMPTION","Redemption",IF(C180="DISTRIBUTION","Distribution",IF(ISNUMBER(SEARCH("Rimborso",'Statements (Raw)'!D178)),"Redemption",IF(ISNUMBER(SEARCH("Cedola",'Statements (Raw)'!D178)),"Coupon",IF(ISNUMBER(SEARCH("Incasso Dividendi",'Statements (Raw)'!D178)),"Dividend",IF(ISNUMBER(SEARCH("Provento Etf",'Statements (Raw)'!D178)),"Distribution",IF(ISNUMBER(SEARCH("Rit.provento",'Statements (Raw)'!D178)),"Tax",IF(ISNUMBER(SEARCH("Ratei Pass",'Statements (Raw)'!D178)),"Accrued Int.",IF(ISNUMBER(SEARCH("Interessi Prest",'Statements (Raw)'!D178)),"Sec. Lending",IF('Statements (Raw)'!G178="","Other",IF('Statements (Raw)'!G178&gt;0,"Buy","Sell"))))))))))))))))))))))</f>
        <v>Buy</v>
      </c>
      <c r="E180" s="6" t="str">
        <f t="shared" si="4"/>
        <v>ETF/ETC</v>
      </c>
      <c r="F180" s="8">
        <f>IF(A180="","",IF('Statements (Raw)'!E178="","",'Statements (Raw)'!E178))</f>
        <v>324.45999999999998</v>
      </c>
      <c r="G180" s="6" t="str">
        <f>IF(A180="","",IF('Statements (Raw)'!F178="","",'Statements (Raw)'!F178))</f>
        <v>EUR</v>
      </c>
      <c r="H180" s="9">
        <f>IF(A180="","",IF('Statements (Raw)'!G178="","",'Statements (Raw)'!G178))</f>
        <v>30</v>
      </c>
      <c r="I180" s="10">
        <f>IF(A180="","",IF('Statements (Raw)'!H178="","",'Statements (Raw)'!H178))</f>
        <v>-9733.7999999999993</v>
      </c>
      <c r="J180" s="10">
        <f>IF(A180="",0,IF('Statements (Raw)'!I178="",0,'Statements (Raw)'!I178))</f>
        <v>0</v>
      </c>
      <c r="K180" s="10">
        <f t="shared" si="5"/>
        <v>-9733.7999999999993</v>
      </c>
    </row>
    <row r="181" spans="1:11" x14ac:dyDescent="0.3">
      <c r="A181" s="171">
        <f>IF(OR('Statements (Raw)'!A179="",'Statements (Raw)'!A179&gt;Holdings!$G$3),"",'Statements (Raw)'!A179)</f>
        <v>45929</v>
      </c>
      <c r="B181" s="7">
        <f>IF(A181="","",IF('Statements (Raw)'!B179="","",'Statements (Raw)'!B179))</f>
        <v>45931</v>
      </c>
      <c r="C181" s="6" t="str">
        <f>IF(A181="","",IF('Statements (Raw)'!C179&lt;&gt;"",'Statements (Raw)'!C179,IF(ISNUMBER(SEARCH("Conferimento",'Statements (Raw)'!D179)),"CASH DEPOSIT",IF(ISNUMBER(SEARCH("Prelievo",'Statements (Raw)'!D179)),"CASH WITHDRAWAL",IF(ISNUMBER(SEARCH("Bollo",'Statements (Raw)'!D179)),"STAMP DUTY",IF(ISNUMBER(SEARCH("Tobin Tax",'Statements (Raw)'!D179)),"TOBIN TAX",IF(ISNUMBER(SEARCH("Rit.provento",'Statements (Raw)'!D179)),"WITHHOLDING TAX",IF(ISNUMBER(SEARCH("Incasso Dividendi",'Statements (Raw)'!D179)),"DIVIDEND",IF(ISNUMBER(SEARCH("Cedola",'Statements (Raw)'!D179)),"COUPON",IF(ISNUMBER(SEARCH("Ratei Pass",'Statements (Raw)'!D179)),"ACCRUED INT",IF(ISNUMBER(SEARCH("Interessi Prest",'Statements (Raw)'!D179)),"SEC LENDING",IF(ISNUMBER(SEARCH("Rimborso",'Statements (Raw)'!D179)),"REDEMPTION",IF(ISNUMBER(SEARCH("Provento",'Statements (Raw)'!D179)),"DISTRIBUTION","OTHER")))))))))))))</f>
        <v>WISDOMTREE PHYSICAL SILVER</v>
      </c>
      <c r="D181" s="6" t="str">
        <f>IF(A181="","",IF(C181="Saldo Iniziale","Balance",IF(C181="CASH DEPOSIT","Deposit",IF(C181="CASH WITHDRAWAL","Withdrawal",IF(C181="STAMP DUTY","Tax",IF(C181="TOBIN TAX","Tax",IF(C181="WITHHOLDING TAX","Tax",IF(C181="DIVIDEND","Dividend",IF(C181="COUPON","Coupon",IF(C181="ACCRUED INT","Accrued Int.",IF(C181="SEC LENDING","Sec. Lending",IF(C181="REDEMPTION","Redemption",IF(C181="DISTRIBUTION","Distribution",IF(ISNUMBER(SEARCH("Rimborso",'Statements (Raw)'!D179)),"Redemption",IF(ISNUMBER(SEARCH("Cedola",'Statements (Raw)'!D179)),"Coupon",IF(ISNUMBER(SEARCH("Incasso Dividendi",'Statements (Raw)'!D179)),"Dividend",IF(ISNUMBER(SEARCH("Provento Etf",'Statements (Raw)'!D179)),"Distribution",IF(ISNUMBER(SEARCH("Rit.provento",'Statements (Raw)'!D179)),"Tax",IF(ISNUMBER(SEARCH("Ratei Pass",'Statements (Raw)'!D179)),"Accrued Int.",IF(ISNUMBER(SEARCH("Interessi Prest",'Statements (Raw)'!D179)),"Sec. Lending",IF('Statements (Raw)'!G179="","Other",IF('Statements (Raw)'!G179&gt;0,"Buy","Sell"))))))))))))))))))))))</f>
        <v>Buy</v>
      </c>
      <c r="E181" s="6" t="str">
        <f t="shared" si="4"/>
        <v>ETF/ETC</v>
      </c>
      <c r="F181" s="8">
        <f>IF(A181="","",IF('Statements (Raw)'!E179="","",'Statements (Raw)'!E179))</f>
        <v>36.695</v>
      </c>
      <c r="G181" s="6" t="str">
        <f>IF(A181="","",IF('Statements (Raw)'!F179="","",'Statements (Raw)'!F179))</f>
        <v>EUR</v>
      </c>
      <c r="H181" s="9">
        <f>IF(A181="","",IF('Statements (Raw)'!G179="","",'Statements (Raw)'!G179))</f>
        <v>200</v>
      </c>
      <c r="I181" s="10">
        <f>IF(A181="","",IF('Statements (Raw)'!H179="","",'Statements (Raw)'!H179))</f>
        <v>-7339</v>
      </c>
      <c r="J181" s="10">
        <f>IF(A181="",0,IF('Statements (Raw)'!I179="",0,'Statements (Raw)'!I179))</f>
        <v>-5</v>
      </c>
      <c r="K181" s="10">
        <f t="shared" si="5"/>
        <v>-7344</v>
      </c>
    </row>
    <row r="182" spans="1:11" x14ac:dyDescent="0.3">
      <c r="A182" s="171">
        <f>IF(OR('Statements (Raw)'!A180="",'Statements (Raw)'!A180&gt;Holdings!$G$3),"",'Statements (Raw)'!A180)</f>
        <v>45929</v>
      </c>
      <c r="B182" s="7">
        <f>IF(A182="","",IF('Statements (Raw)'!B180="","",'Statements (Raw)'!B180))</f>
        <v>45931</v>
      </c>
      <c r="C182" s="6" t="str">
        <f>IF(A182="","",IF('Statements (Raw)'!C180&lt;&gt;"",'Statements (Raw)'!C180,IF(ISNUMBER(SEARCH("Conferimento",'Statements (Raw)'!D180)),"CASH DEPOSIT",IF(ISNUMBER(SEARCH("Prelievo",'Statements (Raw)'!D180)),"CASH WITHDRAWAL",IF(ISNUMBER(SEARCH("Bollo",'Statements (Raw)'!D180)),"STAMP DUTY",IF(ISNUMBER(SEARCH("Tobin Tax",'Statements (Raw)'!D180)),"TOBIN TAX",IF(ISNUMBER(SEARCH("Rit.provento",'Statements (Raw)'!D180)),"WITHHOLDING TAX",IF(ISNUMBER(SEARCH("Incasso Dividendi",'Statements (Raw)'!D180)),"DIVIDEND",IF(ISNUMBER(SEARCH("Cedola",'Statements (Raw)'!D180)),"COUPON",IF(ISNUMBER(SEARCH("Ratei Pass",'Statements (Raw)'!D180)),"ACCRUED INT",IF(ISNUMBER(SEARCH("Interessi Prest",'Statements (Raw)'!D180)),"SEC LENDING",IF(ISNUMBER(SEARCH("Rimborso",'Statements (Raw)'!D180)),"REDEMPTION",IF(ISNUMBER(SEARCH("Provento",'Statements (Raw)'!D180)),"DISTRIBUTION","OTHER")))))))))))))</f>
        <v>BeC SPEAKERS</v>
      </c>
      <c r="D182" s="6" t="str">
        <f>IF(A182="","",IF(C182="Saldo Iniziale","Balance",IF(C182="CASH DEPOSIT","Deposit",IF(C182="CASH WITHDRAWAL","Withdrawal",IF(C182="STAMP DUTY","Tax",IF(C182="TOBIN TAX","Tax",IF(C182="WITHHOLDING TAX","Tax",IF(C182="DIVIDEND","Dividend",IF(C182="COUPON","Coupon",IF(C182="ACCRUED INT","Accrued Int.",IF(C182="SEC LENDING","Sec. Lending",IF(C182="REDEMPTION","Redemption",IF(C182="DISTRIBUTION","Distribution",IF(ISNUMBER(SEARCH("Rimborso",'Statements (Raw)'!D180)),"Redemption",IF(ISNUMBER(SEARCH("Cedola",'Statements (Raw)'!D180)),"Coupon",IF(ISNUMBER(SEARCH("Incasso Dividendi",'Statements (Raw)'!D180)),"Dividend",IF(ISNUMBER(SEARCH("Provento Etf",'Statements (Raw)'!D180)),"Distribution",IF(ISNUMBER(SEARCH("Rit.provento",'Statements (Raw)'!D180)),"Tax",IF(ISNUMBER(SEARCH("Ratei Pass",'Statements (Raw)'!D180)),"Accrued Int.",IF(ISNUMBER(SEARCH("Interessi Prest",'Statements (Raw)'!D180)),"Sec. Lending",IF('Statements (Raw)'!G180="","Other",IF('Statements (Raw)'!G180&gt;0,"Buy","Sell"))))))))))))))))))))))</f>
        <v>Buy</v>
      </c>
      <c r="E182" s="6" t="str">
        <f t="shared" si="4"/>
        <v>Stock</v>
      </c>
      <c r="F182" s="8">
        <f>IF(A182="","",IF('Statements (Raw)'!E180="","",'Statements (Raw)'!E180))</f>
        <v>16.350000000000001</v>
      </c>
      <c r="G182" s="6" t="str">
        <f>IF(A182="","",IF('Statements (Raw)'!F180="","",'Statements (Raw)'!F180))</f>
        <v>EUR</v>
      </c>
      <c r="H182" s="9">
        <f>IF(A182="","",IF('Statements (Raw)'!G180="","",'Statements (Raw)'!G180))</f>
        <v>53</v>
      </c>
      <c r="I182" s="10">
        <f>IF(A182="","",IF('Statements (Raw)'!H180="","",'Statements (Raw)'!H180))</f>
        <v>-866.55</v>
      </c>
      <c r="J182" s="10">
        <f>IF(A182="",0,IF('Statements (Raw)'!I180="",0,'Statements (Raw)'!I180))</f>
        <v>-2.1800000000000002</v>
      </c>
      <c r="K182" s="10">
        <f t="shared" si="5"/>
        <v>-868.7299999999999</v>
      </c>
    </row>
    <row r="183" spans="1:11" x14ac:dyDescent="0.3">
      <c r="A183" s="171">
        <f>IF(OR('Statements (Raw)'!A181="",'Statements (Raw)'!A181&gt;Holdings!$G$3),"",'Statements (Raw)'!A181)</f>
        <v>45929</v>
      </c>
      <c r="B183" s="7">
        <f>IF(A183="","",IF('Statements (Raw)'!B181="","",'Statements (Raw)'!B181))</f>
        <v>45931</v>
      </c>
      <c r="C183" s="6" t="str">
        <f>IF(A183="","",IF('Statements (Raw)'!C181&lt;&gt;"",'Statements (Raw)'!C181,IF(ISNUMBER(SEARCH("Conferimento",'Statements (Raw)'!D181)),"CASH DEPOSIT",IF(ISNUMBER(SEARCH("Prelievo",'Statements (Raw)'!D181)),"CASH WITHDRAWAL",IF(ISNUMBER(SEARCH("Bollo",'Statements (Raw)'!D181)),"STAMP DUTY",IF(ISNUMBER(SEARCH("Tobin Tax",'Statements (Raw)'!D181)),"TOBIN TAX",IF(ISNUMBER(SEARCH("Rit.provento",'Statements (Raw)'!D181)),"WITHHOLDING TAX",IF(ISNUMBER(SEARCH("Incasso Dividendi",'Statements (Raw)'!D181)),"DIVIDEND",IF(ISNUMBER(SEARCH("Cedola",'Statements (Raw)'!D181)),"COUPON",IF(ISNUMBER(SEARCH("Ratei Pass",'Statements (Raw)'!D181)),"ACCRUED INT",IF(ISNUMBER(SEARCH("Interessi Prest",'Statements (Raw)'!D181)),"SEC LENDING",IF(ISNUMBER(SEARCH("Rimborso",'Statements (Raw)'!D181)),"REDEMPTION",IF(ISNUMBER(SEARCH("Provento",'Statements (Raw)'!D181)),"DISTRIBUTION","OTHER")))))))))))))</f>
        <v>BeC SPEAKERS</v>
      </c>
      <c r="D183" s="6" t="str">
        <f>IF(A183="","",IF(C183="Saldo Iniziale","Balance",IF(C183="CASH DEPOSIT","Deposit",IF(C183="CASH WITHDRAWAL","Withdrawal",IF(C183="STAMP DUTY","Tax",IF(C183="TOBIN TAX","Tax",IF(C183="WITHHOLDING TAX","Tax",IF(C183="DIVIDEND","Dividend",IF(C183="COUPON","Coupon",IF(C183="ACCRUED INT","Accrued Int.",IF(C183="SEC LENDING","Sec. Lending",IF(C183="REDEMPTION","Redemption",IF(C183="DISTRIBUTION","Distribution",IF(ISNUMBER(SEARCH("Rimborso",'Statements (Raw)'!D181)),"Redemption",IF(ISNUMBER(SEARCH("Cedola",'Statements (Raw)'!D181)),"Coupon",IF(ISNUMBER(SEARCH("Incasso Dividendi",'Statements (Raw)'!D181)),"Dividend",IF(ISNUMBER(SEARCH("Provento Etf",'Statements (Raw)'!D181)),"Distribution",IF(ISNUMBER(SEARCH("Rit.provento",'Statements (Raw)'!D181)),"Tax",IF(ISNUMBER(SEARCH("Ratei Pass",'Statements (Raw)'!D181)),"Accrued Int.",IF(ISNUMBER(SEARCH("Interessi Prest",'Statements (Raw)'!D181)),"Sec. Lending",IF('Statements (Raw)'!G181="","Other",IF('Statements (Raw)'!G181&gt;0,"Buy","Sell"))))))))))))))))))))))</f>
        <v>Buy</v>
      </c>
      <c r="E183" s="6" t="str">
        <f t="shared" si="4"/>
        <v>Stock</v>
      </c>
      <c r="F183" s="8">
        <f>IF(A183="","",IF('Statements (Raw)'!E181="","",'Statements (Raw)'!E181))</f>
        <v>16.350000000000001</v>
      </c>
      <c r="G183" s="6" t="str">
        <f>IF(A183="","",IF('Statements (Raw)'!F181="","",'Statements (Raw)'!F181))</f>
        <v>EUR</v>
      </c>
      <c r="H183" s="9">
        <f>IF(A183="","",IF('Statements (Raw)'!G181="","",'Statements (Raw)'!G181))</f>
        <v>8</v>
      </c>
      <c r="I183" s="10">
        <f>IF(A183="","",IF('Statements (Raw)'!H181="","",'Statements (Raw)'!H181))</f>
        <v>-130.80000000000001</v>
      </c>
      <c r="J183" s="10">
        <f>IF(A183="",0,IF('Statements (Raw)'!I181="",0,'Statements (Raw)'!I181))</f>
        <v>0</v>
      </c>
      <c r="K183" s="10">
        <f t="shared" si="5"/>
        <v>-130.80000000000001</v>
      </c>
    </row>
    <row r="184" spans="1:11" x14ac:dyDescent="0.3">
      <c r="A184" s="171">
        <f>IF(OR('Statements (Raw)'!A182="",'Statements (Raw)'!A182&gt;Holdings!$G$3),"",'Statements (Raw)'!A182)</f>
        <v>45929</v>
      </c>
      <c r="B184" s="7">
        <f>IF(A184="","",IF('Statements (Raw)'!B182="","",'Statements (Raw)'!B182))</f>
        <v>45931</v>
      </c>
      <c r="C184" s="6" t="str">
        <f>IF(A184="","",IF('Statements (Raw)'!C182&lt;&gt;"",'Statements (Raw)'!C182,IF(ISNUMBER(SEARCH("Conferimento",'Statements (Raw)'!D182)),"CASH DEPOSIT",IF(ISNUMBER(SEARCH("Prelievo",'Statements (Raw)'!D182)),"CASH WITHDRAWAL",IF(ISNUMBER(SEARCH("Bollo",'Statements (Raw)'!D182)),"STAMP DUTY",IF(ISNUMBER(SEARCH("Tobin Tax",'Statements (Raw)'!D182)),"TOBIN TAX",IF(ISNUMBER(SEARCH("Rit.provento",'Statements (Raw)'!D182)),"WITHHOLDING TAX",IF(ISNUMBER(SEARCH("Incasso Dividendi",'Statements (Raw)'!D182)),"DIVIDEND",IF(ISNUMBER(SEARCH("Cedola",'Statements (Raw)'!D182)),"COUPON",IF(ISNUMBER(SEARCH("Ratei Pass",'Statements (Raw)'!D182)),"ACCRUED INT",IF(ISNUMBER(SEARCH("Interessi Prest",'Statements (Raw)'!D182)),"SEC LENDING",IF(ISNUMBER(SEARCH("Rimborso",'Statements (Raw)'!D182)),"REDEMPTION",IF(ISNUMBER(SEARCH("Provento",'Statements (Raw)'!D182)),"DISTRIBUTION","OTHER")))))))))))))</f>
        <v>BeC SPEAKERS</v>
      </c>
      <c r="D184" s="6" t="str">
        <f>IF(A184="","",IF(C184="Saldo Iniziale","Balance",IF(C184="CASH DEPOSIT","Deposit",IF(C184="CASH WITHDRAWAL","Withdrawal",IF(C184="STAMP DUTY","Tax",IF(C184="TOBIN TAX","Tax",IF(C184="WITHHOLDING TAX","Tax",IF(C184="DIVIDEND","Dividend",IF(C184="COUPON","Coupon",IF(C184="ACCRUED INT","Accrued Int.",IF(C184="SEC LENDING","Sec. Lending",IF(C184="REDEMPTION","Redemption",IF(C184="DISTRIBUTION","Distribution",IF(ISNUMBER(SEARCH("Rimborso",'Statements (Raw)'!D182)),"Redemption",IF(ISNUMBER(SEARCH("Cedola",'Statements (Raw)'!D182)),"Coupon",IF(ISNUMBER(SEARCH("Incasso Dividendi",'Statements (Raw)'!D182)),"Dividend",IF(ISNUMBER(SEARCH("Provento Etf",'Statements (Raw)'!D182)),"Distribution",IF(ISNUMBER(SEARCH("Rit.provento",'Statements (Raw)'!D182)),"Tax",IF(ISNUMBER(SEARCH("Ratei Pass",'Statements (Raw)'!D182)),"Accrued Int.",IF(ISNUMBER(SEARCH("Interessi Prest",'Statements (Raw)'!D182)),"Sec. Lending",IF('Statements (Raw)'!G182="","Other",IF('Statements (Raw)'!G182&gt;0,"Buy","Sell"))))))))))))))))))))))</f>
        <v>Buy</v>
      </c>
      <c r="E184" s="6" t="str">
        <f t="shared" si="4"/>
        <v>Stock</v>
      </c>
      <c r="F184" s="8">
        <f>IF(A184="","",IF('Statements (Raw)'!E182="","",'Statements (Raw)'!E182))</f>
        <v>16.350000000000001</v>
      </c>
      <c r="G184" s="6" t="str">
        <f>IF(A184="","",IF('Statements (Raw)'!F182="","",'Statements (Raw)'!F182))</f>
        <v>EUR</v>
      </c>
      <c r="H184" s="9">
        <f>IF(A184="","",IF('Statements (Raw)'!G182="","",'Statements (Raw)'!G182))</f>
        <v>254</v>
      </c>
      <c r="I184" s="10">
        <f>IF(A184="","",IF('Statements (Raw)'!H182="","",'Statements (Raw)'!H182))</f>
        <v>-4152.8999999999996</v>
      </c>
      <c r="J184" s="10">
        <f>IF(A184="",0,IF('Statements (Raw)'!I182="",0,'Statements (Raw)'!I182))</f>
        <v>0</v>
      </c>
      <c r="K184" s="10">
        <f t="shared" si="5"/>
        <v>-4152.8999999999996</v>
      </c>
    </row>
    <row r="185" spans="1:11" x14ac:dyDescent="0.3">
      <c r="A185" s="171">
        <f>IF(OR('Statements (Raw)'!A183="",'Statements (Raw)'!A183&gt;Holdings!$G$3),"",'Statements (Raw)'!A183)</f>
        <v>45929</v>
      </c>
      <c r="B185" s="7">
        <f>IF(A185="","",IF('Statements (Raw)'!B183="","",'Statements (Raw)'!B183))</f>
        <v>45931</v>
      </c>
      <c r="C185" s="6" t="str">
        <f>IF(A185="","",IF('Statements (Raw)'!C183&lt;&gt;"",'Statements (Raw)'!C183,IF(ISNUMBER(SEARCH("Conferimento",'Statements (Raw)'!D183)),"CASH DEPOSIT",IF(ISNUMBER(SEARCH("Prelievo",'Statements (Raw)'!D183)),"CASH WITHDRAWAL",IF(ISNUMBER(SEARCH("Bollo",'Statements (Raw)'!D183)),"STAMP DUTY",IF(ISNUMBER(SEARCH("Tobin Tax",'Statements (Raw)'!D183)),"TOBIN TAX",IF(ISNUMBER(SEARCH("Rit.provento",'Statements (Raw)'!D183)),"WITHHOLDING TAX",IF(ISNUMBER(SEARCH("Incasso Dividendi",'Statements (Raw)'!D183)),"DIVIDEND",IF(ISNUMBER(SEARCH("Cedola",'Statements (Raw)'!D183)),"COUPON",IF(ISNUMBER(SEARCH("Ratei Pass",'Statements (Raw)'!D183)),"ACCRUED INT",IF(ISNUMBER(SEARCH("Interessi Prest",'Statements (Raw)'!D183)),"SEC LENDING",IF(ISNUMBER(SEARCH("Rimborso",'Statements (Raw)'!D183)),"REDEMPTION",IF(ISNUMBER(SEARCH("Provento",'Statements (Raw)'!D183)),"DISTRIBUTION","OTHER")))))))))))))</f>
        <v>BeC SPEAKERS</v>
      </c>
      <c r="D185" s="6" t="str">
        <f>IF(A185="","",IF(C185="Saldo Iniziale","Balance",IF(C185="CASH DEPOSIT","Deposit",IF(C185="CASH WITHDRAWAL","Withdrawal",IF(C185="STAMP DUTY","Tax",IF(C185="TOBIN TAX","Tax",IF(C185="WITHHOLDING TAX","Tax",IF(C185="DIVIDEND","Dividend",IF(C185="COUPON","Coupon",IF(C185="ACCRUED INT","Accrued Int.",IF(C185="SEC LENDING","Sec. Lending",IF(C185="REDEMPTION","Redemption",IF(C185="DISTRIBUTION","Distribution",IF(ISNUMBER(SEARCH("Rimborso",'Statements (Raw)'!D183)),"Redemption",IF(ISNUMBER(SEARCH("Cedola",'Statements (Raw)'!D183)),"Coupon",IF(ISNUMBER(SEARCH("Incasso Dividendi",'Statements (Raw)'!D183)),"Dividend",IF(ISNUMBER(SEARCH("Provento Etf",'Statements (Raw)'!D183)),"Distribution",IF(ISNUMBER(SEARCH("Rit.provento",'Statements (Raw)'!D183)),"Tax",IF(ISNUMBER(SEARCH("Ratei Pass",'Statements (Raw)'!D183)),"Accrued Int.",IF(ISNUMBER(SEARCH("Interessi Prest",'Statements (Raw)'!D183)),"Sec. Lending",IF('Statements (Raw)'!G183="","Other",IF('Statements (Raw)'!G183&gt;0,"Buy","Sell"))))))))))))))))))))))</f>
        <v>Buy</v>
      </c>
      <c r="E185" s="6" t="str">
        <f t="shared" si="4"/>
        <v>Stock</v>
      </c>
      <c r="F185" s="8">
        <f>IF(A185="","",IF('Statements (Raw)'!E183="","",'Statements (Raw)'!E183))</f>
        <v>16.350000000000001</v>
      </c>
      <c r="G185" s="6" t="str">
        <f>IF(A185="","",IF('Statements (Raw)'!F183="","",'Statements (Raw)'!F183))</f>
        <v>EUR</v>
      </c>
      <c r="H185" s="9">
        <f>IF(A185="","",IF('Statements (Raw)'!G183="","",'Statements (Raw)'!G183))</f>
        <v>7</v>
      </c>
      <c r="I185" s="10">
        <f>IF(A185="","",IF('Statements (Raw)'!H183="","",'Statements (Raw)'!H183))</f>
        <v>-114.45</v>
      </c>
      <c r="J185" s="10">
        <f>IF(A185="",0,IF('Statements (Raw)'!I183="",0,'Statements (Raw)'!I183))</f>
        <v>0</v>
      </c>
      <c r="K185" s="10">
        <f t="shared" si="5"/>
        <v>-114.45</v>
      </c>
    </row>
    <row r="186" spans="1:11" x14ac:dyDescent="0.3">
      <c r="A186" s="171">
        <f>IF(OR('Statements (Raw)'!A184="",'Statements (Raw)'!A184&gt;Holdings!$G$3),"",'Statements (Raw)'!A184)</f>
        <v>45929</v>
      </c>
      <c r="B186" s="7">
        <f>IF(A186="","",IF('Statements (Raw)'!B184="","",'Statements (Raw)'!B184))</f>
        <v>45931</v>
      </c>
      <c r="C186" s="6" t="str">
        <f>IF(A186="","",IF('Statements (Raw)'!C184&lt;&gt;"",'Statements (Raw)'!C184,IF(ISNUMBER(SEARCH("Conferimento",'Statements (Raw)'!D184)),"CASH DEPOSIT",IF(ISNUMBER(SEARCH("Prelievo",'Statements (Raw)'!D184)),"CASH WITHDRAWAL",IF(ISNUMBER(SEARCH("Bollo",'Statements (Raw)'!D184)),"STAMP DUTY",IF(ISNUMBER(SEARCH("Tobin Tax",'Statements (Raw)'!D184)),"TOBIN TAX",IF(ISNUMBER(SEARCH("Rit.provento",'Statements (Raw)'!D184)),"WITHHOLDING TAX",IF(ISNUMBER(SEARCH("Incasso Dividendi",'Statements (Raw)'!D184)),"DIVIDEND",IF(ISNUMBER(SEARCH("Cedola",'Statements (Raw)'!D184)),"COUPON",IF(ISNUMBER(SEARCH("Ratei Pass",'Statements (Raw)'!D184)),"ACCRUED INT",IF(ISNUMBER(SEARCH("Interessi Prest",'Statements (Raw)'!D184)),"SEC LENDING",IF(ISNUMBER(SEARCH("Rimborso",'Statements (Raw)'!D184)),"REDEMPTION",IF(ISNUMBER(SEARCH("Provento",'Statements (Raw)'!D184)),"DISTRIBUTION","OTHER")))))))))))))</f>
        <v>BeC SPEAKERS</v>
      </c>
      <c r="D186" s="6" t="str">
        <f>IF(A186="","",IF(C186="Saldo Iniziale","Balance",IF(C186="CASH DEPOSIT","Deposit",IF(C186="CASH WITHDRAWAL","Withdrawal",IF(C186="STAMP DUTY","Tax",IF(C186="TOBIN TAX","Tax",IF(C186="WITHHOLDING TAX","Tax",IF(C186="DIVIDEND","Dividend",IF(C186="COUPON","Coupon",IF(C186="ACCRUED INT","Accrued Int.",IF(C186="SEC LENDING","Sec. Lending",IF(C186="REDEMPTION","Redemption",IF(C186="DISTRIBUTION","Distribution",IF(ISNUMBER(SEARCH("Rimborso",'Statements (Raw)'!D184)),"Redemption",IF(ISNUMBER(SEARCH("Cedola",'Statements (Raw)'!D184)),"Coupon",IF(ISNUMBER(SEARCH("Incasso Dividendi",'Statements (Raw)'!D184)),"Dividend",IF(ISNUMBER(SEARCH("Provento Etf",'Statements (Raw)'!D184)),"Distribution",IF(ISNUMBER(SEARCH("Rit.provento",'Statements (Raw)'!D184)),"Tax",IF(ISNUMBER(SEARCH("Ratei Pass",'Statements (Raw)'!D184)),"Accrued Int.",IF(ISNUMBER(SEARCH("Interessi Prest",'Statements (Raw)'!D184)),"Sec. Lending",IF('Statements (Raw)'!G184="","Other",IF('Statements (Raw)'!G184&gt;0,"Buy","Sell"))))))))))))))))))))))</f>
        <v>Buy</v>
      </c>
      <c r="E186" s="6" t="str">
        <f t="shared" si="4"/>
        <v>Stock</v>
      </c>
      <c r="F186" s="8">
        <f>IF(A186="","",IF('Statements (Raw)'!E184="","",'Statements (Raw)'!E184))</f>
        <v>16.350000000000001</v>
      </c>
      <c r="G186" s="6" t="str">
        <f>IF(A186="","",IF('Statements (Raw)'!F184="","",'Statements (Raw)'!F184))</f>
        <v>EUR</v>
      </c>
      <c r="H186" s="9">
        <f>IF(A186="","",IF('Statements (Raw)'!G184="","",'Statements (Raw)'!G184))</f>
        <v>114</v>
      </c>
      <c r="I186" s="10">
        <f>IF(A186="","",IF('Statements (Raw)'!H184="","",'Statements (Raw)'!H184))</f>
        <v>-1863.9</v>
      </c>
      <c r="J186" s="10">
        <f>IF(A186="",0,IF('Statements (Raw)'!I184="",0,'Statements (Raw)'!I184))</f>
        <v>0</v>
      </c>
      <c r="K186" s="10">
        <f t="shared" si="5"/>
        <v>-1863.9</v>
      </c>
    </row>
    <row r="187" spans="1:11" x14ac:dyDescent="0.3">
      <c r="A187" s="171">
        <f>IF(OR('Statements (Raw)'!A185="",'Statements (Raw)'!A185&gt;Holdings!$G$3),"",'Statements (Raw)'!A185)</f>
        <v>45929</v>
      </c>
      <c r="B187" s="7">
        <f>IF(A187="","",IF('Statements (Raw)'!B185="","",'Statements (Raw)'!B185))</f>
        <v>45931</v>
      </c>
      <c r="C187" s="6" t="str">
        <f>IF(A187="","",IF('Statements (Raw)'!C185&lt;&gt;"",'Statements (Raw)'!C185,IF(ISNUMBER(SEARCH("Conferimento",'Statements (Raw)'!D185)),"CASH DEPOSIT",IF(ISNUMBER(SEARCH("Prelievo",'Statements (Raw)'!D185)),"CASH WITHDRAWAL",IF(ISNUMBER(SEARCH("Bollo",'Statements (Raw)'!D185)),"STAMP DUTY",IF(ISNUMBER(SEARCH("Tobin Tax",'Statements (Raw)'!D185)),"TOBIN TAX",IF(ISNUMBER(SEARCH("Rit.provento",'Statements (Raw)'!D185)),"WITHHOLDING TAX",IF(ISNUMBER(SEARCH("Incasso Dividendi",'Statements (Raw)'!D185)),"DIVIDEND",IF(ISNUMBER(SEARCH("Cedola",'Statements (Raw)'!D185)),"COUPON",IF(ISNUMBER(SEARCH("Ratei Pass",'Statements (Raw)'!D185)),"ACCRUED INT",IF(ISNUMBER(SEARCH("Interessi Prest",'Statements (Raw)'!D185)),"SEC LENDING",IF(ISNUMBER(SEARCH("Rimborso",'Statements (Raw)'!D185)),"REDEMPTION",IF(ISNUMBER(SEARCH("Provento",'Statements (Raw)'!D185)),"DISTRIBUTION","OTHER")))))))))))))</f>
        <v>CY4GATE</v>
      </c>
      <c r="D187" s="6" t="str">
        <f>IF(A187="","",IF(C187="Saldo Iniziale","Balance",IF(C187="CASH DEPOSIT","Deposit",IF(C187="CASH WITHDRAWAL","Withdrawal",IF(C187="STAMP DUTY","Tax",IF(C187="TOBIN TAX","Tax",IF(C187="WITHHOLDING TAX","Tax",IF(C187="DIVIDEND","Dividend",IF(C187="COUPON","Coupon",IF(C187="ACCRUED INT","Accrued Int.",IF(C187="SEC LENDING","Sec. Lending",IF(C187="REDEMPTION","Redemption",IF(C187="DISTRIBUTION","Distribution",IF(ISNUMBER(SEARCH("Rimborso",'Statements (Raw)'!D185)),"Redemption",IF(ISNUMBER(SEARCH("Cedola",'Statements (Raw)'!D185)),"Coupon",IF(ISNUMBER(SEARCH("Incasso Dividendi",'Statements (Raw)'!D185)),"Dividend",IF(ISNUMBER(SEARCH("Provento Etf",'Statements (Raw)'!D185)),"Distribution",IF(ISNUMBER(SEARCH("Rit.provento",'Statements (Raw)'!D185)),"Tax",IF(ISNUMBER(SEARCH("Ratei Pass",'Statements (Raw)'!D185)),"Accrued Int.",IF(ISNUMBER(SEARCH("Interessi Prest",'Statements (Raw)'!D185)),"Sec. Lending",IF('Statements (Raw)'!G185="","Other",IF('Statements (Raw)'!G185&gt;0,"Buy","Sell"))))))))))))))))))))))</f>
        <v>Buy</v>
      </c>
      <c r="E187" s="6" t="str">
        <f t="shared" si="4"/>
        <v>Stock</v>
      </c>
      <c r="F187" s="8">
        <f>IF(A187="","",IF('Statements (Raw)'!E185="","",'Statements (Raw)'!E185))</f>
        <v>5.47</v>
      </c>
      <c r="G187" s="6" t="str">
        <f>IF(A187="","",IF('Statements (Raw)'!F185="","",'Statements (Raw)'!F185))</f>
        <v>EUR</v>
      </c>
      <c r="H187" s="9">
        <f>IF(A187="","",IF('Statements (Raw)'!G185="","",'Statements (Raw)'!G185))</f>
        <v>985</v>
      </c>
      <c r="I187" s="10">
        <f>IF(A187="","",IF('Statements (Raw)'!H185="","",'Statements (Raw)'!H185))</f>
        <v>-5387.95</v>
      </c>
      <c r="J187" s="10">
        <f>IF(A187="",0,IF('Statements (Raw)'!I185="",0,'Statements (Raw)'!I185))</f>
        <v>-5</v>
      </c>
      <c r="K187" s="10">
        <f t="shared" si="5"/>
        <v>-5392.95</v>
      </c>
    </row>
    <row r="188" spans="1:11" x14ac:dyDescent="0.3">
      <c r="A188" s="171">
        <f>IF(OR('Statements (Raw)'!A186="",'Statements (Raw)'!A186&gt;Holdings!$G$3),"",'Statements (Raw)'!A186)</f>
        <v>45929</v>
      </c>
      <c r="B188" s="7">
        <f>IF(A188="","",IF('Statements (Raw)'!B186="","",'Statements (Raw)'!B186))</f>
        <v>45931</v>
      </c>
      <c r="C188" s="6" t="str">
        <f>IF(A188="","",IF('Statements (Raw)'!C186&lt;&gt;"",'Statements (Raw)'!C186,IF(ISNUMBER(SEARCH("Conferimento",'Statements (Raw)'!D186)),"CASH DEPOSIT",IF(ISNUMBER(SEARCH("Prelievo",'Statements (Raw)'!D186)),"CASH WITHDRAWAL",IF(ISNUMBER(SEARCH("Bollo",'Statements (Raw)'!D186)),"STAMP DUTY",IF(ISNUMBER(SEARCH("Tobin Tax",'Statements (Raw)'!D186)),"TOBIN TAX",IF(ISNUMBER(SEARCH("Rit.provento",'Statements (Raw)'!D186)),"WITHHOLDING TAX",IF(ISNUMBER(SEARCH("Incasso Dividendi",'Statements (Raw)'!D186)),"DIVIDEND",IF(ISNUMBER(SEARCH("Cedola",'Statements (Raw)'!D186)),"COUPON",IF(ISNUMBER(SEARCH("Ratei Pass",'Statements (Raw)'!D186)),"ACCRUED INT",IF(ISNUMBER(SEARCH("Interessi Prest",'Statements (Raw)'!D186)),"SEC LENDING",IF(ISNUMBER(SEARCH("Rimborso",'Statements (Raw)'!D186)),"REDEMPTION",IF(ISNUMBER(SEARCH("Provento",'Statements (Raw)'!D186)),"DISTRIBUTION","OTHER")))))))))))))</f>
        <v>CY4GATE</v>
      </c>
      <c r="D188" s="6" t="str">
        <f>IF(A188="","",IF(C188="Saldo Iniziale","Balance",IF(C188="CASH DEPOSIT","Deposit",IF(C188="CASH WITHDRAWAL","Withdrawal",IF(C188="STAMP DUTY","Tax",IF(C188="TOBIN TAX","Tax",IF(C188="WITHHOLDING TAX","Tax",IF(C188="DIVIDEND","Dividend",IF(C188="COUPON","Coupon",IF(C188="ACCRUED INT","Accrued Int.",IF(C188="SEC LENDING","Sec. Lending",IF(C188="REDEMPTION","Redemption",IF(C188="DISTRIBUTION","Distribution",IF(ISNUMBER(SEARCH("Rimborso",'Statements (Raw)'!D186)),"Redemption",IF(ISNUMBER(SEARCH("Cedola",'Statements (Raw)'!D186)),"Coupon",IF(ISNUMBER(SEARCH("Incasso Dividendi",'Statements (Raw)'!D186)),"Dividend",IF(ISNUMBER(SEARCH("Provento Etf",'Statements (Raw)'!D186)),"Distribution",IF(ISNUMBER(SEARCH("Rit.provento",'Statements (Raw)'!D186)),"Tax",IF(ISNUMBER(SEARCH("Ratei Pass",'Statements (Raw)'!D186)),"Accrued Int.",IF(ISNUMBER(SEARCH("Interessi Prest",'Statements (Raw)'!D186)),"Sec. Lending",IF('Statements (Raw)'!G186="","Other",IF('Statements (Raw)'!G186&gt;0,"Buy","Sell"))))))))))))))))))))))</f>
        <v>Buy</v>
      </c>
      <c r="E188" s="6" t="str">
        <f t="shared" si="4"/>
        <v>Stock</v>
      </c>
      <c r="F188" s="8">
        <f>IF(A188="","",IF('Statements (Raw)'!E186="","",'Statements (Raw)'!E186))</f>
        <v>5.47</v>
      </c>
      <c r="G188" s="6" t="str">
        <f>IF(A188="","",IF('Statements (Raw)'!F186="","",'Statements (Raw)'!F186))</f>
        <v>EUR</v>
      </c>
      <c r="H188" s="9">
        <f>IF(A188="","",IF('Statements (Raw)'!G186="","",'Statements (Raw)'!G186))</f>
        <v>515</v>
      </c>
      <c r="I188" s="10">
        <f>IF(A188="","",IF('Statements (Raw)'!H186="","",'Statements (Raw)'!H186))</f>
        <v>-2817.05</v>
      </c>
      <c r="J188" s="10">
        <f>IF(A188="",0,IF('Statements (Raw)'!I186="",0,'Statements (Raw)'!I186))</f>
        <v>0</v>
      </c>
      <c r="K188" s="10">
        <f t="shared" si="5"/>
        <v>-2817.05</v>
      </c>
    </row>
    <row r="189" spans="1:11" x14ac:dyDescent="0.3">
      <c r="A189" s="171">
        <f>IF(OR('Statements (Raw)'!A187="",'Statements (Raw)'!A187&gt;Holdings!$G$3),"",'Statements (Raw)'!A187)</f>
        <v>45929</v>
      </c>
      <c r="B189" s="7">
        <f>IF(A189="","",IF('Statements (Raw)'!B187="","",'Statements (Raw)'!B187))</f>
        <v>45931</v>
      </c>
      <c r="C189" s="6" t="str">
        <f>IF(A189="","",IF('Statements (Raw)'!C187&lt;&gt;"",'Statements (Raw)'!C187,IF(ISNUMBER(SEARCH("Conferimento",'Statements (Raw)'!D187)),"CASH DEPOSIT",IF(ISNUMBER(SEARCH("Prelievo",'Statements (Raw)'!D187)),"CASH WITHDRAWAL",IF(ISNUMBER(SEARCH("Bollo",'Statements (Raw)'!D187)),"STAMP DUTY",IF(ISNUMBER(SEARCH("Tobin Tax",'Statements (Raw)'!D187)),"TOBIN TAX",IF(ISNUMBER(SEARCH("Rit.provento",'Statements (Raw)'!D187)),"WITHHOLDING TAX",IF(ISNUMBER(SEARCH("Incasso Dividendi",'Statements (Raw)'!D187)),"DIVIDEND",IF(ISNUMBER(SEARCH("Cedola",'Statements (Raw)'!D187)),"COUPON",IF(ISNUMBER(SEARCH("Ratei Pass",'Statements (Raw)'!D187)),"ACCRUED INT",IF(ISNUMBER(SEARCH("Interessi Prest",'Statements (Raw)'!D187)),"SEC LENDING",IF(ISNUMBER(SEARCH("Rimborso",'Statements (Raw)'!D187)),"REDEMPTION",IF(ISNUMBER(SEARCH("Provento",'Statements (Raw)'!D187)),"DISTRIBUTION","OTHER")))))))))))))</f>
        <v>D AMICO</v>
      </c>
      <c r="D189" s="6" t="str">
        <f>IF(A189="","",IF(C189="Saldo Iniziale","Balance",IF(C189="CASH DEPOSIT","Deposit",IF(C189="CASH WITHDRAWAL","Withdrawal",IF(C189="STAMP DUTY","Tax",IF(C189="TOBIN TAX","Tax",IF(C189="WITHHOLDING TAX","Tax",IF(C189="DIVIDEND","Dividend",IF(C189="COUPON","Coupon",IF(C189="ACCRUED INT","Accrued Int.",IF(C189="SEC LENDING","Sec. Lending",IF(C189="REDEMPTION","Redemption",IF(C189="DISTRIBUTION","Distribution",IF(ISNUMBER(SEARCH("Rimborso",'Statements (Raw)'!D187)),"Redemption",IF(ISNUMBER(SEARCH("Cedola",'Statements (Raw)'!D187)),"Coupon",IF(ISNUMBER(SEARCH("Incasso Dividendi",'Statements (Raw)'!D187)),"Dividend",IF(ISNUMBER(SEARCH("Provento Etf",'Statements (Raw)'!D187)),"Distribution",IF(ISNUMBER(SEARCH("Rit.provento",'Statements (Raw)'!D187)),"Tax",IF(ISNUMBER(SEARCH("Ratei Pass",'Statements (Raw)'!D187)),"Accrued Int.",IF(ISNUMBER(SEARCH("Interessi Prest",'Statements (Raw)'!D187)),"Sec. Lending",IF('Statements (Raw)'!G187="","Other",IF('Statements (Raw)'!G187&gt;0,"Buy","Sell"))))))))))))))))))))))</f>
        <v>Buy</v>
      </c>
      <c r="E189" s="6" t="str">
        <f t="shared" si="4"/>
        <v>Stock</v>
      </c>
      <c r="F189" s="8">
        <f>IF(A189="","",IF('Statements (Raw)'!E187="","",'Statements (Raw)'!E187))</f>
        <v>4.3860000000000001</v>
      </c>
      <c r="G189" s="6" t="str">
        <f>IF(A189="","",IF('Statements (Raw)'!F187="","",'Statements (Raw)'!F187))</f>
        <v>EUR</v>
      </c>
      <c r="H189" s="9">
        <f>IF(A189="","",IF('Statements (Raw)'!G187="","",'Statements (Raw)'!G187))</f>
        <v>300</v>
      </c>
      <c r="I189" s="10">
        <f>IF(A189="","",IF('Statements (Raw)'!H187="","",'Statements (Raw)'!H187))</f>
        <v>-1315.8</v>
      </c>
      <c r="J189" s="10">
        <f>IF(A189="",0,IF('Statements (Raw)'!I187="",0,'Statements (Raw)'!I187))</f>
        <v>-5</v>
      </c>
      <c r="K189" s="10">
        <f t="shared" si="5"/>
        <v>-1320.8</v>
      </c>
    </row>
    <row r="190" spans="1:11" x14ac:dyDescent="0.3">
      <c r="A190" s="171">
        <f>IF(OR('Statements (Raw)'!A188="",'Statements (Raw)'!A188&gt;Holdings!$G$3),"",'Statements (Raw)'!A188)</f>
        <v>45929</v>
      </c>
      <c r="B190" s="7">
        <f>IF(A190="","",IF('Statements (Raw)'!B188="","",'Statements (Raw)'!B188))</f>
        <v>45931</v>
      </c>
      <c r="C190" s="6" t="str">
        <f>IF(A190="","",IF('Statements (Raw)'!C188&lt;&gt;"",'Statements (Raw)'!C188,IF(ISNUMBER(SEARCH("Conferimento",'Statements (Raw)'!D188)),"CASH DEPOSIT",IF(ISNUMBER(SEARCH("Prelievo",'Statements (Raw)'!D188)),"CASH WITHDRAWAL",IF(ISNUMBER(SEARCH("Bollo",'Statements (Raw)'!D188)),"STAMP DUTY",IF(ISNUMBER(SEARCH("Tobin Tax",'Statements (Raw)'!D188)),"TOBIN TAX",IF(ISNUMBER(SEARCH("Rit.provento",'Statements (Raw)'!D188)),"WITHHOLDING TAX",IF(ISNUMBER(SEARCH("Incasso Dividendi",'Statements (Raw)'!D188)),"DIVIDEND",IF(ISNUMBER(SEARCH("Cedola",'Statements (Raw)'!D188)),"COUPON",IF(ISNUMBER(SEARCH("Ratei Pass",'Statements (Raw)'!D188)),"ACCRUED INT",IF(ISNUMBER(SEARCH("Interessi Prest",'Statements (Raw)'!D188)),"SEC LENDING",IF(ISNUMBER(SEARCH("Rimborso",'Statements (Raw)'!D188)),"REDEMPTION",IF(ISNUMBER(SEARCH("Provento",'Statements (Raw)'!D188)),"DISTRIBUTION","OTHER")))))))))))))</f>
        <v>D AMICO</v>
      </c>
      <c r="D190" s="6" t="str">
        <f>IF(A190="","",IF(C190="Saldo Iniziale","Balance",IF(C190="CASH DEPOSIT","Deposit",IF(C190="CASH WITHDRAWAL","Withdrawal",IF(C190="STAMP DUTY","Tax",IF(C190="TOBIN TAX","Tax",IF(C190="WITHHOLDING TAX","Tax",IF(C190="DIVIDEND","Dividend",IF(C190="COUPON","Coupon",IF(C190="ACCRUED INT","Accrued Int.",IF(C190="SEC LENDING","Sec. Lending",IF(C190="REDEMPTION","Redemption",IF(C190="DISTRIBUTION","Distribution",IF(ISNUMBER(SEARCH("Rimborso",'Statements (Raw)'!D188)),"Redemption",IF(ISNUMBER(SEARCH("Cedola",'Statements (Raw)'!D188)),"Coupon",IF(ISNUMBER(SEARCH("Incasso Dividendi",'Statements (Raw)'!D188)),"Dividend",IF(ISNUMBER(SEARCH("Provento Etf",'Statements (Raw)'!D188)),"Distribution",IF(ISNUMBER(SEARCH("Rit.provento",'Statements (Raw)'!D188)),"Tax",IF(ISNUMBER(SEARCH("Ratei Pass",'Statements (Raw)'!D188)),"Accrued Int.",IF(ISNUMBER(SEARCH("Interessi Prest",'Statements (Raw)'!D188)),"Sec. Lending",IF('Statements (Raw)'!G188="","Other",IF('Statements (Raw)'!G188&gt;0,"Buy","Sell"))))))))))))))))))))))</f>
        <v>Buy</v>
      </c>
      <c r="E190" s="6" t="str">
        <f t="shared" si="4"/>
        <v>Stock</v>
      </c>
      <c r="F190" s="8">
        <f>IF(A190="","",IF('Statements (Raw)'!E188="","",'Statements (Raw)'!E188))</f>
        <v>4.3860000000000001</v>
      </c>
      <c r="G190" s="6" t="str">
        <f>IF(A190="","",IF('Statements (Raw)'!F188="","",'Statements (Raw)'!F188))</f>
        <v>EUR</v>
      </c>
      <c r="H190" s="9">
        <f>IF(A190="","",IF('Statements (Raw)'!G188="","",'Statements (Raw)'!G188))</f>
        <v>143</v>
      </c>
      <c r="I190" s="10">
        <f>IF(A190="","",IF('Statements (Raw)'!H188="","",'Statements (Raw)'!H188))</f>
        <v>-627.20000000000005</v>
      </c>
      <c r="J190" s="10">
        <f>IF(A190="",0,IF('Statements (Raw)'!I188="",0,'Statements (Raw)'!I188))</f>
        <v>0</v>
      </c>
      <c r="K190" s="10">
        <f t="shared" si="5"/>
        <v>-627.20000000000005</v>
      </c>
    </row>
    <row r="191" spans="1:11" x14ac:dyDescent="0.3">
      <c r="A191" s="171">
        <f>IF(OR('Statements (Raw)'!A189="",'Statements (Raw)'!A189&gt;Holdings!$G$3),"",'Statements (Raw)'!A189)</f>
        <v>45929</v>
      </c>
      <c r="B191" s="7">
        <f>IF(A191="","",IF('Statements (Raw)'!B189="","",'Statements (Raw)'!B189))</f>
        <v>45931</v>
      </c>
      <c r="C191" s="6" t="str">
        <f>IF(A191="","",IF('Statements (Raw)'!C189&lt;&gt;"",'Statements (Raw)'!C189,IF(ISNUMBER(SEARCH("Conferimento",'Statements (Raw)'!D189)),"CASH DEPOSIT",IF(ISNUMBER(SEARCH("Prelievo",'Statements (Raw)'!D189)),"CASH WITHDRAWAL",IF(ISNUMBER(SEARCH("Bollo",'Statements (Raw)'!D189)),"STAMP DUTY",IF(ISNUMBER(SEARCH("Tobin Tax",'Statements (Raw)'!D189)),"TOBIN TAX",IF(ISNUMBER(SEARCH("Rit.provento",'Statements (Raw)'!D189)),"WITHHOLDING TAX",IF(ISNUMBER(SEARCH("Incasso Dividendi",'Statements (Raw)'!D189)),"DIVIDEND",IF(ISNUMBER(SEARCH("Cedola",'Statements (Raw)'!D189)),"COUPON",IF(ISNUMBER(SEARCH("Ratei Pass",'Statements (Raw)'!D189)),"ACCRUED INT",IF(ISNUMBER(SEARCH("Interessi Prest",'Statements (Raw)'!D189)),"SEC LENDING",IF(ISNUMBER(SEARCH("Rimborso",'Statements (Raw)'!D189)),"REDEMPTION",IF(ISNUMBER(SEARCH("Provento",'Statements (Raw)'!D189)),"DISTRIBUTION","OTHER")))))))))))))</f>
        <v>D AMICO</v>
      </c>
      <c r="D191" s="6" t="str">
        <f>IF(A191="","",IF(C191="Saldo Iniziale","Balance",IF(C191="CASH DEPOSIT","Deposit",IF(C191="CASH WITHDRAWAL","Withdrawal",IF(C191="STAMP DUTY","Tax",IF(C191="TOBIN TAX","Tax",IF(C191="WITHHOLDING TAX","Tax",IF(C191="DIVIDEND","Dividend",IF(C191="COUPON","Coupon",IF(C191="ACCRUED INT","Accrued Int.",IF(C191="SEC LENDING","Sec. Lending",IF(C191="REDEMPTION","Redemption",IF(C191="DISTRIBUTION","Distribution",IF(ISNUMBER(SEARCH("Rimborso",'Statements (Raw)'!D189)),"Redemption",IF(ISNUMBER(SEARCH("Cedola",'Statements (Raw)'!D189)),"Coupon",IF(ISNUMBER(SEARCH("Incasso Dividendi",'Statements (Raw)'!D189)),"Dividend",IF(ISNUMBER(SEARCH("Provento Etf",'Statements (Raw)'!D189)),"Distribution",IF(ISNUMBER(SEARCH("Rit.provento",'Statements (Raw)'!D189)),"Tax",IF(ISNUMBER(SEARCH("Ratei Pass",'Statements (Raw)'!D189)),"Accrued Int.",IF(ISNUMBER(SEARCH("Interessi Prest",'Statements (Raw)'!D189)),"Sec. Lending",IF('Statements (Raw)'!G189="","Other",IF('Statements (Raw)'!G189&gt;0,"Buy","Sell"))))))))))))))))))))))</f>
        <v>Buy</v>
      </c>
      <c r="E191" s="6" t="str">
        <f t="shared" si="4"/>
        <v>Stock</v>
      </c>
      <c r="F191" s="8">
        <f>IF(A191="","",IF('Statements (Raw)'!E189="","",'Statements (Raw)'!E189))</f>
        <v>4.3860000000000001</v>
      </c>
      <c r="G191" s="6" t="str">
        <f>IF(A191="","",IF('Statements (Raw)'!F189="","",'Statements (Raw)'!F189))</f>
        <v>EUR</v>
      </c>
      <c r="H191" s="9">
        <f>IF(A191="","",IF('Statements (Raw)'!G189="","",'Statements (Raw)'!G189))</f>
        <v>338</v>
      </c>
      <c r="I191" s="10">
        <f>IF(A191="","",IF('Statements (Raw)'!H189="","",'Statements (Raw)'!H189))</f>
        <v>-1482.47</v>
      </c>
      <c r="J191" s="10">
        <f>IF(A191="",0,IF('Statements (Raw)'!I189="",0,'Statements (Raw)'!I189))</f>
        <v>0</v>
      </c>
      <c r="K191" s="10">
        <f t="shared" si="5"/>
        <v>-1482.47</v>
      </c>
    </row>
    <row r="192" spans="1:11" x14ac:dyDescent="0.3">
      <c r="A192" s="171">
        <f>IF(OR('Statements (Raw)'!A190="",'Statements (Raw)'!A190&gt;Holdings!$G$3),"",'Statements (Raw)'!A190)</f>
        <v>45929</v>
      </c>
      <c r="B192" s="7">
        <f>IF(A192="","",IF('Statements (Raw)'!B190="","",'Statements (Raw)'!B190))</f>
        <v>45931</v>
      </c>
      <c r="C192" s="6" t="str">
        <f>IF(A192="","",IF('Statements (Raw)'!C190&lt;&gt;"",'Statements (Raw)'!C190,IF(ISNUMBER(SEARCH("Conferimento",'Statements (Raw)'!D190)),"CASH DEPOSIT",IF(ISNUMBER(SEARCH("Prelievo",'Statements (Raw)'!D190)),"CASH WITHDRAWAL",IF(ISNUMBER(SEARCH("Bollo",'Statements (Raw)'!D190)),"STAMP DUTY",IF(ISNUMBER(SEARCH("Tobin Tax",'Statements (Raw)'!D190)),"TOBIN TAX",IF(ISNUMBER(SEARCH("Rit.provento",'Statements (Raw)'!D190)),"WITHHOLDING TAX",IF(ISNUMBER(SEARCH("Incasso Dividendi",'Statements (Raw)'!D190)),"DIVIDEND",IF(ISNUMBER(SEARCH("Cedola",'Statements (Raw)'!D190)),"COUPON",IF(ISNUMBER(SEARCH("Ratei Pass",'Statements (Raw)'!D190)),"ACCRUED INT",IF(ISNUMBER(SEARCH("Interessi Prest",'Statements (Raw)'!D190)),"SEC LENDING",IF(ISNUMBER(SEARCH("Rimborso",'Statements (Raw)'!D190)),"REDEMPTION",IF(ISNUMBER(SEARCH("Provento",'Statements (Raw)'!D190)),"DISTRIBUTION","OTHER")))))))))))))</f>
        <v>D AMICO</v>
      </c>
      <c r="D192" s="6" t="str">
        <f>IF(A192="","",IF(C192="Saldo Iniziale","Balance",IF(C192="CASH DEPOSIT","Deposit",IF(C192="CASH WITHDRAWAL","Withdrawal",IF(C192="STAMP DUTY","Tax",IF(C192="TOBIN TAX","Tax",IF(C192="WITHHOLDING TAX","Tax",IF(C192="DIVIDEND","Dividend",IF(C192="COUPON","Coupon",IF(C192="ACCRUED INT","Accrued Int.",IF(C192="SEC LENDING","Sec. Lending",IF(C192="REDEMPTION","Redemption",IF(C192="DISTRIBUTION","Distribution",IF(ISNUMBER(SEARCH("Rimborso",'Statements (Raw)'!D190)),"Redemption",IF(ISNUMBER(SEARCH("Cedola",'Statements (Raw)'!D190)),"Coupon",IF(ISNUMBER(SEARCH("Incasso Dividendi",'Statements (Raw)'!D190)),"Dividend",IF(ISNUMBER(SEARCH("Provento Etf",'Statements (Raw)'!D190)),"Distribution",IF(ISNUMBER(SEARCH("Rit.provento",'Statements (Raw)'!D190)),"Tax",IF(ISNUMBER(SEARCH("Ratei Pass",'Statements (Raw)'!D190)),"Accrued Int.",IF(ISNUMBER(SEARCH("Interessi Prest",'Statements (Raw)'!D190)),"Sec. Lending",IF('Statements (Raw)'!G190="","Other",IF('Statements (Raw)'!G190&gt;0,"Buy","Sell"))))))))))))))))))))))</f>
        <v>Buy</v>
      </c>
      <c r="E192" s="6" t="str">
        <f t="shared" si="4"/>
        <v>Stock</v>
      </c>
      <c r="F192" s="8">
        <f>IF(A192="","",IF('Statements (Raw)'!E190="","",'Statements (Raw)'!E190))</f>
        <v>4.3879999999999999</v>
      </c>
      <c r="G192" s="6" t="str">
        <f>IF(A192="","",IF('Statements (Raw)'!F190="","",'Statements (Raw)'!F190))</f>
        <v>EUR</v>
      </c>
      <c r="H192" s="9">
        <f>IF(A192="","",IF('Statements (Raw)'!G190="","",'Statements (Raw)'!G190))</f>
        <v>134</v>
      </c>
      <c r="I192" s="10">
        <f>IF(A192="","",IF('Statements (Raw)'!H190="","",'Statements (Raw)'!H190))</f>
        <v>-587.99</v>
      </c>
      <c r="J192" s="10">
        <f>IF(A192="",0,IF('Statements (Raw)'!I190="",0,'Statements (Raw)'!I190))</f>
        <v>0</v>
      </c>
      <c r="K192" s="10">
        <f t="shared" si="5"/>
        <v>-587.99</v>
      </c>
    </row>
    <row r="193" spans="1:11" x14ac:dyDescent="0.3">
      <c r="A193" s="171">
        <f>IF(OR('Statements (Raw)'!A191="",'Statements (Raw)'!A191&gt;Holdings!$G$3),"",'Statements (Raw)'!A191)</f>
        <v>45929</v>
      </c>
      <c r="B193" s="7">
        <f>IF(A193="","",IF('Statements (Raw)'!B191="","",'Statements (Raw)'!B191))</f>
        <v>45931</v>
      </c>
      <c r="C193" s="6" t="str">
        <f>IF(A193="","",IF('Statements (Raw)'!C191&lt;&gt;"",'Statements (Raw)'!C191,IF(ISNUMBER(SEARCH("Conferimento",'Statements (Raw)'!D191)),"CASH DEPOSIT",IF(ISNUMBER(SEARCH("Prelievo",'Statements (Raw)'!D191)),"CASH WITHDRAWAL",IF(ISNUMBER(SEARCH("Bollo",'Statements (Raw)'!D191)),"STAMP DUTY",IF(ISNUMBER(SEARCH("Tobin Tax",'Statements (Raw)'!D191)),"TOBIN TAX",IF(ISNUMBER(SEARCH("Rit.provento",'Statements (Raw)'!D191)),"WITHHOLDING TAX",IF(ISNUMBER(SEARCH("Incasso Dividendi",'Statements (Raw)'!D191)),"DIVIDEND",IF(ISNUMBER(SEARCH("Cedola",'Statements (Raw)'!D191)),"COUPON",IF(ISNUMBER(SEARCH("Ratei Pass",'Statements (Raw)'!D191)),"ACCRUED INT",IF(ISNUMBER(SEARCH("Interessi Prest",'Statements (Raw)'!D191)),"SEC LENDING",IF(ISNUMBER(SEARCH("Rimborso",'Statements (Raw)'!D191)),"REDEMPTION",IF(ISNUMBER(SEARCH("Provento",'Statements (Raw)'!D191)),"DISTRIBUTION","OTHER")))))))))))))</f>
        <v>D AMICO</v>
      </c>
      <c r="D193" s="6" t="str">
        <f>IF(A193="","",IF(C193="Saldo Iniziale","Balance",IF(C193="CASH DEPOSIT","Deposit",IF(C193="CASH WITHDRAWAL","Withdrawal",IF(C193="STAMP DUTY","Tax",IF(C193="TOBIN TAX","Tax",IF(C193="WITHHOLDING TAX","Tax",IF(C193="DIVIDEND","Dividend",IF(C193="COUPON","Coupon",IF(C193="ACCRUED INT","Accrued Int.",IF(C193="SEC LENDING","Sec. Lending",IF(C193="REDEMPTION","Redemption",IF(C193="DISTRIBUTION","Distribution",IF(ISNUMBER(SEARCH("Rimborso",'Statements (Raw)'!D191)),"Redemption",IF(ISNUMBER(SEARCH("Cedola",'Statements (Raw)'!D191)),"Coupon",IF(ISNUMBER(SEARCH("Incasso Dividendi",'Statements (Raw)'!D191)),"Dividend",IF(ISNUMBER(SEARCH("Provento Etf",'Statements (Raw)'!D191)),"Distribution",IF(ISNUMBER(SEARCH("Rit.provento",'Statements (Raw)'!D191)),"Tax",IF(ISNUMBER(SEARCH("Ratei Pass",'Statements (Raw)'!D191)),"Accrued Int.",IF(ISNUMBER(SEARCH("Interessi Prest",'Statements (Raw)'!D191)),"Sec. Lending",IF('Statements (Raw)'!G191="","Other",IF('Statements (Raw)'!G191&gt;0,"Buy","Sell"))))))))))))))))))))))</f>
        <v>Buy</v>
      </c>
      <c r="E193" s="6" t="str">
        <f t="shared" si="4"/>
        <v>Stock</v>
      </c>
      <c r="F193" s="8">
        <f>IF(A193="","",IF('Statements (Raw)'!E191="","",'Statements (Raw)'!E191))</f>
        <v>4.3879999999999999</v>
      </c>
      <c r="G193" s="6" t="str">
        <f>IF(A193="","",IF('Statements (Raw)'!F191="","",'Statements (Raw)'!F191))</f>
        <v>EUR</v>
      </c>
      <c r="H193" s="9">
        <f>IF(A193="","",IF('Statements (Raw)'!G191="","",'Statements (Raw)'!G191))</f>
        <v>281</v>
      </c>
      <c r="I193" s="10">
        <f>IF(A193="","",IF('Statements (Raw)'!H191="","",'Statements (Raw)'!H191))</f>
        <v>-1233.03</v>
      </c>
      <c r="J193" s="10">
        <f>IF(A193="",0,IF('Statements (Raw)'!I191="",0,'Statements (Raw)'!I191))</f>
        <v>0</v>
      </c>
      <c r="K193" s="10">
        <f t="shared" si="5"/>
        <v>-1233.03</v>
      </c>
    </row>
    <row r="194" spans="1:11" x14ac:dyDescent="0.3">
      <c r="A194" s="171">
        <f>IF(OR('Statements (Raw)'!A192="",'Statements (Raw)'!A192&gt;Holdings!$G$3),"",'Statements (Raw)'!A192)</f>
        <v>45929</v>
      </c>
      <c r="B194" s="7">
        <f>IF(A194="","",IF('Statements (Raw)'!B192="","",'Statements (Raw)'!B192))</f>
        <v>45931</v>
      </c>
      <c r="C194" s="6" t="str">
        <f>IF(A194="","",IF('Statements (Raw)'!C192&lt;&gt;"",'Statements (Raw)'!C192,IF(ISNUMBER(SEARCH("Conferimento",'Statements (Raw)'!D192)),"CASH DEPOSIT",IF(ISNUMBER(SEARCH("Prelievo",'Statements (Raw)'!D192)),"CASH WITHDRAWAL",IF(ISNUMBER(SEARCH("Bollo",'Statements (Raw)'!D192)),"STAMP DUTY",IF(ISNUMBER(SEARCH("Tobin Tax",'Statements (Raw)'!D192)),"TOBIN TAX",IF(ISNUMBER(SEARCH("Rit.provento",'Statements (Raw)'!D192)),"WITHHOLDING TAX",IF(ISNUMBER(SEARCH("Incasso Dividendi",'Statements (Raw)'!D192)),"DIVIDEND",IF(ISNUMBER(SEARCH("Cedola",'Statements (Raw)'!D192)),"COUPON",IF(ISNUMBER(SEARCH("Ratei Pass",'Statements (Raw)'!D192)),"ACCRUED INT",IF(ISNUMBER(SEARCH("Interessi Prest",'Statements (Raw)'!D192)),"SEC LENDING",IF(ISNUMBER(SEARCH("Rimborso",'Statements (Raw)'!D192)),"REDEMPTION",IF(ISNUMBER(SEARCH("Provento",'Statements (Raw)'!D192)),"DISTRIBUTION","OTHER")))))))))))))</f>
        <v>D AMICO</v>
      </c>
      <c r="D194" s="6" t="str">
        <f>IF(A194="","",IF(C194="Saldo Iniziale","Balance",IF(C194="CASH DEPOSIT","Deposit",IF(C194="CASH WITHDRAWAL","Withdrawal",IF(C194="STAMP DUTY","Tax",IF(C194="TOBIN TAX","Tax",IF(C194="WITHHOLDING TAX","Tax",IF(C194="DIVIDEND","Dividend",IF(C194="COUPON","Coupon",IF(C194="ACCRUED INT","Accrued Int.",IF(C194="SEC LENDING","Sec. Lending",IF(C194="REDEMPTION","Redemption",IF(C194="DISTRIBUTION","Distribution",IF(ISNUMBER(SEARCH("Rimborso",'Statements (Raw)'!D192)),"Redemption",IF(ISNUMBER(SEARCH("Cedola",'Statements (Raw)'!D192)),"Coupon",IF(ISNUMBER(SEARCH("Incasso Dividendi",'Statements (Raw)'!D192)),"Dividend",IF(ISNUMBER(SEARCH("Provento Etf",'Statements (Raw)'!D192)),"Distribution",IF(ISNUMBER(SEARCH("Rit.provento",'Statements (Raw)'!D192)),"Tax",IF(ISNUMBER(SEARCH("Ratei Pass",'Statements (Raw)'!D192)),"Accrued Int.",IF(ISNUMBER(SEARCH("Interessi Prest",'Statements (Raw)'!D192)),"Sec. Lending",IF('Statements (Raw)'!G192="","Other",IF('Statements (Raw)'!G192&gt;0,"Buy","Sell"))))))))))))))))))))))</f>
        <v>Buy</v>
      </c>
      <c r="E194" s="6" t="str">
        <f t="shared" si="4"/>
        <v>Stock</v>
      </c>
      <c r="F194" s="8">
        <f>IF(A194="","",IF('Statements (Raw)'!E192="","",'Statements (Raw)'!E192))</f>
        <v>4.3899999999999997</v>
      </c>
      <c r="G194" s="6" t="str">
        <f>IF(A194="","",IF('Statements (Raw)'!F192="","",'Statements (Raw)'!F192))</f>
        <v>EUR</v>
      </c>
      <c r="H194" s="9">
        <f>IF(A194="","",IF('Statements (Raw)'!G192="","",'Statements (Raw)'!G192))</f>
        <v>400</v>
      </c>
      <c r="I194" s="10">
        <f>IF(A194="","",IF('Statements (Raw)'!H192="","",'Statements (Raw)'!H192))</f>
        <v>-1756</v>
      </c>
      <c r="J194" s="10">
        <f>IF(A194="",0,IF('Statements (Raw)'!I192="",0,'Statements (Raw)'!I192))</f>
        <v>0</v>
      </c>
      <c r="K194" s="10">
        <f t="shared" si="5"/>
        <v>-1756</v>
      </c>
    </row>
    <row r="195" spans="1:11" x14ac:dyDescent="0.3">
      <c r="A195" s="171">
        <f>IF(OR('Statements (Raw)'!A193="",'Statements (Raw)'!A193&gt;Holdings!$G$3),"",'Statements (Raw)'!A193)</f>
        <v>45929</v>
      </c>
      <c r="B195" s="7">
        <f>IF(A195="","",IF('Statements (Raw)'!B193="","",'Statements (Raw)'!B193))</f>
        <v>45931</v>
      </c>
      <c r="C195" s="6" t="str">
        <f>IF(A195="","",IF('Statements (Raw)'!C193&lt;&gt;"",'Statements (Raw)'!C193,IF(ISNUMBER(SEARCH("Conferimento",'Statements (Raw)'!D193)),"CASH DEPOSIT",IF(ISNUMBER(SEARCH("Prelievo",'Statements (Raw)'!D193)),"CASH WITHDRAWAL",IF(ISNUMBER(SEARCH("Bollo",'Statements (Raw)'!D193)),"STAMP DUTY",IF(ISNUMBER(SEARCH("Tobin Tax",'Statements (Raw)'!D193)),"TOBIN TAX",IF(ISNUMBER(SEARCH("Rit.provento",'Statements (Raw)'!D193)),"WITHHOLDING TAX",IF(ISNUMBER(SEARCH("Incasso Dividendi",'Statements (Raw)'!D193)),"DIVIDEND",IF(ISNUMBER(SEARCH("Cedola",'Statements (Raw)'!D193)),"COUPON",IF(ISNUMBER(SEARCH("Ratei Pass",'Statements (Raw)'!D193)),"ACCRUED INT",IF(ISNUMBER(SEARCH("Interessi Prest",'Statements (Raw)'!D193)),"SEC LENDING",IF(ISNUMBER(SEARCH("Rimborso",'Statements (Raw)'!D193)),"REDEMPTION",IF(ISNUMBER(SEARCH("Provento",'Statements (Raw)'!D193)),"DISTRIBUTION","OTHER")))))))))))))</f>
        <v>D AMICO</v>
      </c>
      <c r="D195" s="6" t="str">
        <f>IF(A195="","",IF(C195="Saldo Iniziale","Balance",IF(C195="CASH DEPOSIT","Deposit",IF(C195="CASH WITHDRAWAL","Withdrawal",IF(C195="STAMP DUTY","Tax",IF(C195="TOBIN TAX","Tax",IF(C195="WITHHOLDING TAX","Tax",IF(C195="DIVIDEND","Dividend",IF(C195="COUPON","Coupon",IF(C195="ACCRUED INT","Accrued Int.",IF(C195="SEC LENDING","Sec. Lending",IF(C195="REDEMPTION","Redemption",IF(C195="DISTRIBUTION","Distribution",IF(ISNUMBER(SEARCH("Rimborso",'Statements (Raw)'!D193)),"Redemption",IF(ISNUMBER(SEARCH("Cedola",'Statements (Raw)'!D193)),"Coupon",IF(ISNUMBER(SEARCH("Incasso Dividendi",'Statements (Raw)'!D193)),"Dividend",IF(ISNUMBER(SEARCH("Provento Etf",'Statements (Raw)'!D193)),"Distribution",IF(ISNUMBER(SEARCH("Rit.provento",'Statements (Raw)'!D193)),"Tax",IF(ISNUMBER(SEARCH("Ratei Pass",'Statements (Raw)'!D193)),"Accrued Int.",IF(ISNUMBER(SEARCH("Interessi Prest",'Statements (Raw)'!D193)),"Sec. Lending",IF('Statements (Raw)'!G193="","Other",IF('Statements (Raw)'!G193&gt;0,"Buy","Sell"))))))))))))))))))))))</f>
        <v>Buy</v>
      </c>
      <c r="E195" s="6" t="str">
        <f t="shared" si="4"/>
        <v>Stock</v>
      </c>
      <c r="F195" s="8">
        <f>IF(A195="","",IF('Statements (Raw)'!E193="","",'Statements (Raw)'!E193))</f>
        <v>4.3899999999999997</v>
      </c>
      <c r="G195" s="6" t="str">
        <f>IF(A195="","",IF('Statements (Raw)'!F193="","",'Statements (Raw)'!F193))</f>
        <v>EUR</v>
      </c>
      <c r="H195" s="9">
        <f>IF(A195="","",IF('Statements (Raw)'!G193="","",'Statements (Raw)'!G193))</f>
        <v>134</v>
      </c>
      <c r="I195" s="10">
        <f>IF(A195="","",IF('Statements (Raw)'!H193="","",'Statements (Raw)'!H193))</f>
        <v>-588.26</v>
      </c>
      <c r="J195" s="10">
        <f>IF(A195="",0,IF('Statements (Raw)'!I193="",0,'Statements (Raw)'!I193))</f>
        <v>0</v>
      </c>
      <c r="K195" s="10">
        <f t="shared" si="5"/>
        <v>-588.26</v>
      </c>
    </row>
    <row r="196" spans="1:11" x14ac:dyDescent="0.3">
      <c r="A196" s="171">
        <f>IF(OR('Statements (Raw)'!A194="",'Statements (Raw)'!A194&gt;Holdings!$G$3),"",'Statements (Raw)'!A194)</f>
        <v>45929</v>
      </c>
      <c r="B196" s="7">
        <f>IF(A196="","",IF('Statements (Raw)'!B194="","",'Statements (Raw)'!B194))</f>
        <v>45931</v>
      </c>
      <c r="C196" s="6" t="str">
        <f>IF(A196="","",IF('Statements (Raw)'!C194&lt;&gt;"",'Statements (Raw)'!C194,IF(ISNUMBER(SEARCH("Conferimento",'Statements (Raw)'!D194)),"CASH DEPOSIT",IF(ISNUMBER(SEARCH("Prelievo",'Statements (Raw)'!D194)),"CASH WITHDRAWAL",IF(ISNUMBER(SEARCH("Bollo",'Statements (Raw)'!D194)),"STAMP DUTY",IF(ISNUMBER(SEARCH("Tobin Tax",'Statements (Raw)'!D194)),"TOBIN TAX",IF(ISNUMBER(SEARCH("Rit.provento",'Statements (Raw)'!D194)),"WITHHOLDING TAX",IF(ISNUMBER(SEARCH("Incasso Dividendi",'Statements (Raw)'!D194)),"DIVIDEND",IF(ISNUMBER(SEARCH("Cedola",'Statements (Raw)'!D194)),"COUPON",IF(ISNUMBER(SEARCH("Ratei Pass",'Statements (Raw)'!D194)),"ACCRUED INT",IF(ISNUMBER(SEARCH("Interessi Prest",'Statements (Raw)'!D194)),"SEC LENDING",IF(ISNUMBER(SEARCH("Rimborso",'Statements (Raw)'!D194)),"REDEMPTION",IF(ISNUMBER(SEARCH("Provento",'Statements (Raw)'!D194)),"DISTRIBUTION","OTHER")))))))))))))</f>
        <v>D AMICO</v>
      </c>
      <c r="D196" s="6" t="str">
        <f>IF(A196="","",IF(C196="Saldo Iniziale","Balance",IF(C196="CASH DEPOSIT","Deposit",IF(C196="CASH WITHDRAWAL","Withdrawal",IF(C196="STAMP DUTY","Tax",IF(C196="TOBIN TAX","Tax",IF(C196="WITHHOLDING TAX","Tax",IF(C196="DIVIDEND","Dividend",IF(C196="COUPON","Coupon",IF(C196="ACCRUED INT","Accrued Int.",IF(C196="SEC LENDING","Sec. Lending",IF(C196="REDEMPTION","Redemption",IF(C196="DISTRIBUTION","Distribution",IF(ISNUMBER(SEARCH("Rimborso",'Statements (Raw)'!D194)),"Redemption",IF(ISNUMBER(SEARCH("Cedola",'Statements (Raw)'!D194)),"Coupon",IF(ISNUMBER(SEARCH("Incasso Dividendi",'Statements (Raw)'!D194)),"Dividend",IF(ISNUMBER(SEARCH("Provento Etf",'Statements (Raw)'!D194)),"Distribution",IF(ISNUMBER(SEARCH("Rit.provento",'Statements (Raw)'!D194)),"Tax",IF(ISNUMBER(SEARCH("Ratei Pass",'Statements (Raw)'!D194)),"Accrued Int.",IF(ISNUMBER(SEARCH("Interessi Prest",'Statements (Raw)'!D194)),"Sec. Lending",IF('Statements (Raw)'!G194="","Other",IF('Statements (Raw)'!G194&gt;0,"Buy","Sell"))))))))))))))))))))))</f>
        <v>Buy</v>
      </c>
      <c r="E196" s="6" t="str">
        <f t="shared" si="4"/>
        <v>Stock</v>
      </c>
      <c r="F196" s="8">
        <f>IF(A196="","",IF('Statements (Raw)'!E194="","",'Statements (Raw)'!E194))</f>
        <v>4.3920000000000003</v>
      </c>
      <c r="G196" s="6" t="str">
        <f>IF(A196="","",IF('Statements (Raw)'!F194="","",'Statements (Raw)'!F194))</f>
        <v>EUR</v>
      </c>
      <c r="H196" s="9">
        <f>IF(A196="","",IF('Statements (Raw)'!G194="","",'Statements (Raw)'!G194))</f>
        <v>270</v>
      </c>
      <c r="I196" s="10">
        <f>IF(A196="","",IF('Statements (Raw)'!H194="","",'Statements (Raw)'!H194))</f>
        <v>-1185.8399999999999</v>
      </c>
      <c r="J196" s="10">
        <f>IF(A196="",0,IF('Statements (Raw)'!I194="",0,'Statements (Raw)'!I194))</f>
        <v>0</v>
      </c>
      <c r="K196" s="10">
        <f t="shared" si="5"/>
        <v>-1185.8399999999999</v>
      </c>
    </row>
    <row r="197" spans="1:11" x14ac:dyDescent="0.3">
      <c r="A197" s="171">
        <f>IF(OR('Statements (Raw)'!A195="",'Statements (Raw)'!A195&gt;Holdings!$G$3),"",'Statements (Raw)'!A195)</f>
        <v>45929</v>
      </c>
      <c r="B197" s="7">
        <f>IF(A197="","",IF('Statements (Raw)'!B195="","",'Statements (Raw)'!B195))</f>
        <v>45931</v>
      </c>
      <c r="C197" s="6" t="str">
        <f>IF(A197="","",IF('Statements (Raw)'!C195&lt;&gt;"",'Statements (Raw)'!C195,IF(ISNUMBER(SEARCH("Conferimento",'Statements (Raw)'!D195)),"CASH DEPOSIT",IF(ISNUMBER(SEARCH("Prelievo",'Statements (Raw)'!D195)),"CASH WITHDRAWAL",IF(ISNUMBER(SEARCH("Bollo",'Statements (Raw)'!D195)),"STAMP DUTY",IF(ISNUMBER(SEARCH("Tobin Tax",'Statements (Raw)'!D195)),"TOBIN TAX",IF(ISNUMBER(SEARCH("Rit.provento",'Statements (Raw)'!D195)),"WITHHOLDING TAX",IF(ISNUMBER(SEARCH("Incasso Dividendi",'Statements (Raw)'!D195)),"DIVIDEND",IF(ISNUMBER(SEARCH("Cedola",'Statements (Raw)'!D195)),"COUPON",IF(ISNUMBER(SEARCH("Ratei Pass",'Statements (Raw)'!D195)),"ACCRUED INT",IF(ISNUMBER(SEARCH("Interessi Prest",'Statements (Raw)'!D195)),"SEC LENDING",IF(ISNUMBER(SEARCH("Rimborso",'Statements (Raw)'!D195)),"REDEMPTION",IF(ISNUMBER(SEARCH("Provento",'Statements (Raw)'!D195)),"DISTRIBUTION","OTHER")))))))))))))</f>
        <v>AZIMUT</v>
      </c>
      <c r="D197" s="6" t="str">
        <f>IF(A197="","",IF(C197="Saldo Iniziale","Balance",IF(C197="CASH DEPOSIT","Deposit",IF(C197="CASH WITHDRAWAL","Withdrawal",IF(C197="STAMP DUTY","Tax",IF(C197="TOBIN TAX","Tax",IF(C197="WITHHOLDING TAX","Tax",IF(C197="DIVIDEND","Dividend",IF(C197="COUPON","Coupon",IF(C197="ACCRUED INT","Accrued Int.",IF(C197="SEC LENDING","Sec. Lending",IF(C197="REDEMPTION","Redemption",IF(C197="DISTRIBUTION","Distribution",IF(ISNUMBER(SEARCH("Rimborso",'Statements (Raw)'!D195)),"Redemption",IF(ISNUMBER(SEARCH("Cedola",'Statements (Raw)'!D195)),"Coupon",IF(ISNUMBER(SEARCH("Incasso Dividendi",'Statements (Raw)'!D195)),"Dividend",IF(ISNUMBER(SEARCH("Provento Etf",'Statements (Raw)'!D195)),"Distribution",IF(ISNUMBER(SEARCH("Rit.provento",'Statements (Raw)'!D195)),"Tax",IF(ISNUMBER(SEARCH("Ratei Pass",'Statements (Raw)'!D195)),"Accrued Int.",IF(ISNUMBER(SEARCH("Interessi Prest",'Statements (Raw)'!D195)),"Sec. Lending",IF('Statements (Raw)'!G195="","Other",IF('Statements (Raw)'!G195&gt;0,"Buy","Sell"))))))))))))))))))))))</f>
        <v>Buy</v>
      </c>
      <c r="E197" s="6" t="str">
        <f t="shared" ref="E197:E260" si="6">IF(D197="","",IF(OR(D197="Balance",D197="Deposit",D197="Withdrawal"),"Cash",IF(D197="Tax","Tax/Fee",IF(OR(D197="Dividend",D197="Coupon",D197="Distribution",D197="Sec. Lending",D197="Accrued Int."),"Income",IF(D197="Redemption","Bond",IF(OR(D197="Buy",D197="Sell"),IF(OR(ISNUMBER(SEARCH("BOT ",C197)),ISNUMBER(SEARCH("BTP ",C197)),ISNUMBER(SEARCH("CARRARO",C197))),"Bond",IF(OR(ISNUMBER(SEARCH("isdom",C197)),ISNUMBER(SEARCH("ISHARES",C197)),ISNUMBER(SEARCH("iShares",C197))),"ETF/ETC",IF(OR(ISNUMBER(SEARCH("Bitwise",C197)),ISNUMBER(SEARCH("BITWISE",C197))),"Crypto ETP","Stock"))),"Other"))))))</f>
        <v>Stock</v>
      </c>
      <c r="F197" s="8">
        <f>IF(A197="","",IF('Statements (Raw)'!E195="","",'Statements (Raw)'!E195))</f>
        <v>31.52</v>
      </c>
      <c r="G197" s="6" t="str">
        <f>IF(A197="","",IF('Statements (Raw)'!F195="","",'Statements (Raw)'!F195))</f>
        <v>EUR</v>
      </c>
      <c r="H197" s="9">
        <f>IF(A197="","",IF('Statements (Raw)'!G195="","",'Statements (Raw)'!G195))</f>
        <v>257</v>
      </c>
      <c r="I197" s="10">
        <f>IF(A197="","",IF('Statements (Raw)'!H195="","",'Statements (Raw)'!H195))</f>
        <v>-8100.64</v>
      </c>
      <c r="J197" s="10">
        <f>IF(A197="",0,IF('Statements (Raw)'!I195="",0,'Statements (Raw)'!I195))</f>
        <v>-5</v>
      </c>
      <c r="K197" s="10">
        <f t="shared" ref="K197:K260" si="7">IF(I197="","",I197+J197)</f>
        <v>-8105.64</v>
      </c>
    </row>
    <row r="198" spans="1:11" x14ac:dyDescent="0.3">
      <c r="A198" s="171">
        <f>IF(OR('Statements (Raw)'!A196="",'Statements (Raw)'!A196&gt;Holdings!$G$3),"",'Statements (Raw)'!A196)</f>
        <v>45929</v>
      </c>
      <c r="B198" s="7">
        <f>IF(A198="","",IF('Statements (Raw)'!B196="","",'Statements (Raw)'!B196))</f>
        <v>45931</v>
      </c>
      <c r="C198" s="6" t="str">
        <f>IF(A198="","",IF('Statements (Raw)'!C196&lt;&gt;"",'Statements (Raw)'!C196,IF(ISNUMBER(SEARCH("Conferimento",'Statements (Raw)'!D196)),"CASH DEPOSIT",IF(ISNUMBER(SEARCH("Prelievo",'Statements (Raw)'!D196)),"CASH WITHDRAWAL",IF(ISNUMBER(SEARCH("Bollo",'Statements (Raw)'!D196)),"STAMP DUTY",IF(ISNUMBER(SEARCH("Tobin Tax",'Statements (Raw)'!D196)),"TOBIN TAX",IF(ISNUMBER(SEARCH("Rit.provento",'Statements (Raw)'!D196)),"WITHHOLDING TAX",IF(ISNUMBER(SEARCH("Incasso Dividendi",'Statements (Raw)'!D196)),"DIVIDEND",IF(ISNUMBER(SEARCH("Cedola",'Statements (Raw)'!D196)),"COUPON",IF(ISNUMBER(SEARCH("Ratei Pass",'Statements (Raw)'!D196)),"ACCRUED INT",IF(ISNUMBER(SEARCH("Interessi Prest",'Statements (Raw)'!D196)),"SEC LENDING",IF(ISNUMBER(SEARCH("Rimborso",'Statements (Raw)'!D196)),"REDEMPTION",IF(ISNUMBER(SEARCH("Provento",'Statements (Raw)'!D196)),"DISTRIBUTION","OTHER")))))))))))))</f>
        <v>AZIMUT</v>
      </c>
      <c r="D198" s="6" t="str">
        <f>IF(A198="","",IF(C198="Saldo Iniziale","Balance",IF(C198="CASH DEPOSIT","Deposit",IF(C198="CASH WITHDRAWAL","Withdrawal",IF(C198="STAMP DUTY","Tax",IF(C198="TOBIN TAX","Tax",IF(C198="WITHHOLDING TAX","Tax",IF(C198="DIVIDEND","Dividend",IF(C198="COUPON","Coupon",IF(C198="ACCRUED INT","Accrued Int.",IF(C198="SEC LENDING","Sec. Lending",IF(C198="REDEMPTION","Redemption",IF(C198="DISTRIBUTION","Distribution",IF(ISNUMBER(SEARCH("Rimborso",'Statements (Raw)'!D196)),"Redemption",IF(ISNUMBER(SEARCH("Cedola",'Statements (Raw)'!D196)),"Coupon",IF(ISNUMBER(SEARCH("Incasso Dividendi",'Statements (Raw)'!D196)),"Dividend",IF(ISNUMBER(SEARCH("Provento Etf",'Statements (Raw)'!D196)),"Distribution",IF(ISNUMBER(SEARCH("Rit.provento",'Statements (Raw)'!D196)),"Tax",IF(ISNUMBER(SEARCH("Ratei Pass",'Statements (Raw)'!D196)),"Accrued Int.",IF(ISNUMBER(SEARCH("Interessi Prest",'Statements (Raw)'!D196)),"Sec. Lending",IF('Statements (Raw)'!G196="","Other",IF('Statements (Raw)'!G196&gt;0,"Buy","Sell"))))))))))))))))))))))</f>
        <v>Buy</v>
      </c>
      <c r="E198" s="6" t="str">
        <f t="shared" si="6"/>
        <v>Stock</v>
      </c>
      <c r="F198" s="8">
        <f>IF(A198="","",IF('Statements (Raw)'!E196="","",'Statements (Raw)'!E196))</f>
        <v>31.52</v>
      </c>
      <c r="G198" s="6" t="str">
        <f>IF(A198="","",IF('Statements (Raw)'!F196="","",'Statements (Raw)'!F196))</f>
        <v>EUR</v>
      </c>
      <c r="H198" s="9">
        <f>IF(A198="","",IF('Statements (Raw)'!G196="","",'Statements (Raw)'!G196))</f>
        <v>100</v>
      </c>
      <c r="I198" s="10">
        <f>IF(A198="","",IF('Statements (Raw)'!H196="","",'Statements (Raw)'!H196))</f>
        <v>-3152</v>
      </c>
      <c r="J198" s="10">
        <f>IF(A198="",0,IF('Statements (Raw)'!I196="",0,'Statements (Raw)'!I196))</f>
        <v>0</v>
      </c>
      <c r="K198" s="10">
        <f t="shared" si="7"/>
        <v>-3152</v>
      </c>
    </row>
    <row r="199" spans="1:11" x14ac:dyDescent="0.3">
      <c r="A199" s="171">
        <f>IF(OR('Statements (Raw)'!A197="",'Statements (Raw)'!A197&gt;Holdings!$G$3),"",'Statements (Raw)'!A197)</f>
        <v>45929</v>
      </c>
      <c r="B199" s="7">
        <f>IF(A199="","",IF('Statements (Raw)'!B197="","",'Statements (Raw)'!B197))</f>
        <v>45931</v>
      </c>
      <c r="C199" s="6" t="str">
        <f>IF(A199="","",IF('Statements (Raw)'!C197&lt;&gt;"",'Statements (Raw)'!C197,IF(ISNUMBER(SEARCH("Conferimento",'Statements (Raw)'!D197)),"CASH DEPOSIT",IF(ISNUMBER(SEARCH("Prelievo",'Statements (Raw)'!D197)),"CASH WITHDRAWAL",IF(ISNUMBER(SEARCH("Bollo",'Statements (Raw)'!D197)),"STAMP DUTY",IF(ISNUMBER(SEARCH("Tobin Tax",'Statements (Raw)'!D197)),"TOBIN TAX",IF(ISNUMBER(SEARCH("Rit.provento",'Statements (Raw)'!D197)),"WITHHOLDING TAX",IF(ISNUMBER(SEARCH("Incasso Dividendi",'Statements (Raw)'!D197)),"DIVIDEND",IF(ISNUMBER(SEARCH("Cedola",'Statements (Raw)'!D197)),"COUPON",IF(ISNUMBER(SEARCH("Ratei Pass",'Statements (Raw)'!D197)),"ACCRUED INT",IF(ISNUMBER(SEARCH("Interessi Prest",'Statements (Raw)'!D197)),"SEC LENDING",IF(ISNUMBER(SEARCH("Rimborso",'Statements (Raw)'!D197)),"REDEMPTION",IF(ISNUMBER(SEARCH("Provento",'Statements (Raw)'!D197)),"DISTRIBUTION","OTHER")))))))))))))</f>
        <v>AZIMUT</v>
      </c>
      <c r="D199" s="6" t="str">
        <f>IF(A199="","",IF(C199="Saldo Iniziale","Balance",IF(C199="CASH DEPOSIT","Deposit",IF(C199="CASH WITHDRAWAL","Withdrawal",IF(C199="STAMP DUTY","Tax",IF(C199="TOBIN TAX","Tax",IF(C199="WITHHOLDING TAX","Tax",IF(C199="DIVIDEND","Dividend",IF(C199="COUPON","Coupon",IF(C199="ACCRUED INT","Accrued Int.",IF(C199="SEC LENDING","Sec. Lending",IF(C199="REDEMPTION","Redemption",IF(C199="DISTRIBUTION","Distribution",IF(ISNUMBER(SEARCH("Rimborso",'Statements (Raw)'!D197)),"Redemption",IF(ISNUMBER(SEARCH("Cedola",'Statements (Raw)'!D197)),"Coupon",IF(ISNUMBER(SEARCH("Incasso Dividendi",'Statements (Raw)'!D197)),"Dividend",IF(ISNUMBER(SEARCH("Provento Etf",'Statements (Raw)'!D197)),"Distribution",IF(ISNUMBER(SEARCH("Rit.provento",'Statements (Raw)'!D197)),"Tax",IF(ISNUMBER(SEARCH("Ratei Pass",'Statements (Raw)'!D197)),"Accrued Int.",IF(ISNUMBER(SEARCH("Interessi Prest",'Statements (Raw)'!D197)),"Sec. Lending",IF('Statements (Raw)'!G197="","Other",IF('Statements (Raw)'!G197&gt;0,"Buy","Sell"))))))))))))))))))))))</f>
        <v>Buy</v>
      </c>
      <c r="E199" s="6" t="str">
        <f t="shared" si="6"/>
        <v>Stock</v>
      </c>
      <c r="F199" s="8">
        <f>IF(A199="","",IF('Statements (Raw)'!E197="","",'Statements (Raw)'!E197))</f>
        <v>31.52</v>
      </c>
      <c r="G199" s="6" t="str">
        <f>IF(A199="","",IF('Statements (Raw)'!F197="","",'Statements (Raw)'!F197))</f>
        <v>EUR</v>
      </c>
      <c r="H199" s="9">
        <f>IF(A199="","",IF('Statements (Raw)'!G197="","",'Statements (Raw)'!G197))</f>
        <v>143</v>
      </c>
      <c r="I199" s="10">
        <f>IF(A199="","",IF('Statements (Raw)'!H197="","",'Statements (Raw)'!H197))</f>
        <v>-4507.3599999999997</v>
      </c>
      <c r="J199" s="10">
        <f>IF(A199="",0,IF('Statements (Raw)'!I197="",0,'Statements (Raw)'!I197))</f>
        <v>0</v>
      </c>
      <c r="K199" s="10">
        <f t="shared" si="7"/>
        <v>-4507.3599999999997</v>
      </c>
    </row>
    <row r="200" spans="1:11" x14ac:dyDescent="0.3">
      <c r="A200" s="171">
        <f>IF(OR('Statements (Raw)'!A198="",'Statements (Raw)'!A198&gt;Holdings!$G$3),"",'Statements (Raw)'!A198)</f>
        <v>45929</v>
      </c>
      <c r="B200" s="7">
        <f>IF(A200="","",IF('Statements (Raw)'!B198="","",'Statements (Raw)'!B198))</f>
        <v>45931</v>
      </c>
      <c r="C200" s="6" t="str">
        <f>IF(A200="","",IF('Statements (Raw)'!C198&lt;&gt;"",'Statements (Raw)'!C198,IF(ISNUMBER(SEARCH("Conferimento",'Statements (Raw)'!D198)),"CASH DEPOSIT",IF(ISNUMBER(SEARCH("Prelievo",'Statements (Raw)'!D198)),"CASH WITHDRAWAL",IF(ISNUMBER(SEARCH("Bollo",'Statements (Raw)'!D198)),"STAMP DUTY",IF(ISNUMBER(SEARCH("Tobin Tax",'Statements (Raw)'!D198)),"TOBIN TAX",IF(ISNUMBER(SEARCH("Rit.provento",'Statements (Raw)'!D198)),"WITHHOLDING TAX",IF(ISNUMBER(SEARCH("Incasso Dividendi",'Statements (Raw)'!D198)),"DIVIDEND",IF(ISNUMBER(SEARCH("Cedola",'Statements (Raw)'!D198)),"COUPON",IF(ISNUMBER(SEARCH("Ratei Pass",'Statements (Raw)'!D198)),"ACCRUED INT",IF(ISNUMBER(SEARCH("Interessi Prest",'Statements (Raw)'!D198)),"SEC LENDING",IF(ISNUMBER(SEARCH("Rimborso",'Statements (Raw)'!D198)),"REDEMPTION",IF(ISNUMBER(SEARCH("Provento",'Statements (Raw)'!D198)),"DISTRIBUTION","OTHER")))))))))))))</f>
        <v>BRUNELLO CUCINELLI</v>
      </c>
      <c r="D200" s="6" t="str">
        <f>IF(A200="","",IF(C200="Saldo Iniziale","Balance",IF(C200="CASH DEPOSIT","Deposit",IF(C200="CASH WITHDRAWAL","Withdrawal",IF(C200="STAMP DUTY","Tax",IF(C200="TOBIN TAX","Tax",IF(C200="WITHHOLDING TAX","Tax",IF(C200="DIVIDEND","Dividend",IF(C200="COUPON","Coupon",IF(C200="ACCRUED INT","Accrued Int.",IF(C200="SEC LENDING","Sec. Lending",IF(C200="REDEMPTION","Redemption",IF(C200="DISTRIBUTION","Distribution",IF(ISNUMBER(SEARCH("Rimborso",'Statements (Raw)'!D198)),"Redemption",IF(ISNUMBER(SEARCH("Cedola",'Statements (Raw)'!D198)),"Coupon",IF(ISNUMBER(SEARCH("Incasso Dividendi",'Statements (Raw)'!D198)),"Dividend",IF(ISNUMBER(SEARCH("Provento Etf",'Statements (Raw)'!D198)),"Distribution",IF(ISNUMBER(SEARCH("Rit.provento",'Statements (Raw)'!D198)),"Tax",IF(ISNUMBER(SEARCH("Ratei Pass",'Statements (Raw)'!D198)),"Accrued Int.",IF(ISNUMBER(SEARCH("Interessi Prest",'Statements (Raw)'!D198)),"Sec. Lending",IF('Statements (Raw)'!G198="","Other",IF('Statements (Raw)'!G198&gt;0,"Buy","Sell"))))))))))))))))))))))</f>
        <v>Buy</v>
      </c>
      <c r="E200" s="6" t="str">
        <f t="shared" si="6"/>
        <v>Stock</v>
      </c>
      <c r="F200" s="8">
        <f>IF(A200="","",IF('Statements (Raw)'!E198="","",'Statements (Raw)'!E198))</f>
        <v>91.18</v>
      </c>
      <c r="G200" s="6" t="str">
        <f>IF(A200="","",IF('Statements (Raw)'!F198="","",'Statements (Raw)'!F198))</f>
        <v>EUR</v>
      </c>
      <c r="H200" s="9">
        <f>IF(A200="","",IF('Statements (Raw)'!G198="","",'Statements (Raw)'!G198))</f>
        <v>124</v>
      </c>
      <c r="I200" s="10">
        <f>IF(A200="","",IF('Statements (Raw)'!H198="","",'Statements (Raw)'!H198))</f>
        <v>-11306.32</v>
      </c>
      <c r="J200" s="10">
        <f>IF(A200="",0,IF('Statements (Raw)'!I198="",0,'Statements (Raw)'!I198))</f>
        <v>-5</v>
      </c>
      <c r="K200" s="10">
        <f t="shared" si="7"/>
        <v>-11311.32</v>
      </c>
    </row>
    <row r="201" spans="1:11" x14ac:dyDescent="0.3">
      <c r="A201" s="171">
        <f>IF(OR('Statements (Raw)'!A199="",'Statements (Raw)'!A199&gt;Holdings!$G$3),"",'Statements (Raw)'!A199)</f>
        <v>45929</v>
      </c>
      <c r="B201" s="7">
        <f>IF(A201="","",IF('Statements (Raw)'!B199="","",'Statements (Raw)'!B199))</f>
        <v>45931</v>
      </c>
      <c r="C201" s="6" t="str">
        <f>IF(A201="","",IF('Statements (Raw)'!C199&lt;&gt;"",'Statements (Raw)'!C199,IF(ISNUMBER(SEARCH("Conferimento",'Statements (Raw)'!D199)),"CASH DEPOSIT",IF(ISNUMBER(SEARCH("Prelievo",'Statements (Raw)'!D199)),"CASH WITHDRAWAL",IF(ISNUMBER(SEARCH("Bollo",'Statements (Raw)'!D199)),"STAMP DUTY",IF(ISNUMBER(SEARCH("Tobin Tax",'Statements (Raw)'!D199)),"TOBIN TAX",IF(ISNUMBER(SEARCH("Rit.provento",'Statements (Raw)'!D199)),"WITHHOLDING TAX",IF(ISNUMBER(SEARCH("Incasso Dividendi",'Statements (Raw)'!D199)),"DIVIDEND",IF(ISNUMBER(SEARCH("Cedola",'Statements (Raw)'!D199)),"COUPON",IF(ISNUMBER(SEARCH("Ratei Pass",'Statements (Raw)'!D199)),"ACCRUED INT",IF(ISNUMBER(SEARCH("Interessi Prest",'Statements (Raw)'!D199)),"SEC LENDING",IF(ISNUMBER(SEARCH("Rimborso",'Statements (Raw)'!D199)),"REDEMPTION",IF(ISNUMBER(SEARCH("Provento",'Statements (Raw)'!D199)),"DISTRIBUTION","OTHER")))))))))))))</f>
        <v>BRUNELLO CUCINELLI</v>
      </c>
      <c r="D201" s="6" t="str">
        <f>IF(A201="","",IF(C201="Saldo Iniziale","Balance",IF(C201="CASH DEPOSIT","Deposit",IF(C201="CASH WITHDRAWAL","Withdrawal",IF(C201="STAMP DUTY","Tax",IF(C201="TOBIN TAX","Tax",IF(C201="WITHHOLDING TAX","Tax",IF(C201="DIVIDEND","Dividend",IF(C201="COUPON","Coupon",IF(C201="ACCRUED INT","Accrued Int.",IF(C201="SEC LENDING","Sec. Lending",IF(C201="REDEMPTION","Redemption",IF(C201="DISTRIBUTION","Distribution",IF(ISNUMBER(SEARCH("Rimborso",'Statements (Raw)'!D199)),"Redemption",IF(ISNUMBER(SEARCH("Cedola",'Statements (Raw)'!D199)),"Coupon",IF(ISNUMBER(SEARCH("Incasso Dividendi",'Statements (Raw)'!D199)),"Dividend",IF(ISNUMBER(SEARCH("Provento Etf",'Statements (Raw)'!D199)),"Distribution",IF(ISNUMBER(SEARCH("Rit.provento",'Statements (Raw)'!D199)),"Tax",IF(ISNUMBER(SEARCH("Ratei Pass",'Statements (Raw)'!D199)),"Accrued Int.",IF(ISNUMBER(SEARCH("Interessi Prest",'Statements (Raw)'!D199)),"Sec. Lending",IF('Statements (Raw)'!G199="","Other",IF('Statements (Raw)'!G199&gt;0,"Buy","Sell"))))))))))))))))))))))</f>
        <v>Buy</v>
      </c>
      <c r="E201" s="6" t="str">
        <f t="shared" si="6"/>
        <v>Stock</v>
      </c>
      <c r="F201" s="8">
        <f>IF(A201="","",IF('Statements (Raw)'!E199="","",'Statements (Raw)'!E199))</f>
        <v>91.18</v>
      </c>
      <c r="G201" s="6" t="str">
        <f>IF(A201="","",IF('Statements (Raw)'!F199="","",'Statements (Raw)'!F199))</f>
        <v>EUR</v>
      </c>
      <c r="H201" s="9">
        <f>IF(A201="","",IF('Statements (Raw)'!G199="","",'Statements (Raw)'!G199))</f>
        <v>40</v>
      </c>
      <c r="I201" s="10">
        <f>IF(A201="","",IF('Statements (Raw)'!H199="","",'Statements (Raw)'!H199))</f>
        <v>-3647.2</v>
      </c>
      <c r="J201" s="10">
        <f>IF(A201="",0,IF('Statements (Raw)'!I199="",0,'Statements (Raw)'!I199))</f>
        <v>0</v>
      </c>
      <c r="K201" s="10">
        <f t="shared" si="7"/>
        <v>-3647.2</v>
      </c>
    </row>
    <row r="202" spans="1:11" x14ac:dyDescent="0.3">
      <c r="A202" s="171">
        <f>IF(OR('Statements (Raw)'!A200="",'Statements (Raw)'!A200&gt;Holdings!$G$3),"",'Statements (Raw)'!A200)</f>
        <v>45929</v>
      </c>
      <c r="B202" s="7">
        <f>IF(A202="","",IF('Statements (Raw)'!B200="","",'Statements (Raw)'!B200))</f>
        <v>45931</v>
      </c>
      <c r="C202" s="6" t="str">
        <f>IF(A202="","",IF('Statements (Raw)'!C200&lt;&gt;"",'Statements (Raw)'!C200,IF(ISNUMBER(SEARCH("Conferimento",'Statements (Raw)'!D200)),"CASH DEPOSIT",IF(ISNUMBER(SEARCH("Prelievo",'Statements (Raw)'!D200)),"CASH WITHDRAWAL",IF(ISNUMBER(SEARCH("Bollo",'Statements (Raw)'!D200)),"STAMP DUTY",IF(ISNUMBER(SEARCH("Tobin Tax",'Statements (Raw)'!D200)),"TOBIN TAX",IF(ISNUMBER(SEARCH("Rit.provento",'Statements (Raw)'!D200)),"WITHHOLDING TAX",IF(ISNUMBER(SEARCH("Incasso Dividendi",'Statements (Raw)'!D200)),"DIVIDEND",IF(ISNUMBER(SEARCH("Cedola",'Statements (Raw)'!D200)),"COUPON",IF(ISNUMBER(SEARCH("Ratei Pass",'Statements (Raw)'!D200)),"ACCRUED INT",IF(ISNUMBER(SEARCH("Interessi Prest",'Statements (Raw)'!D200)),"SEC LENDING",IF(ISNUMBER(SEARCH("Rimborso",'Statements (Raw)'!D200)),"REDEMPTION",IF(ISNUMBER(SEARCH("Provento",'Statements (Raw)'!D200)),"DISTRIBUTION","OTHER")))))))))))))</f>
        <v>BRUNELLO CUCINELLI</v>
      </c>
      <c r="D202" s="6" t="str">
        <f>IF(A202="","",IF(C202="Saldo Iniziale","Balance",IF(C202="CASH DEPOSIT","Deposit",IF(C202="CASH WITHDRAWAL","Withdrawal",IF(C202="STAMP DUTY","Tax",IF(C202="TOBIN TAX","Tax",IF(C202="WITHHOLDING TAX","Tax",IF(C202="DIVIDEND","Dividend",IF(C202="COUPON","Coupon",IF(C202="ACCRUED INT","Accrued Int.",IF(C202="SEC LENDING","Sec. Lending",IF(C202="REDEMPTION","Redemption",IF(C202="DISTRIBUTION","Distribution",IF(ISNUMBER(SEARCH("Rimborso",'Statements (Raw)'!D200)),"Redemption",IF(ISNUMBER(SEARCH("Cedola",'Statements (Raw)'!D200)),"Coupon",IF(ISNUMBER(SEARCH("Incasso Dividendi",'Statements (Raw)'!D200)),"Dividend",IF(ISNUMBER(SEARCH("Provento Etf",'Statements (Raw)'!D200)),"Distribution",IF(ISNUMBER(SEARCH("Rit.provento",'Statements (Raw)'!D200)),"Tax",IF(ISNUMBER(SEARCH("Ratei Pass",'Statements (Raw)'!D200)),"Accrued Int.",IF(ISNUMBER(SEARCH("Interessi Prest",'Statements (Raw)'!D200)),"Sec. Lending",IF('Statements (Raw)'!G200="","Other",IF('Statements (Raw)'!G200&gt;0,"Buy","Sell"))))))))))))))))))))))</f>
        <v>Buy</v>
      </c>
      <c r="E202" s="6" t="str">
        <f t="shared" si="6"/>
        <v>Stock</v>
      </c>
      <c r="F202" s="8">
        <f>IF(A202="","",IF('Statements (Raw)'!E200="","",'Statements (Raw)'!E200))</f>
        <v>91.2</v>
      </c>
      <c r="G202" s="6" t="str">
        <f>IF(A202="","",IF('Statements (Raw)'!F200="","",'Statements (Raw)'!F200))</f>
        <v>EUR</v>
      </c>
      <c r="H202" s="9">
        <f>IF(A202="","",IF('Statements (Raw)'!G200="","",'Statements (Raw)'!G200))</f>
        <v>36</v>
      </c>
      <c r="I202" s="10">
        <f>IF(A202="","",IF('Statements (Raw)'!H200="","",'Statements (Raw)'!H200))</f>
        <v>-3283.2</v>
      </c>
      <c r="J202" s="10">
        <f>IF(A202="",0,IF('Statements (Raw)'!I200="",0,'Statements (Raw)'!I200))</f>
        <v>0</v>
      </c>
      <c r="K202" s="10">
        <f t="shared" si="7"/>
        <v>-3283.2</v>
      </c>
    </row>
    <row r="203" spans="1:11" x14ac:dyDescent="0.3">
      <c r="A203" s="171">
        <f>IF(OR('Statements (Raw)'!A201="",'Statements (Raw)'!A201&gt;Holdings!$G$3),"",'Statements (Raw)'!A201)</f>
        <v>45929</v>
      </c>
      <c r="B203" s="7">
        <f>IF(A203="","",IF('Statements (Raw)'!B201="","",'Statements (Raw)'!B201))</f>
        <v>45931</v>
      </c>
      <c r="C203" s="6" t="str">
        <f>IF(A203="","",IF('Statements (Raw)'!C201&lt;&gt;"",'Statements (Raw)'!C201,IF(ISNUMBER(SEARCH("Conferimento",'Statements (Raw)'!D201)),"CASH DEPOSIT",IF(ISNUMBER(SEARCH("Prelievo",'Statements (Raw)'!D201)),"CASH WITHDRAWAL",IF(ISNUMBER(SEARCH("Bollo",'Statements (Raw)'!D201)),"STAMP DUTY",IF(ISNUMBER(SEARCH("Tobin Tax",'Statements (Raw)'!D201)),"TOBIN TAX",IF(ISNUMBER(SEARCH("Rit.provento",'Statements (Raw)'!D201)),"WITHHOLDING TAX",IF(ISNUMBER(SEARCH("Incasso Dividendi",'Statements (Raw)'!D201)),"DIVIDEND",IF(ISNUMBER(SEARCH("Cedola",'Statements (Raw)'!D201)),"COUPON",IF(ISNUMBER(SEARCH("Ratei Pass",'Statements (Raw)'!D201)),"ACCRUED INT",IF(ISNUMBER(SEARCH("Interessi Prest",'Statements (Raw)'!D201)),"SEC LENDING",IF(ISNUMBER(SEARCH("Rimborso",'Statements (Raw)'!D201)),"REDEMPTION",IF(ISNUMBER(SEARCH("Provento",'Statements (Raw)'!D201)),"DISTRIBUTION","OTHER")))))))))))))</f>
        <v>INTERPUMP GROUP</v>
      </c>
      <c r="D203" s="6" t="str">
        <f>IF(A203="","",IF(C203="Saldo Iniziale","Balance",IF(C203="CASH DEPOSIT","Deposit",IF(C203="CASH WITHDRAWAL","Withdrawal",IF(C203="STAMP DUTY","Tax",IF(C203="TOBIN TAX","Tax",IF(C203="WITHHOLDING TAX","Tax",IF(C203="DIVIDEND","Dividend",IF(C203="COUPON","Coupon",IF(C203="ACCRUED INT","Accrued Int.",IF(C203="SEC LENDING","Sec. Lending",IF(C203="REDEMPTION","Redemption",IF(C203="DISTRIBUTION","Distribution",IF(ISNUMBER(SEARCH("Rimborso",'Statements (Raw)'!D201)),"Redemption",IF(ISNUMBER(SEARCH("Cedola",'Statements (Raw)'!D201)),"Coupon",IF(ISNUMBER(SEARCH("Incasso Dividendi",'Statements (Raw)'!D201)),"Dividend",IF(ISNUMBER(SEARCH("Provento Etf",'Statements (Raw)'!D201)),"Distribution",IF(ISNUMBER(SEARCH("Rit.provento",'Statements (Raw)'!D201)),"Tax",IF(ISNUMBER(SEARCH("Ratei Pass",'Statements (Raw)'!D201)),"Accrued Int.",IF(ISNUMBER(SEARCH("Interessi Prest",'Statements (Raw)'!D201)),"Sec. Lending",IF('Statements (Raw)'!G201="","Other",IF('Statements (Raw)'!G201&gt;0,"Buy","Sell"))))))))))))))))))))))</f>
        <v>Buy</v>
      </c>
      <c r="E203" s="6" t="str">
        <f t="shared" si="6"/>
        <v>Stock</v>
      </c>
      <c r="F203" s="8">
        <f>IF(A203="","",IF('Statements (Raw)'!E201="","",'Statements (Raw)'!E201))</f>
        <v>38.880000000000003</v>
      </c>
      <c r="G203" s="6" t="str">
        <f>IF(A203="","",IF('Statements (Raw)'!F201="","",'Statements (Raw)'!F201))</f>
        <v>EUR</v>
      </c>
      <c r="H203" s="9">
        <f>IF(A203="","",IF('Statements (Raw)'!G201="","",'Statements (Raw)'!G201))</f>
        <v>245</v>
      </c>
      <c r="I203" s="10">
        <f>IF(A203="","",IF('Statements (Raw)'!H201="","",'Statements (Raw)'!H201))</f>
        <v>-9525.6</v>
      </c>
      <c r="J203" s="10">
        <f>IF(A203="",0,IF('Statements (Raw)'!I201="",0,'Statements (Raw)'!I201))</f>
        <v>-5</v>
      </c>
      <c r="K203" s="10">
        <f t="shared" si="7"/>
        <v>-9530.6</v>
      </c>
    </row>
    <row r="204" spans="1:11" x14ac:dyDescent="0.3">
      <c r="A204" s="171">
        <f>IF(OR('Statements (Raw)'!A202="",'Statements (Raw)'!A202&gt;Holdings!$G$3),"",'Statements (Raw)'!A202)</f>
        <v>45929</v>
      </c>
      <c r="B204" s="7">
        <f>IF(A204="","",IF('Statements (Raw)'!B202="","",'Statements (Raw)'!B202))</f>
        <v>45931</v>
      </c>
      <c r="C204" s="6" t="str">
        <f>IF(A204="","",IF('Statements (Raw)'!C202&lt;&gt;"",'Statements (Raw)'!C202,IF(ISNUMBER(SEARCH("Conferimento",'Statements (Raw)'!D202)),"CASH DEPOSIT",IF(ISNUMBER(SEARCH("Prelievo",'Statements (Raw)'!D202)),"CASH WITHDRAWAL",IF(ISNUMBER(SEARCH("Bollo",'Statements (Raw)'!D202)),"STAMP DUTY",IF(ISNUMBER(SEARCH("Tobin Tax",'Statements (Raw)'!D202)),"TOBIN TAX",IF(ISNUMBER(SEARCH("Rit.provento",'Statements (Raw)'!D202)),"WITHHOLDING TAX",IF(ISNUMBER(SEARCH("Incasso Dividendi",'Statements (Raw)'!D202)),"DIVIDEND",IF(ISNUMBER(SEARCH("Cedola",'Statements (Raw)'!D202)),"COUPON",IF(ISNUMBER(SEARCH("Ratei Pass",'Statements (Raw)'!D202)),"ACCRUED INT",IF(ISNUMBER(SEARCH("Interessi Prest",'Statements (Raw)'!D202)),"SEC LENDING",IF(ISNUMBER(SEARCH("Rimborso",'Statements (Raw)'!D202)),"REDEMPTION",IF(ISNUMBER(SEARCH("Provento",'Statements (Raw)'!D202)),"DISTRIBUTION","OTHER")))))))))))))</f>
        <v>INTERPUMP GROUP</v>
      </c>
      <c r="D204" s="6" t="str">
        <f>IF(A204="","",IF(C204="Saldo Iniziale","Balance",IF(C204="CASH DEPOSIT","Deposit",IF(C204="CASH WITHDRAWAL","Withdrawal",IF(C204="STAMP DUTY","Tax",IF(C204="TOBIN TAX","Tax",IF(C204="WITHHOLDING TAX","Tax",IF(C204="DIVIDEND","Dividend",IF(C204="COUPON","Coupon",IF(C204="ACCRUED INT","Accrued Int.",IF(C204="SEC LENDING","Sec. Lending",IF(C204="REDEMPTION","Redemption",IF(C204="DISTRIBUTION","Distribution",IF(ISNUMBER(SEARCH("Rimborso",'Statements (Raw)'!D202)),"Redemption",IF(ISNUMBER(SEARCH("Cedola",'Statements (Raw)'!D202)),"Coupon",IF(ISNUMBER(SEARCH("Incasso Dividendi",'Statements (Raw)'!D202)),"Dividend",IF(ISNUMBER(SEARCH("Provento Etf",'Statements (Raw)'!D202)),"Distribution",IF(ISNUMBER(SEARCH("Rit.provento",'Statements (Raw)'!D202)),"Tax",IF(ISNUMBER(SEARCH("Ratei Pass",'Statements (Raw)'!D202)),"Accrued Int.",IF(ISNUMBER(SEARCH("Interessi Prest",'Statements (Raw)'!D202)),"Sec. Lending",IF('Statements (Raw)'!G202="","Other",IF('Statements (Raw)'!G202&gt;0,"Buy","Sell"))))))))))))))))))))))</f>
        <v>Buy</v>
      </c>
      <c r="E204" s="6" t="str">
        <f t="shared" si="6"/>
        <v>Stock</v>
      </c>
      <c r="F204" s="8">
        <f>IF(A204="","",IF('Statements (Raw)'!E202="","",'Statements (Raw)'!E202))</f>
        <v>38.880000000000003</v>
      </c>
      <c r="G204" s="6" t="str">
        <f>IF(A204="","",IF('Statements (Raw)'!F202="","",'Statements (Raw)'!F202))</f>
        <v>EUR</v>
      </c>
      <c r="H204" s="9">
        <f>IF(A204="","",IF('Statements (Raw)'!G202="","",'Statements (Raw)'!G202))</f>
        <v>1</v>
      </c>
      <c r="I204" s="10">
        <f>IF(A204="","",IF('Statements (Raw)'!H202="","",'Statements (Raw)'!H202))</f>
        <v>-38.880000000000003</v>
      </c>
      <c r="J204" s="10">
        <f>IF(A204="",0,IF('Statements (Raw)'!I202="",0,'Statements (Raw)'!I202))</f>
        <v>0</v>
      </c>
      <c r="K204" s="10">
        <f t="shared" si="7"/>
        <v>-38.880000000000003</v>
      </c>
    </row>
    <row r="205" spans="1:11" x14ac:dyDescent="0.3">
      <c r="A205" s="171">
        <f>IF(OR('Statements (Raw)'!A203="",'Statements (Raw)'!A203&gt;Holdings!$G$3),"",'Statements (Raw)'!A203)</f>
        <v>45929</v>
      </c>
      <c r="B205" s="7">
        <f>IF(A205="","",IF('Statements (Raw)'!B203="","",'Statements (Raw)'!B203))</f>
        <v>45931</v>
      </c>
      <c r="C205" s="6" t="str">
        <f>IF(A205="","",IF('Statements (Raw)'!C203&lt;&gt;"",'Statements (Raw)'!C203,IF(ISNUMBER(SEARCH("Conferimento",'Statements (Raw)'!D203)),"CASH DEPOSIT",IF(ISNUMBER(SEARCH("Prelievo",'Statements (Raw)'!D203)),"CASH WITHDRAWAL",IF(ISNUMBER(SEARCH("Bollo",'Statements (Raw)'!D203)),"STAMP DUTY",IF(ISNUMBER(SEARCH("Tobin Tax",'Statements (Raw)'!D203)),"TOBIN TAX",IF(ISNUMBER(SEARCH("Rit.provento",'Statements (Raw)'!D203)),"WITHHOLDING TAX",IF(ISNUMBER(SEARCH("Incasso Dividendi",'Statements (Raw)'!D203)),"DIVIDEND",IF(ISNUMBER(SEARCH("Cedola",'Statements (Raw)'!D203)),"COUPON",IF(ISNUMBER(SEARCH("Ratei Pass",'Statements (Raw)'!D203)),"ACCRUED INT",IF(ISNUMBER(SEARCH("Interessi Prest",'Statements (Raw)'!D203)),"SEC LENDING",IF(ISNUMBER(SEARCH("Rimborso",'Statements (Raw)'!D203)),"REDEMPTION",IF(ISNUMBER(SEARCH("Provento",'Statements (Raw)'!D203)),"DISTRIBUTION","OTHER")))))))))))))</f>
        <v>INTERPUMP GROUP</v>
      </c>
      <c r="D205" s="6" t="str">
        <f>IF(A205="","",IF(C205="Saldo Iniziale","Balance",IF(C205="CASH DEPOSIT","Deposit",IF(C205="CASH WITHDRAWAL","Withdrawal",IF(C205="STAMP DUTY","Tax",IF(C205="TOBIN TAX","Tax",IF(C205="WITHHOLDING TAX","Tax",IF(C205="DIVIDEND","Dividend",IF(C205="COUPON","Coupon",IF(C205="ACCRUED INT","Accrued Int.",IF(C205="SEC LENDING","Sec. Lending",IF(C205="REDEMPTION","Redemption",IF(C205="DISTRIBUTION","Distribution",IF(ISNUMBER(SEARCH("Rimborso",'Statements (Raw)'!D203)),"Redemption",IF(ISNUMBER(SEARCH("Cedola",'Statements (Raw)'!D203)),"Coupon",IF(ISNUMBER(SEARCH("Incasso Dividendi",'Statements (Raw)'!D203)),"Dividend",IF(ISNUMBER(SEARCH("Provento Etf",'Statements (Raw)'!D203)),"Distribution",IF(ISNUMBER(SEARCH("Rit.provento",'Statements (Raw)'!D203)),"Tax",IF(ISNUMBER(SEARCH("Ratei Pass",'Statements (Raw)'!D203)),"Accrued Int.",IF(ISNUMBER(SEARCH("Interessi Prest",'Statements (Raw)'!D203)),"Sec. Lending",IF('Statements (Raw)'!G203="","Other",IF('Statements (Raw)'!G203&gt;0,"Buy","Sell"))))))))))))))))))))))</f>
        <v>Buy</v>
      </c>
      <c r="E205" s="6" t="str">
        <f t="shared" si="6"/>
        <v>Stock</v>
      </c>
      <c r="F205" s="8">
        <f>IF(A205="","",IF('Statements (Raw)'!E203="","",'Statements (Raw)'!E203))</f>
        <v>38.880000000000003</v>
      </c>
      <c r="G205" s="6" t="str">
        <f>IF(A205="","",IF('Statements (Raw)'!F203="","",'Statements (Raw)'!F203))</f>
        <v>EUR</v>
      </c>
      <c r="H205" s="9">
        <f>IF(A205="","",IF('Statements (Raw)'!G203="","",'Statements (Raw)'!G203))</f>
        <v>50</v>
      </c>
      <c r="I205" s="10">
        <f>IF(A205="","",IF('Statements (Raw)'!H203="","",'Statements (Raw)'!H203))</f>
        <v>-1944</v>
      </c>
      <c r="J205" s="10">
        <f>IF(A205="",0,IF('Statements (Raw)'!I203="",0,'Statements (Raw)'!I203))</f>
        <v>0</v>
      </c>
      <c r="K205" s="10">
        <f t="shared" si="7"/>
        <v>-1944</v>
      </c>
    </row>
    <row r="206" spans="1:11" x14ac:dyDescent="0.3">
      <c r="A206" s="171">
        <f>IF(OR('Statements (Raw)'!A204="",'Statements (Raw)'!A204&gt;Holdings!$G$3),"",'Statements (Raw)'!A204)</f>
        <v>45929</v>
      </c>
      <c r="B206" s="7">
        <f>IF(A206="","",IF('Statements (Raw)'!B204="","",'Statements (Raw)'!B204))</f>
        <v>45931</v>
      </c>
      <c r="C206" s="6" t="str">
        <f>IF(A206="","",IF('Statements (Raw)'!C204&lt;&gt;"",'Statements (Raw)'!C204,IF(ISNUMBER(SEARCH("Conferimento",'Statements (Raw)'!D204)),"CASH DEPOSIT",IF(ISNUMBER(SEARCH("Prelievo",'Statements (Raw)'!D204)),"CASH WITHDRAWAL",IF(ISNUMBER(SEARCH("Bollo",'Statements (Raw)'!D204)),"STAMP DUTY",IF(ISNUMBER(SEARCH("Tobin Tax",'Statements (Raw)'!D204)),"TOBIN TAX",IF(ISNUMBER(SEARCH("Rit.provento",'Statements (Raw)'!D204)),"WITHHOLDING TAX",IF(ISNUMBER(SEARCH("Incasso Dividendi",'Statements (Raw)'!D204)),"DIVIDEND",IF(ISNUMBER(SEARCH("Cedola",'Statements (Raw)'!D204)),"COUPON",IF(ISNUMBER(SEARCH("Ratei Pass",'Statements (Raw)'!D204)),"ACCRUED INT",IF(ISNUMBER(SEARCH("Interessi Prest",'Statements (Raw)'!D204)),"SEC LENDING",IF(ISNUMBER(SEARCH("Rimborso",'Statements (Raw)'!D204)),"REDEMPTION",IF(ISNUMBER(SEARCH("Provento",'Statements (Raw)'!D204)),"DISTRIBUTION","OTHER")))))))))))))</f>
        <v>INTERPUMP GROUP</v>
      </c>
      <c r="D206" s="6" t="str">
        <f>IF(A206="","",IF(C206="Saldo Iniziale","Balance",IF(C206="CASH DEPOSIT","Deposit",IF(C206="CASH WITHDRAWAL","Withdrawal",IF(C206="STAMP DUTY","Tax",IF(C206="TOBIN TAX","Tax",IF(C206="WITHHOLDING TAX","Tax",IF(C206="DIVIDEND","Dividend",IF(C206="COUPON","Coupon",IF(C206="ACCRUED INT","Accrued Int.",IF(C206="SEC LENDING","Sec. Lending",IF(C206="REDEMPTION","Redemption",IF(C206="DISTRIBUTION","Distribution",IF(ISNUMBER(SEARCH("Rimborso",'Statements (Raw)'!D204)),"Redemption",IF(ISNUMBER(SEARCH("Cedola",'Statements (Raw)'!D204)),"Coupon",IF(ISNUMBER(SEARCH("Incasso Dividendi",'Statements (Raw)'!D204)),"Dividend",IF(ISNUMBER(SEARCH("Provento Etf",'Statements (Raw)'!D204)),"Distribution",IF(ISNUMBER(SEARCH("Rit.provento",'Statements (Raw)'!D204)),"Tax",IF(ISNUMBER(SEARCH("Ratei Pass",'Statements (Raw)'!D204)),"Accrued Int.",IF(ISNUMBER(SEARCH("Interessi Prest",'Statements (Raw)'!D204)),"Sec. Lending",IF('Statements (Raw)'!G204="","Other",IF('Statements (Raw)'!G204&gt;0,"Buy","Sell"))))))))))))))))))))))</f>
        <v>Buy</v>
      </c>
      <c r="E206" s="6" t="str">
        <f t="shared" si="6"/>
        <v>Stock</v>
      </c>
      <c r="F206" s="8">
        <f>IF(A206="","",IF('Statements (Raw)'!E204="","",'Statements (Raw)'!E204))</f>
        <v>38.880000000000003</v>
      </c>
      <c r="G206" s="6" t="str">
        <f>IF(A206="","",IF('Statements (Raw)'!F204="","",'Statements (Raw)'!F204))</f>
        <v>EUR</v>
      </c>
      <c r="H206" s="9">
        <f>IF(A206="","",IF('Statements (Raw)'!G204="","",'Statements (Raw)'!G204))</f>
        <v>4</v>
      </c>
      <c r="I206" s="10">
        <f>IF(A206="","",IF('Statements (Raw)'!H204="","",'Statements (Raw)'!H204))</f>
        <v>-155.52000000000001</v>
      </c>
      <c r="J206" s="10">
        <f>IF(A206="",0,IF('Statements (Raw)'!I204="",0,'Statements (Raw)'!I204))</f>
        <v>0</v>
      </c>
      <c r="K206" s="10">
        <f t="shared" si="7"/>
        <v>-155.52000000000001</v>
      </c>
    </row>
    <row r="207" spans="1:11" x14ac:dyDescent="0.3">
      <c r="A207" s="171">
        <f>IF(OR('Statements (Raw)'!A205="",'Statements (Raw)'!A205&gt;Holdings!$G$3),"",'Statements (Raw)'!A205)</f>
        <v>45929</v>
      </c>
      <c r="B207" s="7">
        <f>IF(A207="","",IF('Statements (Raw)'!B205="","",'Statements (Raw)'!B205))</f>
        <v>45931</v>
      </c>
      <c r="C207" s="6" t="str">
        <f>IF(A207="","",IF('Statements (Raw)'!C205&lt;&gt;"",'Statements (Raw)'!C205,IF(ISNUMBER(SEARCH("Conferimento",'Statements (Raw)'!D205)),"CASH DEPOSIT",IF(ISNUMBER(SEARCH("Prelievo",'Statements (Raw)'!D205)),"CASH WITHDRAWAL",IF(ISNUMBER(SEARCH("Bollo",'Statements (Raw)'!D205)),"STAMP DUTY",IF(ISNUMBER(SEARCH("Tobin Tax",'Statements (Raw)'!D205)),"TOBIN TAX",IF(ISNUMBER(SEARCH("Rit.provento",'Statements (Raw)'!D205)),"WITHHOLDING TAX",IF(ISNUMBER(SEARCH("Incasso Dividendi",'Statements (Raw)'!D205)),"DIVIDEND",IF(ISNUMBER(SEARCH("Cedola",'Statements (Raw)'!D205)),"COUPON",IF(ISNUMBER(SEARCH("Ratei Pass",'Statements (Raw)'!D205)),"ACCRUED INT",IF(ISNUMBER(SEARCH("Interessi Prest",'Statements (Raw)'!D205)),"SEC LENDING",IF(ISNUMBER(SEARCH("Rimborso",'Statements (Raw)'!D205)),"REDEMPTION",IF(ISNUMBER(SEARCH("Provento",'Statements (Raw)'!D205)),"DISTRIBUTION","OTHER")))))))))))))</f>
        <v>TOBIN TAX</v>
      </c>
      <c r="D207" s="6" t="str">
        <f>IF(A207="","",IF(C207="Saldo Iniziale","Balance",IF(C207="CASH DEPOSIT","Deposit",IF(C207="CASH WITHDRAWAL","Withdrawal",IF(C207="STAMP DUTY","Tax",IF(C207="TOBIN TAX","Tax",IF(C207="WITHHOLDING TAX","Tax",IF(C207="DIVIDEND","Dividend",IF(C207="COUPON","Coupon",IF(C207="ACCRUED INT","Accrued Int.",IF(C207="SEC LENDING","Sec. Lending",IF(C207="REDEMPTION","Redemption",IF(C207="DISTRIBUTION","Distribution",IF(ISNUMBER(SEARCH("Rimborso",'Statements (Raw)'!D205)),"Redemption",IF(ISNUMBER(SEARCH("Cedola",'Statements (Raw)'!D205)),"Coupon",IF(ISNUMBER(SEARCH("Incasso Dividendi",'Statements (Raw)'!D205)),"Dividend",IF(ISNUMBER(SEARCH("Provento Etf",'Statements (Raw)'!D205)),"Distribution",IF(ISNUMBER(SEARCH("Rit.provento",'Statements (Raw)'!D205)),"Tax",IF(ISNUMBER(SEARCH("Ratei Pass",'Statements (Raw)'!D205)),"Accrued Int.",IF(ISNUMBER(SEARCH("Interessi Prest",'Statements (Raw)'!D205)),"Sec. Lending",IF('Statements (Raw)'!G205="","Other",IF('Statements (Raw)'!G205&gt;0,"Buy","Sell"))))))))))))))))))))))</f>
        <v>Tax</v>
      </c>
      <c r="E207" s="6" t="str">
        <f t="shared" si="6"/>
        <v>Tax/Fee</v>
      </c>
      <c r="F207" s="8" t="str">
        <f>IF(A207="","",IF('Statements (Raw)'!E205="","",'Statements (Raw)'!E205))</f>
        <v/>
      </c>
      <c r="G207" s="6" t="str">
        <f>IF(A207="","",IF('Statements (Raw)'!F205="","",'Statements (Raw)'!F205))</f>
        <v/>
      </c>
      <c r="H207" s="9" t="str">
        <f>IF(A207="","",IF('Statements (Raw)'!G205="","",'Statements (Raw)'!G205))</f>
        <v/>
      </c>
      <c r="I207" s="10">
        <f>IF(A207="","",IF('Statements (Raw)'!H205="","",'Statements (Raw)'!H205))</f>
        <v>-45.66</v>
      </c>
      <c r="J207" s="10">
        <f>IF(A207="",0,IF('Statements (Raw)'!I205="",0,'Statements (Raw)'!I205))</f>
        <v>0</v>
      </c>
      <c r="K207" s="10">
        <f t="shared" si="7"/>
        <v>-45.66</v>
      </c>
    </row>
    <row r="208" spans="1:11" x14ac:dyDescent="0.3">
      <c r="A208" s="171">
        <f>IF(OR('Statements (Raw)'!A206="",'Statements (Raw)'!A206&gt;Holdings!$G$3),"",'Statements (Raw)'!A206)</f>
        <v>45931</v>
      </c>
      <c r="B208" s="7" t="str">
        <f>IF(A208="","",IF('Statements (Raw)'!B206="","",'Statements (Raw)'!B206))</f>
        <v/>
      </c>
      <c r="C208" s="6" t="str">
        <f>IF(A208="","",IF('Statements (Raw)'!C206&lt;&gt;"",'Statements (Raw)'!C206,IF(ISNUMBER(SEARCH("Conferimento",'Statements (Raw)'!D206)),"CASH DEPOSIT",IF(ISNUMBER(SEARCH("Prelievo",'Statements (Raw)'!D206)),"CASH WITHDRAWAL",IF(ISNUMBER(SEARCH("Bollo",'Statements (Raw)'!D206)),"STAMP DUTY",IF(ISNUMBER(SEARCH("Tobin Tax",'Statements (Raw)'!D206)),"TOBIN TAX",IF(ISNUMBER(SEARCH("Rit.provento",'Statements (Raw)'!D206)),"WITHHOLDING TAX",IF(ISNUMBER(SEARCH("Incasso Dividendi",'Statements (Raw)'!D206)),"DIVIDEND",IF(ISNUMBER(SEARCH("Cedola",'Statements (Raw)'!D206)),"COUPON",IF(ISNUMBER(SEARCH("Ratei Pass",'Statements (Raw)'!D206)),"ACCRUED INT",IF(ISNUMBER(SEARCH("Interessi Prest",'Statements (Raw)'!D206)),"SEC LENDING",IF(ISNUMBER(SEARCH("Rimborso",'Statements (Raw)'!D206)),"REDEMPTION",IF(ISNUMBER(SEARCH("Provento",'Statements (Raw)'!D206)),"DISTRIBUTION","OTHER")))))))))))))</f>
        <v>Saldo Iniziale</v>
      </c>
      <c r="D208" s="6" t="str">
        <f>IF(A208="","",IF(C208="Saldo Iniziale","Balance",IF(C208="CASH DEPOSIT","Deposit",IF(C208="CASH WITHDRAWAL","Withdrawal",IF(C208="STAMP DUTY","Tax",IF(C208="TOBIN TAX","Tax",IF(C208="WITHHOLDING TAX","Tax",IF(C208="DIVIDEND","Dividend",IF(C208="COUPON","Coupon",IF(C208="ACCRUED INT","Accrued Int.",IF(C208="SEC LENDING","Sec. Lending",IF(C208="REDEMPTION","Redemption",IF(C208="DISTRIBUTION","Distribution",IF(ISNUMBER(SEARCH("Rimborso",'Statements (Raw)'!D206)),"Redemption",IF(ISNUMBER(SEARCH("Cedola",'Statements (Raw)'!D206)),"Coupon",IF(ISNUMBER(SEARCH("Incasso Dividendi",'Statements (Raw)'!D206)),"Dividend",IF(ISNUMBER(SEARCH("Provento Etf",'Statements (Raw)'!D206)),"Distribution",IF(ISNUMBER(SEARCH("Rit.provento",'Statements (Raw)'!D206)),"Tax",IF(ISNUMBER(SEARCH("Ratei Pass",'Statements (Raw)'!D206)),"Accrued Int.",IF(ISNUMBER(SEARCH("Interessi Prest",'Statements (Raw)'!D206)),"Sec. Lending",IF('Statements (Raw)'!G206="","Other",IF('Statements (Raw)'!G206&gt;0,"Buy","Sell"))))))))))))))))))))))</f>
        <v>Balance</v>
      </c>
      <c r="E208" s="6" t="str">
        <f t="shared" si="6"/>
        <v>Cash</v>
      </c>
      <c r="F208" s="8" t="str">
        <f>IF(A208="","",IF('Statements (Raw)'!E206="","",'Statements (Raw)'!E206))</f>
        <v/>
      </c>
      <c r="G208" s="6" t="str">
        <f>IF(A208="","",IF('Statements (Raw)'!F206="","",'Statements (Raw)'!F206))</f>
        <v/>
      </c>
      <c r="H208" s="9" t="str">
        <f>IF(A208="","",IF('Statements (Raw)'!G206="","",'Statements (Raw)'!G206))</f>
        <v/>
      </c>
      <c r="I208" s="10">
        <f>IF(A208="","",IF('Statements (Raw)'!H206="","",'Statements (Raw)'!H206))</f>
        <v>253901.81</v>
      </c>
      <c r="J208" s="10">
        <f>IF(A208="",0,IF('Statements (Raw)'!I206="",0,'Statements (Raw)'!I206))</f>
        <v>0</v>
      </c>
      <c r="K208" s="10">
        <f t="shared" si="7"/>
        <v>253901.81</v>
      </c>
    </row>
    <row r="209" spans="1:11" x14ac:dyDescent="0.3">
      <c r="A209" s="171">
        <f>IF(OR('Statements (Raw)'!A207="",'Statements (Raw)'!A207&gt;Holdings!$G$3),"",'Statements (Raw)'!A207)</f>
        <v>45931</v>
      </c>
      <c r="B209" s="7">
        <f>IF(A209="","",IF('Statements (Raw)'!B207="","",'Statements (Raw)'!B207))</f>
        <v>45933</v>
      </c>
      <c r="C209" s="6" t="str">
        <f>IF(A209="","",IF('Statements (Raw)'!C207&lt;&gt;"",'Statements (Raw)'!C207,IF(ISNUMBER(SEARCH("Conferimento",'Statements (Raw)'!D207)),"CASH DEPOSIT",IF(ISNUMBER(SEARCH("Prelievo",'Statements (Raw)'!D207)),"CASH WITHDRAWAL",IF(ISNUMBER(SEARCH("Bollo",'Statements (Raw)'!D207)),"STAMP DUTY",IF(ISNUMBER(SEARCH("Tobin Tax",'Statements (Raw)'!D207)),"TOBIN TAX",IF(ISNUMBER(SEARCH("Rit.provento",'Statements (Raw)'!D207)),"WITHHOLDING TAX",IF(ISNUMBER(SEARCH("Incasso Dividendi",'Statements (Raw)'!D207)),"DIVIDEND",IF(ISNUMBER(SEARCH("Cedola",'Statements (Raw)'!D207)),"COUPON",IF(ISNUMBER(SEARCH("Ratei Pass",'Statements (Raw)'!D207)),"ACCRUED INT",IF(ISNUMBER(SEARCH("Interessi Prest",'Statements (Raw)'!D207)),"SEC LENDING",IF(ISNUMBER(SEARCH("Rimborso",'Statements (Raw)'!D207)),"REDEMPTION",IF(ISNUMBER(SEARCH("Provento",'Statements (Raw)'!D207)),"DISTRIBUTION","OTHER")))))))))))))</f>
        <v>WisdomTree Europe Defence UCIT</v>
      </c>
      <c r="D209" s="6" t="str">
        <f>IF(A209="","",IF(C209="Saldo Iniziale","Balance",IF(C209="CASH DEPOSIT","Deposit",IF(C209="CASH WITHDRAWAL","Withdrawal",IF(C209="STAMP DUTY","Tax",IF(C209="TOBIN TAX","Tax",IF(C209="WITHHOLDING TAX","Tax",IF(C209="DIVIDEND","Dividend",IF(C209="COUPON","Coupon",IF(C209="ACCRUED INT","Accrued Int.",IF(C209="SEC LENDING","Sec. Lending",IF(C209="REDEMPTION","Redemption",IF(C209="DISTRIBUTION","Distribution",IF(ISNUMBER(SEARCH("Rimborso",'Statements (Raw)'!D207)),"Redemption",IF(ISNUMBER(SEARCH("Cedola",'Statements (Raw)'!D207)),"Coupon",IF(ISNUMBER(SEARCH("Incasso Dividendi",'Statements (Raw)'!D207)),"Dividend",IF(ISNUMBER(SEARCH("Provento Etf",'Statements (Raw)'!D207)),"Distribution",IF(ISNUMBER(SEARCH("Rit.provento",'Statements (Raw)'!D207)),"Tax",IF(ISNUMBER(SEARCH("Ratei Pass",'Statements (Raw)'!D207)),"Accrued Int.",IF(ISNUMBER(SEARCH("Interessi Prest",'Statements (Raw)'!D207)),"Sec. Lending",IF('Statements (Raw)'!G207="","Other",IF('Statements (Raw)'!G207&gt;0,"Buy","Sell"))))))))))))))))))))))</f>
        <v>Buy</v>
      </c>
      <c r="E209" s="6" t="str">
        <f t="shared" si="6"/>
        <v>ETF/ETC</v>
      </c>
      <c r="F209" s="8">
        <f>IF(A209="","",IF('Statements (Raw)'!E207="","",'Statements (Raw)'!E207))</f>
        <v>33.445</v>
      </c>
      <c r="G209" s="6" t="str">
        <f>IF(A209="","",IF('Statements (Raw)'!F207="","",'Statements (Raw)'!F207))</f>
        <v>EUR</v>
      </c>
      <c r="H209" s="9">
        <f>IF(A209="","",IF('Statements (Raw)'!G207="","",'Statements (Raw)'!G207))</f>
        <v>29</v>
      </c>
      <c r="I209" s="10">
        <f>IF(A209="","",IF('Statements (Raw)'!H207="","",'Statements (Raw)'!H207))</f>
        <v>-969.91</v>
      </c>
      <c r="J209" s="10">
        <f>IF(A209="",0,IF('Statements (Raw)'!I207="",0,'Statements (Raw)'!I207))</f>
        <v>0</v>
      </c>
      <c r="K209" s="10">
        <f t="shared" si="7"/>
        <v>-969.91</v>
      </c>
    </row>
    <row r="210" spans="1:11" x14ac:dyDescent="0.3">
      <c r="A210" s="171">
        <f>IF(OR('Statements (Raw)'!A208="",'Statements (Raw)'!A208&gt;Holdings!$G$3),"",'Statements (Raw)'!A208)</f>
        <v>45931</v>
      </c>
      <c r="B210" s="7">
        <f>IF(A210="","",IF('Statements (Raw)'!B208="","",'Statements (Raw)'!B208))</f>
        <v>45933</v>
      </c>
      <c r="C210" s="6" t="str">
        <f>IF(A210="","",IF('Statements (Raw)'!C208&lt;&gt;"",'Statements (Raw)'!C208,IF(ISNUMBER(SEARCH("Conferimento",'Statements (Raw)'!D208)),"CASH DEPOSIT",IF(ISNUMBER(SEARCH("Prelievo",'Statements (Raw)'!D208)),"CASH WITHDRAWAL",IF(ISNUMBER(SEARCH("Bollo",'Statements (Raw)'!D208)),"STAMP DUTY",IF(ISNUMBER(SEARCH("Tobin Tax",'Statements (Raw)'!D208)),"TOBIN TAX",IF(ISNUMBER(SEARCH("Rit.provento",'Statements (Raw)'!D208)),"WITHHOLDING TAX",IF(ISNUMBER(SEARCH("Incasso Dividendi",'Statements (Raw)'!D208)),"DIVIDEND",IF(ISNUMBER(SEARCH("Cedola",'Statements (Raw)'!D208)),"COUPON",IF(ISNUMBER(SEARCH("Ratei Pass",'Statements (Raw)'!D208)),"ACCRUED INT",IF(ISNUMBER(SEARCH("Interessi Prest",'Statements (Raw)'!D208)),"SEC LENDING",IF(ISNUMBER(SEARCH("Rimborso",'Statements (Raw)'!D208)),"REDEMPTION",IF(ISNUMBER(SEARCH("Provento",'Statements (Raw)'!D208)),"DISTRIBUTION","OTHER")))))))))))))</f>
        <v>ISHARES FTSE MIB UCITS ETF EUR</v>
      </c>
      <c r="D210" s="6" t="str">
        <f>IF(A210="","",IF(C210="Saldo Iniziale","Balance",IF(C210="CASH DEPOSIT","Deposit",IF(C210="CASH WITHDRAWAL","Withdrawal",IF(C210="STAMP DUTY","Tax",IF(C210="TOBIN TAX","Tax",IF(C210="WITHHOLDING TAX","Tax",IF(C210="DIVIDEND","Dividend",IF(C210="COUPON","Coupon",IF(C210="ACCRUED INT","Accrued Int.",IF(C210="SEC LENDING","Sec. Lending",IF(C210="REDEMPTION","Redemption",IF(C210="DISTRIBUTION","Distribution",IF(ISNUMBER(SEARCH("Rimborso",'Statements (Raw)'!D208)),"Redemption",IF(ISNUMBER(SEARCH("Cedola",'Statements (Raw)'!D208)),"Coupon",IF(ISNUMBER(SEARCH("Incasso Dividendi",'Statements (Raw)'!D208)),"Dividend",IF(ISNUMBER(SEARCH("Provento Etf",'Statements (Raw)'!D208)),"Distribution",IF(ISNUMBER(SEARCH("Rit.provento",'Statements (Raw)'!D208)),"Tax",IF(ISNUMBER(SEARCH("Ratei Pass",'Statements (Raw)'!D208)),"Accrued Int.",IF(ISNUMBER(SEARCH("Interessi Prest",'Statements (Raw)'!D208)),"Sec. Lending",IF('Statements (Raw)'!G208="","Other",IF('Statements (Raw)'!G208&gt;0,"Buy","Sell"))))))))))))))))))))))</f>
        <v>Buy</v>
      </c>
      <c r="E210" s="6" t="str">
        <f t="shared" si="6"/>
        <v>ETF/ETC</v>
      </c>
      <c r="F210" s="8">
        <f>IF(A210="","",IF('Statements (Raw)'!E208="","",'Statements (Raw)'!E208))</f>
        <v>206.4</v>
      </c>
      <c r="G210" s="6" t="str">
        <f>IF(A210="","",IF('Statements (Raw)'!F208="","",'Statements (Raw)'!F208))</f>
        <v>EUR</v>
      </c>
      <c r="H210" s="9">
        <f>IF(A210="","",IF('Statements (Raw)'!G208="","",'Statements (Raw)'!G208))</f>
        <v>12</v>
      </c>
      <c r="I210" s="10">
        <f>IF(A210="","",IF('Statements (Raw)'!H208="","",'Statements (Raw)'!H208))</f>
        <v>-2476.8000000000002</v>
      </c>
      <c r="J210" s="10">
        <f>IF(A210="",0,IF('Statements (Raw)'!I208="",0,'Statements (Raw)'!I208))</f>
        <v>0</v>
      </c>
      <c r="K210" s="10">
        <f t="shared" si="7"/>
        <v>-2476.8000000000002</v>
      </c>
    </row>
    <row r="211" spans="1:11" x14ac:dyDescent="0.3">
      <c r="A211" s="171">
        <f>IF(OR('Statements (Raw)'!A209="",'Statements (Raw)'!A209&gt;Holdings!$G$3),"",'Statements (Raw)'!A209)</f>
        <v>45931</v>
      </c>
      <c r="B211" s="7">
        <f>IF(A211="","",IF('Statements (Raw)'!B209="","",'Statements (Raw)'!B209))</f>
        <v>45933</v>
      </c>
      <c r="C211" s="6" t="str">
        <f>IF(A211="","",IF('Statements (Raw)'!C209&lt;&gt;"",'Statements (Raw)'!C209,IF(ISNUMBER(SEARCH("Conferimento",'Statements (Raw)'!D209)),"CASH DEPOSIT",IF(ISNUMBER(SEARCH("Prelievo",'Statements (Raw)'!D209)),"CASH WITHDRAWAL",IF(ISNUMBER(SEARCH("Bollo",'Statements (Raw)'!D209)),"STAMP DUTY",IF(ISNUMBER(SEARCH("Tobin Tax",'Statements (Raw)'!D209)),"TOBIN TAX",IF(ISNUMBER(SEARCH("Rit.provento",'Statements (Raw)'!D209)),"WITHHOLDING TAX",IF(ISNUMBER(SEARCH("Incasso Dividendi",'Statements (Raw)'!D209)),"DIVIDEND",IF(ISNUMBER(SEARCH("Cedola",'Statements (Raw)'!D209)),"COUPON",IF(ISNUMBER(SEARCH("Ratei Pass",'Statements (Raw)'!D209)),"ACCRUED INT",IF(ISNUMBER(SEARCH("Interessi Prest",'Statements (Raw)'!D209)),"SEC LENDING",IF(ISNUMBER(SEARCH("Rimborso",'Statements (Raw)'!D209)),"REDEMPTION",IF(ISNUMBER(SEARCH("Provento",'Statements (Raw)'!D209)),"DISTRIBUTION","OTHER")))))))))))))</f>
        <v>WISDOMTREE CORE PHYSICAL GOLD</v>
      </c>
      <c r="D211" s="6" t="str">
        <f>IF(A211="","",IF(C211="Saldo Iniziale","Balance",IF(C211="CASH DEPOSIT","Deposit",IF(C211="CASH WITHDRAWAL","Withdrawal",IF(C211="STAMP DUTY","Tax",IF(C211="TOBIN TAX","Tax",IF(C211="WITHHOLDING TAX","Tax",IF(C211="DIVIDEND","Dividend",IF(C211="COUPON","Coupon",IF(C211="ACCRUED INT","Accrued Int.",IF(C211="SEC LENDING","Sec. Lending",IF(C211="REDEMPTION","Redemption",IF(C211="DISTRIBUTION","Distribution",IF(ISNUMBER(SEARCH("Rimborso",'Statements (Raw)'!D209)),"Redemption",IF(ISNUMBER(SEARCH("Cedola",'Statements (Raw)'!D209)),"Coupon",IF(ISNUMBER(SEARCH("Incasso Dividendi",'Statements (Raw)'!D209)),"Dividend",IF(ISNUMBER(SEARCH("Provento Etf",'Statements (Raw)'!D209)),"Distribution",IF(ISNUMBER(SEARCH("Rit.provento",'Statements (Raw)'!D209)),"Tax",IF(ISNUMBER(SEARCH("Ratei Pass",'Statements (Raw)'!D209)),"Accrued Int.",IF(ISNUMBER(SEARCH("Interessi Prest",'Statements (Raw)'!D209)),"Sec. Lending",IF('Statements (Raw)'!G209="","Other",IF('Statements (Raw)'!G209&gt;0,"Buy","Sell"))))))))))))))))))))))</f>
        <v>Buy</v>
      </c>
      <c r="E211" s="6" t="str">
        <f t="shared" si="6"/>
        <v>ETF/ETC</v>
      </c>
      <c r="F211" s="8">
        <f>IF(A211="","",IF('Statements (Raw)'!E209="","",'Statements (Raw)'!E209))</f>
        <v>327.5</v>
      </c>
      <c r="G211" s="6" t="str">
        <f>IF(A211="","",IF('Statements (Raw)'!F209="","",'Statements (Raw)'!F209))</f>
        <v>EUR</v>
      </c>
      <c r="H211" s="9">
        <f>IF(A211="","",IF('Statements (Raw)'!G209="","",'Statements (Raw)'!G209))</f>
        <v>3</v>
      </c>
      <c r="I211" s="10">
        <f>IF(A211="","",IF('Statements (Raw)'!H209="","",'Statements (Raw)'!H209))</f>
        <v>-982.5</v>
      </c>
      <c r="J211" s="10">
        <f>IF(A211="",0,IF('Statements (Raw)'!I209="",0,'Statements (Raw)'!I209))</f>
        <v>0</v>
      </c>
      <c r="K211" s="10">
        <f t="shared" si="7"/>
        <v>-982.5</v>
      </c>
    </row>
    <row r="212" spans="1:11" x14ac:dyDescent="0.3">
      <c r="A212" s="171">
        <f>IF(OR('Statements (Raw)'!A210="",'Statements (Raw)'!A210&gt;Holdings!$G$3),"",'Statements (Raw)'!A210)</f>
        <v>45931</v>
      </c>
      <c r="B212" s="7">
        <f>IF(A212="","",IF('Statements (Raw)'!B210="","",'Statements (Raw)'!B210))</f>
        <v>45933</v>
      </c>
      <c r="C212" s="6" t="str">
        <f>IF(A212="","",IF('Statements (Raw)'!C210&lt;&gt;"",'Statements (Raw)'!C210,IF(ISNUMBER(SEARCH("Conferimento",'Statements (Raw)'!D210)),"CASH DEPOSIT",IF(ISNUMBER(SEARCH("Prelievo",'Statements (Raw)'!D210)),"CASH WITHDRAWAL",IF(ISNUMBER(SEARCH("Bollo",'Statements (Raw)'!D210)),"STAMP DUTY",IF(ISNUMBER(SEARCH("Tobin Tax",'Statements (Raw)'!D210)),"TOBIN TAX",IF(ISNUMBER(SEARCH("Rit.provento",'Statements (Raw)'!D210)),"WITHHOLDING TAX",IF(ISNUMBER(SEARCH("Incasso Dividendi",'Statements (Raw)'!D210)),"DIVIDEND",IF(ISNUMBER(SEARCH("Cedola",'Statements (Raw)'!D210)),"COUPON",IF(ISNUMBER(SEARCH("Ratei Pass",'Statements (Raw)'!D210)),"ACCRUED INT",IF(ISNUMBER(SEARCH("Interessi Prest",'Statements (Raw)'!D210)),"SEC LENDING",IF(ISNUMBER(SEARCH("Rimborso",'Statements (Raw)'!D210)),"REDEMPTION",IF(ISNUMBER(SEARCH("Provento",'Statements (Raw)'!D210)),"DISTRIBUTION","OTHER")))))))))))))</f>
        <v>WISDOMTREE PHYSICAL SILVER</v>
      </c>
      <c r="D212" s="6" t="str">
        <f>IF(A212="","",IF(C212="Saldo Iniziale","Balance",IF(C212="CASH DEPOSIT","Deposit",IF(C212="CASH WITHDRAWAL","Withdrawal",IF(C212="STAMP DUTY","Tax",IF(C212="TOBIN TAX","Tax",IF(C212="WITHHOLDING TAX","Tax",IF(C212="DIVIDEND","Dividend",IF(C212="COUPON","Coupon",IF(C212="ACCRUED INT","Accrued Int.",IF(C212="SEC LENDING","Sec. Lending",IF(C212="REDEMPTION","Redemption",IF(C212="DISTRIBUTION","Distribution",IF(ISNUMBER(SEARCH("Rimborso",'Statements (Raw)'!D210)),"Redemption",IF(ISNUMBER(SEARCH("Cedola",'Statements (Raw)'!D210)),"Coupon",IF(ISNUMBER(SEARCH("Incasso Dividendi",'Statements (Raw)'!D210)),"Dividend",IF(ISNUMBER(SEARCH("Provento Etf",'Statements (Raw)'!D210)),"Distribution",IF(ISNUMBER(SEARCH("Rit.provento",'Statements (Raw)'!D210)),"Tax",IF(ISNUMBER(SEARCH("Ratei Pass",'Statements (Raw)'!D210)),"Accrued Int.",IF(ISNUMBER(SEARCH("Interessi Prest",'Statements (Raw)'!D210)),"Sec. Lending",IF('Statements (Raw)'!G210="","Other",IF('Statements (Raw)'!G210&gt;0,"Buy","Sell"))))))))))))))))))))))</f>
        <v>Buy</v>
      </c>
      <c r="E212" s="6" t="str">
        <f t="shared" si="6"/>
        <v>ETF/ETC</v>
      </c>
      <c r="F212" s="8">
        <f>IF(A212="","",IF('Statements (Raw)'!E210="","",'Statements (Raw)'!E210))</f>
        <v>36.844999999999999</v>
      </c>
      <c r="G212" s="6" t="str">
        <f>IF(A212="","",IF('Statements (Raw)'!F210="","",'Statements (Raw)'!F210))</f>
        <v>EUR</v>
      </c>
      <c r="H212" s="9">
        <f>IF(A212="","",IF('Statements (Raw)'!G210="","",'Statements (Raw)'!G210))</f>
        <v>13</v>
      </c>
      <c r="I212" s="10">
        <f>IF(A212="","",IF('Statements (Raw)'!H210="","",'Statements (Raw)'!H210))</f>
        <v>-478.99</v>
      </c>
      <c r="J212" s="10">
        <f>IF(A212="",0,IF('Statements (Raw)'!I210="",0,'Statements (Raw)'!I210))</f>
        <v>0</v>
      </c>
      <c r="K212" s="10">
        <f t="shared" si="7"/>
        <v>-478.99</v>
      </c>
    </row>
    <row r="213" spans="1:11" x14ac:dyDescent="0.3">
      <c r="A213" s="171">
        <f>IF(OR('Statements (Raw)'!A211="",'Statements (Raw)'!A211&gt;Holdings!$G$3),"",'Statements (Raw)'!A211)</f>
        <v>45932</v>
      </c>
      <c r="B213" s="7">
        <f>IF(A213="","",IF('Statements (Raw)'!B211="","",'Statements (Raw)'!B211))</f>
        <v>45936</v>
      </c>
      <c r="C213" s="6" t="str">
        <f>IF(A213="","",IF('Statements (Raw)'!C211&lt;&gt;"",'Statements (Raw)'!C211,IF(ISNUMBER(SEARCH("Conferimento",'Statements (Raw)'!D211)),"CASH DEPOSIT",IF(ISNUMBER(SEARCH("Prelievo",'Statements (Raw)'!D211)),"CASH WITHDRAWAL",IF(ISNUMBER(SEARCH("Bollo",'Statements (Raw)'!D211)),"STAMP DUTY",IF(ISNUMBER(SEARCH("Tobin Tax",'Statements (Raw)'!D211)),"TOBIN TAX",IF(ISNUMBER(SEARCH("Rit.provento",'Statements (Raw)'!D211)),"WITHHOLDING TAX",IF(ISNUMBER(SEARCH("Incasso Dividendi",'Statements (Raw)'!D211)),"DIVIDEND",IF(ISNUMBER(SEARCH("Cedola",'Statements (Raw)'!D211)),"COUPON",IF(ISNUMBER(SEARCH("Ratei Pass",'Statements (Raw)'!D211)),"ACCRUED INT",IF(ISNUMBER(SEARCH("Interessi Prest",'Statements (Raw)'!D211)),"SEC LENDING",IF(ISNUMBER(SEARCH("Rimborso",'Statements (Raw)'!D211)),"REDEMPTION",IF(ISNUMBER(SEARCH("Provento",'Statements (Raw)'!D211)),"DISTRIBUTION","OTHER")))))))))))))</f>
        <v>BOT ZC OCT25 A EUR</v>
      </c>
      <c r="D213" s="6" t="str">
        <f>IF(A213="","",IF(C213="Saldo Iniziale","Balance",IF(C213="CASH DEPOSIT","Deposit",IF(C213="CASH WITHDRAWAL","Withdrawal",IF(C213="STAMP DUTY","Tax",IF(C213="TOBIN TAX","Tax",IF(C213="WITHHOLDING TAX","Tax",IF(C213="DIVIDEND","Dividend",IF(C213="COUPON","Coupon",IF(C213="ACCRUED INT","Accrued Int.",IF(C213="SEC LENDING","Sec. Lending",IF(C213="REDEMPTION","Redemption",IF(C213="DISTRIBUTION","Distribution",IF(ISNUMBER(SEARCH("Rimborso",'Statements (Raw)'!D211)),"Redemption",IF(ISNUMBER(SEARCH("Cedola",'Statements (Raw)'!D211)),"Coupon",IF(ISNUMBER(SEARCH("Incasso Dividendi",'Statements (Raw)'!D211)),"Dividend",IF(ISNUMBER(SEARCH("Provento Etf",'Statements (Raw)'!D211)),"Distribution",IF(ISNUMBER(SEARCH("Rit.provento",'Statements (Raw)'!D211)),"Tax",IF(ISNUMBER(SEARCH("Ratei Pass",'Statements (Raw)'!D211)),"Accrued Int.",IF(ISNUMBER(SEARCH("Interessi Prest",'Statements (Raw)'!D211)),"Sec. Lending",IF('Statements (Raw)'!G211="","Other",IF('Statements (Raw)'!G211&gt;0,"Buy","Sell"))))))))))))))))))))))</f>
        <v>Buy</v>
      </c>
      <c r="E213" s="6" t="str">
        <f t="shared" si="6"/>
        <v>Bond</v>
      </c>
      <c r="F213" s="8">
        <f>IF(A213="","",IF('Statements (Raw)'!E211="","",'Statements (Raw)'!E211))</f>
        <v>99.974000000000004</v>
      </c>
      <c r="G213" s="6" t="str">
        <f>IF(A213="","",IF('Statements (Raw)'!F211="","",'Statements (Raw)'!F211))</f>
        <v>EUR</v>
      </c>
      <c r="H213" s="9">
        <f>IF(A213="","",IF('Statements (Raw)'!G211="","",'Statements (Raw)'!G211))</f>
        <v>50000</v>
      </c>
      <c r="I213" s="10">
        <f>IF(A213="","",IF('Statements (Raw)'!H211="","",'Statements (Raw)'!H211))</f>
        <v>-49987</v>
      </c>
      <c r="J213" s="10">
        <f>IF(A213="",0,IF('Statements (Raw)'!I211="",0,'Statements (Raw)'!I211))</f>
        <v>-5</v>
      </c>
      <c r="K213" s="10">
        <f t="shared" si="7"/>
        <v>-49992</v>
      </c>
    </row>
    <row r="214" spans="1:11" x14ac:dyDescent="0.3">
      <c r="A214" s="171">
        <f>IF(OR('Statements (Raw)'!A212="",'Statements (Raw)'!A212&gt;Holdings!$G$3),"",'Statements (Raw)'!A212)</f>
        <v>45932</v>
      </c>
      <c r="B214" s="7">
        <f>IF(A214="","",IF('Statements (Raw)'!B212="","",'Statements (Raw)'!B212))</f>
        <v>45936</v>
      </c>
      <c r="C214" s="6" t="str">
        <f>IF(A214="","",IF('Statements (Raw)'!C212&lt;&gt;"",'Statements (Raw)'!C212,IF(ISNUMBER(SEARCH("Conferimento",'Statements (Raw)'!D212)),"CASH DEPOSIT",IF(ISNUMBER(SEARCH("Prelievo",'Statements (Raw)'!D212)),"CASH WITHDRAWAL",IF(ISNUMBER(SEARCH("Bollo",'Statements (Raw)'!D212)),"STAMP DUTY",IF(ISNUMBER(SEARCH("Tobin Tax",'Statements (Raw)'!D212)),"TOBIN TAX",IF(ISNUMBER(SEARCH("Rit.provento",'Statements (Raw)'!D212)),"WITHHOLDING TAX",IF(ISNUMBER(SEARCH("Incasso Dividendi",'Statements (Raw)'!D212)),"DIVIDEND",IF(ISNUMBER(SEARCH("Cedola",'Statements (Raw)'!D212)),"COUPON",IF(ISNUMBER(SEARCH("Ratei Pass",'Statements (Raw)'!D212)),"ACCRUED INT",IF(ISNUMBER(SEARCH("Interessi Prest",'Statements (Raw)'!D212)),"SEC LENDING",IF(ISNUMBER(SEARCH("Rimborso",'Statements (Raw)'!D212)),"REDEMPTION",IF(ISNUMBER(SEARCH("Provento",'Statements (Raw)'!D212)),"DISTRIBUTION","OTHER")))))))))))))</f>
        <v>BOT ZC NOV25 S EUR</v>
      </c>
      <c r="D214" s="6" t="str">
        <f>IF(A214="","",IF(C214="Saldo Iniziale","Balance",IF(C214="CASH DEPOSIT","Deposit",IF(C214="CASH WITHDRAWAL","Withdrawal",IF(C214="STAMP DUTY","Tax",IF(C214="TOBIN TAX","Tax",IF(C214="WITHHOLDING TAX","Tax",IF(C214="DIVIDEND","Dividend",IF(C214="COUPON","Coupon",IF(C214="ACCRUED INT","Accrued Int.",IF(C214="SEC LENDING","Sec. Lending",IF(C214="REDEMPTION","Redemption",IF(C214="DISTRIBUTION","Distribution",IF(ISNUMBER(SEARCH("Rimborso",'Statements (Raw)'!D212)),"Redemption",IF(ISNUMBER(SEARCH("Cedola",'Statements (Raw)'!D212)),"Coupon",IF(ISNUMBER(SEARCH("Incasso Dividendi",'Statements (Raw)'!D212)),"Dividend",IF(ISNUMBER(SEARCH("Provento Etf",'Statements (Raw)'!D212)),"Distribution",IF(ISNUMBER(SEARCH("Rit.provento",'Statements (Raw)'!D212)),"Tax",IF(ISNUMBER(SEARCH("Ratei Pass",'Statements (Raw)'!D212)),"Accrued Int.",IF(ISNUMBER(SEARCH("Interessi Prest",'Statements (Raw)'!D212)),"Sec. Lending",IF('Statements (Raw)'!G212="","Other",IF('Statements (Raw)'!G212&gt;0,"Buy","Sell"))))))))))))))))))))))</f>
        <v>Buy</v>
      </c>
      <c r="E214" s="6" t="str">
        <f t="shared" si="6"/>
        <v>Bond</v>
      </c>
      <c r="F214" s="8">
        <f>IF(A214="","",IF('Statements (Raw)'!E212="","",'Statements (Raw)'!E212))</f>
        <v>99.72</v>
      </c>
      <c r="G214" s="6" t="str">
        <f>IF(A214="","",IF('Statements (Raw)'!F212="","",'Statements (Raw)'!F212))</f>
        <v>EUR</v>
      </c>
      <c r="H214" s="9">
        <f>IF(A214="","",IF('Statements (Raw)'!G212="","",'Statements (Raw)'!G212))</f>
        <v>50000</v>
      </c>
      <c r="I214" s="10">
        <f>IF(A214="","",IF('Statements (Raw)'!H212="","",'Statements (Raw)'!H212))</f>
        <v>-49860</v>
      </c>
      <c r="J214" s="10">
        <f>IF(A214="",0,IF('Statements (Raw)'!I212="",0,'Statements (Raw)'!I212))</f>
        <v>-5</v>
      </c>
      <c r="K214" s="10">
        <f t="shared" si="7"/>
        <v>-49865</v>
      </c>
    </row>
    <row r="215" spans="1:11" x14ac:dyDescent="0.3">
      <c r="A215" s="171">
        <f>IF(OR('Statements (Raw)'!A213="",'Statements (Raw)'!A213&gt;Holdings!$G$3),"",'Statements (Raw)'!A213)</f>
        <v>45932</v>
      </c>
      <c r="B215" s="7">
        <f>IF(A215="","",IF('Statements (Raw)'!B213="","",'Statements (Raw)'!B213))</f>
        <v>45936</v>
      </c>
      <c r="C215" s="6" t="str">
        <f>IF(A215="","",IF('Statements (Raw)'!C213&lt;&gt;"",'Statements (Raw)'!C213,IF(ISNUMBER(SEARCH("Conferimento",'Statements (Raw)'!D213)),"CASH DEPOSIT",IF(ISNUMBER(SEARCH("Prelievo",'Statements (Raw)'!D213)),"CASH WITHDRAWAL",IF(ISNUMBER(SEARCH("Bollo",'Statements (Raw)'!D213)),"STAMP DUTY",IF(ISNUMBER(SEARCH("Tobin Tax",'Statements (Raw)'!D213)),"TOBIN TAX",IF(ISNUMBER(SEARCH("Rit.provento",'Statements (Raw)'!D213)),"WITHHOLDING TAX",IF(ISNUMBER(SEARCH("Incasso Dividendi",'Statements (Raw)'!D213)),"DIVIDEND",IF(ISNUMBER(SEARCH("Cedola",'Statements (Raw)'!D213)),"COUPON",IF(ISNUMBER(SEARCH("Ratei Pass",'Statements (Raw)'!D213)),"ACCRUED INT",IF(ISNUMBER(SEARCH("Interessi Prest",'Statements (Raw)'!D213)),"SEC LENDING",IF(ISNUMBER(SEARCH("Rimborso",'Statements (Raw)'!D213)),"REDEMPTION",IF(ISNUMBER(SEARCH("Provento",'Statements (Raw)'!D213)),"DISTRIBUTION","OTHER")))))))))))))</f>
        <v>BOT ZC DEC25 A EUR</v>
      </c>
      <c r="D215" s="6" t="str">
        <f>IF(A215="","",IF(C215="Saldo Iniziale","Balance",IF(C215="CASH DEPOSIT","Deposit",IF(C215="CASH WITHDRAWAL","Withdrawal",IF(C215="STAMP DUTY","Tax",IF(C215="TOBIN TAX","Tax",IF(C215="WITHHOLDING TAX","Tax",IF(C215="DIVIDEND","Dividend",IF(C215="COUPON","Coupon",IF(C215="ACCRUED INT","Accrued Int.",IF(C215="SEC LENDING","Sec. Lending",IF(C215="REDEMPTION","Redemption",IF(C215="DISTRIBUTION","Distribution",IF(ISNUMBER(SEARCH("Rimborso",'Statements (Raw)'!D213)),"Redemption",IF(ISNUMBER(SEARCH("Cedola",'Statements (Raw)'!D213)),"Coupon",IF(ISNUMBER(SEARCH("Incasso Dividendi",'Statements (Raw)'!D213)),"Dividend",IF(ISNUMBER(SEARCH("Provento Etf",'Statements (Raw)'!D213)),"Distribution",IF(ISNUMBER(SEARCH("Rit.provento",'Statements (Raw)'!D213)),"Tax",IF(ISNUMBER(SEARCH("Ratei Pass",'Statements (Raw)'!D213)),"Accrued Int.",IF(ISNUMBER(SEARCH("Interessi Prest",'Statements (Raw)'!D213)),"Sec. Lending",IF('Statements (Raw)'!G213="","Other",IF('Statements (Raw)'!G213&gt;0,"Buy","Sell"))))))))))))))))))))))</f>
        <v>Buy</v>
      </c>
      <c r="E215" s="6" t="str">
        <f t="shared" si="6"/>
        <v>Bond</v>
      </c>
      <c r="F215" s="8">
        <f>IF(A215="","",IF('Statements (Raw)'!E213="","",'Statements (Raw)'!E213))</f>
        <v>99.673000000000002</v>
      </c>
      <c r="G215" s="6" t="str">
        <f>IF(A215="","",IF('Statements (Raw)'!F213="","",'Statements (Raw)'!F213))</f>
        <v>EUR</v>
      </c>
      <c r="H215" s="9">
        <f>IF(A215="","",IF('Statements (Raw)'!G213="","",'Statements (Raw)'!G213))</f>
        <v>39000</v>
      </c>
      <c r="I215" s="10">
        <f>IF(A215="","",IF('Statements (Raw)'!H213="","",'Statements (Raw)'!H213))</f>
        <v>-38872.47</v>
      </c>
      <c r="J215" s="10">
        <f>IF(A215="",0,IF('Statements (Raw)'!I213="",0,'Statements (Raw)'!I213))</f>
        <v>-5</v>
      </c>
      <c r="K215" s="10">
        <f t="shared" si="7"/>
        <v>-38877.47</v>
      </c>
    </row>
    <row r="216" spans="1:11" x14ac:dyDescent="0.3">
      <c r="A216" s="171">
        <f>IF(OR('Statements (Raw)'!A214="",'Statements (Raw)'!A214&gt;Holdings!$G$3),"",'Statements (Raw)'!A214)</f>
        <v>45932</v>
      </c>
      <c r="B216" s="7">
        <f>IF(A216="","",IF('Statements (Raw)'!B214="","",'Statements (Raw)'!B214))</f>
        <v>45936</v>
      </c>
      <c r="C216" s="6" t="str">
        <f>IF(A216="","",IF('Statements (Raw)'!C214&lt;&gt;"",'Statements (Raw)'!C214,IF(ISNUMBER(SEARCH("Conferimento",'Statements (Raw)'!D214)),"CASH DEPOSIT",IF(ISNUMBER(SEARCH("Prelievo",'Statements (Raw)'!D214)),"CASH WITHDRAWAL",IF(ISNUMBER(SEARCH("Bollo",'Statements (Raw)'!D214)),"STAMP DUTY",IF(ISNUMBER(SEARCH("Tobin Tax",'Statements (Raw)'!D214)),"TOBIN TAX",IF(ISNUMBER(SEARCH("Rit.provento",'Statements (Raw)'!D214)),"WITHHOLDING TAX",IF(ISNUMBER(SEARCH("Incasso Dividendi",'Statements (Raw)'!D214)),"DIVIDEND",IF(ISNUMBER(SEARCH("Cedola",'Statements (Raw)'!D214)),"COUPON",IF(ISNUMBER(SEARCH("Ratei Pass",'Statements (Raw)'!D214)),"ACCRUED INT",IF(ISNUMBER(SEARCH("Interessi Prest",'Statements (Raw)'!D214)),"SEC LENDING",IF(ISNUMBER(SEARCH("Rimborso",'Statements (Raw)'!D214)),"REDEMPTION",IF(ISNUMBER(SEARCH("Provento",'Statements (Raw)'!D214)),"DISTRIBUTION","OTHER")))))))))))))</f>
        <v>BOT ZC DEC25 A EUR</v>
      </c>
      <c r="D216" s="6" t="str">
        <f>IF(A216="","",IF(C216="Saldo Iniziale","Balance",IF(C216="CASH DEPOSIT","Deposit",IF(C216="CASH WITHDRAWAL","Withdrawal",IF(C216="STAMP DUTY","Tax",IF(C216="TOBIN TAX","Tax",IF(C216="WITHHOLDING TAX","Tax",IF(C216="DIVIDEND","Dividend",IF(C216="COUPON","Coupon",IF(C216="ACCRUED INT","Accrued Int.",IF(C216="SEC LENDING","Sec. Lending",IF(C216="REDEMPTION","Redemption",IF(C216="DISTRIBUTION","Distribution",IF(ISNUMBER(SEARCH("Rimborso",'Statements (Raw)'!D214)),"Redemption",IF(ISNUMBER(SEARCH("Cedola",'Statements (Raw)'!D214)),"Coupon",IF(ISNUMBER(SEARCH("Incasso Dividendi",'Statements (Raw)'!D214)),"Dividend",IF(ISNUMBER(SEARCH("Provento Etf",'Statements (Raw)'!D214)),"Distribution",IF(ISNUMBER(SEARCH("Rit.provento",'Statements (Raw)'!D214)),"Tax",IF(ISNUMBER(SEARCH("Ratei Pass",'Statements (Raw)'!D214)),"Accrued Int.",IF(ISNUMBER(SEARCH("Interessi Prest",'Statements (Raw)'!D214)),"Sec. Lending",IF('Statements (Raw)'!G214="","Other",IF('Statements (Raw)'!G214&gt;0,"Buy","Sell"))))))))))))))))))))))</f>
        <v>Buy</v>
      </c>
      <c r="E216" s="6" t="str">
        <f t="shared" si="6"/>
        <v>Bond</v>
      </c>
      <c r="F216" s="8">
        <f>IF(A216="","",IF('Statements (Raw)'!E214="","",'Statements (Raw)'!E214))</f>
        <v>99.674000000000007</v>
      </c>
      <c r="G216" s="6" t="str">
        <f>IF(A216="","",IF('Statements (Raw)'!F214="","",'Statements (Raw)'!F214))</f>
        <v>EUR</v>
      </c>
      <c r="H216" s="9">
        <f>IF(A216="","",IF('Statements (Raw)'!G214="","",'Statements (Raw)'!G214))</f>
        <v>11000</v>
      </c>
      <c r="I216" s="10">
        <f>IF(A216="","",IF('Statements (Raw)'!H214="","",'Statements (Raw)'!H214))</f>
        <v>-10964.14</v>
      </c>
      <c r="J216" s="10">
        <f>IF(A216="",0,IF('Statements (Raw)'!I214="",0,'Statements (Raw)'!I214))</f>
        <v>0</v>
      </c>
      <c r="K216" s="10">
        <f t="shared" si="7"/>
        <v>-10964.14</v>
      </c>
    </row>
    <row r="217" spans="1:11" x14ac:dyDescent="0.3">
      <c r="A217" s="171">
        <f>IF(OR('Statements (Raw)'!A215="",'Statements (Raw)'!A215&gt;Holdings!$G$3),"",'Statements (Raw)'!A215)</f>
        <v>45932</v>
      </c>
      <c r="B217" s="7">
        <f>IF(A217="","",IF('Statements (Raw)'!B215="","",'Statements (Raw)'!B215))</f>
        <v>45936</v>
      </c>
      <c r="C217" s="6" t="str">
        <f>IF(A217="","",IF('Statements (Raw)'!C215&lt;&gt;"",'Statements (Raw)'!C215,IF(ISNUMBER(SEARCH("Conferimento",'Statements (Raw)'!D215)),"CASH DEPOSIT",IF(ISNUMBER(SEARCH("Prelievo",'Statements (Raw)'!D215)),"CASH WITHDRAWAL",IF(ISNUMBER(SEARCH("Bollo",'Statements (Raw)'!D215)),"STAMP DUTY",IF(ISNUMBER(SEARCH("Tobin Tax",'Statements (Raw)'!D215)),"TOBIN TAX",IF(ISNUMBER(SEARCH("Rit.provento",'Statements (Raw)'!D215)),"WITHHOLDING TAX",IF(ISNUMBER(SEARCH("Incasso Dividendi",'Statements (Raw)'!D215)),"DIVIDEND",IF(ISNUMBER(SEARCH("Cedola",'Statements (Raw)'!D215)),"COUPON",IF(ISNUMBER(SEARCH("Ratei Pass",'Statements (Raw)'!D215)),"ACCRUED INT",IF(ISNUMBER(SEARCH("Interessi Prest",'Statements (Raw)'!D215)),"SEC LENDING",IF(ISNUMBER(SEARCH("Rimborso",'Statements (Raw)'!D215)),"REDEMPTION",IF(ISNUMBER(SEARCH("Provento",'Statements (Raw)'!D215)),"DISTRIBUTION","OTHER")))))))))))))</f>
        <v>BOT ZC JAN26 A EUR</v>
      </c>
      <c r="D217" s="6" t="str">
        <f>IF(A217="","",IF(C217="Saldo Iniziale","Balance",IF(C217="CASH DEPOSIT","Deposit",IF(C217="CASH WITHDRAWAL","Withdrawal",IF(C217="STAMP DUTY","Tax",IF(C217="TOBIN TAX","Tax",IF(C217="WITHHOLDING TAX","Tax",IF(C217="DIVIDEND","Dividend",IF(C217="COUPON","Coupon",IF(C217="ACCRUED INT","Accrued Int.",IF(C217="SEC LENDING","Sec. Lending",IF(C217="REDEMPTION","Redemption",IF(C217="DISTRIBUTION","Distribution",IF(ISNUMBER(SEARCH("Rimborso",'Statements (Raw)'!D215)),"Redemption",IF(ISNUMBER(SEARCH("Cedola",'Statements (Raw)'!D215)),"Coupon",IF(ISNUMBER(SEARCH("Incasso Dividendi",'Statements (Raw)'!D215)),"Dividend",IF(ISNUMBER(SEARCH("Provento Etf",'Statements (Raw)'!D215)),"Distribution",IF(ISNUMBER(SEARCH("Rit.provento",'Statements (Raw)'!D215)),"Tax",IF(ISNUMBER(SEARCH("Ratei Pass",'Statements (Raw)'!D215)),"Accrued Int.",IF(ISNUMBER(SEARCH("Interessi Prest",'Statements (Raw)'!D215)),"Sec. Lending",IF('Statements (Raw)'!G215="","Other",IF('Statements (Raw)'!G215&gt;0,"Buy","Sell"))))))))))))))))))))))</f>
        <v>Buy</v>
      </c>
      <c r="E217" s="6" t="str">
        <f t="shared" si="6"/>
        <v>Bond</v>
      </c>
      <c r="F217" s="8">
        <f>IF(A217="","",IF('Statements (Raw)'!E215="","",'Statements (Raw)'!E215))</f>
        <v>99.477000000000004</v>
      </c>
      <c r="G217" s="6" t="str">
        <f>IF(A217="","",IF('Statements (Raw)'!F215="","",'Statements (Raw)'!F215))</f>
        <v>EUR</v>
      </c>
      <c r="H217" s="9">
        <f>IF(A217="","",IF('Statements (Raw)'!G215="","",'Statements (Raw)'!G215))</f>
        <v>5000</v>
      </c>
      <c r="I217" s="10">
        <f>IF(A217="","",IF('Statements (Raw)'!H215="","",'Statements (Raw)'!H215))</f>
        <v>-4973.8500000000004</v>
      </c>
      <c r="J217" s="10">
        <f>IF(A217="",0,IF('Statements (Raw)'!I215="",0,'Statements (Raw)'!I215))</f>
        <v>-5</v>
      </c>
      <c r="K217" s="10">
        <f t="shared" si="7"/>
        <v>-4978.8500000000004</v>
      </c>
    </row>
    <row r="218" spans="1:11" x14ac:dyDescent="0.3">
      <c r="A218" s="171">
        <f>IF(OR('Statements (Raw)'!A216="",'Statements (Raw)'!A216&gt;Holdings!$G$3),"",'Statements (Raw)'!A216)</f>
        <v>45932</v>
      </c>
      <c r="B218" s="7">
        <f>IF(A218="","",IF('Statements (Raw)'!B216="","",'Statements (Raw)'!B216))</f>
        <v>45936</v>
      </c>
      <c r="C218" s="6" t="str">
        <f>IF(A218="","",IF('Statements (Raw)'!C216&lt;&gt;"",'Statements (Raw)'!C216,IF(ISNUMBER(SEARCH("Conferimento",'Statements (Raw)'!D216)),"CASH DEPOSIT",IF(ISNUMBER(SEARCH("Prelievo",'Statements (Raw)'!D216)),"CASH WITHDRAWAL",IF(ISNUMBER(SEARCH("Bollo",'Statements (Raw)'!D216)),"STAMP DUTY",IF(ISNUMBER(SEARCH("Tobin Tax",'Statements (Raw)'!D216)),"TOBIN TAX",IF(ISNUMBER(SEARCH("Rit.provento",'Statements (Raw)'!D216)),"WITHHOLDING TAX",IF(ISNUMBER(SEARCH("Incasso Dividendi",'Statements (Raw)'!D216)),"DIVIDEND",IF(ISNUMBER(SEARCH("Cedola",'Statements (Raw)'!D216)),"COUPON",IF(ISNUMBER(SEARCH("Ratei Pass",'Statements (Raw)'!D216)),"ACCRUED INT",IF(ISNUMBER(SEARCH("Interessi Prest",'Statements (Raw)'!D216)),"SEC LENDING",IF(ISNUMBER(SEARCH("Rimborso",'Statements (Raw)'!D216)),"REDEMPTION",IF(ISNUMBER(SEARCH("Provento",'Statements (Raw)'!D216)),"DISTRIBUTION","OTHER")))))))))))))</f>
        <v>BOT ZC JAN26 A EUR</v>
      </c>
      <c r="D218" s="6" t="str">
        <f>IF(A218="","",IF(C218="Saldo Iniziale","Balance",IF(C218="CASH DEPOSIT","Deposit",IF(C218="CASH WITHDRAWAL","Withdrawal",IF(C218="STAMP DUTY","Tax",IF(C218="TOBIN TAX","Tax",IF(C218="WITHHOLDING TAX","Tax",IF(C218="DIVIDEND","Dividend",IF(C218="COUPON","Coupon",IF(C218="ACCRUED INT","Accrued Int.",IF(C218="SEC LENDING","Sec. Lending",IF(C218="REDEMPTION","Redemption",IF(C218="DISTRIBUTION","Distribution",IF(ISNUMBER(SEARCH("Rimborso",'Statements (Raw)'!D216)),"Redemption",IF(ISNUMBER(SEARCH("Cedola",'Statements (Raw)'!D216)),"Coupon",IF(ISNUMBER(SEARCH("Incasso Dividendi",'Statements (Raw)'!D216)),"Dividend",IF(ISNUMBER(SEARCH("Provento Etf",'Statements (Raw)'!D216)),"Distribution",IF(ISNUMBER(SEARCH("Rit.provento",'Statements (Raw)'!D216)),"Tax",IF(ISNUMBER(SEARCH("Ratei Pass",'Statements (Raw)'!D216)),"Accrued Int.",IF(ISNUMBER(SEARCH("Interessi Prest",'Statements (Raw)'!D216)),"Sec. Lending",IF('Statements (Raw)'!G216="","Other",IF('Statements (Raw)'!G216&gt;0,"Buy","Sell"))))))))))))))))))))))</f>
        <v>Buy</v>
      </c>
      <c r="E218" s="6" t="str">
        <f t="shared" si="6"/>
        <v>Bond</v>
      </c>
      <c r="F218" s="8">
        <f>IF(A218="","",IF('Statements (Raw)'!E216="","",'Statements (Raw)'!E216))</f>
        <v>99.477000000000004</v>
      </c>
      <c r="G218" s="6" t="str">
        <f>IF(A218="","",IF('Statements (Raw)'!F216="","",'Statements (Raw)'!F216))</f>
        <v>EUR</v>
      </c>
      <c r="H218" s="9">
        <f>IF(A218="","",IF('Statements (Raw)'!G216="","",'Statements (Raw)'!G216))</f>
        <v>45000</v>
      </c>
      <c r="I218" s="10">
        <f>IF(A218="","",IF('Statements (Raw)'!H216="","",'Statements (Raw)'!H216))</f>
        <v>-44764.65</v>
      </c>
      <c r="J218" s="10">
        <f>IF(A218="",0,IF('Statements (Raw)'!I216="",0,'Statements (Raw)'!I216))</f>
        <v>0</v>
      </c>
      <c r="K218" s="10">
        <f t="shared" si="7"/>
        <v>-44764.65</v>
      </c>
    </row>
    <row r="219" spans="1:11" x14ac:dyDescent="0.3">
      <c r="A219" s="171">
        <f>IF(OR('Statements (Raw)'!A217="",'Statements (Raw)'!A217&gt;Holdings!$G$3),"",'Statements (Raw)'!A217)</f>
        <v>45932</v>
      </c>
      <c r="B219" s="7">
        <f>IF(A219="","",IF('Statements (Raw)'!B217="","",'Statements (Raw)'!B217))</f>
        <v>45936</v>
      </c>
      <c r="C219" s="6" t="str">
        <f>IF(A219="","",IF('Statements (Raw)'!C217&lt;&gt;"",'Statements (Raw)'!C217,IF(ISNUMBER(SEARCH("Conferimento",'Statements (Raw)'!D217)),"CASH DEPOSIT",IF(ISNUMBER(SEARCH("Prelievo",'Statements (Raw)'!D217)),"CASH WITHDRAWAL",IF(ISNUMBER(SEARCH("Bollo",'Statements (Raw)'!D217)),"STAMP DUTY",IF(ISNUMBER(SEARCH("Tobin Tax",'Statements (Raw)'!D217)),"TOBIN TAX",IF(ISNUMBER(SEARCH("Rit.provento",'Statements (Raw)'!D217)),"WITHHOLDING TAX",IF(ISNUMBER(SEARCH("Incasso Dividendi",'Statements (Raw)'!D217)),"DIVIDEND",IF(ISNUMBER(SEARCH("Cedola",'Statements (Raw)'!D217)),"COUPON",IF(ISNUMBER(SEARCH("Ratei Pass",'Statements (Raw)'!D217)),"ACCRUED INT",IF(ISNUMBER(SEARCH("Interessi Prest",'Statements (Raw)'!D217)),"SEC LENDING",IF(ISNUMBER(SEARCH("Rimborso",'Statements (Raw)'!D217)),"REDEMPTION",IF(ISNUMBER(SEARCH("Provento",'Statements (Raw)'!D217)),"DISTRIBUTION","OTHER")))))))))))))</f>
        <v>BTP FX 3.2% JAN26 EUR</v>
      </c>
      <c r="D219" s="6" t="str">
        <f>IF(A219="","",IF(C219="Saldo Iniziale","Balance",IF(C219="CASH DEPOSIT","Deposit",IF(C219="CASH WITHDRAWAL","Withdrawal",IF(C219="STAMP DUTY","Tax",IF(C219="TOBIN TAX","Tax",IF(C219="WITHHOLDING TAX","Tax",IF(C219="DIVIDEND","Dividend",IF(C219="COUPON","Coupon",IF(C219="ACCRUED INT","Accrued Int.",IF(C219="SEC LENDING","Sec. Lending",IF(C219="REDEMPTION","Redemption",IF(C219="DISTRIBUTION","Distribution",IF(ISNUMBER(SEARCH("Rimborso",'Statements (Raw)'!D217)),"Redemption",IF(ISNUMBER(SEARCH("Cedola",'Statements (Raw)'!D217)),"Coupon",IF(ISNUMBER(SEARCH("Incasso Dividendi",'Statements (Raw)'!D217)),"Dividend",IF(ISNUMBER(SEARCH("Provento Etf",'Statements (Raw)'!D217)),"Distribution",IF(ISNUMBER(SEARCH("Rit.provento",'Statements (Raw)'!D217)),"Tax",IF(ISNUMBER(SEARCH("Ratei Pass",'Statements (Raw)'!D217)),"Accrued Int.",IF(ISNUMBER(SEARCH("Interessi Prest",'Statements (Raw)'!D217)),"Sec. Lending",IF('Statements (Raw)'!G217="","Other",IF('Statements (Raw)'!G217&gt;0,"Buy","Sell"))))))))))))))))))))))</f>
        <v>Buy</v>
      </c>
      <c r="E219" s="6" t="str">
        <f t="shared" si="6"/>
        <v>Bond</v>
      </c>
      <c r="F219" s="8">
        <f>IF(A219="","",IF('Statements (Raw)'!E217="","",'Statements (Raw)'!E217))</f>
        <v>100.35899999999999</v>
      </c>
      <c r="G219" s="6" t="str">
        <f>IF(A219="","",IF('Statements (Raw)'!F217="","",'Statements (Raw)'!F217))</f>
        <v>EUR</v>
      </c>
      <c r="H219" s="9">
        <f>IF(A219="","",IF('Statements (Raw)'!G217="","",'Statements (Raw)'!G217))</f>
        <v>40000</v>
      </c>
      <c r="I219" s="10">
        <f>IF(A219="","",IF('Statements (Raw)'!H217="","",'Statements (Raw)'!H217))</f>
        <v>-40143.599999999999</v>
      </c>
      <c r="J219" s="10">
        <f>IF(A219="",0,IF('Statements (Raw)'!I217="",0,'Statements (Raw)'!I217))</f>
        <v>-5</v>
      </c>
      <c r="K219" s="10">
        <f t="shared" si="7"/>
        <v>-40148.6</v>
      </c>
    </row>
    <row r="220" spans="1:11" x14ac:dyDescent="0.3">
      <c r="A220" s="171">
        <f>IF(OR('Statements (Raw)'!A218="",'Statements (Raw)'!A218&gt;Holdings!$G$3),"",'Statements (Raw)'!A218)</f>
        <v>45932</v>
      </c>
      <c r="B220" s="7">
        <f>IF(A220="","",IF('Statements (Raw)'!B218="","",'Statements (Raw)'!B218))</f>
        <v>45936</v>
      </c>
      <c r="C220" s="6" t="str">
        <f>IF(A220="","",IF('Statements (Raw)'!C218&lt;&gt;"",'Statements (Raw)'!C218,IF(ISNUMBER(SEARCH("Conferimento",'Statements (Raw)'!D218)),"CASH DEPOSIT",IF(ISNUMBER(SEARCH("Prelievo",'Statements (Raw)'!D218)),"CASH WITHDRAWAL",IF(ISNUMBER(SEARCH("Bollo",'Statements (Raw)'!D218)),"STAMP DUTY",IF(ISNUMBER(SEARCH("Tobin Tax",'Statements (Raw)'!D218)),"TOBIN TAX",IF(ISNUMBER(SEARCH("Rit.provento",'Statements (Raw)'!D218)),"WITHHOLDING TAX",IF(ISNUMBER(SEARCH("Incasso Dividendi",'Statements (Raw)'!D218)),"DIVIDEND",IF(ISNUMBER(SEARCH("Cedola",'Statements (Raw)'!D218)),"COUPON",IF(ISNUMBER(SEARCH("Ratei Pass",'Statements (Raw)'!D218)),"ACCRUED INT",IF(ISNUMBER(SEARCH("Interessi Prest",'Statements (Raw)'!D218)),"SEC LENDING",IF(ISNUMBER(SEARCH("Rimborso",'Statements (Raw)'!D218)),"REDEMPTION",IF(ISNUMBER(SEARCH("Provento",'Statements (Raw)'!D218)),"DISTRIBUTION","OTHER")))))))))))))</f>
        <v>BTP FX 3.2% JAN26 EUR</v>
      </c>
      <c r="D220" s="6" t="str">
        <f>IF(A220="","",IF(C220="Saldo Iniziale","Balance",IF(C220="CASH DEPOSIT","Deposit",IF(C220="CASH WITHDRAWAL","Withdrawal",IF(C220="STAMP DUTY","Tax",IF(C220="TOBIN TAX","Tax",IF(C220="WITHHOLDING TAX","Tax",IF(C220="DIVIDEND","Dividend",IF(C220="COUPON","Coupon",IF(C220="ACCRUED INT","Accrued Int.",IF(C220="SEC LENDING","Sec. Lending",IF(C220="REDEMPTION","Redemption",IF(C220="DISTRIBUTION","Distribution",IF(ISNUMBER(SEARCH("Rimborso",'Statements (Raw)'!D218)),"Redemption",IF(ISNUMBER(SEARCH("Cedola",'Statements (Raw)'!D218)),"Coupon",IF(ISNUMBER(SEARCH("Incasso Dividendi",'Statements (Raw)'!D218)),"Dividend",IF(ISNUMBER(SEARCH("Provento Etf",'Statements (Raw)'!D218)),"Distribution",IF(ISNUMBER(SEARCH("Rit.provento",'Statements (Raw)'!D218)),"Tax",IF(ISNUMBER(SEARCH("Ratei Pass",'Statements (Raw)'!D218)),"Accrued Int.",IF(ISNUMBER(SEARCH("Interessi Prest",'Statements (Raw)'!D218)),"Sec. Lending",IF('Statements (Raw)'!G218="","Other",IF('Statements (Raw)'!G218&gt;0,"Buy","Sell"))))))))))))))))))))))</f>
        <v>Accrued Int.</v>
      </c>
      <c r="E220" s="6" t="str">
        <f t="shared" si="6"/>
        <v>Income</v>
      </c>
      <c r="F220" s="8" t="str">
        <f>IF(A220="","",IF('Statements (Raw)'!E218="","",'Statements (Raw)'!E218))</f>
        <v/>
      </c>
      <c r="G220" s="6" t="str">
        <f>IF(A220="","",IF('Statements (Raw)'!F218="","",'Statements (Raw)'!F218))</f>
        <v/>
      </c>
      <c r="H220" s="9" t="str">
        <f>IF(A220="","",IF('Statements (Raw)'!G218="","",'Statements (Raw)'!G218))</f>
        <v/>
      </c>
      <c r="I220" s="10">
        <f>IF(A220="","",IF('Statements (Raw)'!H218="","",'Statements (Raw)'!H218))</f>
        <v>-243.48</v>
      </c>
      <c r="J220" s="10">
        <f>IF(A220="",0,IF('Statements (Raw)'!I218="",0,'Statements (Raw)'!I218))</f>
        <v>0</v>
      </c>
      <c r="K220" s="10">
        <f t="shared" si="7"/>
        <v>-243.48</v>
      </c>
    </row>
    <row r="221" spans="1:11" x14ac:dyDescent="0.3">
      <c r="A221" s="171">
        <f>IF(OR('Statements (Raw)'!A219="",'Statements (Raw)'!A219&gt;Holdings!$G$3),"",'Statements (Raw)'!A219)</f>
        <v>45932</v>
      </c>
      <c r="B221" s="7">
        <f>IF(A221="","",IF('Statements (Raw)'!B219="","",'Statements (Raw)'!B219))</f>
        <v>45933</v>
      </c>
      <c r="C221" s="6" t="str">
        <f>IF(A221="","",IF('Statements (Raw)'!C219&lt;&gt;"",'Statements (Raw)'!C219,IF(ISNUMBER(SEARCH("Conferimento",'Statements (Raw)'!D219)),"CASH DEPOSIT",IF(ISNUMBER(SEARCH("Prelievo",'Statements (Raw)'!D219)),"CASH WITHDRAWAL",IF(ISNUMBER(SEARCH("Bollo",'Statements (Raw)'!D219)),"STAMP DUTY",IF(ISNUMBER(SEARCH("Tobin Tax",'Statements (Raw)'!D219)),"TOBIN TAX",IF(ISNUMBER(SEARCH("Rit.provento",'Statements (Raw)'!D219)),"WITHHOLDING TAX",IF(ISNUMBER(SEARCH("Incasso Dividendi",'Statements (Raw)'!D219)),"DIVIDEND",IF(ISNUMBER(SEARCH("Cedola",'Statements (Raw)'!D219)),"COUPON",IF(ISNUMBER(SEARCH("Ratei Pass",'Statements (Raw)'!D219)),"ACCRUED INT",IF(ISNUMBER(SEARCH("Interessi Prest",'Statements (Raw)'!D219)),"SEC LENDING",IF(ISNUMBER(SEARCH("Rimborso",'Statements (Raw)'!D219)),"REDEMPTION",IF(ISNUMBER(SEARCH("Provento",'Statements (Raw)'!D219)),"DISTRIBUTION","OTHER")))))))))))))</f>
        <v>ORACLE CORP</v>
      </c>
      <c r="D221" s="6" t="str">
        <f>IF(A221="","",IF(C221="Saldo Iniziale","Balance",IF(C221="CASH DEPOSIT","Deposit",IF(C221="CASH WITHDRAWAL","Withdrawal",IF(C221="STAMP DUTY","Tax",IF(C221="TOBIN TAX","Tax",IF(C221="WITHHOLDING TAX","Tax",IF(C221="DIVIDEND","Dividend",IF(C221="COUPON","Coupon",IF(C221="ACCRUED INT","Accrued Int.",IF(C221="SEC LENDING","Sec. Lending",IF(C221="REDEMPTION","Redemption",IF(C221="DISTRIBUTION","Distribution",IF(ISNUMBER(SEARCH("Rimborso",'Statements (Raw)'!D219)),"Redemption",IF(ISNUMBER(SEARCH("Cedola",'Statements (Raw)'!D219)),"Coupon",IF(ISNUMBER(SEARCH("Incasso Dividendi",'Statements (Raw)'!D219)),"Dividend",IF(ISNUMBER(SEARCH("Provento Etf",'Statements (Raw)'!D219)),"Distribution",IF(ISNUMBER(SEARCH("Rit.provento",'Statements (Raw)'!D219)),"Tax",IF(ISNUMBER(SEARCH("Ratei Pass",'Statements (Raw)'!D219)),"Accrued Int.",IF(ISNUMBER(SEARCH("Interessi Prest",'Statements (Raw)'!D219)),"Sec. Lending",IF('Statements (Raw)'!G219="","Other",IF('Statements (Raw)'!G219&gt;0,"Buy","Sell"))))))))))))))))))))))</f>
        <v>Buy</v>
      </c>
      <c r="E221" s="6" t="str">
        <f t="shared" si="6"/>
        <v>Stock</v>
      </c>
      <c r="F221" s="8">
        <f>IF(A221="","",IF('Statements (Raw)'!E219="","",'Statements (Raw)'!E219))</f>
        <v>290.7</v>
      </c>
      <c r="G221" s="6" t="str">
        <f>IF(A221="","",IF('Statements (Raw)'!F219="","",'Statements (Raw)'!F219))</f>
        <v>USD</v>
      </c>
      <c r="H221" s="9">
        <f>IF(A221="","",IF('Statements (Raw)'!G219="","",'Statements (Raw)'!G219))</f>
        <v>20</v>
      </c>
      <c r="I221" s="10">
        <f>IF(A221="","",IF('Statements (Raw)'!H219="","",'Statements (Raw)'!H219))</f>
        <v>-4961.6000000000004</v>
      </c>
      <c r="J221" s="10">
        <f>IF(A221="",0,IF('Statements (Raw)'!I219="",0,'Statements (Raw)'!I219))</f>
        <v>-7.68</v>
      </c>
      <c r="K221" s="10">
        <f t="shared" si="7"/>
        <v>-4969.2800000000007</v>
      </c>
    </row>
    <row r="222" spans="1:11" x14ac:dyDescent="0.3">
      <c r="A222" s="171">
        <f>IF(OR('Statements (Raw)'!A220="",'Statements (Raw)'!A220&gt;Holdings!$G$3),"",'Statements (Raw)'!A220)</f>
        <v>45933</v>
      </c>
      <c r="B222" s="7">
        <f>IF(A222="","",IF('Statements (Raw)'!B220="","",'Statements (Raw)'!B220))</f>
        <v>45933</v>
      </c>
      <c r="C222" s="6" t="str">
        <f>IF(A222="","",IF('Statements (Raw)'!C220&lt;&gt;"",'Statements (Raw)'!C220,IF(ISNUMBER(SEARCH("Conferimento",'Statements (Raw)'!D220)),"CASH DEPOSIT",IF(ISNUMBER(SEARCH("Prelievo",'Statements (Raw)'!D220)),"CASH WITHDRAWAL",IF(ISNUMBER(SEARCH("Bollo",'Statements (Raw)'!D220)),"STAMP DUTY",IF(ISNUMBER(SEARCH("Tobin Tax",'Statements (Raw)'!D220)),"TOBIN TAX",IF(ISNUMBER(SEARCH("Rit.provento",'Statements (Raw)'!D220)),"WITHHOLDING TAX",IF(ISNUMBER(SEARCH("Incasso Dividendi",'Statements (Raw)'!D220)),"DIVIDEND",IF(ISNUMBER(SEARCH("Cedola",'Statements (Raw)'!D220)),"COUPON",IF(ISNUMBER(SEARCH("Ratei Pass",'Statements (Raw)'!D220)),"ACCRUED INT",IF(ISNUMBER(SEARCH("Interessi Prest",'Statements (Raw)'!D220)),"SEC LENDING",IF(ISNUMBER(SEARCH("Rimborso",'Statements (Raw)'!D220)),"REDEMPTION",IF(ISNUMBER(SEARCH("Provento",'Statements (Raw)'!D220)),"DISTRIBUTION","OTHER")))))))))))))</f>
        <v>CASH DEPOSIT</v>
      </c>
      <c r="D222" s="6" t="str">
        <f>IF(A222="","",IF(C222="Saldo Iniziale","Balance",IF(C222="CASH DEPOSIT","Deposit",IF(C222="CASH WITHDRAWAL","Withdrawal",IF(C222="STAMP DUTY","Tax",IF(C222="TOBIN TAX","Tax",IF(C222="WITHHOLDING TAX","Tax",IF(C222="DIVIDEND","Dividend",IF(C222="COUPON","Coupon",IF(C222="ACCRUED INT","Accrued Int.",IF(C222="SEC LENDING","Sec. Lending",IF(C222="REDEMPTION","Redemption",IF(C222="DISTRIBUTION","Distribution",IF(ISNUMBER(SEARCH("Rimborso",'Statements (Raw)'!D220)),"Redemption",IF(ISNUMBER(SEARCH("Cedola",'Statements (Raw)'!D220)),"Coupon",IF(ISNUMBER(SEARCH("Incasso Dividendi",'Statements (Raw)'!D220)),"Dividend",IF(ISNUMBER(SEARCH("Provento Etf",'Statements (Raw)'!D220)),"Distribution",IF(ISNUMBER(SEARCH("Rit.provento",'Statements (Raw)'!D220)),"Tax",IF(ISNUMBER(SEARCH("Ratei Pass",'Statements (Raw)'!D220)),"Accrued Int.",IF(ISNUMBER(SEARCH("Interessi Prest",'Statements (Raw)'!D220)),"Sec. Lending",IF('Statements (Raw)'!G220="","Other",IF('Statements (Raw)'!G220&gt;0,"Buy","Sell"))))))))))))))))))))))</f>
        <v>Deposit</v>
      </c>
      <c r="E222" s="6" t="str">
        <f t="shared" si="6"/>
        <v>Cash</v>
      </c>
      <c r="F222" s="8" t="str">
        <f>IF(A222="","",IF('Statements (Raw)'!E220="","",'Statements (Raw)'!E220))</f>
        <v/>
      </c>
      <c r="G222" s="6" t="str">
        <f>IF(A222="","",IF('Statements (Raw)'!F220="","",'Statements (Raw)'!F220))</f>
        <v/>
      </c>
      <c r="H222" s="9" t="str">
        <f>IF(A222="","",IF('Statements (Raw)'!G220="","",'Statements (Raw)'!G220))</f>
        <v/>
      </c>
      <c r="I222" s="10">
        <f>IF(A222="","",IF('Statements (Raw)'!H220="","",'Statements (Raw)'!H220))</f>
        <v>400000</v>
      </c>
      <c r="J222" s="10">
        <f>IF(A222="",0,IF('Statements (Raw)'!I220="",0,'Statements (Raw)'!I220))</f>
        <v>0</v>
      </c>
      <c r="K222" s="10">
        <f t="shared" si="7"/>
        <v>400000</v>
      </c>
    </row>
    <row r="223" spans="1:11" x14ac:dyDescent="0.3">
      <c r="A223" s="171">
        <f>IF(OR('Statements (Raw)'!A221="",'Statements (Raw)'!A221&gt;Holdings!$G$3),"",'Statements (Raw)'!A221)</f>
        <v>45938</v>
      </c>
      <c r="B223" s="7">
        <f>IF(A223="","",IF('Statements (Raw)'!B221="","",'Statements (Raw)'!B221))</f>
        <v>45940</v>
      </c>
      <c r="C223" s="6" t="str">
        <f>IF(A223="","",IF('Statements (Raw)'!C221&lt;&gt;"",'Statements (Raw)'!C221,IF(ISNUMBER(SEARCH("Conferimento",'Statements (Raw)'!D221)),"CASH DEPOSIT",IF(ISNUMBER(SEARCH("Prelievo",'Statements (Raw)'!D221)),"CASH WITHDRAWAL",IF(ISNUMBER(SEARCH("Bollo",'Statements (Raw)'!D221)),"STAMP DUTY",IF(ISNUMBER(SEARCH("Tobin Tax",'Statements (Raw)'!D221)),"TOBIN TAX",IF(ISNUMBER(SEARCH("Rit.provento",'Statements (Raw)'!D221)),"WITHHOLDING TAX",IF(ISNUMBER(SEARCH("Incasso Dividendi",'Statements (Raw)'!D221)),"DIVIDEND",IF(ISNUMBER(SEARCH("Cedola",'Statements (Raw)'!D221)),"COUPON",IF(ISNUMBER(SEARCH("Ratei Pass",'Statements (Raw)'!D221)),"ACCRUED INT",IF(ISNUMBER(SEARCH("Interessi Prest",'Statements (Raw)'!D221)),"SEC LENDING",IF(ISNUMBER(SEARCH("Rimborso",'Statements (Raw)'!D221)),"REDEMPTION",IF(ISNUMBER(SEARCH("Provento",'Statements (Raw)'!D221)),"DISTRIBUTION","OTHER")))))))))))))</f>
        <v>WisdomTree Europe Defence UCIT</v>
      </c>
      <c r="D223" s="6" t="str">
        <f>IF(A223="","",IF(C223="Saldo Iniziale","Balance",IF(C223="CASH DEPOSIT","Deposit",IF(C223="CASH WITHDRAWAL","Withdrawal",IF(C223="STAMP DUTY","Tax",IF(C223="TOBIN TAX","Tax",IF(C223="WITHHOLDING TAX","Tax",IF(C223="DIVIDEND","Dividend",IF(C223="COUPON","Coupon",IF(C223="ACCRUED INT","Accrued Int.",IF(C223="SEC LENDING","Sec. Lending",IF(C223="REDEMPTION","Redemption",IF(C223="DISTRIBUTION","Distribution",IF(ISNUMBER(SEARCH("Rimborso",'Statements (Raw)'!D221)),"Redemption",IF(ISNUMBER(SEARCH("Cedola",'Statements (Raw)'!D221)),"Coupon",IF(ISNUMBER(SEARCH("Incasso Dividendi",'Statements (Raw)'!D221)),"Dividend",IF(ISNUMBER(SEARCH("Provento Etf",'Statements (Raw)'!D221)),"Distribution",IF(ISNUMBER(SEARCH("Rit.provento",'Statements (Raw)'!D221)),"Tax",IF(ISNUMBER(SEARCH("Ratei Pass",'Statements (Raw)'!D221)),"Accrued Int.",IF(ISNUMBER(SEARCH("Interessi Prest",'Statements (Raw)'!D221)),"Sec. Lending",IF('Statements (Raw)'!G221="","Other",IF('Statements (Raw)'!G221&gt;0,"Buy","Sell"))))))))))))))))))))))</f>
        <v>Buy</v>
      </c>
      <c r="E223" s="6" t="str">
        <f t="shared" si="6"/>
        <v>ETF/ETC</v>
      </c>
      <c r="F223" s="8">
        <f>IF(A223="","",IF('Statements (Raw)'!E221="","",'Statements (Raw)'!E221))</f>
        <v>33.770000000000003</v>
      </c>
      <c r="G223" s="6" t="str">
        <f>IF(A223="","",IF('Statements (Raw)'!F221="","",'Statements (Raw)'!F221))</f>
        <v>EUR</v>
      </c>
      <c r="H223" s="9">
        <f>IF(A223="","",IF('Statements (Raw)'!G221="","",'Statements (Raw)'!G221))</f>
        <v>29</v>
      </c>
      <c r="I223" s="10">
        <f>IF(A223="","",IF('Statements (Raw)'!H221="","",'Statements (Raw)'!H221))</f>
        <v>-979.33</v>
      </c>
      <c r="J223" s="10">
        <f>IF(A223="",0,IF('Statements (Raw)'!I221="",0,'Statements (Raw)'!I221))</f>
        <v>0</v>
      </c>
      <c r="K223" s="10">
        <f t="shared" si="7"/>
        <v>-979.33</v>
      </c>
    </row>
    <row r="224" spans="1:11" x14ac:dyDescent="0.3">
      <c r="A224" s="171">
        <f>IF(OR('Statements (Raw)'!A222="",'Statements (Raw)'!A222&gt;Holdings!$G$3),"",'Statements (Raw)'!A222)</f>
        <v>45938</v>
      </c>
      <c r="B224" s="7">
        <f>IF(A224="","",IF('Statements (Raw)'!B222="","",'Statements (Raw)'!B222))</f>
        <v>45940</v>
      </c>
      <c r="C224" s="6" t="str">
        <f>IF(A224="","",IF('Statements (Raw)'!C222&lt;&gt;"",'Statements (Raw)'!C222,IF(ISNUMBER(SEARCH("Conferimento",'Statements (Raw)'!D222)),"CASH DEPOSIT",IF(ISNUMBER(SEARCH("Prelievo",'Statements (Raw)'!D222)),"CASH WITHDRAWAL",IF(ISNUMBER(SEARCH("Bollo",'Statements (Raw)'!D222)),"STAMP DUTY",IF(ISNUMBER(SEARCH("Tobin Tax",'Statements (Raw)'!D222)),"TOBIN TAX",IF(ISNUMBER(SEARCH("Rit.provento",'Statements (Raw)'!D222)),"WITHHOLDING TAX",IF(ISNUMBER(SEARCH("Incasso Dividendi",'Statements (Raw)'!D222)),"DIVIDEND",IF(ISNUMBER(SEARCH("Cedola",'Statements (Raw)'!D222)),"COUPON",IF(ISNUMBER(SEARCH("Ratei Pass",'Statements (Raw)'!D222)),"ACCRUED INT",IF(ISNUMBER(SEARCH("Interessi Prest",'Statements (Raw)'!D222)),"SEC LENDING",IF(ISNUMBER(SEARCH("Rimborso",'Statements (Raw)'!D222)),"REDEMPTION",IF(ISNUMBER(SEARCH("Provento",'Statements (Raw)'!D222)),"DISTRIBUTION","OTHER")))))))))))))</f>
        <v>ISHARES FTSE MIB UCITS ETF EUR</v>
      </c>
      <c r="D224" s="6" t="str">
        <f>IF(A224="","",IF(C224="Saldo Iniziale","Balance",IF(C224="CASH DEPOSIT","Deposit",IF(C224="CASH WITHDRAWAL","Withdrawal",IF(C224="STAMP DUTY","Tax",IF(C224="TOBIN TAX","Tax",IF(C224="WITHHOLDING TAX","Tax",IF(C224="DIVIDEND","Dividend",IF(C224="COUPON","Coupon",IF(C224="ACCRUED INT","Accrued Int.",IF(C224="SEC LENDING","Sec. Lending",IF(C224="REDEMPTION","Redemption",IF(C224="DISTRIBUTION","Distribution",IF(ISNUMBER(SEARCH("Rimborso",'Statements (Raw)'!D222)),"Redemption",IF(ISNUMBER(SEARCH("Cedola",'Statements (Raw)'!D222)),"Coupon",IF(ISNUMBER(SEARCH("Incasso Dividendi",'Statements (Raw)'!D222)),"Dividend",IF(ISNUMBER(SEARCH("Provento Etf",'Statements (Raw)'!D222)),"Distribution",IF(ISNUMBER(SEARCH("Rit.provento",'Statements (Raw)'!D222)),"Tax",IF(ISNUMBER(SEARCH("Ratei Pass",'Statements (Raw)'!D222)),"Accrued Int.",IF(ISNUMBER(SEARCH("Interessi Prest",'Statements (Raw)'!D222)),"Sec. Lending",IF('Statements (Raw)'!G222="","Other",IF('Statements (Raw)'!G222&gt;0,"Buy","Sell"))))))))))))))))))))))</f>
        <v>Buy</v>
      </c>
      <c r="E224" s="6" t="str">
        <f t="shared" si="6"/>
        <v>ETF/ETC</v>
      </c>
      <c r="F224" s="8">
        <f>IF(A224="","",IF('Statements (Raw)'!E222="","",'Statements (Raw)'!E222))</f>
        <v>208.4</v>
      </c>
      <c r="G224" s="6" t="str">
        <f>IF(A224="","",IF('Statements (Raw)'!F222="","",'Statements (Raw)'!F222))</f>
        <v>EUR</v>
      </c>
      <c r="H224" s="9">
        <f>IF(A224="","",IF('Statements (Raw)'!G222="","",'Statements (Raw)'!G222))</f>
        <v>11</v>
      </c>
      <c r="I224" s="10">
        <f>IF(A224="","",IF('Statements (Raw)'!H222="","",'Statements (Raw)'!H222))</f>
        <v>-2292.4</v>
      </c>
      <c r="J224" s="10">
        <f>IF(A224="",0,IF('Statements (Raw)'!I222="",0,'Statements (Raw)'!I222))</f>
        <v>0</v>
      </c>
      <c r="K224" s="10">
        <f t="shared" si="7"/>
        <v>-2292.4</v>
      </c>
    </row>
    <row r="225" spans="1:11" x14ac:dyDescent="0.3">
      <c r="A225" s="171">
        <f>IF(OR('Statements (Raw)'!A223="",'Statements (Raw)'!A223&gt;Holdings!$G$3),"",'Statements (Raw)'!A223)</f>
        <v>45938</v>
      </c>
      <c r="B225" s="7">
        <f>IF(A225="","",IF('Statements (Raw)'!B223="","",'Statements (Raw)'!B223))</f>
        <v>45940</v>
      </c>
      <c r="C225" s="6" t="str">
        <f>IF(A225="","",IF('Statements (Raw)'!C223&lt;&gt;"",'Statements (Raw)'!C223,IF(ISNUMBER(SEARCH("Conferimento",'Statements (Raw)'!D223)),"CASH DEPOSIT",IF(ISNUMBER(SEARCH("Prelievo",'Statements (Raw)'!D223)),"CASH WITHDRAWAL",IF(ISNUMBER(SEARCH("Bollo",'Statements (Raw)'!D223)),"STAMP DUTY",IF(ISNUMBER(SEARCH("Tobin Tax",'Statements (Raw)'!D223)),"TOBIN TAX",IF(ISNUMBER(SEARCH("Rit.provento",'Statements (Raw)'!D223)),"WITHHOLDING TAX",IF(ISNUMBER(SEARCH("Incasso Dividendi",'Statements (Raw)'!D223)),"DIVIDEND",IF(ISNUMBER(SEARCH("Cedola",'Statements (Raw)'!D223)),"COUPON",IF(ISNUMBER(SEARCH("Ratei Pass",'Statements (Raw)'!D223)),"ACCRUED INT",IF(ISNUMBER(SEARCH("Interessi Prest",'Statements (Raw)'!D223)),"SEC LENDING",IF(ISNUMBER(SEARCH("Rimborso",'Statements (Raw)'!D223)),"REDEMPTION",IF(ISNUMBER(SEARCH("Provento",'Statements (Raw)'!D223)),"DISTRIBUTION","OTHER")))))))))))))</f>
        <v>WISDOMTREE CORE PHYSICAL GOLD</v>
      </c>
      <c r="D225" s="6" t="str">
        <f>IF(A225="","",IF(C225="Saldo Iniziale","Balance",IF(C225="CASH DEPOSIT","Deposit",IF(C225="CASH WITHDRAWAL","Withdrawal",IF(C225="STAMP DUTY","Tax",IF(C225="TOBIN TAX","Tax",IF(C225="WITHHOLDING TAX","Tax",IF(C225="DIVIDEND","Dividend",IF(C225="COUPON","Coupon",IF(C225="ACCRUED INT","Accrued Int.",IF(C225="SEC LENDING","Sec. Lending",IF(C225="REDEMPTION","Redemption",IF(C225="DISTRIBUTION","Distribution",IF(ISNUMBER(SEARCH("Rimborso",'Statements (Raw)'!D223)),"Redemption",IF(ISNUMBER(SEARCH("Cedola",'Statements (Raw)'!D223)),"Coupon",IF(ISNUMBER(SEARCH("Incasso Dividendi",'Statements (Raw)'!D223)),"Dividend",IF(ISNUMBER(SEARCH("Provento Etf",'Statements (Raw)'!D223)),"Distribution",IF(ISNUMBER(SEARCH("Rit.provento",'Statements (Raw)'!D223)),"Tax",IF(ISNUMBER(SEARCH("Ratei Pass",'Statements (Raw)'!D223)),"Accrued Int.",IF(ISNUMBER(SEARCH("Interessi Prest",'Statements (Raw)'!D223)),"Sec. Lending",IF('Statements (Raw)'!G223="","Other",IF('Statements (Raw)'!G223&gt;0,"Buy","Sell"))))))))))))))))))))))</f>
        <v>Buy</v>
      </c>
      <c r="E225" s="6" t="str">
        <f t="shared" si="6"/>
        <v>ETF/ETC</v>
      </c>
      <c r="F225" s="8">
        <f>IF(A225="","",IF('Statements (Raw)'!E223="","",'Statements (Raw)'!E223))</f>
        <v>346.19</v>
      </c>
      <c r="G225" s="6" t="str">
        <f>IF(A225="","",IF('Statements (Raw)'!F223="","",'Statements (Raw)'!F223))</f>
        <v>EUR</v>
      </c>
      <c r="H225" s="9">
        <f>IF(A225="","",IF('Statements (Raw)'!G223="","",'Statements (Raw)'!G223))</f>
        <v>2</v>
      </c>
      <c r="I225" s="10">
        <f>IF(A225="","",IF('Statements (Raw)'!H223="","",'Statements (Raw)'!H223))</f>
        <v>-692.38</v>
      </c>
      <c r="J225" s="10">
        <f>IF(A225="",0,IF('Statements (Raw)'!I223="",0,'Statements (Raw)'!I223))</f>
        <v>0</v>
      </c>
      <c r="K225" s="10">
        <f t="shared" si="7"/>
        <v>-692.38</v>
      </c>
    </row>
    <row r="226" spans="1:11" x14ac:dyDescent="0.3">
      <c r="A226" s="171">
        <f>IF(OR('Statements (Raw)'!A224="",'Statements (Raw)'!A224&gt;Holdings!$G$3),"",'Statements (Raw)'!A224)</f>
        <v>45938</v>
      </c>
      <c r="B226" s="7">
        <f>IF(A226="","",IF('Statements (Raw)'!B224="","",'Statements (Raw)'!B224))</f>
        <v>45940</v>
      </c>
      <c r="C226" s="6" t="str">
        <f>IF(A226="","",IF('Statements (Raw)'!C224&lt;&gt;"",'Statements (Raw)'!C224,IF(ISNUMBER(SEARCH("Conferimento",'Statements (Raw)'!D224)),"CASH DEPOSIT",IF(ISNUMBER(SEARCH("Prelievo",'Statements (Raw)'!D224)),"CASH WITHDRAWAL",IF(ISNUMBER(SEARCH("Bollo",'Statements (Raw)'!D224)),"STAMP DUTY",IF(ISNUMBER(SEARCH("Tobin Tax",'Statements (Raw)'!D224)),"TOBIN TAX",IF(ISNUMBER(SEARCH("Rit.provento",'Statements (Raw)'!D224)),"WITHHOLDING TAX",IF(ISNUMBER(SEARCH("Incasso Dividendi",'Statements (Raw)'!D224)),"DIVIDEND",IF(ISNUMBER(SEARCH("Cedola",'Statements (Raw)'!D224)),"COUPON",IF(ISNUMBER(SEARCH("Ratei Pass",'Statements (Raw)'!D224)),"ACCRUED INT",IF(ISNUMBER(SEARCH("Interessi Prest",'Statements (Raw)'!D224)),"SEC LENDING",IF(ISNUMBER(SEARCH("Rimborso",'Statements (Raw)'!D224)),"REDEMPTION",IF(ISNUMBER(SEARCH("Provento",'Statements (Raw)'!D224)),"DISTRIBUTION","OTHER")))))))))))))</f>
        <v>WISDOMTREE PHYSICAL SILVER</v>
      </c>
      <c r="D226" s="6" t="str">
        <f>IF(A226="","",IF(C226="Saldo Iniziale","Balance",IF(C226="CASH DEPOSIT","Deposit",IF(C226="CASH WITHDRAWAL","Withdrawal",IF(C226="STAMP DUTY","Tax",IF(C226="TOBIN TAX","Tax",IF(C226="WITHHOLDING TAX","Tax",IF(C226="DIVIDEND","Dividend",IF(C226="COUPON","Coupon",IF(C226="ACCRUED INT","Accrued Int.",IF(C226="SEC LENDING","Sec. Lending",IF(C226="REDEMPTION","Redemption",IF(C226="DISTRIBUTION","Distribution",IF(ISNUMBER(SEARCH("Rimborso",'Statements (Raw)'!D224)),"Redemption",IF(ISNUMBER(SEARCH("Cedola",'Statements (Raw)'!D224)),"Coupon",IF(ISNUMBER(SEARCH("Incasso Dividendi",'Statements (Raw)'!D224)),"Dividend",IF(ISNUMBER(SEARCH("Provento Etf",'Statements (Raw)'!D224)),"Distribution",IF(ISNUMBER(SEARCH("Rit.provento",'Statements (Raw)'!D224)),"Tax",IF(ISNUMBER(SEARCH("Ratei Pass",'Statements (Raw)'!D224)),"Accrued Int.",IF(ISNUMBER(SEARCH("Interessi Prest",'Statements (Raw)'!D224)),"Sec. Lending",IF('Statements (Raw)'!G224="","Other",IF('Statements (Raw)'!G224&gt;0,"Buy","Sell"))))))))))))))))))))))</f>
        <v>Buy</v>
      </c>
      <c r="E226" s="6" t="str">
        <f t="shared" si="6"/>
        <v>ETF/ETC</v>
      </c>
      <c r="F226" s="8">
        <f>IF(A226="","",IF('Statements (Raw)'!E224="","",'Statements (Raw)'!E224))</f>
        <v>38.82</v>
      </c>
      <c r="G226" s="6" t="str">
        <f>IF(A226="","",IF('Statements (Raw)'!F224="","",'Statements (Raw)'!F224))</f>
        <v>EUR</v>
      </c>
      <c r="H226" s="9">
        <f>IF(A226="","",IF('Statements (Raw)'!G224="","",'Statements (Raw)'!G224))</f>
        <v>12</v>
      </c>
      <c r="I226" s="10">
        <f>IF(A226="","",IF('Statements (Raw)'!H224="","",'Statements (Raw)'!H224))</f>
        <v>-465.84</v>
      </c>
      <c r="J226" s="10">
        <f>IF(A226="",0,IF('Statements (Raw)'!I224="",0,'Statements (Raw)'!I224))</f>
        <v>0</v>
      </c>
      <c r="K226" s="10">
        <f t="shared" si="7"/>
        <v>-465.84</v>
      </c>
    </row>
    <row r="227" spans="1:11" x14ac:dyDescent="0.3">
      <c r="A227" s="171">
        <f>IF(OR('Statements (Raw)'!A225="",'Statements (Raw)'!A225&gt;Holdings!$G$3),"",'Statements (Raw)'!A225)</f>
        <v>45939</v>
      </c>
      <c r="B227" s="7">
        <f>IF(A227="","",IF('Statements (Raw)'!B225="","",'Statements (Raw)'!B225))</f>
        <v>45943</v>
      </c>
      <c r="C227" s="6" t="str">
        <f>IF(A227="","",IF('Statements (Raw)'!C225&lt;&gt;"",'Statements (Raw)'!C225,IF(ISNUMBER(SEARCH("Conferimento",'Statements (Raw)'!D225)),"CASH DEPOSIT",IF(ISNUMBER(SEARCH("Prelievo",'Statements (Raw)'!D225)),"CASH WITHDRAWAL",IF(ISNUMBER(SEARCH("Bollo",'Statements (Raw)'!D225)),"STAMP DUTY",IF(ISNUMBER(SEARCH("Tobin Tax",'Statements (Raw)'!D225)),"TOBIN TAX",IF(ISNUMBER(SEARCH("Rit.provento",'Statements (Raw)'!D225)),"WITHHOLDING TAX",IF(ISNUMBER(SEARCH("Incasso Dividendi",'Statements (Raw)'!D225)),"DIVIDEND",IF(ISNUMBER(SEARCH("Cedola",'Statements (Raw)'!D225)),"COUPON",IF(ISNUMBER(SEARCH("Ratei Pass",'Statements (Raw)'!D225)),"ACCRUED INT",IF(ISNUMBER(SEARCH("Interessi Prest",'Statements (Raw)'!D225)),"SEC LENDING",IF(ISNUMBER(SEARCH("Rimborso",'Statements (Raw)'!D225)),"REDEMPTION",IF(ISNUMBER(SEARCH("Provento",'Statements (Raw)'!D225)),"DISTRIBUTION","OTHER")))))))))))))</f>
        <v>FERRARI</v>
      </c>
      <c r="D227" s="6" t="str">
        <f>IF(A227="","",IF(C227="Saldo Iniziale","Balance",IF(C227="CASH DEPOSIT","Deposit",IF(C227="CASH WITHDRAWAL","Withdrawal",IF(C227="STAMP DUTY","Tax",IF(C227="TOBIN TAX","Tax",IF(C227="WITHHOLDING TAX","Tax",IF(C227="DIVIDEND","Dividend",IF(C227="COUPON","Coupon",IF(C227="ACCRUED INT","Accrued Int.",IF(C227="SEC LENDING","Sec. Lending",IF(C227="REDEMPTION","Redemption",IF(C227="DISTRIBUTION","Distribution",IF(ISNUMBER(SEARCH("Rimborso",'Statements (Raw)'!D225)),"Redemption",IF(ISNUMBER(SEARCH("Cedola",'Statements (Raw)'!D225)),"Coupon",IF(ISNUMBER(SEARCH("Incasso Dividendi",'Statements (Raw)'!D225)),"Dividend",IF(ISNUMBER(SEARCH("Provento Etf",'Statements (Raw)'!D225)),"Distribution",IF(ISNUMBER(SEARCH("Rit.provento",'Statements (Raw)'!D225)),"Tax",IF(ISNUMBER(SEARCH("Ratei Pass",'Statements (Raw)'!D225)),"Accrued Int.",IF(ISNUMBER(SEARCH("Interessi Prest",'Statements (Raw)'!D225)),"Sec. Lending",IF('Statements (Raw)'!G225="","Other",IF('Statements (Raw)'!G225&gt;0,"Buy","Sell"))))))))))))))))))))))</f>
        <v>Buy</v>
      </c>
      <c r="E227" s="6" t="str">
        <f t="shared" si="6"/>
        <v>Stock</v>
      </c>
      <c r="F227" s="8">
        <f>IF(A227="","",IF('Statements (Raw)'!E225="","",'Statements (Raw)'!E225))</f>
        <v>360.4</v>
      </c>
      <c r="G227" s="6" t="str">
        <f>IF(A227="","",IF('Statements (Raw)'!F225="","",'Statements (Raw)'!F225))</f>
        <v>EUR</v>
      </c>
      <c r="H227" s="9">
        <f>IF(A227="","",IF('Statements (Raw)'!G225="","",'Statements (Raw)'!G225))</f>
        <v>6</v>
      </c>
      <c r="I227" s="10">
        <f>IF(A227="","",IF('Statements (Raw)'!H225="","",'Statements (Raw)'!H225))</f>
        <v>-2162.4</v>
      </c>
      <c r="J227" s="10">
        <f>IF(A227="",0,IF('Statements (Raw)'!I225="",0,'Statements (Raw)'!I225))</f>
        <v>-5</v>
      </c>
      <c r="K227" s="10">
        <f t="shared" si="7"/>
        <v>-2167.4</v>
      </c>
    </row>
    <row r="228" spans="1:11" x14ac:dyDescent="0.3">
      <c r="A228" s="171">
        <f>IF(OR('Statements (Raw)'!A226="",'Statements (Raw)'!A226&gt;Holdings!$G$3),"",'Statements (Raw)'!A226)</f>
        <v>45939</v>
      </c>
      <c r="B228" s="7">
        <f>IF(A228="","",IF('Statements (Raw)'!B226="","",'Statements (Raw)'!B226))</f>
        <v>45943</v>
      </c>
      <c r="C228" s="6" t="str">
        <f>IF(A228="","",IF('Statements (Raw)'!C226&lt;&gt;"",'Statements (Raw)'!C226,IF(ISNUMBER(SEARCH("Conferimento",'Statements (Raw)'!D226)),"CASH DEPOSIT",IF(ISNUMBER(SEARCH("Prelievo",'Statements (Raw)'!D226)),"CASH WITHDRAWAL",IF(ISNUMBER(SEARCH("Bollo",'Statements (Raw)'!D226)),"STAMP DUTY",IF(ISNUMBER(SEARCH("Tobin Tax",'Statements (Raw)'!D226)),"TOBIN TAX",IF(ISNUMBER(SEARCH("Rit.provento",'Statements (Raw)'!D226)),"WITHHOLDING TAX",IF(ISNUMBER(SEARCH("Incasso Dividendi",'Statements (Raw)'!D226)),"DIVIDEND",IF(ISNUMBER(SEARCH("Cedola",'Statements (Raw)'!D226)),"COUPON",IF(ISNUMBER(SEARCH("Ratei Pass",'Statements (Raw)'!D226)),"ACCRUED INT",IF(ISNUMBER(SEARCH("Interessi Prest",'Statements (Raw)'!D226)),"SEC LENDING",IF(ISNUMBER(SEARCH("Rimborso",'Statements (Raw)'!D226)),"REDEMPTION",IF(ISNUMBER(SEARCH("Provento",'Statements (Raw)'!D226)),"DISTRIBUTION","OTHER")))))))))))))</f>
        <v>FERRARI</v>
      </c>
      <c r="D228" s="6" t="str">
        <f>IF(A228="","",IF(C228="Saldo Iniziale","Balance",IF(C228="CASH DEPOSIT","Deposit",IF(C228="CASH WITHDRAWAL","Withdrawal",IF(C228="STAMP DUTY","Tax",IF(C228="TOBIN TAX","Tax",IF(C228="WITHHOLDING TAX","Tax",IF(C228="DIVIDEND","Dividend",IF(C228="COUPON","Coupon",IF(C228="ACCRUED INT","Accrued Int.",IF(C228="SEC LENDING","Sec. Lending",IF(C228="REDEMPTION","Redemption",IF(C228="DISTRIBUTION","Distribution",IF(ISNUMBER(SEARCH("Rimborso",'Statements (Raw)'!D226)),"Redemption",IF(ISNUMBER(SEARCH("Cedola",'Statements (Raw)'!D226)),"Coupon",IF(ISNUMBER(SEARCH("Incasso Dividendi",'Statements (Raw)'!D226)),"Dividend",IF(ISNUMBER(SEARCH("Provento Etf",'Statements (Raw)'!D226)),"Distribution",IF(ISNUMBER(SEARCH("Rit.provento",'Statements (Raw)'!D226)),"Tax",IF(ISNUMBER(SEARCH("Ratei Pass",'Statements (Raw)'!D226)),"Accrued Int.",IF(ISNUMBER(SEARCH("Interessi Prest",'Statements (Raw)'!D226)),"Sec. Lending",IF('Statements (Raw)'!G226="","Other",IF('Statements (Raw)'!G226&gt;0,"Buy","Sell"))))))))))))))))))))))</f>
        <v>Buy</v>
      </c>
      <c r="E228" s="6" t="str">
        <f t="shared" si="6"/>
        <v>Stock</v>
      </c>
      <c r="F228" s="8">
        <f>IF(A228="","",IF('Statements (Raw)'!E226="","",'Statements (Raw)'!E226))</f>
        <v>360.4</v>
      </c>
      <c r="G228" s="6" t="str">
        <f>IF(A228="","",IF('Statements (Raw)'!F226="","",'Statements (Raw)'!F226))</f>
        <v>EUR</v>
      </c>
      <c r="H228" s="9">
        <f>IF(A228="","",IF('Statements (Raw)'!G226="","",'Statements (Raw)'!G226))</f>
        <v>25</v>
      </c>
      <c r="I228" s="10">
        <f>IF(A228="","",IF('Statements (Raw)'!H226="","",'Statements (Raw)'!H226))</f>
        <v>-9010</v>
      </c>
      <c r="J228" s="10">
        <f>IF(A228="",0,IF('Statements (Raw)'!I226="",0,'Statements (Raw)'!I226))</f>
        <v>0</v>
      </c>
      <c r="K228" s="10">
        <f t="shared" si="7"/>
        <v>-9010</v>
      </c>
    </row>
    <row r="229" spans="1:11" x14ac:dyDescent="0.3">
      <c r="A229" s="171">
        <f>IF(OR('Statements (Raw)'!A227="",'Statements (Raw)'!A227&gt;Holdings!$G$3),"",'Statements (Raw)'!A227)</f>
        <v>45939</v>
      </c>
      <c r="B229" s="7">
        <f>IF(A229="","",IF('Statements (Raw)'!B227="","",'Statements (Raw)'!B227))</f>
        <v>45943</v>
      </c>
      <c r="C229" s="6" t="str">
        <f>IF(A229="","",IF('Statements (Raw)'!C227&lt;&gt;"",'Statements (Raw)'!C227,IF(ISNUMBER(SEARCH("Conferimento",'Statements (Raw)'!D227)),"CASH DEPOSIT",IF(ISNUMBER(SEARCH("Prelievo",'Statements (Raw)'!D227)),"CASH WITHDRAWAL",IF(ISNUMBER(SEARCH("Bollo",'Statements (Raw)'!D227)),"STAMP DUTY",IF(ISNUMBER(SEARCH("Tobin Tax",'Statements (Raw)'!D227)),"TOBIN TAX",IF(ISNUMBER(SEARCH("Rit.provento",'Statements (Raw)'!D227)),"WITHHOLDING TAX",IF(ISNUMBER(SEARCH("Incasso Dividendi",'Statements (Raw)'!D227)),"DIVIDEND",IF(ISNUMBER(SEARCH("Cedola",'Statements (Raw)'!D227)),"COUPON",IF(ISNUMBER(SEARCH("Ratei Pass",'Statements (Raw)'!D227)),"ACCRUED INT",IF(ISNUMBER(SEARCH("Interessi Prest",'Statements (Raw)'!D227)),"SEC LENDING",IF(ISNUMBER(SEARCH("Rimborso",'Statements (Raw)'!D227)),"REDEMPTION",IF(ISNUMBER(SEARCH("Provento",'Statements (Raw)'!D227)),"DISTRIBUTION","OTHER")))))))))))))</f>
        <v>FERRARI</v>
      </c>
      <c r="D229" s="6" t="str">
        <f>IF(A229="","",IF(C229="Saldo Iniziale","Balance",IF(C229="CASH DEPOSIT","Deposit",IF(C229="CASH WITHDRAWAL","Withdrawal",IF(C229="STAMP DUTY","Tax",IF(C229="TOBIN TAX","Tax",IF(C229="WITHHOLDING TAX","Tax",IF(C229="DIVIDEND","Dividend",IF(C229="COUPON","Coupon",IF(C229="ACCRUED INT","Accrued Int.",IF(C229="SEC LENDING","Sec. Lending",IF(C229="REDEMPTION","Redemption",IF(C229="DISTRIBUTION","Distribution",IF(ISNUMBER(SEARCH("Rimborso",'Statements (Raw)'!D227)),"Redemption",IF(ISNUMBER(SEARCH("Cedola",'Statements (Raw)'!D227)),"Coupon",IF(ISNUMBER(SEARCH("Incasso Dividendi",'Statements (Raw)'!D227)),"Dividend",IF(ISNUMBER(SEARCH("Provento Etf",'Statements (Raw)'!D227)),"Distribution",IF(ISNUMBER(SEARCH("Rit.provento",'Statements (Raw)'!D227)),"Tax",IF(ISNUMBER(SEARCH("Ratei Pass",'Statements (Raw)'!D227)),"Accrued Int.",IF(ISNUMBER(SEARCH("Interessi Prest",'Statements (Raw)'!D227)),"Sec. Lending",IF('Statements (Raw)'!G227="","Other",IF('Statements (Raw)'!G227&gt;0,"Buy","Sell"))))))))))))))))))))))</f>
        <v>Buy</v>
      </c>
      <c r="E229" s="6" t="str">
        <f t="shared" si="6"/>
        <v>Stock</v>
      </c>
      <c r="F229" s="8">
        <f>IF(A229="","",IF('Statements (Raw)'!E227="","",'Statements (Raw)'!E227))</f>
        <v>360.4</v>
      </c>
      <c r="G229" s="6" t="str">
        <f>IF(A229="","",IF('Statements (Raw)'!F227="","",'Statements (Raw)'!F227))</f>
        <v>EUR</v>
      </c>
      <c r="H229" s="9">
        <f>IF(A229="","",IF('Statements (Raw)'!G227="","",'Statements (Raw)'!G227))</f>
        <v>13</v>
      </c>
      <c r="I229" s="10">
        <f>IF(A229="","",IF('Statements (Raw)'!H227="","",'Statements (Raw)'!H227))</f>
        <v>-4685.2</v>
      </c>
      <c r="J229" s="10">
        <f>IF(A229="",0,IF('Statements (Raw)'!I227="",0,'Statements (Raw)'!I227))</f>
        <v>0</v>
      </c>
      <c r="K229" s="10">
        <f t="shared" si="7"/>
        <v>-4685.2</v>
      </c>
    </row>
    <row r="230" spans="1:11" x14ac:dyDescent="0.3">
      <c r="A230" s="171">
        <f>IF(OR('Statements (Raw)'!A228="",'Statements (Raw)'!A228&gt;Holdings!$G$3),"",'Statements (Raw)'!A228)</f>
        <v>45939</v>
      </c>
      <c r="B230" s="7">
        <f>IF(A230="","",IF('Statements (Raw)'!B228="","",'Statements (Raw)'!B228))</f>
        <v>45943</v>
      </c>
      <c r="C230" s="6" t="str">
        <f>IF(A230="","",IF('Statements (Raw)'!C228&lt;&gt;"",'Statements (Raw)'!C228,IF(ISNUMBER(SEARCH("Conferimento",'Statements (Raw)'!D228)),"CASH DEPOSIT",IF(ISNUMBER(SEARCH("Prelievo",'Statements (Raw)'!D228)),"CASH WITHDRAWAL",IF(ISNUMBER(SEARCH("Bollo",'Statements (Raw)'!D228)),"STAMP DUTY",IF(ISNUMBER(SEARCH("Tobin Tax",'Statements (Raw)'!D228)),"TOBIN TAX",IF(ISNUMBER(SEARCH("Rit.provento",'Statements (Raw)'!D228)),"WITHHOLDING TAX",IF(ISNUMBER(SEARCH("Incasso Dividendi",'Statements (Raw)'!D228)),"DIVIDEND",IF(ISNUMBER(SEARCH("Cedola",'Statements (Raw)'!D228)),"COUPON",IF(ISNUMBER(SEARCH("Ratei Pass",'Statements (Raw)'!D228)),"ACCRUED INT",IF(ISNUMBER(SEARCH("Interessi Prest",'Statements (Raw)'!D228)),"SEC LENDING",IF(ISNUMBER(SEARCH("Rimborso",'Statements (Raw)'!D228)),"REDEMPTION",IF(ISNUMBER(SEARCH("Provento",'Statements (Raw)'!D228)),"DISTRIBUTION","OTHER")))))))))))))</f>
        <v>FERRARI</v>
      </c>
      <c r="D230" s="6" t="str">
        <f>IF(A230="","",IF(C230="Saldo Iniziale","Balance",IF(C230="CASH DEPOSIT","Deposit",IF(C230="CASH WITHDRAWAL","Withdrawal",IF(C230="STAMP DUTY","Tax",IF(C230="TOBIN TAX","Tax",IF(C230="WITHHOLDING TAX","Tax",IF(C230="DIVIDEND","Dividend",IF(C230="COUPON","Coupon",IF(C230="ACCRUED INT","Accrued Int.",IF(C230="SEC LENDING","Sec. Lending",IF(C230="REDEMPTION","Redemption",IF(C230="DISTRIBUTION","Distribution",IF(ISNUMBER(SEARCH("Rimborso",'Statements (Raw)'!D228)),"Redemption",IF(ISNUMBER(SEARCH("Cedola",'Statements (Raw)'!D228)),"Coupon",IF(ISNUMBER(SEARCH("Incasso Dividendi",'Statements (Raw)'!D228)),"Dividend",IF(ISNUMBER(SEARCH("Provento Etf",'Statements (Raw)'!D228)),"Distribution",IF(ISNUMBER(SEARCH("Rit.provento",'Statements (Raw)'!D228)),"Tax",IF(ISNUMBER(SEARCH("Ratei Pass",'Statements (Raw)'!D228)),"Accrued Int.",IF(ISNUMBER(SEARCH("Interessi Prest",'Statements (Raw)'!D228)),"Sec. Lending",IF('Statements (Raw)'!G228="","Other",IF('Statements (Raw)'!G228&gt;0,"Buy","Sell"))))))))))))))))))))))</f>
        <v>Buy</v>
      </c>
      <c r="E230" s="6" t="str">
        <f t="shared" si="6"/>
        <v>Stock</v>
      </c>
      <c r="F230" s="8">
        <f>IF(A230="","",IF('Statements (Raw)'!E228="","",'Statements (Raw)'!E228))</f>
        <v>360.4</v>
      </c>
      <c r="G230" s="6" t="str">
        <f>IF(A230="","",IF('Statements (Raw)'!F228="","",'Statements (Raw)'!F228))</f>
        <v>EUR</v>
      </c>
      <c r="H230" s="9">
        <f>IF(A230="","",IF('Statements (Raw)'!G228="","",'Statements (Raw)'!G228))</f>
        <v>38</v>
      </c>
      <c r="I230" s="10">
        <f>IF(A230="","",IF('Statements (Raw)'!H228="","",'Statements (Raw)'!H228))</f>
        <v>-13695.2</v>
      </c>
      <c r="J230" s="10">
        <f>IF(A230="",0,IF('Statements (Raw)'!I228="",0,'Statements (Raw)'!I228))</f>
        <v>0</v>
      </c>
      <c r="K230" s="10">
        <f t="shared" si="7"/>
        <v>-13695.2</v>
      </c>
    </row>
    <row r="231" spans="1:11" x14ac:dyDescent="0.3">
      <c r="A231" s="171">
        <f>IF(OR('Statements (Raw)'!A229="",'Statements (Raw)'!A229&gt;Holdings!$G$3),"",'Statements (Raw)'!A229)</f>
        <v>45939</v>
      </c>
      <c r="B231" s="7">
        <f>IF(A231="","",IF('Statements (Raw)'!B229="","",'Statements (Raw)'!B229))</f>
        <v>45943</v>
      </c>
      <c r="C231" s="6" t="str">
        <f>IF(A231="","",IF('Statements (Raw)'!C229&lt;&gt;"",'Statements (Raw)'!C229,IF(ISNUMBER(SEARCH("Conferimento",'Statements (Raw)'!D229)),"CASH DEPOSIT",IF(ISNUMBER(SEARCH("Prelievo",'Statements (Raw)'!D229)),"CASH WITHDRAWAL",IF(ISNUMBER(SEARCH("Bollo",'Statements (Raw)'!D229)),"STAMP DUTY",IF(ISNUMBER(SEARCH("Tobin Tax",'Statements (Raw)'!D229)),"TOBIN TAX",IF(ISNUMBER(SEARCH("Rit.provento",'Statements (Raw)'!D229)),"WITHHOLDING TAX",IF(ISNUMBER(SEARCH("Incasso Dividendi",'Statements (Raw)'!D229)),"DIVIDEND",IF(ISNUMBER(SEARCH("Cedola",'Statements (Raw)'!D229)),"COUPON",IF(ISNUMBER(SEARCH("Ratei Pass",'Statements (Raw)'!D229)),"ACCRUED INT",IF(ISNUMBER(SEARCH("Interessi Prest",'Statements (Raw)'!D229)),"SEC LENDING",IF(ISNUMBER(SEARCH("Rimborso",'Statements (Raw)'!D229)),"REDEMPTION",IF(ISNUMBER(SEARCH("Provento",'Statements (Raw)'!D229)),"DISTRIBUTION","OTHER")))))))))))))</f>
        <v>FERRARI</v>
      </c>
      <c r="D231" s="6" t="str">
        <f>IF(A231="","",IF(C231="Saldo Iniziale","Balance",IF(C231="CASH DEPOSIT","Deposit",IF(C231="CASH WITHDRAWAL","Withdrawal",IF(C231="STAMP DUTY","Tax",IF(C231="TOBIN TAX","Tax",IF(C231="WITHHOLDING TAX","Tax",IF(C231="DIVIDEND","Dividend",IF(C231="COUPON","Coupon",IF(C231="ACCRUED INT","Accrued Int.",IF(C231="SEC LENDING","Sec. Lending",IF(C231="REDEMPTION","Redemption",IF(C231="DISTRIBUTION","Distribution",IF(ISNUMBER(SEARCH("Rimborso",'Statements (Raw)'!D229)),"Redemption",IF(ISNUMBER(SEARCH("Cedola",'Statements (Raw)'!D229)),"Coupon",IF(ISNUMBER(SEARCH("Incasso Dividendi",'Statements (Raw)'!D229)),"Dividend",IF(ISNUMBER(SEARCH("Provento Etf",'Statements (Raw)'!D229)),"Distribution",IF(ISNUMBER(SEARCH("Rit.provento",'Statements (Raw)'!D229)),"Tax",IF(ISNUMBER(SEARCH("Ratei Pass",'Statements (Raw)'!D229)),"Accrued Int.",IF(ISNUMBER(SEARCH("Interessi Prest",'Statements (Raw)'!D229)),"Sec. Lending",IF('Statements (Raw)'!G229="","Other",IF('Statements (Raw)'!G229&gt;0,"Buy","Sell"))))))))))))))))))))))</f>
        <v>Buy</v>
      </c>
      <c r="E231" s="6" t="str">
        <f t="shared" si="6"/>
        <v>Stock</v>
      </c>
      <c r="F231" s="8">
        <f>IF(A231="","",IF('Statements (Raw)'!E229="","",'Statements (Raw)'!E229))</f>
        <v>360.5</v>
      </c>
      <c r="G231" s="6" t="str">
        <f>IF(A231="","",IF('Statements (Raw)'!F229="","",'Statements (Raw)'!F229))</f>
        <v>EUR</v>
      </c>
      <c r="H231" s="9">
        <f>IF(A231="","",IF('Statements (Raw)'!G229="","",'Statements (Raw)'!G229))</f>
        <v>18</v>
      </c>
      <c r="I231" s="10">
        <f>IF(A231="","",IF('Statements (Raw)'!H229="","",'Statements (Raw)'!H229))</f>
        <v>-6489</v>
      </c>
      <c r="J231" s="10">
        <f>IF(A231="",0,IF('Statements (Raw)'!I229="",0,'Statements (Raw)'!I229))</f>
        <v>0</v>
      </c>
      <c r="K231" s="10">
        <f t="shared" si="7"/>
        <v>-6489</v>
      </c>
    </row>
    <row r="232" spans="1:11" x14ac:dyDescent="0.3">
      <c r="A232" s="171">
        <f>IF(OR('Statements (Raw)'!A230="",'Statements (Raw)'!A230&gt;Holdings!$G$3),"",'Statements (Raw)'!A230)</f>
        <v>45939</v>
      </c>
      <c r="B232" s="7">
        <f>IF(A232="","",IF('Statements (Raw)'!B230="","",'Statements (Raw)'!B230))</f>
        <v>45944</v>
      </c>
      <c r="C232" s="6" t="str">
        <f>IF(A232="","",IF('Statements (Raw)'!C230&lt;&gt;"",'Statements (Raw)'!C230,IF(ISNUMBER(SEARCH("Conferimento",'Statements (Raw)'!D230)),"CASH DEPOSIT",IF(ISNUMBER(SEARCH("Prelievo",'Statements (Raw)'!D230)),"CASH WITHDRAWAL",IF(ISNUMBER(SEARCH("Bollo",'Statements (Raw)'!D230)),"STAMP DUTY",IF(ISNUMBER(SEARCH("Tobin Tax",'Statements (Raw)'!D230)),"TOBIN TAX",IF(ISNUMBER(SEARCH("Rit.provento",'Statements (Raw)'!D230)),"WITHHOLDING TAX",IF(ISNUMBER(SEARCH("Incasso Dividendi",'Statements (Raw)'!D230)),"DIVIDEND",IF(ISNUMBER(SEARCH("Cedola",'Statements (Raw)'!D230)),"COUPON",IF(ISNUMBER(SEARCH("Ratei Pass",'Statements (Raw)'!D230)),"ACCRUED INT",IF(ISNUMBER(SEARCH("Interessi Prest",'Statements (Raw)'!D230)),"SEC LENDING",IF(ISNUMBER(SEARCH("Rimborso",'Statements (Raw)'!D230)),"REDEMPTION",IF(ISNUMBER(SEARCH("Provento",'Statements (Raw)'!D230)),"DISTRIBUTION","OTHER")))))))))))))</f>
        <v>BOT ZC OCT25 A EUR</v>
      </c>
      <c r="D232" s="6" t="str">
        <f>IF(A232="","",IF(C232="Saldo Iniziale","Balance",IF(C232="CASH DEPOSIT","Deposit",IF(C232="CASH WITHDRAWAL","Withdrawal",IF(C232="STAMP DUTY","Tax",IF(C232="TOBIN TAX","Tax",IF(C232="WITHHOLDING TAX","Tax",IF(C232="DIVIDEND","Dividend",IF(C232="COUPON","Coupon",IF(C232="ACCRUED INT","Accrued Int.",IF(C232="SEC LENDING","Sec. Lending",IF(C232="REDEMPTION","Redemption",IF(C232="DISTRIBUTION","Distribution",IF(ISNUMBER(SEARCH("Rimborso",'Statements (Raw)'!D230)),"Redemption",IF(ISNUMBER(SEARCH("Cedola",'Statements (Raw)'!D230)),"Coupon",IF(ISNUMBER(SEARCH("Incasso Dividendi",'Statements (Raw)'!D230)),"Dividend",IF(ISNUMBER(SEARCH("Provento Etf",'Statements (Raw)'!D230)),"Distribution",IF(ISNUMBER(SEARCH("Rit.provento",'Statements (Raw)'!D230)),"Tax",IF(ISNUMBER(SEARCH("Ratei Pass",'Statements (Raw)'!D230)),"Accrued Int.",IF(ISNUMBER(SEARCH("Interessi Prest",'Statements (Raw)'!D230)),"Sec. Lending",IF('Statements (Raw)'!G230="","Other",IF('Statements (Raw)'!G230&gt;0,"Buy","Sell"))))))))))))))))))))))</f>
        <v>Redemption</v>
      </c>
      <c r="E232" s="6" t="str">
        <f t="shared" si="6"/>
        <v>Bond</v>
      </c>
      <c r="F232" s="8" t="str">
        <f>IF(A232="","",IF('Statements (Raw)'!E230="","",'Statements (Raw)'!E230))</f>
        <v/>
      </c>
      <c r="G232" s="6" t="str">
        <f>IF(A232="","",IF('Statements (Raw)'!F230="","",'Statements (Raw)'!F230))</f>
        <v/>
      </c>
      <c r="H232" s="9" t="str">
        <f>IF(A232="","",IF('Statements (Raw)'!G230="","",'Statements (Raw)'!G230))</f>
        <v/>
      </c>
      <c r="I232" s="10">
        <f>IF(A232="","",IF('Statements (Raw)'!H230="","",'Statements (Raw)'!H230))</f>
        <v>50000</v>
      </c>
      <c r="J232" s="10">
        <f>IF(A232="",0,IF('Statements (Raw)'!I230="",0,'Statements (Raw)'!I230))</f>
        <v>0</v>
      </c>
      <c r="K232" s="10">
        <f t="shared" si="7"/>
        <v>50000</v>
      </c>
    </row>
    <row r="233" spans="1:11" x14ac:dyDescent="0.3">
      <c r="A233" s="171">
        <f>IF(OR('Statements (Raw)'!A231="",'Statements (Raw)'!A231&gt;Holdings!$G$3),"",'Statements (Raw)'!A231)</f>
        <v>45940</v>
      </c>
      <c r="B233" s="7">
        <f>IF(A233="","",IF('Statements (Raw)'!B231="","",'Statements (Raw)'!B231))</f>
        <v>45930</v>
      </c>
      <c r="C233" s="6" t="str">
        <f>IF(A233="","",IF('Statements (Raw)'!C231&lt;&gt;"",'Statements (Raw)'!C231,IF(ISNUMBER(SEARCH("Conferimento",'Statements (Raw)'!D231)),"CASH DEPOSIT",IF(ISNUMBER(SEARCH("Prelievo",'Statements (Raw)'!D231)),"CASH WITHDRAWAL",IF(ISNUMBER(SEARCH("Bollo",'Statements (Raw)'!D231)),"STAMP DUTY",IF(ISNUMBER(SEARCH("Tobin Tax",'Statements (Raw)'!D231)),"TOBIN TAX",IF(ISNUMBER(SEARCH("Rit.provento",'Statements (Raw)'!D231)),"WITHHOLDING TAX",IF(ISNUMBER(SEARCH("Incasso Dividendi",'Statements (Raw)'!D231)),"DIVIDEND",IF(ISNUMBER(SEARCH("Cedola",'Statements (Raw)'!D231)),"COUPON",IF(ISNUMBER(SEARCH("Ratei Pass",'Statements (Raw)'!D231)),"ACCRUED INT",IF(ISNUMBER(SEARCH("Interessi Prest",'Statements (Raw)'!D231)),"SEC LENDING",IF(ISNUMBER(SEARCH("Rimborso",'Statements (Raw)'!D231)),"REDEMPTION",IF(ISNUMBER(SEARCH("Provento",'Statements (Raw)'!D231)),"DISTRIBUTION","OTHER")))))))))))))</f>
        <v>STAMP DUTY</v>
      </c>
      <c r="D233" s="6" t="str">
        <f>IF(A233="","",IF(C233="Saldo Iniziale","Balance",IF(C233="CASH DEPOSIT","Deposit",IF(C233="CASH WITHDRAWAL","Withdrawal",IF(C233="STAMP DUTY","Tax",IF(C233="TOBIN TAX","Tax",IF(C233="WITHHOLDING TAX","Tax",IF(C233="DIVIDEND","Dividend",IF(C233="COUPON","Coupon",IF(C233="ACCRUED INT","Accrued Int.",IF(C233="SEC LENDING","Sec. Lending",IF(C233="REDEMPTION","Redemption",IF(C233="DISTRIBUTION","Distribution",IF(ISNUMBER(SEARCH("Rimborso",'Statements (Raw)'!D231)),"Redemption",IF(ISNUMBER(SEARCH("Cedola",'Statements (Raw)'!D231)),"Coupon",IF(ISNUMBER(SEARCH("Incasso Dividendi",'Statements (Raw)'!D231)),"Dividend",IF(ISNUMBER(SEARCH("Provento Etf",'Statements (Raw)'!D231)),"Distribution",IF(ISNUMBER(SEARCH("Rit.provento",'Statements (Raw)'!D231)),"Tax",IF(ISNUMBER(SEARCH("Ratei Pass",'Statements (Raw)'!D231)),"Accrued Int.",IF(ISNUMBER(SEARCH("Interessi Prest",'Statements (Raw)'!D231)),"Sec. Lending",IF('Statements (Raw)'!G231="","Other",IF('Statements (Raw)'!G231&gt;0,"Buy","Sell"))))))))))))))))))))))</f>
        <v>Tax</v>
      </c>
      <c r="E233" s="6" t="str">
        <f t="shared" si="6"/>
        <v>Tax/Fee</v>
      </c>
      <c r="F233" s="8" t="str">
        <f>IF(A233="","",IF('Statements (Raw)'!E231="","",'Statements (Raw)'!E231))</f>
        <v/>
      </c>
      <c r="G233" s="6" t="str">
        <f>IF(A233="","",IF('Statements (Raw)'!F231="","",'Statements (Raw)'!F231))</f>
        <v/>
      </c>
      <c r="H233" s="9" t="str">
        <f>IF(A233="","",IF('Statements (Raw)'!G231="","",'Statements (Raw)'!G231))</f>
        <v/>
      </c>
      <c r="I233" s="10">
        <f>IF(A233="","",IF('Statements (Raw)'!H231="","",'Statements (Raw)'!H231))</f>
        <v>-272.2</v>
      </c>
      <c r="J233" s="10">
        <f>IF(A233="",0,IF('Statements (Raw)'!I231="",0,'Statements (Raw)'!I231))</f>
        <v>0</v>
      </c>
      <c r="K233" s="10">
        <f t="shared" si="7"/>
        <v>-272.2</v>
      </c>
    </row>
    <row r="234" spans="1:11" x14ac:dyDescent="0.3">
      <c r="A234" s="171">
        <f>IF(OR('Statements (Raw)'!A232="",'Statements (Raw)'!A232&gt;Holdings!$G$3),"",'Statements (Raw)'!A232)</f>
        <v>45944</v>
      </c>
      <c r="B234" s="7">
        <f>IF(A234="","",IF('Statements (Raw)'!B232="","",'Statements (Raw)'!B232))</f>
        <v>45947</v>
      </c>
      <c r="C234" s="6" t="str">
        <f>IF(A234="","",IF('Statements (Raw)'!C232&lt;&gt;"",'Statements (Raw)'!C232,IF(ISNUMBER(SEARCH("Conferimento",'Statements (Raw)'!D232)),"CASH DEPOSIT",IF(ISNUMBER(SEARCH("Prelievo",'Statements (Raw)'!D232)),"CASH WITHDRAWAL",IF(ISNUMBER(SEARCH("Bollo",'Statements (Raw)'!D232)),"STAMP DUTY",IF(ISNUMBER(SEARCH("Tobin Tax",'Statements (Raw)'!D232)),"TOBIN TAX",IF(ISNUMBER(SEARCH("Rit.provento",'Statements (Raw)'!D232)),"WITHHOLDING TAX",IF(ISNUMBER(SEARCH("Incasso Dividendi",'Statements (Raw)'!D232)),"DIVIDEND",IF(ISNUMBER(SEARCH("Cedola",'Statements (Raw)'!D232)),"COUPON",IF(ISNUMBER(SEARCH("Ratei Pass",'Statements (Raw)'!D232)),"ACCRUED INT",IF(ISNUMBER(SEARCH("Interessi Prest",'Statements (Raw)'!D232)),"SEC LENDING",IF(ISNUMBER(SEARCH("Rimborso",'Statements (Raw)'!D232)),"REDEMPTION",IF(ISNUMBER(SEARCH("Provento",'Statements (Raw)'!D232)),"DISTRIBUTION","OTHER")))))))))))))</f>
        <v>CARRARO FINANCE FX 5.25% APR30</v>
      </c>
      <c r="D234" s="6" t="str">
        <f>IF(A234="","",IF(C234="Saldo Iniziale","Balance",IF(C234="CASH DEPOSIT","Deposit",IF(C234="CASH WITHDRAWAL","Withdrawal",IF(C234="STAMP DUTY","Tax",IF(C234="TOBIN TAX","Tax",IF(C234="WITHHOLDING TAX","Tax",IF(C234="DIVIDEND","Dividend",IF(C234="COUPON","Coupon",IF(C234="ACCRUED INT","Accrued Int.",IF(C234="SEC LENDING","Sec. Lending",IF(C234="REDEMPTION","Redemption",IF(C234="DISTRIBUTION","Distribution",IF(ISNUMBER(SEARCH("Rimborso",'Statements (Raw)'!D232)),"Redemption",IF(ISNUMBER(SEARCH("Cedola",'Statements (Raw)'!D232)),"Coupon",IF(ISNUMBER(SEARCH("Incasso Dividendi",'Statements (Raw)'!D232)),"Dividend",IF(ISNUMBER(SEARCH("Provento Etf",'Statements (Raw)'!D232)),"Distribution",IF(ISNUMBER(SEARCH("Rit.provento",'Statements (Raw)'!D232)),"Tax",IF(ISNUMBER(SEARCH("Ratei Pass",'Statements (Raw)'!D232)),"Accrued Int.",IF(ISNUMBER(SEARCH("Interessi Prest",'Statements (Raw)'!D232)),"Sec. Lending",IF('Statements (Raw)'!G232="","Other",IF('Statements (Raw)'!G232&gt;0,"Buy","Sell"))))))))))))))))))))))</f>
        <v>Coupon</v>
      </c>
      <c r="E234" s="6" t="str">
        <f t="shared" si="6"/>
        <v>Income</v>
      </c>
      <c r="F234" s="8" t="str">
        <f>IF(A234="","",IF('Statements (Raw)'!E232="","",'Statements (Raw)'!E232))</f>
        <v/>
      </c>
      <c r="G234" s="6" t="str">
        <f>IF(A234="","",IF('Statements (Raw)'!F232="","",'Statements (Raw)'!F232))</f>
        <v/>
      </c>
      <c r="H234" s="9" t="str">
        <f>IF(A234="","",IF('Statements (Raw)'!G232="","",'Statements (Raw)'!G232))</f>
        <v/>
      </c>
      <c r="I234" s="10">
        <f>IF(A234="","",IF('Statements (Raw)'!H232="","",'Statements (Raw)'!H232))</f>
        <v>525</v>
      </c>
      <c r="J234" s="10">
        <f>IF(A234="",0,IF('Statements (Raw)'!I232="",0,'Statements (Raw)'!I232))</f>
        <v>0</v>
      </c>
      <c r="K234" s="10">
        <f t="shared" si="7"/>
        <v>525</v>
      </c>
    </row>
    <row r="235" spans="1:11" x14ac:dyDescent="0.3">
      <c r="A235" s="171">
        <f>IF(OR('Statements (Raw)'!A233="",'Statements (Raw)'!A233&gt;Holdings!$G$3),"",'Statements (Raw)'!A233)</f>
        <v>45945</v>
      </c>
      <c r="B235" s="7">
        <f>IF(A235="","",IF('Statements (Raw)'!B233="","",'Statements (Raw)'!B233))</f>
        <v>45947</v>
      </c>
      <c r="C235" s="6" t="str">
        <f>IF(A235="","",IF('Statements (Raw)'!C233&lt;&gt;"",'Statements (Raw)'!C233,IF(ISNUMBER(SEARCH("Conferimento",'Statements (Raw)'!D233)),"CASH DEPOSIT",IF(ISNUMBER(SEARCH("Prelievo",'Statements (Raw)'!D233)),"CASH WITHDRAWAL",IF(ISNUMBER(SEARCH("Bollo",'Statements (Raw)'!D233)),"STAMP DUTY",IF(ISNUMBER(SEARCH("Tobin Tax",'Statements (Raw)'!D233)),"TOBIN TAX",IF(ISNUMBER(SEARCH("Rit.provento",'Statements (Raw)'!D233)),"WITHHOLDING TAX",IF(ISNUMBER(SEARCH("Incasso Dividendi",'Statements (Raw)'!D233)),"DIVIDEND",IF(ISNUMBER(SEARCH("Cedola",'Statements (Raw)'!D233)),"COUPON",IF(ISNUMBER(SEARCH("Ratei Pass",'Statements (Raw)'!D233)),"ACCRUED INT",IF(ISNUMBER(SEARCH("Interessi Prest",'Statements (Raw)'!D233)),"SEC LENDING",IF(ISNUMBER(SEARCH("Rimborso",'Statements (Raw)'!D233)),"REDEMPTION",IF(ISNUMBER(SEARCH("Provento",'Statements (Raw)'!D233)),"DISTRIBUTION","OTHER")))))))))))))</f>
        <v>BeC SPEAKERS</v>
      </c>
      <c r="D235" s="6" t="str">
        <f>IF(A235="","",IF(C235="Saldo Iniziale","Balance",IF(C235="CASH DEPOSIT","Deposit",IF(C235="CASH WITHDRAWAL","Withdrawal",IF(C235="STAMP DUTY","Tax",IF(C235="TOBIN TAX","Tax",IF(C235="WITHHOLDING TAX","Tax",IF(C235="DIVIDEND","Dividend",IF(C235="COUPON","Coupon",IF(C235="ACCRUED INT","Accrued Int.",IF(C235="SEC LENDING","Sec. Lending",IF(C235="REDEMPTION","Redemption",IF(C235="DISTRIBUTION","Distribution",IF(ISNUMBER(SEARCH("Rimborso",'Statements (Raw)'!D233)),"Redemption",IF(ISNUMBER(SEARCH("Cedola",'Statements (Raw)'!D233)),"Coupon",IF(ISNUMBER(SEARCH("Incasso Dividendi",'Statements (Raw)'!D233)),"Dividend",IF(ISNUMBER(SEARCH("Provento Etf",'Statements (Raw)'!D233)),"Distribution",IF(ISNUMBER(SEARCH("Rit.provento",'Statements (Raw)'!D233)),"Tax",IF(ISNUMBER(SEARCH("Ratei Pass",'Statements (Raw)'!D233)),"Accrued Int.",IF(ISNUMBER(SEARCH("Interessi Prest",'Statements (Raw)'!D233)),"Sec. Lending",IF('Statements (Raw)'!G233="","Other",IF('Statements (Raw)'!G233&gt;0,"Buy","Sell"))))))))))))))))))))))</f>
        <v>Buy</v>
      </c>
      <c r="E235" s="6" t="str">
        <f t="shared" si="6"/>
        <v>Stock</v>
      </c>
      <c r="F235" s="8">
        <f>IF(A235="","",IF('Statements (Raw)'!E233="","",'Statements (Raw)'!E233))</f>
        <v>15.7</v>
      </c>
      <c r="G235" s="6" t="str">
        <f>IF(A235="","",IF('Statements (Raw)'!F233="","",'Statements (Raw)'!F233))</f>
        <v>EUR</v>
      </c>
      <c r="H235" s="9">
        <f>IF(A235="","",IF('Statements (Raw)'!G233="","",'Statements (Raw)'!G233))</f>
        <v>232</v>
      </c>
      <c r="I235" s="10">
        <f>IF(A235="","",IF('Statements (Raw)'!H233="","",'Statements (Raw)'!H233))</f>
        <v>-3642.4</v>
      </c>
      <c r="J235" s="10">
        <f>IF(A235="",0,IF('Statements (Raw)'!I233="",0,'Statements (Raw)'!I233))</f>
        <v>-5</v>
      </c>
      <c r="K235" s="10">
        <f t="shared" si="7"/>
        <v>-3647.4</v>
      </c>
    </row>
    <row r="236" spans="1:11" x14ac:dyDescent="0.3">
      <c r="A236" s="171">
        <f>IF(OR('Statements (Raw)'!A234="",'Statements (Raw)'!A234&gt;Holdings!$G$3),"",'Statements (Raw)'!A234)</f>
        <v>45945</v>
      </c>
      <c r="B236" s="7">
        <f>IF(A236="","",IF('Statements (Raw)'!B234="","",'Statements (Raw)'!B234))</f>
        <v>45947</v>
      </c>
      <c r="C236" s="6" t="str">
        <f>IF(A236="","",IF('Statements (Raw)'!C234&lt;&gt;"",'Statements (Raw)'!C234,IF(ISNUMBER(SEARCH("Conferimento",'Statements (Raw)'!D234)),"CASH DEPOSIT",IF(ISNUMBER(SEARCH("Prelievo",'Statements (Raw)'!D234)),"CASH WITHDRAWAL",IF(ISNUMBER(SEARCH("Bollo",'Statements (Raw)'!D234)),"STAMP DUTY",IF(ISNUMBER(SEARCH("Tobin Tax",'Statements (Raw)'!D234)),"TOBIN TAX",IF(ISNUMBER(SEARCH("Rit.provento",'Statements (Raw)'!D234)),"WITHHOLDING TAX",IF(ISNUMBER(SEARCH("Incasso Dividendi",'Statements (Raw)'!D234)),"DIVIDEND",IF(ISNUMBER(SEARCH("Cedola",'Statements (Raw)'!D234)),"COUPON",IF(ISNUMBER(SEARCH("Ratei Pass",'Statements (Raw)'!D234)),"ACCRUED INT",IF(ISNUMBER(SEARCH("Interessi Prest",'Statements (Raw)'!D234)),"SEC LENDING",IF(ISNUMBER(SEARCH("Rimborso",'Statements (Raw)'!D234)),"REDEMPTION",IF(ISNUMBER(SEARCH("Provento",'Statements (Raw)'!D234)),"DISTRIBUTION","OTHER")))))))))))))</f>
        <v>BeC SPEAKERS</v>
      </c>
      <c r="D236" s="6" t="str">
        <f>IF(A236="","",IF(C236="Saldo Iniziale","Balance",IF(C236="CASH DEPOSIT","Deposit",IF(C236="CASH WITHDRAWAL","Withdrawal",IF(C236="STAMP DUTY","Tax",IF(C236="TOBIN TAX","Tax",IF(C236="WITHHOLDING TAX","Tax",IF(C236="DIVIDEND","Dividend",IF(C236="COUPON","Coupon",IF(C236="ACCRUED INT","Accrued Int.",IF(C236="SEC LENDING","Sec. Lending",IF(C236="REDEMPTION","Redemption",IF(C236="DISTRIBUTION","Distribution",IF(ISNUMBER(SEARCH("Rimborso",'Statements (Raw)'!D234)),"Redemption",IF(ISNUMBER(SEARCH("Cedola",'Statements (Raw)'!D234)),"Coupon",IF(ISNUMBER(SEARCH("Incasso Dividendi",'Statements (Raw)'!D234)),"Dividend",IF(ISNUMBER(SEARCH("Provento Etf",'Statements (Raw)'!D234)),"Distribution",IF(ISNUMBER(SEARCH("Rit.provento",'Statements (Raw)'!D234)),"Tax",IF(ISNUMBER(SEARCH("Ratei Pass",'Statements (Raw)'!D234)),"Accrued Int.",IF(ISNUMBER(SEARCH("Interessi Prest",'Statements (Raw)'!D234)),"Sec. Lending",IF('Statements (Raw)'!G234="","Other",IF('Statements (Raw)'!G234&gt;0,"Buy","Sell"))))))))))))))))))))))</f>
        <v>Buy</v>
      </c>
      <c r="E236" s="6" t="str">
        <f t="shared" si="6"/>
        <v>Stock</v>
      </c>
      <c r="F236" s="8">
        <f>IF(A236="","",IF('Statements (Raw)'!E234="","",'Statements (Raw)'!E234))</f>
        <v>15.7</v>
      </c>
      <c r="G236" s="6" t="str">
        <f>IF(A236="","",IF('Statements (Raw)'!F234="","",'Statements (Raw)'!F234))</f>
        <v>EUR</v>
      </c>
      <c r="H236" s="9">
        <f>IF(A236="","",IF('Statements (Raw)'!G234="","",'Statements (Raw)'!G234))</f>
        <v>112</v>
      </c>
      <c r="I236" s="10">
        <f>IF(A236="","",IF('Statements (Raw)'!H234="","",'Statements (Raw)'!H234))</f>
        <v>-1758.4</v>
      </c>
      <c r="J236" s="10">
        <f>IF(A236="",0,IF('Statements (Raw)'!I234="",0,'Statements (Raw)'!I234))</f>
        <v>0</v>
      </c>
      <c r="K236" s="10">
        <f t="shared" si="7"/>
        <v>-1758.4</v>
      </c>
    </row>
    <row r="237" spans="1:11" x14ac:dyDescent="0.3">
      <c r="A237" s="171">
        <f>IF(OR('Statements (Raw)'!A235="",'Statements (Raw)'!A235&gt;Holdings!$G$3),"",'Statements (Raw)'!A235)</f>
        <v>45945</v>
      </c>
      <c r="B237" s="7">
        <f>IF(A237="","",IF('Statements (Raw)'!B235="","",'Statements (Raw)'!B235))</f>
        <v>45947</v>
      </c>
      <c r="C237" s="6" t="str">
        <f>IF(A237="","",IF('Statements (Raw)'!C235&lt;&gt;"",'Statements (Raw)'!C235,IF(ISNUMBER(SEARCH("Conferimento",'Statements (Raw)'!D235)),"CASH DEPOSIT",IF(ISNUMBER(SEARCH("Prelievo",'Statements (Raw)'!D235)),"CASH WITHDRAWAL",IF(ISNUMBER(SEARCH("Bollo",'Statements (Raw)'!D235)),"STAMP DUTY",IF(ISNUMBER(SEARCH("Tobin Tax",'Statements (Raw)'!D235)),"TOBIN TAX",IF(ISNUMBER(SEARCH("Rit.provento",'Statements (Raw)'!D235)),"WITHHOLDING TAX",IF(ISNUMBER(SEARCH("Incasso Dividendi",'Statements (Raw)'!D235)),"DIVIDEND",IF(ISNUMBER(SEARCH("Cedola",'Statements (Raw)'!D235)),"COUPON",IF(ISNUMBER(SEARCH("Ratei Pass",'Statements (Raw)'!D235)),"ACCRUED INT",IF(ISNUMBER(SEARCH("Interessi Prest",'Statements (Raw)'!D235)),"SEC LENDING",IF(ISNUMBER(SEARCH("Rimborso",'Statements (Raw)'!D235)),"REDEMPTION",IF(ISNUMBER(SEARCH("Provento",'Statements (Raw)'!D235)),"DISTRIBUTION","OTHER")))))))))))))</f>
        <v>BeC SPEAKERS</v>
      </c>
      <c r="D237" s="6" t="str">
        <f>IF(A237="","",IF(C237="Saldo Iniziale","Balance",IF(C237="CASH DEPOSIT","Deposit",IF(C237="CASH WITHDRAWAL","Withdrawal",IF(C237="STAMP DUTY","Tax",IF(C237="TOBIN TAX","Tax",IF(C237="WITHHOLDING TAX","Tax",IF(C237="DIVIDEND","Dividend",IF(C237="COUPON","Coupon",IF(C237="ACCRUED INT","Accrued Int.",IF(C237="SEC LENDING","Sec. Lending",IF(C237="REDEMPTION","Redemption",IF(C237="DISTRIBUTION","Distribution",IF(ISNUMBER(SEARCH("Rimborso",'Statements (Raw)'!D235)),"Redemption",IF(ISNUMBER(SEARCH("Cedola",'Statements (Raw)'!D235)),"Coupon",IF(ISNUMBER(SEARCH("Incasso Dividendi",'Statements (Raw)'!D235)),"Dividend",IF(ISNUMBER(SEARCH("Provento Etf",'Statements (Raw)'!D235)),"Distribution",IF(ISNUMBER(SEARCH("Rit.provento",'Statements (Raw)'!D235)),"Tax",IF(ISNUMBER(SEARCH("Ratei Pass",'Statements (Raw)'!D235)),"Accrued Int.",IF(ISNUMBER(SEARCH("Interessi Prest",'Statements (Raw)'!D235)),"Sec. Lending",IF('Statements (Raw)'!G235="","Other",IF('Statements (Raw)'!G235&gt;0,"Buy","Sell"))))))))))))))))))))))</f>
        <v>Buy</v>
      </c>
      <c r="E237" s="6" t="str">
        <f t="shared" si="6"/>
        <v>Stock</v>
      </c>
      <c r="F237" s="8">
        <f>IF(A237="","",IF('Statements (Raw)'!E235="","",'Statements (Raw)'!E235))</f>
        <v>15.7</v>
      </c>
      <c r="G237" s="6" t="str">
        <f>IF(A237="","",IF('Statements (Raw)'!F235="","",'Statements (Raw)'!F235))</f>
        <v>EUR</v>
      </c>
      <c r="H237" s="9">
        <f>IF(A237="","",IF('Statements (Raw)'!G235="","",'Statements (Raw)'!G235))</f>
        <v>156</v>
      </c>
      <c r="I237" s="10">
        <f>IF(A237="","",IF('Statements (Raw)'!H235="","",'Statements (Raw)'!H235))</f>
        <v>-2449.1999999999998</v>
      </c>
      <c r="J237" s="10">
        <f>IF(A237="",0,IF('Statements (Raw)'!I235="",0,'Statements (Raw)'!I235))</f>
        <v>0</v>
      </c>
      <c r="K237" s="10">
        <f t="shared" si="7"/>
        <v>-2449.1999999999998</v>
      </c>
    </row>
    <row r="238" spans="1:11" x14ac:dyDescent="0.3">
      <c r="A238" s="171">
        <f>IF(OR('Statements (Raw)'!A236="",'Statements (Raw)'!A236&gt;Holdings!$G$3),"",'Statements (Raw)'!A236)</f>
        <v>45945</v>
      </c>
      <c r="B238" s="7">
        <f>IF(A238="","",IF('Statements (Raw)'!B236="","",'Statements (Raw)'!B236))</f>
        <v>45947</v>
      </c>
      <c r="C238" s="6" t="str">
        <f>IF(A238="","",IF('Statements (Raw)'!C236&lt;&gt;"",'Statements (Raw)'!C236,IF(ISNUMBER(SEARCH("Conferimento",'Statements (Raw)'!D236)),"CASH DEPOSIT",IF(ISNUMBER(SEARCH("Prelievo",'Statements (Raw)'!D236)),"CASH WITHDRAWAL",IF(ISNUMBER(SEARCH("Bollo",'Statements (Raw)'!D236)),"STAMP DUTY",IF(ISNUMBER(SEARCH("Tobin Tax",'Statements (Raw)'!D236)),"TOBIN TAX",IF(ISNUMBER(SEARCH("Rit.provento",'Statements (Raw)'!D236)),"WITHHOLDING TAX",IF(ISNUMBER(SEARCH("Incasso Dividendi",'Statements (Raw)'!D236)),"DIVIDEND",IF(ISNUMBER(SEARCH("Cedola",'Statements (Raw)'!D236)),"COUPON",IF(ISNUMBER(SEARCH("Ratei Pass",'Statements (Raw)'!D236)),"ACCRUED INT",IF(ISNUMBER(SEARCH("Interessi Prest",'Statements (Raw)'!D236)),"SEC LENDING",IF(ISNUMBER(SEARCH("Rimborso",'Statements (Raw)'!D236)),"REDEMPTION",IF(ISNUMBER(SEARCH("Provento",'Statements (Raw)'!D236)),"DISTRIBUTION","OTHER")))))))))))))</f>
        <v>EXOR NV</v>
      </c>
      <c r="D238" s="6" t="str">
        <f>IF(A238="","",IF(C238="Saldo Iniziale","Balance",IF(C238="CASH DEPOSIT","Deposit",IF(C238="CASH WITHDRAWAL","Withdrawal",IF(C238="STAMP DUTY","Tax",IF(C238="TOBIN TAX","Tax",IF(C238="WITHHOLDING TAX","Tax",IF(C238="DIVIDEND","Dividend",IF(C238="COUPON","Coupon",IF(C238="ACCRUED INT","Accrued Int.",IF(C238="SEC LENDING","Sec. Lending",IF(C238="REDEMPTION","Redemption",IF(C238="DISTRIBUTION","Distribution",IF(ISNUMBER(SEARCH("Rimborso",'Statements (Raw)'!D236)),"Redemption",IF(ISNUMBER(SEARCH("Cedola",'Statements (Raw)'!D236)),"Coupon",IF(ISNUMBER(SEARCH("Incasso Dividendi",'Statements (Raw)'!D236)),"Dividend",IF(ISNUMBER(SEARCH("Provento Etf",'Statements (Raw)'!D236)),"Distribution",IF(ISNUMBER(SEARCH("Rit.provento",'Statements (Raw)'!D236)),"Tax",IF(ISNUMBER(SEARCH("Ratei Pass",'Statements (Raw)'!D236)),"Accrued Int.",IF(ISNUMBER(SEARCH("Interessi Prest",'Statements (Raw)'!D236)),"Sec. Lending",IF('Statements (Raw)'!G236="","Other",IF('Statements (Raw)'!G236&gt;0,"Buy","Sell"))))))))))))))))))))))</f>
        <v>Buy</v>
      </c>
      <c r="E238" s="6" t="str">
        <f t="shared" si="6"/>
        <v>Stock</v>
      </c>
      <c r="F238" s="8">
        <f>IF(A238="","",IF('Statements (Raw)'!E236="","",'Statements (Raw)'!E236))</f>
        <v>75.900000000000006</v>
      </c>
      <c r="G238" s="6" t="str">
        <f>IF(A238="","",IF('Statements (Raw)'!F236="","",'Statements (Raw)'!F236))</f>
        <v>EUR</v>
      </c>
      <c r="H238" s="9">
        <f>IF(A238="","",IF('Statements (Raw)'!G236="","",'Statements (Raw)'!G236))</f>
        <v>66</v>
      </c>
      <c r="I238" s="10">
        <f>IF(A238="","",IF('Statements (Raw)'!H236="","",'Statements (Raw)'!H236))</f>
        <v>-5009.3999999999996</v>
      </c>
      <c r="J238" s="10">
        <f>IF(A238="",0,IF('Statements (Raw)'!I236="",0,'Statements (Raw)'!I236))</f>
        <v>-9.5</v>
      </c>
      <c r="K238" s="10">
        <f t="shared" si="7"/>
        <v>-5018.8999999999996</v>
      </c>
    </row>
    <row r="239" spans="1:11" x14ac:dyDescent="0.3">
      <c r="A239" s="171">
        <f>IF(OR('Statements (Raw)'!A237="",'Statements (Raw)'!A237&gt;Holdings!$G$3),"",'Statements (Raw)'!A237)</f>
        <v>45945</v>
      </c>
      <c r="B239" s="7">
        <f>IF(A239="","",IF('Statements (Raw)'!B237="","",'Statements (Raw)'!B237))</f>
        <v>45947</v>
      </c>
      <c r="C239" s="6" t="str">
        <f>IF(A239="","",IF('Statements (Raw)'!C237&lt;&gt;"",'Statements (Raw)'!C237,IF(ISNUMBER(SEARCH("Conferimento",'Statements (Raw)'!D237)),"CASH DEPOSIT",IF(ISNUMBER(SEARCH("Prelievo",'Statements (Raw)'!D237)),"CASH WITHDRAWAL",IF(ISNUMBER(SEARCH("Bollo",'Statements (Raw)'!D237)),"STAMP DUTY",IF(ISNUMBER(SEARCH("Tobin Tax",'Statements (Raw)'!D237)),"TOBIN TAX",IF(ISNUMBER(SEARCH("Rit.provento",'Statements (Raw)'!D237)),"WITHHOLDING TAX",IF(ISNUMBER(SEARCH("Incasso Dividendi",'Statements (Raw)'!D237)),"DIVIDEND",IF(ISNUMBER(SEARCH("Cedola",'Statements (Raw)'!D237)),"COUPON",IF(ISNUMBER(SEARCH("Ratei Pass",'Statements (Raw)'!D237)),"ACCRUED INT",IF(ISNUMBER(SEARCH("Interessi Prest",'Statements (Raw)'!D237)),"SEC LENDING",IF(ISNUMBER(SEARCH("Rimborso",'Statements (Raw)'!D237)),"REDEMPTION",IF(ISNUMBER(SEARCH("Provento",'Statements (Raw)'!D237)),"DISTRIBUTION","OTHER")))))))))))))</f>
        <v>EXOR NV</v>
      </c>
      <c r="D239" s="6" t="str">
        <f>IF(A239="","",IF(C239="Saldo Iniziale","Balance",IF(C239="CASH DEPOSIT","Deposit",IF(C239="CASH WITHDRAWAL","Withdrawal",IF(C239="STAMP DUTY","Tax",IF(C239="TOBIN TAX","Tax",IF(C239="WITHHOLDING TAX","Tax",IF(C239="DIVIDEND","Dividend",IF(C239="COUPON","Coupon",IF(C239="ACCRUED INT","Accrued Int.",IF(C239="SEC LENDING","Sec. Lending",IF(C239="REDEMPTION","Redemption",IF(C239="DISTRIBUTION","Distribution",IF(ISNUMBER(SEARCH("Rimborso",'Statements (Raw)'!D237)),"Redemption",IF(ISNUMBER(SEARCH("Cedola",'Statements (Raw)'!D237)),"Coupon",IF(ISNUMBER(SEARCH("Incasso Dividendi",'Statements (Raw)'!D237)),"Dividend",IF(ISNUMBER(SEARCH("Provento Etf",'Statements (Raw)'!D237)),"Distribution",IF(ISNUMBER(SEARCH("Rit.provento",'Statements (Raw)'!D237)),"Tax",IF(ISNUMBER(SEARCH("Ratei Pass",'Statements (Raw)'!D237)),"Accrued Int.",IF(ISNUMBER(SEARCH("Interessi Prest",'Statements (Raw)'!D237)),"Sec. Lending",IF('Statements (Raw)'!G237="","Other",IF('Statements (Raw)'!G237&gt;0,"Buy","Sell"))))))))))))))))))))))</f>
        <v>Buy</v>
      </c>
      <c r="E239" s="6" t="str">
        <f t="shared" si="6"/>
        <v>Stock</v>
      </c>
      <c r="F239" s="8">
        <f>IF(A239="","",IF('Statements (Raw)'!E237="","",'Statements (Raw)'!E237))</f>
        <v>75.900000000000006</v>
      </c>
      <c r="G239" s="6" t="str">
        <f>IF(A239="","",IF('Statements (Raw)'!F237="","",'Statements (Raw)'!F237))</f>
        <v>EUR</v>
      </c>
      <c r="H239" s="9">
        <f>IF(A239="","",IF('Statements (Raw)'!G237="","",'Statements (Raw)'!G237))</f>
        <v>2</v>
      </c>
      <c r="I239" s="10">
        <f>IF(A239="","",IF('Statements (Raw)'!H237="","",'Statements (Raw)'!H237))</f>
        <v>-151.80000000000001</v>
      </c>
      <c r="J239" s="10">
        <f>IF(A239="",0,IF('Statements (Raw)'!I237="",0,'Statements (Raw)'!I237))</f>
        <v>0</v>
      </c>
      <c r="K239" s="10">
        <f t="shared" si="7"/>
        <v>-151.80000000000001</v>
      </c>
    </row>
    <row r="240" spans="1:11" x14ac:dyDescent="0.3">
      <c r="A240" s="171">
        <f>IF(OR('Statements (Raw)'!A238="",'Statements (Raw)'!A238&gt;Holdings!$G$3),"",'Statements (Raw)'!A238)</f>
        <v>45945</v>
      </c>
      <c r="B240" s="7">
        <f>IF(A240="","",IF('Statements (Raw)'!B238="","",'Statements (Raw)'!B238))</f>
        <v>45947</v>
      </c>
      <c r="C240" s="6" t="str">
        <f>IF(A240="","",IF('Statements (Raw)'!C238&lt;&gt;"",'Statements (Raw)'!C238,IF(ISNUMBER(SEARCH("Conferimento",'Statements (Raw)'!D238)),"CASH DEPOSIT",IF(ISNUMBER(SEARCH("Prelievo",'Statements (Raw)'!D238)),"CASH WITHDRAWAL",IF(ISNUMBER(SEARCH("Bollo",'Statements (Raw)'!D238)),"STAMP DUTY",IF(ISNUMBER(SEARCH("Tobin Tax",'Statements (Raw)'!D238)),"TOBIN TAX",IF(ISNUMBER(SEARCH("Rit.provento",'Statements (Raw)'!D238)),"WITHHOLDING TAX",IF(ISNUMBER(SEARCH("Incasso Dividendi",'Statements (Raw)'!D238)),"DIVIDEND",IF(ISNUMBER(SEARCH("Cedola",'Statements (Raw)'!D238)),"COUPON",IF(ISNUMBER(SEARCH("Ratei Pass",'Statements (Raw)'!D238)),"ACCRUED INT",IF(ISNUMBER(SEARCH("Interessi Prest",'Statements (Raw)'!D238)),"SEC LENDING",IF(ISNUMBER(SEARCH("Rimborso",'Statements (Raw)'!D238)),"REDEMPTION",IF(ISNUMBER(SEARCH("Provento",'Statements (Raw)'!D238)),"DISTRIBUTION","OTHER")))))))))))))</f>
        <v>EXOR NV</v>
      </c>
      <c r="D240" s="6" t="str">
        <f>IF(A240="","",IF(C240="Saldo Iniziale","Balance",IF(C240="CASH DEPOSIT","Deposit",IF(C240="CASH WITHDRAWAL","Withdrawal",IF(C240="STAMP DUTY","Tax",IF(C240="TOBIN TAX","Tax",IF(C240="WITHHOLDING TAX","Tax",IF(C240="DIVIDEND","Dividend",IF(C240="COUPON","Coupon",IF(C240="ACCRUED INT","Accrued Int.",IF(C240="SEC LENDING","Sec. Lending",IF(C240="REDEMPTION","Redemption",IF(C240="DISTRIBUTION","Distribution",IF(ISNUMBER(SEARCH("Rimborso",'Statements (Raw)'!D238)),"Redemption",IF(ISNUMBER(SEARCH("Cedola",'Statements (Raw)'!D238)),"Coupon",IF(ISNUMBER(SEARCH("Incasso Dividendi",'Statements (Raw)'!D238)),"Dividend",IF(ISNUMBER(SEARCH("Provento Etf",'Statements (Raw)'!D238)),"Distribution",IF(ISNUMBER(SEARCH("Rit.provento",'Statements (Raw)'!D238)),"Tax",IF(ISNUMBER(SEARCH("Ratei Pass",'Statements (Raw)'!D238)),"Accrued Int.",IF(ISNUMBER(SEARCH("Interessi Prest",'Statements (Raw)'!D238)),"Sec. Lending",IF('Statements (Raw)'!G238="","Other",IF('Statements (Raw)'!G238&gt;0,"Buy","Sell"))))))))))))))))))))))</f>
        <v>Buy</v>
      </c>
      <c r="E240" s="6" t="str">
        <f t="shared" si="6"/>
        <v>Stock</v>
      </c>
      <c r="F240" s="8">
        <f>IF(A240="","",IF('Statements (Raw)'!E238="","",'Statements (Raw)'!E238))</f>
        <v>75.900000000000006</v>
      </c>
      <c r="G240" s="6" t="str">
        <f>IF(A240="","",IF('Statements (Raw)'!F238="","",'Statements (Raw)'!F238))</f>
        <v>EUR</v>
      </c>
      <c r="H240" s="9">
        <f>IF(A240="","",IF('Statements (Raw)'!G238="","",'Statements (Raw)'!G238))</f>
        <v>27</v>
      </c>
      <c r="I240" s="10">
        <f>IF(A240="","",IF('Statements (Raw)'!H238="","",'Statements (Raw)'!H238))</f>
        <v>-2049.3000000000002</v>
      </c>
      <c r="J240" s="10">
        <f>IF(A240="",0,IF('Statements (Raw)'!I238="",0,'Statements (Raw)'!I238))</f>
        <v>0</v>
      </c>
      <c r="K240" s="10">
        <f t="shared" si="7"/>
        <v>-2049.3000000000002</v>
      </c>
    </row>
    <row r="241" spans="1:11" x14ac:dyDescent="0.3">
      <c r="A241" s="171">
        <f>IF(OR('Statements (Raw)'!A239="",'Statements (Raw)'!A239&gt;Holdings!$G$3),"",'Statements (Raw)'!A239)</f>
        <v>45945</v>
      </c>
      <c r="B241" s="7">
        <f>IF(A241="","",IF('Statements (Raw)'!B239="","",'Statements (Raw)'!B239))</f>
        <v>45947</v>
      </c>
      <c r="C241" s="6" t="str">
        <f>IF(A241="","",IF('Statements (Raw)'!C239&lt;&gt;"",'Statements (Raw)'!C239,IF(ISNUMBER(SEARCH("Conferimento",'Statements (Raw)'!D239)),"CASH DEPOSIT",IF(ISNUMBER(SEARCH("Prelievo",'Statements (Raw)'!D239)),"CASH WITHDRAWAL",IF(ISNUMBER(SEARCH("Bollo",'Statements (Raw)'!D239)),"STAMP DUTY",IF(ISNUMBER(SEARCH("Tobin Tax",'Statements (Raw)'!D239)),"TOBIN TAX",IF(ISNUMBER(SEARCH("Rit.provento",'Statements (Raw)'!D239)),"WITHHOLDING TAX",IF(ISNUMBER(SEARCH("Incasso Dividendi",'Statements (Raw)'!D239)),"DIVIDEND",IF(ISNUMBER(SEARCH("Cedola",'Statements (Raw)'!D239)),"COUPON",IF(ISNUMBER(SEARCH("Ratei Pass",'Statements (Raw)'!D239)),"ACCRUED INT",IF(ISNUMBER(SEARCH("Interessi Prest",'Statements (Raw)'!D239)),"SEC LENDING",IF(ISNUMBER(SEARCH("Rimborso",'Statements (Raw)'!D239)),"REDEMPTION",IF(ISNUMBER(SEARCH("Provento",'Statements (Raw)'!D239)),"DISTRIBUTION","OTHER")))))))))))))</f>
        <v>EXOR NV</v>
      </c>
      <c r="D241" s="6" t="str">
        <f>IF(A241="","",IF(C241="Saldo Iniziale","Balance",IF(C241="CASH DEPOSIT","Deposit",IF(C241="CASH WITHDRAWAL","Withdrawal",IF(C241="STAMP DUTY","Tax",IF(C241="TOBIN TAX","Tax",IF(C241="WITHHOLDING TAX","Tax",IF(C241="DIVIDEND","Dividend",IF(C241="COUPON","Coupon",IF(C241="ACCRUED INT","Accrued Int.",IF(C241="SEC LENDING","Sec. Lending",IF(C241="REDEMPTION","Redemption",IF(C241="DISTRIBUTION","Distribution",IF(ISNUMBER(SEARCH("Rimborso",'Statements (Raw)'!D239)),"Redemption",IF(ISNUMBER(SEARCH("Cedola",'Statements (Raw)'!D239)),"Coupon",IF(ISNUMBER(SEARCH("Incasso Dividendi",'Statements (Raw)'!D239)),"Dividend",IF(ISNUMBER(SEARCH("Provento Etf",'Statements (Raw)'!D239)),"Distribution",IF(ISNUMBER(SEARCH("Rit.provento",'Statements (Raw)'!D239)),"Tax",IF(ISNUMBER(SEARCH("Ratei Pass",'Statements (Raw)'!D239)),"Accrued Int.",IF(ISNUMBER(SEARCH("Interessi Prest",'Statements (Raw)'!D239)),"Sec. Lending",IF('Statements (Raw)'!G239="","Other",IF('Statements (Raw)'!G239&gt;0,"Buy","Sell"))))))))))))))))))))))</f>
        <v>Buy</v>
      </c>
      <c r="E241" s="6" t="str">
        <f t="shared" si="6"/>
        <v>Stock</v>
      </c>
      <c r="F241" s="8">
        <f>IF(A241="","",IF('Statements (Raw)'!E239="","",'Statements (Raw)'!E239))</f>
        <v>75.900000000000006</v>
      </c>
      <c r="G241" s="6" t="str">
        <f>IF(A241="","",IF('Statements (Raw)'!F239="","",'Statements (Raw)'!F239))</f>
        <v>EUR</v>
      </c>
      <c r="H241" s="9">
        <f>IF(A241="","",IF('Statements (Raw)'!G239="","",'Statements (Raw)'!G239))</f>
        <v>46</v>
      </c>
      <c r="I241" s="10">
        <f>IF(A241="","",IF('Statements (Raw)'!H239="","",'Statements (Raw)'!H239))</f>
        <v>-3491.4</v>
      </c>
      <c r="J241" s="10">
        <f>IF(A241="",0,IF('Statements (Raw)'!I239="",0,'Statements (Raw)'!I239))</f>
        <v>0</v>
      </c>
      <c r="K241" s="10">
        <f t="shared" si="7"/>
        <v>-3491.4</v>
      </c>
    </row>
    <row r="242" spans="1:11" x14ac:dyDescent="0.3">
      <c r="A242" s="171">
        <f>IF(OR('Statements (Raw)'!A240="",'Statements (Raw)'!A240&gt;Holdings!$G$3),"",'Statements (Raw)'!A240)</f>
        <v>45945</v>
      </c>
      <c r="B242" s="7">
        <f>IF(A242="","",IF('Statements (Raw)'!B240="","",'Statements (Raw)'!B240))</f>
        <v>45947</v>
      </c>
      <c r="C242" s="6" t="str">
        <f>IF(A242="","",IF('Statements (Raw)'!C240&lt;&gt;"",'Statements (Raw)'!C240,IF(ISNUMBER(SEARCH("Conferimento",'Statements (Raw)'!D240)),"CASH DEPOSIT",IF(ISNUMBER(SEARCH("Prelievo",'Statements (Raw)'!D240)),"CASH WITHDRAWAL",IF(ISNUMBER(SEARCH("Bollo",'Statements (Raw)'!D240)),"STAMP DUTY",IF(ISNUMBER(SEARCH("Tobin Tax",'Statements (Raw)'!D240)),"TOBIN TAX",IF(ISNUMBER(SEARCH("Rit.provento",'Statements (Raw)'!D240)),"WITHHOLDING TAX",IF(ISNUMBER(SEARCH("Incasso Dividendi",'Statements (Raw)'!D240)),"DIVIDEND",IF(ISNUMBER(SEARCH("Cedola",'Statements (Raw)'!D240)),"COUPON",IF(ISNUMBER(SEARCH("Ratei Pass",'Statements (Raw)'!D240)),"ACCRUED INT",IF(ISNUMBER(SEARCH("Interessi Prest",'Statements (Raw)'!D240)),"SEC LENDING",IF(ISNUMBER(SEARCH("Rimborso",'Statements (Raw)'!D240)),"REDEMPTION",IF(ISNUMBER(SEARCH("Provento",'Statements (Raw)'!D240)),"DISTRIBUTION","OTHER")))))))))))))</f>
        <v>EXOR NV</v>
      </c>
      <c r="D242" s="6" t="str">
        <f>IF(A242="","",IF(C242="Saldo Iniziale","Balance",IF(C242="CASH DEPOSIT","Deposit",IF(C242="CASH WITHDRAWAL","Withdrawal",IF(C242="STAMP DUTY","Tax",IF(C242="TOBIN TAX","Tax",IF(C242="WITHHOLDING TAX","Tax",IF(C242="DIVIDEND","Dividend",IF(C242="COUPON","Coupon",IF(C242="ACCRUED INT","Accrued Int.",IF(C242="SEC LENDING","Sec. Lending",IF(C242="REDEMPTION","Redemption",IF(C242="DISTRIBUTION","Distribution",IF(ISNUMBER(SEARCH("Rimborso",'Statements (Raw)'!D240)),"Redemption",IF(ISNUMBER(SEARCH("Cedola",'Statements (Raw)'!D240)),"Coupon",IF(ISNUMBER(SEARCH("Incasso Dividendi",'Statements (Raw)'!D240)),"Dividend",IF(ISNUMBER(SEARCH("Provento Etf",'Statements (Raw)'!D240)),"Distribution",IF(ISNUMBER(SEARCH("Rit.provento",'Statements (Raw)'!D240)),"Tax",IF(ISNUMBER(SEARCH("Ratei Pass",'Statements (Raw)'!D240)),"Accrued Int.",IF(ISNUMBER(SEARCH("Interessi Prest",'Statements (Raw)'!D240)),"Sec. Lending",IF('Statements (Raw)'!G240="","Other",IF('Statements (Raw)'!G240&gt;0,"Buy","Sell"))))))))))))))))))))))</f>
        <v>Buy</v>
      </c>
      <c r="E242" s="6" t="str">
        <f t="shared" si="6"/>
        <v>Stock</v>
      </c>
      <c r="F242" s="8">
        <f>IF(A242="","",IF('Statements (Raw)'!E240="","",'Statements (Raw)'!E240))</f>
        <v>75.95</v>
      </c>
      <c r="G242" s="6" t="str">
        <f>IF(A242="","",IF('Statements (Raw)'!F240="","",'Statements (Raw)'!F240))</f>
        <v>EUR</v>
      </c>
      <c r="H242" s="9">
        <f>IF(A242="","",IF('Statements (Raw)'!G240="","",'Statements (Raw)'!G240))</f>
        <v>59</v>
      </c>
      <c r="I242" s="10">
        <f>IF(A242="","",IF('Statements (Raw)'!H240="","",'Statements (Raw)'!H240))</f>
        <v>-4481.05</v>
      </c>
      <c r="J242" s="10">
        <f>IF(A242="",0,IF('Statements (Raw)'!I240="",0,'Statements (Raw)'!I240))</f>
        <v>0</v>
      </c>
      <c r="K242" s="10">
        <f t="shared" si="7"/>
        <v>-4481.05</v>
      </c>
    </row>
    <row r="243" spans="1:11" x14ac:dyDescent="0.3">
      <c r="A243" s="171">
        <f>IF(OR('Statements (Raw)'!A241="",'Statements (Raw)'!A241&gt;Holdings!$G$3),"",'Statements (Raw)'!A241)</f>
        <v>45945</v>
      </c>
      <c r="B243" s="7">
        <f>IF(A243="","",IF('Statements (Raw)'!B241="","",'Statements (Raw)'!B241))</f>
        <v>45947</v>
      </c>
      <c r="C243" s="6" t="str">
        <f>IF(A243="","",IF('Statements (Raw)'!C241&lt;&gt;"",'Statements (Raw)'!C241,IF(ISNUMBER(SEARCH("Conferimento",'Statements (Raw)'!D241)),"CASH DEPOSIT",IF(ISNUMBER(SEARCH("Prelievo",'Statements (Raw)'!D241)),"CASH WITHDRAWAL",IF(ISNUMBER(SEARCH("Bollo",'Statements (Raw)'!D241)),"STAMP DUTY",IF(ISNUMBER(SEARCH("Tobin Tax",'Statements (Raw)'!D241)),"TOBIN TAX",IF(ISNUMBER(SEARCH("Rit.provento",'Statements (Raw)'!D241)),"WITHHOLDING TAX",IF(ISNUMBER(SEARCH("Incasso Dividendi",'Statements (Raw)'!D241)),"DIVIDEND",IF(ISNUMBER(SEARCH("Cedola",'Statements (Raw)'!D241)),"COUPON",IF(ISNUMBER(SEARCH("Ratei Pass",'Statements (Raw)'!D241)),"ACCRUED INT",IF(ISNUMBER(SEARCH("Interessi Prest",'Statements (Raw)'!D241)),"SEC LENDING",IF(ISNUMBER(SEARCH("Rimborso",'Statements (Raw)'!D241)),"REDEMPTION",IF(ISNUMBER(SEARCH("Provento",'Statements (Raw)'!D241)),"DISTRIBUTION","OTHER")))))))))))))</f>
        <v>D AMICO</v>
      </c>
      <c r="D243" s="6" t="str">
        <f>IF(A243="","",IF(C243="Saldo Iniziale","Balance",IF(C243="CASH DEPOSIT","Deposit",IF(C243="CASH WITHDRAWAL","Withdrawal",IF(C243="STAMP DUTY","Tax",IF(C243="TOBIN TAX","Tax",IF(C243="WITHHOLDING TAX","Tax",IF(C243="DIVIDEND","Dividend",IF(C243="COUPON","Coupon",IF(C243="ACCRUED INT","Accrued Int.",IF(C243="SEC LENDING","Sec. Lending",IF(C243="REDEMPTION","Redemption",IF(C243="DISTRIBUTION","Distribution",IF(ISNUMBER(SEARCH("Rimborso",'Statements (Raw)'!D241)),"Redemption",IF(ISNUMBER(SEARCH("Cedola",'Statements (Raw)'!D241)),"Coupon",IF(ISNUMBER(SEARCH("Incasso Dividendi",'Statements (Raw)'!D241)),"Dividend",IF(ISNUMBER(SEARCH("Provento Etf",'Statements (Raw)'!D241)),"Distribution",IF(ISNUMBER(SEARCH("Rit.provento",'Statements (Raw)'!D241)),"Tax",IF(ISNUMBER(SEARCH("Ratei Pass",'Statements (Raw)'!D241)),"Accrued Int.",IF(ISNUMBER(SEARCH("Interessi Prest",'Statements (Raw)'!D241)),"Sec. Lending",IF('Statements (Raw)'!G241="","Other",IF('Statements (Raw)'!G241&gt;0,"Buy","Sell"))))))))))))))))))))))</f>
        <v>Buy</v>
      </c>
      <c r="E243" s="6" t="str">
        <f t="shared" si="6"/>
        <v>Stock</v>
      </c>
      <c r="F243" s="8">
        <f>IF(A243="","",IF('Statements (Raw)'!E241="","",'Statements (Raw)'!E241))</f>
        <v>4.1879999999999997</v>
      </c>
      <c r="G243" s="6" t="str">
        <f>IF(A243="","",IF('Statements (Raw)'!F241="","",'Statements (Raw)'!F241))</f>
        <v>EUR</v>
      </c>
      <c r="H243" s="9">
        <f>IF(A243="","",IF('Statements (Raw)'!G241="","",'Statements (Raw)'!G241))</f>
        <v>338</v>
      </c>
      <c r="I243" s="10">
        <f>IF(A243="","",IF('Statements (Raw)'!H241="","",'Statements (Raw)'!H241))</f>
        <v>-1415.54</v>
      </c>
      <c r="J243" s="10">
        <f>IF(A243="",0,IF('Statements (Raw)'!I241="",0,'Statements (Raw)'!I241))</f>
        <v>-5</v>
      </c>
      <c r="K243" s="10">
        <f t="shared" si="7"/>
        <v>-1420.54</v>
      </c>
    </row>
    <row r="244" spans="1:11" x14ac:dyDescent="0.3">
      <c r="A244" s="171">
        <f>IF(OR('Statements (Raw)'!A242="",'Statements (Raw)'!A242&gt;Holdings!$G$3),"",'Statements (Raw)'!A242)</f>
        <v>45945</v>
      </c>
      <c r="B244" s="7">
        <f>IF(A244="","",IF('Statements (Raw)'!B242="","",'Statements (Raw)'!B242))</f>
        <v>45947</v>
      </c>
      <c r="C244" s="6" t="str">
        <f>IF(A244="","",IF('Statements (Raw)'!C242&lt;&gt;"",'Statements (Raw)'!C242,IF(ISNUMBER(SEARCH("Conferimento",'Statements (Raw)'!D242)),"CASH DEPOSIT",IF(ISNUMBER(SEARCH("Prelievo",'Statements (Raw)'!D242)),"CASH WITHDRAWAL",IF(ISNUMBER(SEARCH("Bollo",'Statements (Raw)'!D242)),"STAMP DUTY",IF(ISNUMBER(SEARCH("Tobin Tax",'Statements (Raw)'!D242)),"TOBIN TAX",IF(ISNUMBER(SEARCH("Rit.provento",'Statements (Raw)'!D242)),"WITHHOLDING TAX",IF(ISNUMBER(SEARCH("Incasso Dividendi",'Statements (Raw)'!D242)),"DIVIDEND",IF(ISNUMBER(SEARCH("Cedola",'Statements (Raw)'!D242)),"COUPON",IF(ISNUMBER(SEARCH("Ratei Pass",'Statements (Raw)'!D242)),"ACCRUED INT",IF(ISNUMBER(SEARCH("Interessi Prest",'Statements (Raw)'!D242)),"SEC LENDING",IF(ISNUMBER(SEARCH("Rimborso",'Statements (Raw)'!D242)),"REDEMPTION",IF(ISNUMBER(SEARCH("Provento",'Statements (Raw)'!D242)),"DISTRIBUTION","OTHER")))))))))))))</f>
        <v>D AMICO</v>
      </c>
      <c r="D244" s="6" t="str">
        <f>IF(A244="","",IF(C244="Saldo Iniziale","Balance",IF(C244="CASH DEPOSIT","Deposit",IF(C244="CASH WITHDRAWAL","Withdrawal",IF(C244="STAMP DUTY","Tax",IF(C244="TOBIN TAX","Tax",IF(C244="WITHHOLDING TAX","Tax",IF(C244="DIVIDEND","Dividend",IF(C244="COUPON","Coupon",IF(C244="ACCRUED INT","Accrued Int.",IF(C244="SEC LENDING","Sec. Lending",IF(C244="REDEMPTION","Redemption",IF(C244="DISTRIBUTION","Distribution",IF(ISNUMBER(SEARCH("Rimborso",'Statements (Raw)'!D242)),"Redemption",IF(ISNUMBER(SEARCH("Cedola",'Statements (Raw)'!D242)),"Coupon",IF(ISNUMBER(SEARCH("Incasso Dividendi",'Statements (Raw)'!D242)),"Dividend",IF(ISNUMBER(SEARCH("Provento Etf",'Statements (Raw)'!D242)),"Distribution",IF(ISNUMBER(SEARCH("Rit.provento",'Statements (Raw)'!D242)),"Tax",IF(ISNUMBER(SEARCH("Ratei Pass",'Statements (Raw)'!D242)),"Accrued Int.",IF(ISNUMBER(SEARCH("Interessi Prest",'Statements (Raw)'!D242)),"Sec. Lending",IF('Statements (Raw)'!G242="","Other",IF('Statements (Raw)'!G242&gt;0,"Buy","Sell"))))))))))))))))))))))</f>
        <v>Buy</v>
      </c>
      <c r="E244" s="6" t="str">
        <f t="shared" si="6"/>
        <v>Stock</v>
      </c>
      <c r="F244" s="8">
        <f>IF(A244="","",IF('Statements (Raw)'!E242="","",'Statements (Raw)'!E242))</f>
        <v>4.1879999999999997</v>
      </c>
      <c r="G244" s="6" t="str">
        <f>IF(A244="","",IF('Statements (Raw)'!F242="","",'Statements (Raw)'!F242))</f>
        <v>EUR</v>
      </c>
      <c r="H244" s="9">
        <f>IF(A244="","",IF('Statements (Raw)'!G242="","",'Statements (Raw)'!G242))</f>
        <v>465</v>
      </c>
      <c r="I244" s="10">
        <f>IF(A244="","",IF('Statements (Raw)'!H242="","",'Statements (Raw)'!H242))</f>
        <v>-1947.42</v>
      </c>
      <c r="J244" s="10">
        <f>IF(A244="",0,IF('Statements (Raw)'!I242="",0,'Statements (Raw)'!I242))</f>
        <v>0</v>
      </c>
      <c r="K244" s="10">
        <f t="shared" si="7"/>
        <v>-1947.42</v>
      </c>
    </row>
    <row r="245" spans="1:11" x14ac:dyDescent="0.3">
      <c r="A245" s="171">
        <f>IF(OR('Statements (Raw)'!A243="",'Statements (Raw)'!A243&gt;Holdings!$G$3),"",'Statements (Raw)'!A243)</f>
        <v>45945</v>
      </c>
      <c r="B245" s="7">
        <f>IF(A245="","",IF('Statements (Raw)'!B243="","",'Statements (Raw)'!B243))</f>
        <v>45947</v>
      </c>
      <c r="C245" s="6" t="str">
        <f>IF(A245="","",IF('Statements (Raw)'!C243&lt;&gt;"",'Statements (Raw)'!C243,IF(ISNUMBER(SEARCH("Conferimento",'Statements (Raw)'!D243)),"CASH DEPOSIT",IF(ISNUMBER(SEARCH("Prelievo",'Statements (Raw)'!D243)),"CASH WITHDRAWAL",IF(ISNUMBER(SEARCH("Bollo",'Statements (Raw)'!D243)),"STAMP DUTY",IF(ISNUMBER(SEARCH("Tobin Tax",'Statements (Raw)'!D243)),"TOBIN TAX",IF(ISNUMBER(SEARCH("Rit.provento",'Statements (Raw)'!D243)),"WITHHOLDING TAX",IF(ISNUMBER(SEARCH("Incasso Dividendi",'Statements (Raw)'!D243)),"DIVIDEND",IF(ISNUMBER(SEARCH("Cedola",'Statements (Raw)'!D243)),"COUPON",IF(ISNUMBER(SEARCH("Ratei Pass",'Statements (Raw)'!D243)),"ACCRUED INT",IF(ISNUMBER(SEARCH("Interessi Prest",'Statements (Raw)'!D243)),"SEC LENDING",IF(ISNUMBER(SEARCH("Rimborso",'Statements (Raw)'!D243)),"REDEMPTION",IF(ISNUMBER(SEARCH("Provento",'Statements (Raw)'!D243)),"DISTRIBUTION","OTHER")))))))))))))</f>
        <v>D AMICO</v>
      </c>
      <c r="D245" s="6" t="str">
        <f>IF(A245="","",IF(C245="Saldo Iniziale","Balance",IF(C245="CASH DEPOSIT","Deposit",IF(C245="CASH WITHDRAWAL","Withdrawal",IF(C245="STAMP DUTY","Tax",IF(C245="TOBIN TAX","Tax",IF(C245="WITHHOLDING TAX","Tax",IF(C245="DIVIDEND","Dividend",IF(C245="COUPON","Coupon",IF(C245="ACCRUED INT","Accrued Int.",IF(C245="SEC LENDING","Sec. Lending",IF(C245="REDEMPTION","Redemption",IF(C245="DISTRIBUTION","Distribution",IF(ISNUMBER(SEARCH("Rimborso",'Statements (Raw)'!D243)),"Redemption",IF(ISNUMBER(SEARCH("Cedola",'Statements (Raw)'!D243)),"Coupon",IF(ISNUMBER(SEARCH("Incasso Dividendi",'Statements (Raw)'!D243)),"Dividend",IF(ISNUMBER(SEARCH("Provento Etf",'Statements (Raw)'!D243)),"Distribution",IF(ISNUMBER(SEARCH("Rit.provento",'Statements (Raw)'!D243)),"Tax",IF(ISNUMBER(SEARCH("Ratei Pass",'Statements (Raw)'!D243)),"Accrued Int.",IF(ISNUMBER(SEARCH("Interessi Prest",'Statements (Raw)'!D243)),"Sec. Lending",IF('Statements (Raw)'!G243="","Other",IF('Statements (Raw)'!G243&gt;0,"Buy","Sell"))))))))))))))))))))))</f>
        <v>Buy</v>
      </c>
      <c r="E245" s="6" t="str">
        <f t="shared" si="6"/>
        <v>Stock</v>
      </c>
      <c r="F245" s="8">
        <f>IF(A245="","",IF('Statements (Raw)'!E243="","",'Statements (Raw)'!E243))</f>
        <v>4.1900000000000004</v>
      </c>
      <c r="G245" s="6" t="str">
        <f>IF(A245="","",IF('Statements (Raw)'!F243="","",'Statements (Raw)'!F243))</f>
        <v>EUR</v>
      </c>
      <c r="H245" s="9">
        <f>IF(A245="","",IF('Statements (Raw)'!G243="","",'Statements (Raw)'!G243))</f>
        <v>197</v>
      </c>
      <c r="I245" s="10">
        <f>IF(A245="","",IF('Statements (Raw)'!H243="","",'Statements (Raw)'!H243))</f>
        <v>-825.43</v>
      </c>
      <c r="J245" s="10">
        <f>IF(A245="",0,IF('Statements (Raw)'!I243="",0,'Statements (Raw)'!I243))</f>
        <v>0</v>
      </c>
      <c r="K245" s="10">
        <f t="shared" si="7"/>
        <v>-825.43</v>
      </c>
    </row>
    <row r="246" spans="1:11" x14ac:dyDescent="0.3">
      <c r="A246" s="171">
        <f>IF(OR('Statements (Raw)'!A244="",'Statements (Raw)'!A244&gt;Holdings!$G$3),"",'Statements (Raw)'!A244)</f>
        <v>45945</v>
      </c>
      <c r="B246" s="7">
        <f>IF(A246="","",IF('Statements (Raw)'!B244="","",'Statements (Raw)'!B244))</f>
        <v>45947</v>
      </c>
      <c r="C246" s="6" t="str">
        <f>IF(A246="","",IF('Statements (Raw)'!C244&lt;&gt;"",'Statements (Raw)'!C244,IF(ISNUMBER(SEARCH("Conferimento",'Statements (Raw)'!D244)),"CASH DEPOSIT",IF(ISNUMBER(SEARCH("Prelievo",'Statements (Raw)'!D244)),"CASH WITHDRAWAL",IF(ISNUMBER(SEARCH("Bollo",'Statements (Raw)'!D244)),"STAMP DUTY",IF(ISNUMBER(SEARCH("Tobin Tax",'Statements (Raw)'!D244)),"TOBIN TAX",IF(ISNUMBER(SEARCH("Rit.provento",'Statements (Raw)'!D244)),"WITHHOLDING TAX",IF(ISNUMBER(SEARCH("Incasso Dividendi",'Statements (Raw)'!D244)),"DIVIDEND",IF(ISNUMBER(SEARCH("Cedola",'Statements (Raw)'!D244)),"COUPON",IF(ISNUMBER(SEARCH("Ratei Pass",'Statements (Raw)'!D244)),"ACCRUED INT",IF(ISNUMBER(SEARCH("Interessi Prest",'Statements (Raw)'!D244)),"SEC LENDING",IF(ISNUMBER(SEARCH("Rimborso",'Statements (Raw)'!D244)),"REDEMPTION",IF(ISNUMBER(SEARCH("Provento",'Statements (Raw)'!D244)),"DISTRIBUTION","OTHER")))))))))))))</f>
        <v>NEXI</v>
      </c>
      <c r="D246" s="6" t="str">
        <f>IF(A246="","",IF(C246="Saldo Iniziale","Balance",IF(C246="CASH DEPOSIT","Deposit",IF(C246="CASH WITHDRAWAL","Withdrawal",IF(C246="STAMP DUTY","Tax",IF(C246="TOBIN TAX","Tax",IF(C246="WITHHOLDING TAX","Tax",IF(C246="DIVIDEND","Dividend",IF(C246="COUPON","Coupon",IF(C246="ACCRUED INT","Accrued Int.",IF(C246="SEC LENDING","Sec. Lending",IF(C246="REDEMPTION","Redemption",IF(C246="DISTRIBUTION","Distribution",IF(ISNUMBER(SEARCH("Rimborso",'Statements (Raw)'!D244)),"Redemption",IF(ISNUMBER(SEARCH("Cedola",'Statements (Raw)'!D244)),"Coupon",IF(ISNUMBER(SEARCH("Incasso Dividendi",'Statements (Raw)'!D244)),"Dividend",IF(ISNUMBER(SEARCH("Provento Etf",'Statements (Raw)'!D244)),"Distribution",IF(ISNUMBER(SEARCH("Rit.provento",'Statements (Raw)'!D244)),"Tax",IF(ISNUMBER(SEARCH("Ratei Pass",'Statements (Raw)'!D244)),"Accrued Int.",IF(ISNUMBER(SEARCH("Interessi Prest",'Statements (Raw)'!D244)),"Sec. Lending",IF('Statements (Raw)'!G244="","Other",IF('Statements (Raw)'!G244&gt;0,"Buy","Sell"))))))))))))))))))))))</f>
        <v>Buy</v>
      </c>
      <c r="E246" s="6" t="str">
        <f t="shared" si="6"/>
        <v>Stock</v>
      </c>
      <c r="F246" s="8">
        <f>IF(A246="","",IF('Statements (Raw)'!E244="","",'Statements (Raw)'!E244))</f>
        <v>4.6749999999999998</v>
      </c>
      <c r="G246" s="6" t="str">
        <f>IF(A246="","",IF('Statements (Raw)'!F244="","",'Statements (Raw)'!F244))</f>
        <v>EUR</v>
      </c>
      <c r="H246" s="9">
        <f>IF(A246="","",IF('Statements (Raw)'!G244="","",'Statements (Raw)'!G244))</f>
        <v>1000</v>
      </c>
      <c r="I246" s="10">
        <f>IF(A246="","",IF('Statements (Raw)'!H244="","",'Statements (Raw)'!H244))</f>
        <v>-4675</v>
      </c>
      <c r="J246" s="10">
        <f>IF(A246="",0,IF('Statements (Raw)'!I244="",0,'Statements (Raw)'!I244))</f>
        <v>-5</v>
      </c>
      <c r="K246" s="10">
        <f t="shared" si="7"/>
        <v>-4680</v>
      </c>
    </row>
    <row r="247" spans="1:11" x14ac:dyDescent="0.3">
      <c r="A247" s="171">
        <f>IF(OR('Statements (Raw)'!A245="",'Statements (Raw)'!A245&gt;Holdings!$G$3),"",'Statements (Raw)'!A245)</f>
        <v>45945</v>
      </c>
      <c r="B247" s="7">
        <f>IF(A247="","",IF('Statements (Raw)'!B245="","",'Statements (Raw)'!B245))</f>
        <v>45947</v>
      </c>
      <c r="C247" s="6" t="str">
        <f>IF(A247="","",IF('Statements (Raw)'!C245&lt;&gt;"",'Statements (Raw)'!C245,IF(ISNUMBER(SEARCH("Conferimento",'Statements (Raw)'!D245)),"CASH DEPOSIT",IF(ISNUMBER(SEARCH("Prelievo",'Statements (Raw)'!D245)),"CASH WITHDRAWAL",IF(ISNUMBER(SEARCH("Bollo",'Statements (Raw)'!D245)),"STAMP DUTY",IF(ISNUMBER(SEARCH("Tobin Tax",'Statements (Raw)'!D245)),"TOBIN TAX",IF(ISNUMBER(SEARCH("Rit.provento",'Statements (Raw)'!D245)),"WITHHOLDING TAX",IF(ISNUMBER(SEARCH("Incasso Dividendi",'Statements (Raw)'!D245)),"DIVIDEND",IF(ISNUMBER(SEARCH("Cedola",'Statements (Raw)'!D245)),"COUPON",IF(ISNUMBER(SEARCH("Ratei Pass",'Statements (Raw)'!D245)),"ACCRUED INT",IF(ISNUMBER(SEARCH("Interessi Prest",'Statements (Raw)'!D245)),"SEC LENDING",IF(ISNUMBER(SEARCH("Rimborso",'Statements (Raw)'!D245)),"REDEMPTION",IF(ISNUMBER(SEARCH("Provento",'Statements (Raw)'!D245)),"DISTRIBUTION","OTHER")))))))))))))</f>
        <v>RAI WAY</v>
      </c>
      <c r="D247" s="6" t="str">
        <f>IF(A247="","",IF(C247="Saldo Iniziale","Balance",IF(C247="CASH DEPOSIT","Deposit",IF(C247="CASH WITHDRAWAL","Withdrawal",IF(C247="STAMP DUTY","Tax",IF(C247="TOBIN TAX","Tax",IF(C247="WITHHOLDING TAX","Tax",IF(C247="DIVIDEND","Dividend",IF(C247="COUPON","Coupon",IF(C247="ACCRUED INT","Accrued Int.",IF(C247="SEC LENDING","Sec. Lending",IF(C247="REDEMPTION","Redemption",IF(C247="DISTRIBUTION","Distribution",IF(ISNUMBER(SEARCH("Rimborso",'Statements (Raw)'!D245)),"Redemption",IF(ISNUMBER(SEARCH("Cedola",'Statements (Raw)'!D245)),"Coupon",IF(ISNUMBER(SEARCH("Incasso Dividendi",'Statements (Raw)'!D245)),"Dividend",IF(ISNUMBER(SEARCH("Provento Etf",'Statements (Raw)'!D245)),"Distribution",IF(ISNUMBER(SEARCH("Rit.provento",'Statements (Raw)'!D245)),"Tax",IF(ISNUMBER(SEARCH("Ratei Pass",'Statements (Raw)'!D245)),"Accrued Int.",IF(ISNUMBER(SEARCH("Interessi Prest",'Statements (Raw)'!D245)),"Sec. Lending",IF('Statements (Raw)'!G245="","Other",IF('Statements (Raw)'!G245&gt;0,"Buy","Sell"))))))))))))))))))))))</f>
        <v>Buy</v>
      </c>
      <c r="E247" s="6" t="str">
        <f t="shared" si="6"/>
        <v>Stock</v>
      </c>
      <c r="F247" s="8">
        <f>IF(A247="","",IF('Statements (Raw)'!E245="","",'Statements (Raw)'!E245))</f>
        <v>5.99</v>
      </c>
      <c r="G247" s="6" t="str">
        <f>IF(A247="","",IF('Statements (Raw)'!F245="","",'Statements (Raw)'!F245))</f>
        <v>EUR</v>
      </c>
      <c r="H247" s="9">
        <f>IF(A247="","",IF('Statements (Raw)'!G245="","",'Statements (Raw)'!G245))</f>
        <v>355</v>
      </c>
      <c r="I247" s="10">
        <f>IF(A247="","",IF('Statements (Raw)'!H245="","",'Statements (Raw)'!H245))</f>
        <v>-2126.4499999999998</v>
      </c>
      <c r="J247" s="10">
        <f>IF(A247="",0,IF('Statements (Raw)'!I245="",0,'Statements (Raw)'!I245))</f>
        <v>-5</v>
      </c>
      <c r="K247" s="10">
        <f t="shared" si="7"/>
        <v>-2131.4499999999998</v>
      </c>
    </row>
    <row r="248" spans="1:11" x14ac:dyDescent="0.3">
      <c r="A248" s="171">
        <f>IF(OR('Statements (Raw)'!A246="",'Statements (Raw)'!A246&gt;Holdings!$G$3),"",'Statements (Raw)'!A246)</f>
        <v>45945</v>
      </c>
      <c r="B248" s="7">
        <f>IF(A248="","",IF('Statements (Raw)'!B246="","",'Statements (Raw)'!B246))</f>
        <v>45947</v>
      </c>
      <c r="C248" s="6" t="str">
        <f>IF(A248="","",IF('Statements (Raw)'!C246&lt;&gt;"",'Statements (Raw)'!C246,IF(ISNUMBER(SEARCH("Conferimento",'Statements (Raw)'!D246)),"CASH DEPOSIT",IF(ISNUMBER(SEARCH("Prelievo",'Statements (Raw)'!D246)),"CASH WITHDRAWAL",IF(ISNUMBER(SEARCH("Bollo",'Statements (Raw)'!D246)),"STAMP DUTY",IF(ISNUMBER(SEARCH("Tobin Tax",'Statements (Raw)'!D246)),"TOBIN TAX",IF(ISNUMBER(SEARCH("Rit.provento",'Statements (Raw)'!D246)),"WITHHOLDING TAX",IF(ISNUMBER(SEARCH("Incasso Dividendi",'Statements (Raw)'!D246)),"DIVIDEND",IF(ISNUMBER(SEARCH("Cedola",'Statements (Raw)'!D246)),"COUPON",IF(ISNUMBER(SEARCH("Ratei Pass",'Statements (Raw)'!D246)),"ACCRUED INT",IF(ISNUMBER(SEARCH("Interessi Prest",'Statements (Raw)'!D246)),"SEC LENDING",IF(ISNUMBER(SEARCH("Rimborso",'Statements (Raw)'!D246)),"REDEMPTION",IF(ISNUMBER(SEARCH("Provento",'Statements (Raw)'!D246)),"DISTRIBUTION","OTHER")))))))))))))</f>
        <v>RAI WAY</v>
      </c>
      <c r="D248" s="6" t="str">
        <f>IF(A248="","",IF(C248="Saldo Iniziale","Balance",IF(C248="CASH DEPOSIT","Deposit",IF(C248="CASH WITHDRAWAL","Withdrawal",IF(C248="STAMP DUTY","Tax",IF(C248="TOBIN TAX","Tax",IF(C248="WITHHOLDING TAX","Tax",IF(C248="DIVIDEND","Dividend",IF(C248="COUPON","Coupon",IF(C248="ACCRUED INT","Accrued Int.",IF(C248="SEC LENDING","Sec. Lending",IF(C248="REDEMPTION","Redemption",IF(C248="DISTRIBUTION","Distribution",IF(ISNUMBER(SEARCH("Rimborso",'Statements (Raw)'!D246)),"Redemption",IF(ISNUMBER(SEARCH("Cedola",'Statements (Raw)'!D246)),"Coupon",IF(ISNUMBER(SEARCH("Incasso Dividendi",'Statements (Raw)'!D246)),"Dividend",IF(ISNUMBER(SEARCH("Provento Etf",'Statements (Raw)'!D246)),"Distribution",IF(ISNUMBER(SEARCH("Rit.provento",'Statements (Raw)'!D246)),"Tax",IF(ISNUMBER(SEARCH("Ratei Pass",'Statements (Raw)'!D246)),"Accrued Int.",IF(ISNUMBER(SEARCH("Interessi Prest",'Statements (Raw)'!D246)),"Sec. Lending",IF('Statements (Raw)'!G246="","Other",IF('Statements (Raw)'!G246&gt;0,"Buy","Sell"))))))))))))))))))))))</f>
        <v>Buy</v>
      </c>
      <c r="E248" s="6" t="str">
        <f t="shared" si="6"/>
        <v>Stock</v>
      </c>
      <c r="F248" s="8">
        <f>IF(A248="","",IF('Statements (Raw)'!E246="","",'Statements (Raw)'!E246))</f>
        <v>5.99</v>
      </c>
      <c r="G248" s="6" t="str">
        <f>IF(A248="","",IF('Statements (Raw)'!F246="","",'Statements (Raw)'!F246))</f>
        <v>EUR</v>
      </c>
      <c r="H248" s="9">
        <f>IF(A248="","",IF('Statements (Raw)'!G246="","",'Statements (Raw)'!G246))</f>
        <v>645</v>
      </c>
      <c r="I248" s="10">
        <f>IF(A248="","",IF('Statements (Raw)'!H246="","",'Statements (Raw)'!H246))</f>
        <v>-3863.55</v>
      </c>
      <c r="J248" s="10">
        <f>IF(A248="",0,IF('Statements (Raw)'!I246="",0,'Statements (Raw)'!I246))</f>
        <v>0</v>
      </c>
      <c r="K248" s="10">
        <f t="shared" si="7"/>
        <v>-3863.55</v>
      </c>
    </row>
    <row r="249" spans="1:11" x14ac:dyDescent="0.3">
      <c r="A249" s="171">
        <f>IF(OR('Statements (Raw)'!A247="",'Statements (Raw)'!A247&gt;Holdings!$G$3),"",'Statements (Raw)'!A247)</f>
        <v>45945</v>
      </c>
      <c r="B249" s="7">
        <f>IF(A249="","",IF('Statements (Raw)'!B247="","",'Statements (Raw)'!B247))</f>
        <v>45947</v>
      </c>
      <c r="C249" s="6" t="str">
        <f>IF(A249="","",IF('Statements (Raw)'!C247&lt;&gt;"",'Statements (Raw)'!C247,IF(ISNUMBER(SEARCH("Conferimento",'Statements (Raw)'!D247)),"CASH DEPOSIT",IF(ISNUMBER(SEARCH("Prelievo",'Statements (Raw)'!D247)),"CASH WITHDRAWAL",IF(ISNUMBER(SEARCH("Bollo",'Statements (Raw)'!D247)),"STAMP DUTY",IF(ISNUMBER(SEARCH("Tobin Tax",'Statements (Raw)'!D247)),"TOBIN TAX",IF(ISNUMBER(SEARCH("Rit.provento",'Statements (Raw)'!D247)),"WITHHOLDING TAX",IF(ISNUMBER(SEARCH("Incasso Dividendi",'Statements (Raw)'!D247)),"DIVIDEND",IF(ISNUMBER(SEARCH("Cedola",'Statements (Raw)'!D247)),"COUPON",IF(ISNUMBER(SEARCH("Ratei Pass",'Statements (Raw)'!D247)),"ACCRUED INT",IF(ISNUMBER(SEARCH("Interessi Prest",'Statements (Raw)'!D247)),"SEC LENDING",IF(ISNUMBER(SEARCH("Rimborso",'Statements (Raw)'!D247)),"REDEMPTION",IF(ISNUMBER(SEARCH("Provento",'Statements (Raw)'!D247)),"DISTRIBUTION","OTHER")))))))))))))</f>
        <v>WisdomTree Europe Defence UCIT</v>
      </c>
      <c r="D249" s="6" t="str">
        <f>IF(A249="","",IF(C249="Saldo Iniziale","Balance",IF(C249="CASH DEPOSIT","Deposit",IF(C249="CASH WITHDRAWAL","Withdrawal",IF(C249="STAMP DUTY","Tax",IF(C249="TOBIN TAX","Tax",IF(C249="WITHHOLDING TAX","Tax",IF(C249="DIVIDEND","Dividend",IF(C249="COUPON","Coupon",IF(C249="ACCRUED INT","Accrued Int.",IF(C249="SEC LENDING","Sec. Lending",IF(C249="REDEMPTION","Redemption",IF(C249="DISTRIBUTION","Distribution",IF(ISNUMBER(SEARCH("Rimborso",'Statements (Raw)'!D247)),"Redemption",IF(ISNUMBER(SEARCH("Cedola",'Statements (Raw)'!D247)),"Coupon",IF(ISNUMBER(SEARCH("Incasso Dividendi",'Statements (Raw)'!D247)),"Dividend",IF(ISNUMBER(SEARCH("Provento Etf",'Statements (Raw)'!D247)),"Distribution",IF(ISNUMBER(SEARCH("Rit.provento",'Statements (Raw)'!D247)),"Tax",IF(ISNUMBER(SEARCH("Ratei Pass",'Statements (Raw)'!D247)),"Accrued Int.",IF(ISNUMBER(SEARCH("Interessi Prest",'Statements (Raw)'!D247)),"Sec. Lending",IF('Statements (Raw)'!G247="","Other",IF('Statements (Raw)'!G247&gt;0,"Buy","Sell"))))))))))))))))))))))</f>
        <v>Buy</v>
      </c>
      <c r="E249" s="6" t="str">
        <f t="shared" si="6"/>
        <v>ETF/ETC</v>
      </c>
      <c r="F249" s="8">
        <f>IF(A249="","",IF('Statements (Raw)'!E247="","",'Statements (Raw)'!E247))</f>
        <v>31.39</v>
      </c>
      <c r="G249" s="6" t="str">
        <f>IF(A249="","",IF('Statements (Raw)'!F247="","",'Statements (Raw)'!F247))</f>
        <v>EUR</v>
      </c>
      <c r="H249" s="9">
        <f>IF(A249="","",IF('Statements (Raw)'!G247="","",'Statements (Raw)'!G247))</f>
        <v>31</v>
      </c>
      <c r="I249" s="10">
        <f>IF(A249="","",IF('Statements (Raw)'!H247="","",'Statements (Raw)'!H247))</f>
        <v>-973.09</v>
      </c>
      <c r="J249" s="10">
        <f>IF(A249="",0,IF('Statements (Raw)'!I247="",0,'Statements (Raw)'!I247))</f>
        <v>0</v>
      </c>
      <c r="K249" s="10">
        <f t="shared" si="7"/>
        <v>-973.09</v>
      </c>
    </row>
    <row r="250" spans="1:11" x14ac:dyDescent="0.3">
      <c r="A250" s="171">
        <f>IF(OR('Statements (Raw)'!A248="",'Statements (Raw)'!A248&gt;Holdings!$G$3),"",'Statements (Raw)'!A248)</f>
        <v>45945</v>
      </c>
      <c r="B250" s="7">
        <f>IF(A250="","",IF('Statements (Raw)'!B248="","",'Statements (Raw)'!B248))</f>
        <v>45947</v>
      </c>
      <c r="C250" s="6" t="str">
        <f>IF(A250="","",IF('Statements (Raw)'!C248&lt;&gt;"",'Statements (Raw)'!C248,IF(ISNUMBER(SEARCH("Conferimento",'Statements (Raw)'!D248)),"CASH DEPOSIT",IF(ISNUMBER(SEARCH("Prelievo",'Statements (Raw)'!D248)),"CASH WITHDRAWAL",IF(ISNUMBER(SEARCH("Bollo",'Statements (Raw)'!D248)),"STAMP DUTY",IF(ISNUMBER(SEARCH("Tobin Tax",'Statements (Raw)'!D248)),"TOBIN TAX",IF(ISNUMBER(SEARCH("Rit.provento",'Statements (Raw)'!D248)),"WITHHOLDING TAX",IF(ISNUMBER(SEARCH("Incasso Dividendi",'Statements (Raw)'!D248)),"DIVIDEND",IF(ISNUMBER(SEARCH("Cedola",'Statements (Raw)'!D248)),"COUPON",IF(ISNUMBER(SEARCH("Ratei Pass",'Statements (Raw)'!D248)),"ACCRUED INT",IF(ISNUMBER(SEARCH("Interessi Prest",'Statements (Raw)'!D248)),"SEC LENDING",IF(ISNUMBER(SEARCH("Rimborso",'Statements (Raw)'!D248)),"REDEMPTION",IF(ISNUMBER(SEARCH("Provento",'Statements (Raw)'!D248)),"DISTRIBUTION","OTHER")))))))))))))</f>
        <v>TOBIN TAX</v>
      </c>
      <c r="D250" s="6" t="str">
        <f>IF(A250="","",IF(C250="Saldo Iniziale","Balance",IF(C250="CASH DEPOSIT","Deposit",IF(C250="CASH WITHDRAWAL","Withdrawal",IF(C250="STAMP DUTY","Tax",IF(C250="TOBIN TAX","Tax",IF(C250="WITHHOLDING TAX","Tax",IF(C250="DIVIDEND","Dividend",IF(C250="COUPON","Coupon",IF(C250="ACCRUED INT","Accrued Int.",IF(C250="SEC LENDING","Sec. Lending",IF(C250="REDEMPTION","Redemption",IF(C250="DISTRIBUTION","Distribution",IF(ISNUMBER(SEARCH("Rimborso",'Statements (Raw)'!D248)),"Redemption",IF(ISNUMBER(SEARCH("Cedola",'Statements (Raw)'!D248)),"Coupon",IF(ISNUMBER(SEARCH("Incasso Dividendi",'Statements (Raw)'!D248)),"Dividend",IF(ISNUMBER(SEARCH("Provento Etf",'Statements (Raw)'!D248)),"Distribution",IF(ISNUMBER(SEARCH("Rit.provento",'Statements (Raw)'!D248)),"Tax",IF(ISNUMBER(SEARCH("Ratei Pass",'Statements (Raw)'!D248)),"Accrued Int.",IF(ISNUMBER(SEARCH("Interessi Prest",'Statements (Raw)'!D248)),"Sec. Lending",IF('Statements (Raw)'!G248="","Other",IF('Statements (Raw)'!G248&gt;0,"Buy","Sell"))))))))))))))))))))))</f>
        <v>Tax</v>
      </c>
      <c r="E250" s="6" t="str">
        <f t="shared" si="6"/>
        <v>Tax/Fee</v>
      </c>
      <c r="F250" s="8" t="str">
        <f>IF(A250="","",IF('Statements (Raw)'!E248="","",'Statements (Raw)'!E248))</f>
        <v/>
      </c>
      <c r="G250" s="6" t="str">
        <f>IF(A250="","",IF('Statements (Raw)'!F248="","",'Statements (Raw)'!F248))</f>
        <v/>
      </c>
      <c r="H250" s="9" t="str">
        <f>IF(A250="","",IF('Statements (Raw)'!G248="","",'Statements (Raw)'!G248))</f>
        <v/>
      </c>
      <c r="I250" s="10">
        <f>IF(A250="","",IF('Statements (Raw)'!H248="","",'Statements (Raw)'!H248))</f>
        <v>-10.67</v>
      </c>
      <c r="J250" s="10">
        <f>IF(A250="",0,IF('Statements (Raw)'!I248="",0,'Statements (Raw)'!I248))</f>
        <v>0</v>
      </c>
      <c r="K250" s="10">
        <f t="shared" si="7"/>
        <v>-10.67</v>
      </c>
    </row>
    <row r="251" spans="1:11" x14ac:dyDescent="0.3">
      <c r="A251" s="171">
        <f>IF(OR('Statements (Raw)'!A249="",'Statements (Raw)'!A249&gt;Holdings!$G$3),"",'Statements (Raw)'!A249)</f>
        <v>45946</v>
      </c>
      <c r="B251" s="7">
        <f>IF(A251="","",IF('Statements (Raw)'!B249="","",'Statements (Raw)'!B249))</f>
        <v>45950</v>
      </c>
      <c r="C251" s="6" t="str">
        <f>IF(A251="","",IF('Statements (Raw)'!C249&lt;&gt;"",'Statements (Raw)'!C249,IF(ISNUMBER(SEARCH("Conferimento",'Statements (Raw)'!D249)),"CASH DEPOSIT",IF(ISNUMBER(SEARCH("Prelievo",'Statements (Raw)'!D249)),"CASH WITHDRAWAL",IF(ISNUMBER(SEARCH("Bollo",'Statements (Raw)'!D249)),"STAMP DUTY",IF(ISNUMBER(SEARCH("Tobin Tax",'Statements (Raw)'!D249)),"TOBIN TAX",IF(ISNUMBER(SEARCH("Rit.provento",'Statements (Raw)'!D249)),"WITHHOLDING TAX",IF(ISNUMBER(SEARCH("Incasso Dividendi",'Statements (Raw)'!D249)),"DIVIDEND",IF(ISNUMBER(SEARCH("Cedola",'Statements (Raw)'!D249)),"COUPON",IF(ISNUMBER(SEARCH("Ratei Pass",'Statements (Raw)'!D249)),"ACCRUED INT",IF(ISNUMBER(SEARCH("Interessi Prest",'Statements (Raw)'!D249)),"SEC LENDING",IF(ISNUMBER(SEARCH("Rimborso",'Statements (Raw)'!D249)),"REDEMPTION",IF(ISNUMBER(SEARCH("Provento",'Statements (Raw)'!D249)),"DISTRIBUTION","OTHER")))))))))))))</f>
        <v>ISHARES FTSE MIB UCITS ETF EUR</v>
      </c>
      <c r="D251" s="6" t="str">
        <f>IF(A251="","",IF(C251="Saldo Iniziale","Balance",IF(C251="CASH DEPOSIT","Deposit",IF(C251="CASH WITHDRAWAL","Withdrawal",IF(C251="STAMP DUTY","Tax",IF(C251="TOBIN TAX","Tax",IF(C251="WITHHOLDING TAX","Tax",IF(C251="DIVIDEND","Dividend",IF(C251="COUPON","Coupon",IF(C251="ACCRUED INT","Accrued Int.",IF(C251="SEC LENDING","Sec. Lending",IF(C251="REDEMPTION","Redemption",IF(C251="DISTRIBUTION","Distribution",IF(ISNUMBER(SEARCH("Rimborso",'Statements (Raw)'!D249)),"Redemption",IF(ISNUMBER(SEARCH("Cedola",'Statements (Raw)'!D249)),"Coupon",IF(ISNUMBER(SEARCH("Incasso Dividendi",'Statements (Raw)'!D249)),"Dividend",IF(ISNUMBER(SEARCH("Provento Etf",'Statements (Raw)'!D249)),"Distribution",IF(ISNUMBER(SEARCH("Rit.provento",'Statements (Raw)'!D249)),"Tax",IF(ISNUMBER(SEARCH("Ratei Pass",'Statements (Raw)'!D249)),"Accrued Int.",IF(ISNUMBER(SEARCH("Interessi Prest",'Statements (Raw)'!D249)),"Sec. Lending",IF('Statements (Raw)'!G249="","Other",IF('Statements (Raw)'!G249&gt;0,"Buy","Sell"))))))))))))))))))))))</f>
        <v>Buy</v>
      </c>
      <c r="E251" s="6" t="str">
        <f t="shared" si="6"/>
        <v>ETF/ETC</v>
      </c>
      <c r="F251" s="8">
        <f>IF(A251="","",IF('Statements (Raw)'!E249="","",'Statements (Raw)'!E249))</f>
        <v>203</v>
      </c>
      <c r="G251" s="6" t="str">
        <f>IF(A251="","",IF('Statements (Raw)'!F249="","",'Statements (Raw)'!F249))</f>
        <v>EUR</v>
      </c>
      <c r="H251" s="9">
        <f>IF(A251="","",IF('Statements (Raw)'!G249="","",'Statements (Raw)'!G249))</f>
        <v>12</v>
      </c>
      <c r="I251" s="10">
        <f>IF(A251="","",IF('Statements (Raw)'!H249="","",'Statements (Raw)'!H249))</f>
        <v>-2436</v>
      </c>
      <c r="J251" s="10">
        <f>IF(A251="",0,IF('Statements (Raw)'!I249="",0,'Statements (Raw)'!I249))</f>
        <v>0</v>
      </c>
      <c r="K251" s="10">
        <f t="shared" si="7"/>
        <v>-2436</v>
      </c>
    </row>
    <row r="252" spans="1:11" x14ac:dyDescent="0.3">
      <c r="A252" s="171">
        <f>IF(OR('Statements (Raw)'!A250="",'Statements (Raw)'!A250&gt;Holdings!$G$3),"",'Statements (Raw)'!A250)</f>
        <v>45946</v>
      </c>
      <c r="B252" s="7">
        <f>IF(A252="","",IF('Statements (Raw)'!B250="","",'Statements (Raw)'!B250))</f>
        <v>45950</v>
      </c>
      <c r="C252" s="6" t="str">
        <f>IF(A252="","",IF('Statements (Raw)'!C250&lt;&gt;"",'Statements (Raw)'!C250,IF(ISNUMBER(SEARCH("Conferimento",'Statements (Raw)'!D250)),"CASH DEPOSIT",IF(ISNUMBER(SEARCH("Prelievo",'Statements (Raw)'!D250)),"CASH WITHDRAWAL",IF(ISNUMBER(SEARCH("Bollo",'Statements (Raw)'!D250)),"STAMP DUTY",IF(ISNUMBER(SEARCH("Tobin Tax",'Statements (Raw)'!D250)),"TOBIN TAX",IF(ISNUMBER(SEARCH("Rit.provento",'Statements (Raw)'!D250)),"WITHHOLDING TAX",IF(ISNUMBER(SEARCH("Incasso Dividendi",'Statements (Raw)'!D250)),"DIVIDEND",IF(ISNUMBER(SEARCH("Cedola",'Statements (Raw)'!D250)),"COUPON",IF(ISNUMBER(SEARCH("Ratei Pass",'Statements (Raw)'!D250)),"ACCRUED INT",IF(ISNUMBER(SEARCH("Interessi Prest",'Statements (Raw)'!D250)),"SEC LENDING",IF(ISNUMBER(SEARCH("Rimborso",'Statements (Raw)'!D250)),"REDEMPTION",IF(ISNUMBER(SEARCH("Provento",'Statements (Raw)'!D250)),"DISTRIBUTION","OTHER")))))))))))))</f>
        <v>WISDOMTREE CORE PHYSICAL GOLD</v>
      </c>
      <c r="D252" s="6" t="str">
        <f>IF(A252="","",IF(C252="Saldo Iniziale","Balance",IF(C252="CASH DEPOSIT","Deposit",IF(C252="CASH WITHDRAWAL","Withdrawal",IF(C252="STAMP DUTY","Tax",IF(C252="TOBIN TAX","Tax",IF(C252="WITHHOLDING TAX","Tax",IF(C252="DIVIDEND","Dividend",IF(C252="COUPON","Coupon",IF(C252="ACCRUED INT","Accrued Int.",IF(C252="SEC LENDING","Sec. Lending",IF(C252="REDEMPTION","Redemption",IF(C252="DISTRIBUTION","Distribution",IF(ISNUMBER(SEARCH("Rimborso",'Statements (Raw)'!D250)),"Redemption",IF(ISNUMBER(SEARCH("Cedola",'Statements (Raw)'!D250)),"Coupon",IF(ISNUMBER(SEARCH("Incasso Dividendi",'Statements (Raw)'!D250)),"Dividend",IF(ISNUMBER(SEARCH("Provento Etf",'Statements (Raw)'!D250)),"Distribution",IF(ISNUMBER(SEARCH("Rit.provento",'Statements (Raw)'!D250)),"Tax",IF(ISNUMBER(SEARCH("Ratei Pass",'Statements (Raw)'!D250)),"Accrued Int.",IF(ISNUMBER(SEARCH("Interessi Prest",'Statements (Raw)'!D250)),"Sec. Lending",IF('Statements (Raw)'!G250="","Other",IF('Statements (Raw)'!G250&gt;0,"Buy","Sell"))))))))))))))))))))))</f>
        <v>Buy</v>
      </c>
      <c r="E252" s="6" t="str">
        <f t="shared" si="6"/>
        <v>ETF/ETC</v>
      </c>
      <c r="F252" s="8">
        <f>IF(A252="","",IF('Statements (Raw)'!E250="","",'Statements (Raw)'!E250))</f>
        <v>363.8</v>
      </c>
      <c r="G252" s="6" t="str">
        <f>IF(A252="","",IF('Statements (Raw)'!F250="","",'Statements (Raw)'!F250))</f>
        <v>EUR</v>
      </c>
      <c r="H252" s="9">
        <f>IF(A252="","",IF('Statements (Raw)'!G250="","",'Statements (Raw)'!G250))</f>
        <v>2</v>
      </c>
      <c r="I252" s="10">
        <f>IF(A252="","",IF('Statements (Raw)'!H250="","",'Statements (Raw)'!H250))</f>
        <v>-727.6</v>
      </c>
      <c r="J252" s="10">
        <f>IF(A252="",0,IF('Statements (Raw)'!I250="",0,'Statements (Raw)'!I250))</f>
        <v>0</v>
      </c>
      <c r="K252" s="10">
        <f t="shared" si="7"/>
        <v>-727.6</v>
      </c>
    </row>
    <row r="253" spans="1:11" x14ac:dyDescent="0.3">
      <c r="A253" s="171">
        <f>IF(OR('Statements (Raw)'!A251="",'Statements (Raw)'!A251&gt;Holdings!$G$3),"",'Statements (Raw)'!A251)</f>
        <v>45946</v>
      </c>
      <c r="B253" s="7">
        <f>IF(A253="","",IF('Statements (Raw)'!B251="","",'Statements (Raw)'!B251))</f>
        <v>45950</v>
      </c>
      <c r="C253" s="6" t="str">
        <f>IF(A253="","",IF('Statements (Raw)'!C251&lt;&gt;"",'Statements (Raw)'!C251,IF(ISNUMBER(SEARCH("Conferimento",'Statements (Raw)'!D251)),"CASH DEPOSIT",IF(ISNUMBER(SEARCH("Prelievo",'Statements (Raw)'!D251)),"CASH WITHDRAWAL",IF(ISNUMBER(SEARCH("Bollo",'Statements (Raw)'!D251)),"STAMP DUTY",IF(ISNUMBER(SEARCH("Tobin Tax",'Statements (Raw)'!D251)),"TOBIN TAX",IF(ISNUMBER(SEARCH("Rit.provento",'Statements (Raw)'!D251)),"WITHHOLDING TAX",IF(ISNUMBER(SEARCH("Incasso Dividendi",'Statements (Raw)'!D251)),"DIVIDEND",IF(ISNUMBER(SEARCH("Cedola",'Statements (Raw)'!D251)),"COUPON",IF(ISNUMBER(SEARCH("Ratei Pass",'Statements (Raw)'!D251)),"ACCRUED INT",IF(ISNUMBER(SEARCH("Interessi Prest",'Statements (Raw)'!D251)),"SEC LENDING",IF(ISNUMBER(SEARCH("Rimborso",'Statements (Raw)'!D251)),"REDEMPTION",IF(ISNUMBER(SEARCH("Provento",'Statements (Raw)'!D251)),"DISTRIBUTION","OTHER")))))))))))))</f>
        <v>WISDOMTREE PHYSICAL SILVER</v>
      </c>
      <c r="D253" s="6" t="str">
        <f>IF(A253="","",IF(C253="Saldo Iniziale","Balance",IF(C253="CASH DEPOSIT","Deposit",IF(C253="CASH WITHDRAWAL","Withdrawal",IF(C253="STAMP DUTY","Tax",IF(C253="TOBIN TAX","Tax",IF(C253="WITHHOLDING TAX","Tax",IF(C253="DIVIDEND","Dividend",IF(C253="COUPON","Coupon",IF(C253="ACCRUED INT","Accrued Int.",IF(C253="SEC LENDING","Sec. Lending",IF(C253="REDEMPTION","Redemption",IF(C253="DISTRIBUTION","Distribution",IF(ISNUMBER(SEARCH("Rimborso",'Statements (Raw)'!D251)),"Redemption",IF(ISNUMBER(SEARCH("Cedola",'Statements (Raw)'!D251)),"Coupon",IF(ISNUMBER(SEARCH("Incasso Dividendi",'Statements (Raw)'!D251)),"Dividend",IF(ISNUMBER(SEARCH("Provento Etf",'Statements (Raw)'!D251)),"Distribution",IF(ISNUMBER(SEARCH("Rit.provento",'Statements (Raw)'!D251)),"Tax",IF(ISNUMBER(SEARCH("Ratei Pass",'Statements (Raw)'!D251)),"Accrued Int.",IF(ISNUMBER(SEARCH("Interessi Prest",'Statements (Raw)'!D251)),"Sec. Lending",IF('Statements (Raw)'!G251="","Other",IF('Statements (Raw)'!G251&gt;0,"Buy","Sell"))))))))))))))))))))))</f>
        <v>Buy</v>
      </c>
      <c r="E253" s="6" t="str">
        <f t="shared" si="6"/>
        <v>ETF/ETC</v>
      </c>
      <c r="F253" s="8">
        <f>IF(A253="","",IF('Statements (Raw)'!E251="","",'Statements (Raw)'!E251))</f>
        <v>42.204999999999998</v>
      </c>
      <c r="G253" s="6" t="str">
        <f>IF(A253="","",IF('Statements (Raw)'!F251="","",'Statements (Raw)'!F251))</f>
        <v>EUR</v>
      </c>
      <c r="H253" s="9">
        <f>IF(A253="","",IF('Statements (Raw)'!G251="","",'Statements (Raw)'!G251))</f>
        <v>11</v>
      </c>
      <c r="I253" s="10">
        <f>IF(A253="","",IF('Statements (Raw)'!H251="","",'Statements (Raw)'!H251))</f>
        <v>-464.26</v>
      </c>
      <c r="J253" s="10">
        <f>IF(A253="",0,IF('Statements (Raw)'!I251="",0,'Statements (Raw)'!I251))</f>
        <v>0</v>
      </c>
      <c r="K253" s="10">
        <f t="shared" si="7"/>
        <v>-464.26</v>
      </c>
    </row>
    <row r="254" spans="1:11" x14ac:dyDescent="0.3">
      <c r="A254" s="171">
        <f>IF(OR('Statements (Raw)'!A252="",'Statements (Raw)'!A252&gt;Holdings!$G$3),"",'Statements (Raw)'!A252)</f>
        <v>45953</v>
      </c>
      <c r="B254" s="7">
        <f>IF(A254="","",IF('Statements (Raw)'!B252="","",'Statements (Raw)'!B252))</f>
        <v>45957</v>
      </c>
      <c r="C254" s="6" t="str">
        <f>IF(A254="","",IF('Statements (Raw)'!C252&lt;&gt;"",'Statements (Raw)'!C252,IF(ISNUMBER(SEARCH("Conferimento",'Statements (Raw)'!D252)),"CASH DEPOSIT",IF(ISNUMBER(SEARCH("Prelievo",'Statements (Raw)'!D252)),"CASH WITHDRAWAL",IF(ISNUMBER(SEARCH("Bollo",'Statements (Raw)'!D252)),"STAMP DUTY",IF(ISNUMBER(SEARCH("Tobin Tax",'Statements (Raw)'!D252)),"TOBIN TAX",IF(ISNUMBER(SEARCH("Rit.provento",'Statements (Raw)'!D252)),"WITHHOLDING TAX",IF(ISNUMBER(SEARCH("Incasso Dividendi",'Statements (Raw)'!D252)),"DIVIDEND",IF(ISNUMBER(SEARCH("Cedola",'Statements (Raw)'!D252)),"COUPON",IF(ISNUMBER(SEARCH("Ratei Pass",'Statements (Raw)'!D252)),"ACCRUED INT",IF(ISNUMBER(SEARCH("Interessi Prest",'Statements (Raw)'!D252)),"SEC LENDING",IF(ISNUMBER(SEARCH("Rimborso",'Statements (Raw)'!D252)),"REDEMPTION",IF(ISNUMBER(SEARCH("Provento",'Statements (Raw)'!D252)),"DISTRIBUTION","OTHER")))))))))))))</f>
        <v>SANLORENZO</v>
      </c>
      <c r="D254" s="6" t="str">
        <f>IF(A254="","",IF(C254="Saldo Iniziale","Balance",IF(C254="CASH DEPOSIT","Deposit",IF(C254="CASH WITHDRAWAL","Withdrawal",IF(C254="STAMP DUTY","Tax",IF(C254="TOBIN TAX","Tax",IF(C254="WITHHOLDING TAX","Tax",IF(C254="DIVIDEND","Dividend",IF(C254="COUPON","Coupon",IF(C254="ACCRUED INT","Accrued Int.",IF(C254="SEC LENDING","Sec. Lending",IF(C254="REDEMPTION","Redemption",IF(C254="DISTRIBUTION","Distribution",IF(ISNUMBER(SEARCH("Rimborso",'Statements (Raw)'!D252)),"Redemption",IF(ISNUMBER(SEARCH("Cedola",'Statements (Raw)'!D252)),"Coupon",IF(ISNUMBER(SEARCH("Incasso Dividendi",'Statements (Raw)'!D252)),"Dividend",IF(ISNUMBER(SEARCH("Provento Etf",'Statements (Raw)'!D252)),"Distribution",IF(ISNUMBER(SEARCH("Rit.provento",'Statements (Raw)'!D252)),"Tax",IF(ISNUMBER(SEARCH("Ratei Pass",'Statements (Raw)'!D252)),"Accrued Int.",IF(ISNUMBER(SEARCH("Interessi Prest",'Statements (Raw)'!D252)),"Sec. Lending",IF('Statements (Raw)'!G252="","Other",IF('Statements (Raw)'!G252&gt;0,"Buy","Sell"))))))))))))))))))))))</f>
        <v>Buy</v>
      </c>
      <c r="E254" s="6" t="str">
        <f t="shared" si="6"/>
        <v>Stock</v>
      </c>
      <c r="F254" s="8">
        <f>IF(A254="","",IF('Statements (Raw)'!E252="","",'Statements (Raw)'!E252))</f>
        <v>34.200000000000003</v>
      </c>
      <c r="G254" s="6" t="str">
        <f>IF(A254="","",IF('Statements (Raw)'!F252="","",'Statements (Raw)'!F252))</f>
        <v>EUR</v>
      </c>
      <c r="H254" s="9">
        <f>IF(A254="","",IF('Statements (Raw)'!G252="","",'Statements (Raw)'!G252))</f>
        <v>14</v>
      </c>
      <c r="I254" s="10">
        <f>IF(A254="","",IF('Statements (Raw)'!H252="","",'Statements (Raw)'!H252))</f>
        <v>-478.8</v>
      </c>
      <c r="J254" s="10">
        <f>IF(A254="",0,IF('Statements (Raw)'!I252="",0,'Statements (Raw)'!I252))</f>
        <v>-5</v>
      </c>
      <c r="K254" s="10">
        <f t="shared" si="7"/>
        <v>-483.8</v>
      </c>
    </row>
    <row r="255" spans="1:11" x14ac:dyDescent="0.3">
      <c r="A255" s="171">
        <f>IF(OR('Statements (Raw)'!A253="",'Statements (Raw)'!A253&gt;Holdings!$G$3),"",'Statements (Raw)'!A253)</f>
        <v>45953</v>
      </c>
      <c r="B255" s="7">
        <f>IF(A255="","",IF('Statements (Raw)'!B253="","",'Statements (Raw)'!B253))</f>
        <v>45957</v>
      </c>
      <c r="C255" s="6" t="str">
        <f>IF(A255="","",IF('Statements (Raw)'!C253&lt;&gt;"",'Statements (Raw)'!C253,IF(ISNUMBER(SEARCH("Conferimento",'Statements (Raw)'!D253)),"CASH DEPOSIT",IF(ISNUMBER(SEARCH("Prelievo",'Statements (Raw)'!D253)),"CASH WITHDRAWAL",IF(ISNUMBER(SEARCH("Bollo",'Statements (Raw)'!D253)),"STAMP DUTY",IF(ISNUMBER(SEARCH("Tobin Tax",'Statements (Raw)'!D253)),"TOBIN TAX",IF(ISNUMBER(SEARCH("Rit.provento",'Statements (Raw)'!D253)),"WITHHOLDING TAX",IF(ISNUMBER(SEARCH("Incasso Dividendi",'Statements (Raw)'!D253)),"DIVIDEND",IF(ISNUMBER(SEARCH("Cedola",'Statements (Raw)'!D253)),"COUPON",IF(ISNUMBER(SEARCH("Ratei Pass",'Statements (Raw)'!D253)),"ACCRUED INT",IF(ISNUMBER(SEARCH("Interessi Prest",'Statements (Raw)'!D253)),"SEC LENDING",IF(ISNUMBER(SEARCH("Rimborso",'Statements (Raw)'!D253)),"REDEMPTION",IF(ISNUMBER(SEARCH("Provento",'Statements (Raw)'!D253)),"DISTRIBUTION","OTHER")))))))))))))</f>
        <v>SANLORENZO</v>
      </c>
      <c r="D255" s="6" t="str">
        <f>IF(A255="","",IF(C255="Saldo Iniziale","Balance",IF(C255="CASH DEPOSIT","Deposit",IF(C255="CASH WITHDRAWAL","Withdrawal",IF(C255="STAMP DUTY","Tax",IF(C255="TOBIN TAX","Tax",IF(C255="WITHHOLDING TAX","Tax",IF(C255="DIVIDEND","Dividend",IF(C255="COUPON","Coupon",IF(C255="ACCRUED INT","Accrued Int.",IF(C255="SEC LENDING","Sec. Lending",IF(C255="REDEMPTION","Redemption",IF(C255="DISTRIBUTION","Distribution",IF(ISNUMBER(SEARCH("Rimborso",'Statements (Raw)'!D253)),"Redemption",IF(ISNUMBER(SEARCH("Cedola",'Statements (Raw)'!D253)),"Coupon",IF(ISNUMBER(SEARCH("Incasso Dividendi",'Statements (Raw)'!D253)),"Dividend",IF(ISNUMBER(SEARCH("Provento Etf",'Statements (Raw)'!D253)),"Distribution",IF(ISNUMBER(SEARCH("Rit.provento",'Statements (Raw)'!D253)),"Tax",IF(ISNUMBER(SEARCH("Ratei Pass",'Statements (Raw)'!D253)),"Accrued Int.",IF(ISNUMBER(SEARCH("Interessi Prest",'Statements (Raw)'!D253)),"Sec. Lending",IF('Statements (Raw)'!G253="","Other",IF('Statements (Raw)'!G253&gt;0,"Buy","Sell"))))))))))))))))))))))</f>
        <v>Buy</v>
      </c>
      <c r="E255" s="6" t="str">
        <f t="shared" si="6"/>
        <v>Stock</v>
      </c>
      <c r="F255" s="8">
        <f>IF(A255="","",IF('Statements (Raw)'!E253="","",'Statements (Raw)'!E253))</f>
        <v>34.200000000000003</v>
      </c>
      <c r="G255" s="6" t="str">
        <f>IF(A255="","",IF('Statements (Raw)'!F253="","",'Statements (Raw)'!F253))</f>
        <v>EUR</v>
      </c>
      <c r="H255" s="9">
        <f>IF(A255="","",IF('Statements (Raw)'!G253="","",'Statements (Raw)'!G253))</f>
        <v>29</v>
      </c>
      <c r="I255" s="10">
        <f>IF(A255="","",IF('Statements (Raw)'!H253="","",'Statements (Raw)'!H253))</f>
        <v>-991.8</v>
      </c>
      <c r="J255" s="10">
        <f>IF(A255="",0,IF('Statements (Raw)'!I253="",0,'Statements (Raw)'!I253))</f>
        <v>0</v>
      </c>
      <c r="K255" s="10">
        <f t="shared" si="7"/>
        <v>-991.8</v>
      </c>
    </row>
    <row r="256" spans="1:11" x14ac:dyDescent="0.3">
      <c r="A256" s="171">
        <f>IF(OR('Statements (Raw)'!A254="",'Statements (Raw)'!A254&gt;Holdings!$G$3),"",'Statements (Raw)'!A254)</f>
        <v>45953</v>
      </c>
      <c r="B256" s="7">
        <f>IF(A256="","",IF('Statements (Raw)'!B254="","",'Statements (Raw)'!B254))</f>
        <v>45957</v>
      </c>
      <c r="C256" s="6" t="str">
        <f>IF(A256="","",IF('Statements (Raw)'!C254&lt;&gt;"",'Statements (Raw)'!C254,IF(ISNUMBER(SEARCH("Conferimento",'Statements (Raw)'!D254)),"CASH DEPOSIT",IF(ISNUMBER(SEARCH("Prelievo",'Statements (Raw)'!D254)),"CASH WITHDRAWAL",IF(ISNUMBER(SEARCH("Bollo",'Statements (Raw)'!D254)),"STAMP DUTY",IF(ISNUMBER(SEARCH("Tobin Tax",'Statements (Raw)'!D254)),"TOBIN TAX",IF(ISNUMBER(SEARCH("Rit.provento",'Statements (Raw)'!D254)),"WITHHOLDING TAX",IF(ISNUMBER(SEARCH("Incasso Dividendi",'Statements (Raw)'!D254)),"DIVIDEND",IF(ISNUMBER(SEARCH("Cedola",'Statements (Raw)'!D254)),"COUPON",IF(ISNUMBER(SEARCH("Ratei Pass",'Statements (Raw)'!D254)),"ACCRUED INT",IF(ISNUMBER(SEARCH("Interessi Prest",'Statements (Raw)'!D254)),"SEC LENDING",IF(ISNUMBER(SEARCH("Rimborso",'Statements (Raw)'!D254)),"REDEMPTION",IF(ISNUMBER(SEARCH("Provento",'Statements (Raw)'!D254)),"DISTRIBUTION","OTHER")))))))))))))</f>
        <v>SANLORENZO</v>
      </c>
      <c r="D256" s="6" t="str">
        <f>IF(A256="","",IF(C256="Saldo Iniziale","Balance",IF(C256="CASH DEPOSIT","Deposit",IF(C256="CASH WITHDRAWAL","Withdrawal",IF(C256="STAMP DUTY","Tax",IF(C256="TOBIN TAX","Tax",IF(C256="WITHHOLDING TAX","Tax",IF(C256="DIVIDEND","Dividend",IF(C256="COUPON","Coupon",IF(C256="ACCRUED INT","Accrued Int.",IF(C256="SEC LENDING","Sec. Lending",IF(C256="REDEMPTION","Redemption",IF(C256="DISTRIBUTION","Distribution",IF(ISNUMBER(SEARCH("Rimborso",'Statements (Raw)'!D254)),"Redemption",IF(ISNUMBER(SEARCH("Cedola",'Statements (Raw)'!D254)),"Coupon",IF(ISNUMBER(SEARCH("Incasso Dividendi",'Statements (Raw)'!D254)),"Dividend",IF(ISNUMBER(SEARCH("Provento Etf",'Statements (Raw)'!D254)),"Distribution",IF(ISNUMBER(SEARCH("Rit.provento",'Statements (Raw)'!D254)),"Tax",IF(ISNUMBER(SEARCH("Ratei Pass",'Statements (Raw)'!D254)),"Accrued Int.",IF(ISNUMBER(SEARCH("Interessi Prest",'Statements (Raw)'!D254)),"Sec. Lending",IF('Statements (Raw)'!G254="","Other",IF('Statements (Raw)'!G254&gt;0,"Buy","Sell"))))))))))))))))))))))</f>
        <v>Buy</v>
      </c>
      <c r="E256" s="6" t="str">
        <f t="shared" si="6"/>
        <v>Stock</v>
      </c>
      <c r="F256" s="8">
        <f>IF(A256="","",IF('Statements (Raw)'!E254="","",'Statements (Raw)'!E254))</f>
        <v>34.200000000000003</v>
      </c>
      <c r="G256" s="6" t="str">
        <f>IF(A256="","",IF('Statements (Raw)'!F254="","",'Statements (Raw)'!F254))</f>
        <v>EUR</v>
      </c>
      <c r="H256" s="9">
        <f>IF(A256="","",IF('Statements (Raw)'!G254="","",'Statements (Raw)'!G254))</f>
        <v>16</v>
      </c>
      <c r="I256" s="10">
        <f>IF(A256="","",IF('Statements (Raw)'!H254="","",'Statements (Raw)'!H254))</f>
        <v>-547.20000000000005</v>
      </c>
      <c r="J256" s="10">
        <f>IF(A256="",0,IF('Statements (Raw)'!I254="",0,'Statements (Raw)'!I254))</f>
        <v>0</v>
      </c>
      <c r="K256" s="10">
        <f t="shared" si="7"/>
        <v>-547.20000000000005</v>
      </c>
    </row>
    <row r="257" spans="1:11" x14ac:dyDescent="0.3">
      <c r="A257" s="171">
        <f>IF(OR('Statements (Raw)'!A255="",'Statements (Raw)'!A255&gt;Holdings!$G$3),"",'Statements (Raw)'!A255)</f>
        <v>45953</v>
      </c>
      <c r="B257" s="7">
        <f>IF(A257="","",IF('Statements (Raw)'!B255="","",'Statements (Raw)'!B255))</f>
        <v>45957</v>
      </c>
      <c r="C257" s="6" t="str">
        <f>IF(A257="","",IF('Statements (Raw)'!C255&lt;&gt;"",'Statements (Raw)'!C255,IF(ISNUMBER(SEARCH("Conferimento",'Statements (Raw)'!D255)),"CASH DEPOSIT",IF(ISNUMBER(SEARCH("Prelievo",'Statements (Raw)'!D255)),"CASH WITHDRAWAL",IF(ISNUMBER(SEARCH("Bollo",'Statements (Raw)'!D255)),"STAMP DUTY",IF(ISNUMBER(SEARCH("Tobin Tax",'Statements (Raw)'!D255)),"TOBIN TAX",IF(ISNUMBER(SEARCH("Rit.provento",'Statements (Raw)'!D255)),"WITHHOLDING TAX",IF(ISNUMBER(SEARCH("Incasso Dividendi",'Statements (Raw)'!D255)),"DIVIDEND",IF(ISNUMBER(SEARCH("Cedola",'Statements (Raw)'!D255)),"COUPON",IF(ISNUMBER(SEARCH("Ratei Pass",'Statements (Raw)'!D255)),"ACCRUED INT",IF(ISNUMBER(SEARCH("Interessi Prest",'Statements (Raw)'!D255)),"SEC LENDING",IF(ISNUMBER(SEARCH("Rimborso",'Statements (Raw)'!D255)),"REDEMPTION",IF(ISNUMBER(SEARCH("Provento",'Statements (Raw)'!D255)),"DISTRIBUTION","OTHER")))))))))))))</f>
        <v>SANLORENZO</v>
      </c>
      <c r="D257" s="6" t="str">
        <f>IF(A257="","",IF(C257="Saldo Iniziale","Balance",IF(C257="CASH DEPOSIT","Deposit",IF(C257="CASH WITHDRAWAL","Withdrawal",IF(C257="STAMP DUTY","Tax",IF(C257="TOBIN TAX","Tax",IF(C257="WITHHOLDING TAX","Tax",IF(C257="DIVIDEND","Dividend",IF(C257="COUPON","Coupon",IF(C257="ACCRUED INT","Accrued Int.",IF(C257="SEC LENDING","Sec. Lending",IF(C257="REDEMPTION","Redemption",IF(C257="DISTRIBUTION","Distribution",IF(ISNUMBER(SEARCH("Rimborso",'Statements (Raw)'!D255)),"Redemption",IF(ISNUMBER(SEARCH("Cedola",'Statements (Raw)'!D255)),"Coupon",IF(ISNUMBER(SEARCH("Incasso Dividendi",'Statements (Raw)'!D255)),"Dividend",IF(ISNUMBER(SEARCH("Provento Etf",'Statements (Raw)'!D255)),"Distribution",IF(ISNUMBER(SEARCH("Rit.provento",'Statements (Raw)'!D255)),"Tax",IF(ISNUMBER(SEARCH("Ratei Pass",'Statements (Raw)'!D255)),"Accrued Int.",IF(ISNUMBER(SEARCH("Interessi Prest",'Statements (Raw)'!D255)),"Sec. Lending",IF('Statements (Raw)'!G255="","Other",IF('Statements (Raw)'!G255&gt;0,"Buy","Sell"))))))))))))))))))))))</f>
        <v>Buy</v>
      </c>
      <c r="E257" s="6" t="str">
        <f t="shared" si="6"/>
        <v>Stock</v>
      </c>
      <c r="F257" s="8">
        <f>IF(A257="","",IF('Statements (Raw)'!E255="","",'Statements (Raw)'!E255))</f>
        <v>34.200000000000003</v>
      </c>
      <c r="G257" s="6" t="str">
        <f>IF(A257="","",IF('Statements (Raw)'!F255="","",'Statements (Raw)'!F255))</f>
        <v>EUR</v>
      </c>
      <c r="H257" s="9">
        <f>IF(A257="","",IF('Statements (Raw)'!G255="","",'Statements (Raw)'!G255))</f>
        <v>3</v>
      </c>
      <c r="I257" s="10">
        <f>IF(A257="","",IF('Statements (Raw)'!H255="","",'Statements (Raw)'!H255))</f>
        <v>-102.6</v>
      </c>
      <c r="J257" s="10">
        <f>IF(A257="",0,IF('Statements (Raw)'!I255="",0,'Statements (Raw)'!I255))</f>
        <v>0</v>
      </c>
      <c r="K257" s="10">
        <f t="shared" si="7"/>
        <v>-102.6</v>
      </c>
    </row>
    <row r="258" spans="1:11" x14ac:dyDescent="0.3">
      <c r="A258" s="171">
        <f>IF(OR('Statements (Raw)'!A256="",'Statements (Raw)'!A256&gt;Holdings!$G$3),"",'Statements (Raw)'!A256)</f>
        <v>45953</v>
      </c>
      <c r="B258" s="7">
        <f>IF(A258="","",IF('Statements (Raw)'!B256="","",'Statements (Raw)'!B256))</f>
        <v>45957</v>
      </c>
      <c r="C258" s="6" t="str">
        <f>IF(A258="","",IF('Statements (Raw)'!C256&lt;&gt;"",'Statements (Raw)'!C256,IF(ISNUMBER(SEARCH("Conferimento",'Statements (Raw)'!D256)),"CASH DEPOSIT",IF(ISNUMBER(SEARCH("Prelievo",'Statements (Raw)'!D256)),"CASH WITHDRAWAL",IF(ISNUMBER(SEARCH("Bollo",'Statements (Raw)'!D256)),"STAMP DUTY",IF(ISNUMBER(SEARCH("Tobin Tax",'Statements (Raw)'!D256)),"TOBIN TAX",IF(ISNUMBER(SEARCH("Rit.provento",'Statements (Raw)'!D256)),"WITHHOLDING TAX",IF(ISNUMBER(SEARCH("Incasso Dividendi",'Statements (Raw)'!D256)),"DIVIDEND",IF(ISNUMBER(SEARCH("Cedola",'Statements (Raw)'!D256)),"COUPON",IF(ISNUMBER(SEARCH("Ratei Pass",'Statements (Raw)'!D256)),"ACCRUED INT",IF(ISNUMBER(SEARCH("Interessi Prest",'Statements (Raw)'!D256)),"SEC LENDING",IF(ISNUMBER(SEARCH("Rimborso",'Statements (Raw)'!D256)),"REDEMPTION",IF(ISNUMBER(SEARCH("Provento",'Statements (Raw)'!D256)),"DISTRIBUTION","OTHER")))))))))))))</f>
        <v>SANLORENZO</v>
      </c>
      <c r="D258" s="6" t="str">
        <f>IF(A258="","",IF(C258="Saldo Iniziale","Balance",IF(C258="CASH DEPOSIT","Deposit",IF(C258="CASH WITHDRAWAL","Withdrawal",IF(C258="STAMP DUTY","Tax",IF(C258="TOBIN TAX","Tax",IF(C258="WITHHOLDING TAX","Tax",IF(C258="DIVIDEND","Dividend",IF(C258="COUPON","Coupon",IF(C258="ACCRUED INT","Accrued Int.",IF(C258="SEC LENDING","Sec. Lending",IF(C258="REDEMPTION","Redemption",IF(C258="DISTRIBUTION","Distribution",IF(ISNUMBER(SEARCH("Rimborso",'Statements (Raw)'!D256)),"Redemption",IF(ISNUMBER(SEARCH("Cedola",'Statements (Raw)'!D256)),"Coupon",IF(ISNUMBER(SEARCH("Incasso Dividendi",'Statements (Raw)'!D256)),"Dividend",IF(ISNUMBER(SEARCH("Provento Etf",'Statements (Raw)'!D256)),"Distribution",IF(ISNUMBER(SEARCH("Rit.provento",'Statements (Raw)'!D256)),"Tax",IF(ISNUMBER(SEARCH("Ratei Pass",'Statements (Raw)'!D256)),"Accrued Int.",IF(ISNUMBER(SEARCH("Interessi Prest",'Statements (Raw)'!D256)),"Sec. Lending",IF('Statements (Raw)'!G256="","Other",IF('Statements (Raw)'!G256&gt;0,"Buy","Sell"))))))))))))))))))))))</f>
        <v>Buy</v>
      </c>
      <c r="E258" s="6" t="str">
        <f t="shared" si="6"/>
        <v>Stock</v>
      </c>
      <c r="F258" s="8">
        <f>IF(A258="","",IF('Statements (Raw)'!E256="","",'Statements (Raw)'!E256))</f>
        <v>34.200000000000003</v>
      </c>
      <c r="G258" s="6" t="str">
        <f>IF(A258="","",IF('Statements (Raw)'!F256="","",'Statements (Raw)'!F256))</f>
        <v>EUR</v>
      </c>
      <c r="H258" s="9">
        <f>IF(A258="","",IF('Statements (Raw)'!G256="","",'Statements (Raw)'!G256))</f>
        <v>30</v>
      </c>
      <c r="I258" s="10">
        <f>IF(A258="","",IF('Statements (Raw)'!H256="","",'Statements (Raw)'!H256))</f>
        <v>-1026</v>
      </c>
      <c r="J258" s="10">
        <f>IF(A258="",0,IF('Statements (Raw)'!I256="",0,'Statements (Raw)'!I256))</f>
        <v>0</v>
      </c>
      <c r="K258" s="10">
        <f t="shared" si="7"/>
        <v>-1026</v>
      </c>
    </row>
    <row r="259" spans="1:11" x14ac:dyDescent="0.3">
      <c r="A259" s="171">
        <f>IF(OR('Statements (Raw)'!A257="",'Statements (Raw)'!A257&gt;Holdings!$G$3),"",'Statements (Raw)'!A257)</f>
        <v>45953</v>
      </c>
      <c r="B259" s="7">
        <f>IF(A259="","",IF('Statements (Raw)'!B257="","",'Statements (Raw)'!B257))</f>
        <v>45957</v>
      </c>
      <c r="C259" s="6" t="str">
        <f>IF(A259="","",IF('Statements (Raw)'!C257&lt;&gt;"",'Statements (Raw)'!C257,IF(ISNUMBER(SEARCH("Conferimento",'Statements (Raw)'!D257)),"CASH DEPOSIT",IF(ISNUMBER(SEARCH("Prelievo",'Statements (Raw)'!D257)),"CASH WITHDRAWAL",IF(ISNUMBER(SEARCH("Bollo",'Statements (Raw)'!D257)),"STAMP DUTY",IF(ISNUMBER(SEARCH("Tobin Tax",'Statements (Raw)'!D257)),"TOBIN TAX",IF(ISNUMBER(SEARCH("Rit.provento",'Statements (Raw)'!D257)),"WITHHOLDING TAX",IF(ISNUMBER(SEARCH("Incasso Dividendi",'Statements (Raw)'!D257)),"DIVIDEND",IF(ISNUMBER(SEARCH("Cedola",'Statements (Raw)'!D257)),"COUPON",IF(ISNUMBER(SEARCH("Ratei Pass",'Statements (Raw)'!D257)),"ACCRUED INT",IF(ISNUMBER(SEARCH("Interessi Prest",'Statements (Raw)'!D257)),"SEC LENDING",IF(ISNUMBER(SEARCH("Rimborso",'Statements (Raw)'!D257)),"REDEMPTION",IF(ISNUMBER(SEARCH("Provento",'Statements (Raw)'!D257)),"DISTRIBUTION","OTHER")))))))))))))</f>
        <v>SANLORENZO</v>
      </c>
      <c r="D259" s="6" t="str">
        <f>IF(A259="","",IF(C259="Saldo Iniziale","Balance",IF(C259="CASH DEPOSIT","Deposit",IF(C259="CASH WITHDRAWAL","Withdrawal",IF(C259="STAMP DUTY","Tax",IF(C259="TOBIN TAX","Tax",IF(C259="WITHHOLDING TAX","Tax",IF(C259="DIVIDEND","Dividend",IF(C259="COUPON","Coupon",IF(C259="ACCRUED INT","Accrued Int.",IF(C259="SEC LENDING","Sec. Lending",IF(C259="REDEMPTION","Redemption",IF(C259="DISTRIBUTION","Distribution",IF(ISNUMBER(SEARCH("Rimborso",'Statements (Raw)'!D257)),"Redemption",IF(ISNUMBER(SEARCH("Cedola",'Statements (Raw)'!D257)),"Coupon",IF(ISNUMBER(SEARCH("Incasso Dividendi",'Statements (Raw)'!D257)),"Dividend",IF(ISNUMBER(SEARCH("Provento Etf",'Statements (Raw)'!D257)),"Distribution",IF(ISNUMBER(SEARCH("Rit.provento",'Statements (Raw)'!D257)),"Tax",IF(ISNUMBER(SEARCH("Ratei Pass",'Statements (Raw)'!D257)),"Accrued Int.",IF(ISNUMBER(SEARCH("Interessi Prest",'Statements (Raw)'!D257)),"Sec. Lending",IF('Statements (Raw)'!G257="","Other",IF('Statements (Raw)'!G257&gt;0,"Buy","Sell"))))))))))))))))))))))</f>
        <v>Buy</v>
      </c>
      <c r="E259" s="6" t="str">
        <f t="shared" si="6"/>
        <v>Stock</v>
      </c>
      <c r="F259" s="8">
        <f>IF(A259="","",IF('Statements (Raw)'!E257="","",'Statements (Raw)'!E257))</f>
        <v>34.200000000000003</v>
      </c>
      <c r="G259" s="6" t="str">
        <f>IF(A259="","",IF('Statements (Raw)'!F257="","",'Statements (Raw)'!F257))</f>
        <v>EUR</v>
      </c>
      <c r="H259" s="9">
        <f>IF(A259="","",IF('Statements (Raw)'!G257="","",'Statements (Raw)'!G257))</f>
        <v>8</v>
      </c>
      <c r="I259" s="10">
        <f>IF(A259="","",IF('Statements (Raw)'!H257="","",'Statements (Raw)'!H257))</f>
        <v>-273.60000000000002</v>
      </c>
      <c r="J259" s="10">
        <f>IF(A259="",0,IF('Statements (Raw)'!I257="",0,'Statements (Raw)'!I257))</f>
        <v>0</v>
      </c>
      <c r="K259" s="10">
        <f t="shared" si="7"/>
        <v>-273.60000000000002</v>
      </c>
    </row>
    <row r="260" spans="1:11" x14ac:dyDescent="0.3">
      <c r="A260" s="171">
        <f>IF(OR('Statements (Raw)'!A258="",'Statements (Raw)'!A258&gt;Holdings!$G$3),"",'Statements (Raw)'!A258)</f>
        <v>45953</v>
      </c>
      <c r="B260" s="7">
        <f>IF(A260="","",IF('Statements (Raw)'!B258="","",'Statements (Raw)'!B258))</f>
        <v>45957</v>
      </c>
      <c r="C260" s="6" t="str">
        <f>IF(A260="","",IF('Statements (Raw)'!C258&lt;&gt;"",'Statements (Raw)'!C258,IF(ISNUMBER(SEARCH("Conferimento",'Statements (Raw)'!D258)),"CASH DEPOSIT",IF(ISNUMBER(SEARCH("Prelievo",'Statements (Raw)'!D258)),"CASH WITHDRAWAL",IF(ISNUMBER(SEARCH("Bollo",'Statements (Raw)'!D258)),"STAMP DUTY",IF(ISNUMBER(SEARCH("Tobin Tax",'Statements (Raw)'!D258)),"TOBIN TAX",IF(ISNUMBER(SEARCH("Rit.provento",'Statements (Raw)'!D258)),"WITHHOLDING TAX",IF(ISNUMBER(SEARCH("Incasso Dividendi",'Statements (Raw)'!D258)),"DIVIDEND",IF(ISNUMBER(SEARCH("Cedola",'Statements (Raw)'!D258)),"COUPON",IF(ISNUMBER(SEARCH("Ratei Pass",'Statements (Raw)'!D258)),"ACCRUED INT",IF(ISNUMBER(SEARCH("Interessi Prest",'Statements (Raw)'!D258)),"SEC LENDING",IF(ISNUMBER(SEARCH("Rimborso",'Statements (Raw)'!D258)),"REDEMPTION",IF(ISNUMBER(SEARCH("Provento",'Statements (Raw)'!D258)),"DISTRIBUTION","OTHER")))))))))))))</f>
        <v>WISDOMTREE PHYSICAL SILVER</v>
      </c>
      <c r="D260" s="6" t="str">
        <f>IF(A260="","",IF(C260="Saldo Iniziale","Balance",IF(C260="CASH DEPOSIT","Deposit",IF(C260="CASH WITHDRAWAL","Withdrawal",IF(C260="STAMP DUTY","Tax",IF(C260="TOBIN TAX","Tax",IF(C260="WITHHOLDING TAX","Tax",IF(C260="DIVIDEND","Dividend",IF(C260="COUPON","Coupon",IF(C260="ACCRUED INT","Accrued Int.",IF(C260="SEC LENDING","Sec. Lending",IF(C260="REDEMPTION","Redemption",IF(C260="DISTRIBUTION","Distribution",IF(ISNUMBER(SEARCH("Rimborso",'Statements (Raw)'!D258)),"Redemption",IF(ISNUMBER(SEARCH("Cedola",'Statements (Raw)'!D258)),"Coupon",IF(ISNUMBER(SEARCH("Incasso Dividendi",'Statements (Raw)'!D258)),"Dividend",IF(ISNUMBER(SEARCH("Provento Etf",'Statements (Raw)'!D258)),"Distribution",IF(ISNUMBER(SEARCH("Rit.provento",'Statements (Raw)'!D258)),"Tax",IF(ISNUMBER(SEARCH("Ratei Pass",'Statements (Raw)'!D258)),"Accrued Int.",IF(ISNUMBER(SEARCH("Interessi Prest",'Statements (Raw)'!D258)),"Sec. Lending",IF('Statements (Raw)'!G258="","Other",IF('Statements (Raw)'!G258&gt;0,"Buy","Sell"))))))))))))))))))))))</f>
        <v>Sell</v>
      </c>
      <c r="E260" s="6" t="str">
        <f t="shared" si="6"/>
        <v>ETF/ETC</v>
      </c>
      <c r="F260" s="8">
        <f>IF(A260="","",IF('Statements (Raw)'!E258="","",'Statements (Raw)'!E258))</f>
        <v>38.695</v>
      </c>
      <c r="G260" s="6" t="str">
        <f>IF(A260="","",IF('Statements (Raw)'!F258="","",'Statements (Raw)'!F258))</f>
        <v>EUR</v>
      </c>
      <c r="H260" s="9">
        <f>IF(A260="","",IF('Statements (Raw)'!G258="","",'Statements (Raw)'!G258))</f>
        <v>-2</v>
      </c>
      <c r="I260" s="10">
        <f>IF(A260="","",IF('Statements (Raw)'!H258="","",'Statements (Raw)'!H258))</f>
        <v>77.39</v>
      </c>
      <c r="J260" s="10">
        <f>IF(A260="",0,IF('Statements (Raw)'!I258="",0,'Statements (Raw)'!I258))</f>
        <v>-5</v>
      </c>
      <c r="K260" s="10">
        <f t="shared" si="7"/>
        <v>72.39</v>
      </c>
    </row>
    <row r="261" spans="1:11" x14ac:dyDescent="0.3">
      <c r="A261" s="171">
        <f>IF(OR('Statements (Raw)'!A259="",'Statements (Raw)'!A259&gt;Holdings!$G$3),"",'Statements (Raw)'!A259)</f>
        <v>45953</v>
      </c>
      <c r="B261" s="7">
        <f>IF(A261="","",IF('Statements (Raw)'!B259="","",'Statements (Raw)'!B259))</f>
        <v>45957</v>
      </c>
      <c r="C261" s="6" t="str">
        <f>IF(A261="","",IF('Statements (Raw)'!C259&lt;&gt;"",'Statements (Raw)'!C259,IF(ISNUMBER(SEARCH("Conferimento",'Statements (Raw)'!D259)),"CASH DEPOSIT",IF(ISNUMBER(SEARCH("Prelievo",'Statements (Raw)'!D259)),"CASH WITHDRAWAL",IF(ISNUMBER(SEARCH("Bollo",'Statements (Raw)'!D259)),"STAMP DUTY",IF(ISNUMBER(SEARCH("Tobin Tax",'Statements (Raw)'!D259)),"TOBIN TAX",IF(ISNUMBER(SEARCH("Rit.provento",'Statements (Raw)'!D259)),"WITHHOLDING TAX",IF(ISNUMBER(SEARCH("Incasso Dividendi",'Statements (Raw)'!D259)),"DIVIDEND",IF(ISNUMBER(SEARCH("Cedola",'Statements (Raw)'!D259)),"COUPON",IF(ISNUMBER(SEARCH("Ratei Pass",'Statements (Raw)'!D259)),"ACCRUED INT",IF(ISNUMBER(SEARCH("Interessi Prest",'Statements (Raw)'!D259)),"SEC LENDING",IF(ISNUMBER(SEARCH("Rimborso",'Statements (Raw)'!D259)),"REDEMPTION",IF(ISNUMBER(SEARCH("Provento",'Statements (Raw)'!D259)),"DISTRIBUTION","OTHER")))))))))))))</f>
        <v>WISDOMTREE PHYSICAL SILVER</v>
      </c>
      <c r="D261" s="6" t="str">
        <f>IF(A261="","",IF(C261="Saldo Iniziale","Balance",IF(C261="CASH DEPOSIT","Deposit",IF(C261="CASH WITHDRAWAL","Withdrawal",IF(C261="STAMP DUTY","Tax",IF(C261="TOBIN TAX","Tax",IF(C261="WITHHOLDING TAX","Tax",IF(C261="DIVIDEND","Dividend",IF(C261="COUPON","Coupon",IF(C261="ACCRUED INT","Accrued Int.",IF(C261="SEC LENDING","Sec. Lending",IF(C261="REDEMPTION","Redemption",IF(C261="DISTRIBUTION","Distribution",IF(ISNUMBER(SEARCH("Rimborso",'Statements (Raw)'!D259)),"Redemption",IF(ISNUMBER(SEARCH("Cedola",'Statements (Raw)'!D259)),"Coupon",IF(ISNUMBER(SEARCH("Incasso Dividendi",'Statements (Raw)'!D259)),"Dividend",IF(ISNUMBER(SEARCH("Provento Etf",'Statements (Raw)'!D259)),"Distribution",IF(ISNUMBER(SEARCH("Rit.provento",'Statements (Raw)'!D259)),"Tax",IF(ISNUMBER(SEARCH("Ratei Pass",'Statements (Raw)'!D259)),"Accrued Int.",IF(ISNUMBER(SEARCH("Interessi Prest",'Statements (Raw)'!D259)),"Sec. Lending",IF('Statements (Raw)'!G259="","Other",IF('Statements (Raw)'!G259&gt;0,"Buy","Sell"))))))))))))))))))))))</f>
        <v>Sell</v>
      </c>
      <c r="E261" s="6" t="str">
        <f t="shared" ref="E261:E324" si="8">IF(D261="","",IF(OR(D261="Balance",D261="Deposit",D261="Withdrawal"),"Cash",IF(D261="Tax","Tax/Fee",IF(OR(D261="Dividend",D261="Coupon",D261="Distribution",D261="Sec. Lending",D261="Accrued Int."),"Income",IF(D261="Redemption","Bond",IF(OR(D261="Buy",D261="Sell"),IF(OR(ISNUMBER(SEARCH("BOT ",C261)),ISNUMBER(SEARCH("BTP ",C261)),ISNUMBER(SEARCH("CARRARO",C261))),"Bond",IF(OR(ISNUMBER(SEARCH("isdom",C261)),ISNUMBER(SEARCH("ISHARES",C261)),ISNUMBER(SEARCH("iShares",C261))),"ETF/ETC",IF(OR(ISNUMBER(SEARCH("Bitwise",C261)),ISNUMBER(SEARCH("BITWISE",C261))),"Crypto ETP","Stock"))),"Other"))))))</f>
        <v>ETF/ETC</v>
      </c>
      <c r="F261" s="8">
        <f>IF(A261="","",IF('Statements (Raw)'!E259="","",'Statements (Raw)'!E259))</f>
        <v>38.695</v>
      </c>
      <c r="G261" s="6" t="str">
        <f>IF(A261="","",IF('Statements (Raw)'!F259="","",'Statements (Raw)'!F259))</f>
        <v>EUR</v>
      </c>
      <c r="H261" s="9">
        <f>IF(A261="","",IF('Statements (Raw)'!G259="","",'Statements (Raw)'!G259))</f>
        <v>-20</v>
      </c>
      <c r="I261" s="10">
        <f>IF(A261="","",IF('Statements (Raw)'!H259="","",'Statements (Raw)'!H259))</f>
        <v>773.9</v>
      </c>
      <c r="J261" s="10">
        <f>IF(A261="",0,IF('Statements (Raw)'!I259="",0,'Statements (Raw)'!I259))</f>
        <v>0</v>
      </c>
      <c r="K261" s="10">
        <f t="shared" ref="K261:K324" si="9">IF(I261="","",I261+J261)</f>
        <v>773.9</v>
      </c>
    </row>
    <row r="262" spans="1:11" x14ac:dyDescent="0.3">
      <c r="A262" s="171">
        <f>IF(OR('Statements (Raw)'!A260="",'Statements (Raw)'!A260&gt;Holdings!$G$3),"",'Statements (Raw)'!A260)</f>
        <v>45953</v>
      </c>
      <c r="B262" s="7">
        <f>IF(A262="","",IF('Statements (Raw)'!B260="","",'Statements (Raw)'!B260))</f>
        <v>45957</v>
      </c>
      <c r="C262" s="6" t="str">
        <f>IF(A262="","",IF('Statements (Raw)'!C260&lt;&gt;"",'Statements (Raw)'!C260,IF(ISNUMBER(SEARCH("Conferimento",'Statements (Raw)'!D260)),"CASH DEPOSIT",IF(ISNUMBER(SEARCH("Prelievo",'Statements (Raw)'!D260)),"CASH WITHDRAWAL",IF(ISNUMBER(SEARCH("Bollo",'Statements (Raw)'!D260)),"STAMP DUTY",IF(ISNUMBER(SEARCH("Tobin Tax",'Statements (Raw)'!D260)),"TOBIN TAX",IF(ISNUMBER(SEARCH("Rit.provento",'Statements (Raw)'!D260)),"WITHHOLDING TAX",IF(ISNUMBER(SEARCH("Incasso Dividendi",'Statements (Raw)'!D260)),"DIVIDEND",IF(ISNUMBER(SEARCH("Cedola",'Statements (Raw)'!D260)),"COUPON",IF(ISNUMBER(SEARCH("Ratei Pass",'Statements (Raw)'!D260)),"ACCRUED INT",IF(ISNUMBER(SEARCH("Interessi Prest",'Statements (Raw)'!D260)),"SEC LENDING",IF(ISNUMBER(SEARCH("Rimborso",'Statements (Raw)'!D260)),"REDEMPTION",IF(ISNUMBER(SEARCH("Provento",'Statements (Raw)'!D260)),"DISTRIBUTION","OTHER")))))))))))))</f>
        <v>WISDOMTREE PHYSICAL SILVER</v>
      </c>
      <c r="D262" s="6" t="str">
        <f>IF(A262="","",IF(C262="Saldo Iniziale","Balance",IF(C262="CASH DEPOSIT","Deposit",IF(C262="CASH WITHDRAWAL","Withdrawal",IF(C262="STAMP DUTY","Tax",IF(C262="TOBIN TAX","Tax",IF(C262="WITHHOLDING TAX","Tax",IF(C262="DIVIDEND","Dividend",IF(C262="COUPON","Coupon",IF(C262="ACCRUED INT","Accrued Int.",IF(C262="SEC LENDING","Sec. Lending",IF(C262="REDEMPTION","Redemption",IF(C262="DISTRIBUTION","Distribution",IF(ISNUMBER(SEARCH("Rimborso",'Statements (Raw)'!D260)),"Redemption",IF(ISNUMBER(SEARCH("Cedola",'Statements (Raw)'!D260)),"Coupon",IF(ISNUMBER(SEARCH("Incasso Dividendi",'Statements (Raw)'!D260)),"Dividend",IF(ISNUMBER(SEARCH("Provento Etf",'Statements (Raw)'!D260)),"Distribution",IF(ISNUMBER(SEARCH("Rit.provento",'Statements (Raw)'!D260)),"Tax",IF(ISNUMBER(SEARCH("Ratei Pass",'Statements (Raw)'!D260)),"Accrued Int.",IF(ISNUMBER(SEARCH("Interessi Prest",'Statements (Raw)'!D260)),"Sec. Lending",IF('Statements (Raw)'!G260="","Other",IF('Statements (Raw)'!G260&gt;0,"Buy","Sell"))))))))))))))))))))))</f>
        <v>Sell</v>
      </c>
      <c r="E262" s="6" t="str">
        <f t="shared" si="8"/>
        <v>ETF/ETC</v>
      </c>
      <c r="F262" s="8">
        <f>IF(A262="","",IF('Statements (Raw)'!E260="","",'Statements (Raw)'!E260))</f>
        <v>38.695</v>
      </c>
      <c r="G262" s="6" t="str">
        <f>IF(A262="","",IF('Statements (Raw)'!F260="","",'Statements (Raw)'!F260))</f>
        <v>EUR</v>
      </c>
      <c r="H262" s="9">
        <f>IF(A262="","",IF('Statements (Raw)'!G260="","",'Statements (Raw)'!G260))</f>
        <v>-55</v>
      </c>
      <c r="I262" s="10">
        <f>IF(A262="","",IF('Statements (Raw)'!H260="","",'Statements (Raw)'!H260))</f>
        <v>2128.23</v>
      </c>
      <c r="J262" s="10">
        <f>IF(A262="",0,IF('Statements (Raw)'!I260="",0,'Statements (Raw)'!I260))</f>
        <v>0</v>
      </c>
      <c r="K262" s="10">
        <f t="shared" si="9"/>
        <v>2128.23</v>
      </c>
    </row>
    <row r="263" spans="1:11" x14ac:dyDescent="0.3">
      <c r="A263" s="171">
        <f>IF(OR('Statements (Raw)'!A261="",'Statements (Raw)'!A261&gt;Holdings!$G$3),"",'Statements (Raw)'!A261)</f>
        <v>45953</v>
      </c>
      <c r="B263" s="7">
        <f>IF(A263="","",IF('Statements (Raw)'!B261="","",'Statements (Raw)'!B261))</f>
        <v>45957</v>
      </c>
      <c r="C263" s="6" t="str">
        <f>IF(A263="","",IF('Statements (Raw)'!C261&lt;&gt;"",'Statements (Raw)'!C261,IF(ISNUMBER(SEARCH("Conferimento",'Statements (Raw)'!D261)),"CASH DEPOSIT",IF(ISNUMBER(SEARCH("Prelievo",'Statements (Raw)'!D261)),"CASH WITHDRAWAL",IF(ISNUMBER(SEARCH("Bollo",'Statements (Raw)'!D261)),"STAMP DUTY",IF(ISNUMBER(SEARCH("Tobin Tax",'Statements (Raw)'!D261)),"TOBIN TAX",IF(ISNUMBER(SEARCH("Rit.provento",'Statements (Raw)'!D261)),"WITHHOLDING TAX",IF(ISNUMBER(SEARCH("Incasso Dividendi",'Statements (Raw)'!D261)),"DIVIDEND",IF(ISNUMBER(SEARCH("Cedola",'Statements (Raw)'!D261)),"COUPON",IF(ISNUMBER(SEARCH("Ratei Pass",'Statements (Raw)'!D261)),"ACCRUED INT",IF(ISNUMBER(SEARCH("Interessi Prest",'Statements (Raw)'!D261)),"SEC LENDING",IF(ISNUMBER(SEARCH("Rimborso",'Statements (Raw)'!D261)),"REDEMPTION",IF(ISNUMBER(SEARCH("Provento",'Statements (Raw)'!D261)),"DISTRIBUTION","OTHER")))))))))))))</f>
        <v>WISDOMTREE PHYSICAL SILVER</v>
      </c>
      <c r="D263" s="6" t="str">
        <f>IF(A263="","",IF(C263="Saldo Iniziale","Balance",IF(C263="CASH DEPOSIT","Deposit",IF(C263="CASH WITHDRAWAL","Withdrawal",IF(C263="STAMP DUTY","Tax",IF(C263="TOBIN TAX","Tax",IF(C263="WITHHOLDING TAX","Tax",IF(C263="DIVIDEND","Dividend",IF(C263="COUPON","Coupon",IF(C263="ACCRUED INT","Accrued Int.",IF(C263="SEC LENDING","Sec. Lending",IF(C263="REDEMPTION","Redemption",IF(C263="DISTRIBUTION","Distribution",IF(ISNUMBER(SEARCH("Rimborso",'Statements (Raw)'!D261)),"Redemption",IF(ISNUMBER(SEARCH("Cedola",'Statements (Raw)'!D261)),"Coupon",IF(ISNUMBER(SEARCH("Incasso Dividendi",'Statements (Raw)'!D261)),"Dividend",IF(ISNUMBER(SEARCH("Provento Etf",'Statements (Raw)'!D261)),"Distribution",IF(ISNUMBER(SEARCH("Rit.provento",'Statements (Raw)'!D261)),"Tax",IF(ISNUMBER(SEARCH("Ratei Pass",'Statements (Raw)'!D261)),"Accrued Int.",IF(ISNUMBER(SEARCH("Interessi Prest",'Statements (Raw)'!D261)),"Sec. Lending",IF('Statements (Raw)'!G261="","Other",IF('Statements (Raw)'!G261&gt;0,"Buy","Sell"))))))))))))))))))))))</f>
        <v>Sell</v>
      </c>
      <c r="E263" s="6" t="str">
        <f t="shared" si="8"/>
        <v>ETF/ETC</v>
      </c>
      <c r="F263" s="8">
        <f>IF(A263="","",IF('Statements (Raw)'!E261="","",'Statements (Raw)'!E261))</f>
        <v>38.695</v>
      </c>
      <c r="G263" s="6" t="str">
        <f>IF(A263="","",IF('Statements (Raw)'!F261="","",'Statements (Raw)'!F261))</f>
        <v>EUR</v>
      </c>
      <c r="H263" s="9">
        <f>IF(A263="","",IF('Statements (Raw)'!G261="","",'Statements (Raw)'!G261))</f>
        <v>-70</v>
      </c>
      <c r="I263" s="10">
        <f>IF(A263="","",IF('Statements (Raw)'!H261="","",'Statements (Raw)'!H261))</f>
        <v>2708.65</v>
      </c>
      <c r="J263" s="10">
        <f>IF(A263="",0,IF('Statements (Raw)'!I261="",0,'Statements (Raw)'!I261))</f>
        <v>0</v>
      </c>
      <c r="K263" s="10">
        <f t="shared" si="9"/>
        <v>2708.65</v>
      </c>
    </row>
    <row r="264" spans="1:11" x14ac:dyDescent="0.3">
      <c r="A264" s="171">
        <f>IF(OR('Statements (Raw)'!A262="",'Statements (Raw)'!A262&gt;Holdings!$G$3),"",'Statements (Raw)'!A262)</f>
        <v>45953</v>
      </c>
      <c r="B264" s="7">
        <f>IF(A264="","",IF('Statements (Raw)'!B262="","",'Statements (Raw)'!B262))</f>
        <v>45957</v>
      </c>
      <c r="C264" s="6" t="str">
        <f>IF(A264="","",IF('Statements (Raw)'!C262&lt;&gt;"",'Statements (Raw)'!C262,IF(ISNUMBER(SEARCH("Conferimento",'Statements (Raw)'!D262)),"CASH DEPOSIT",IF(ISNUMBER(SEARCH("Prelievo",'Statements (Raw)'!D262)),"CASH WITHDRAWAL",IF(ISNUMBER(SEARCH("Bollo",'Statements (Raw)'!D262)),"STAMP DUTY",IF(ISNUMBER(SEARCH("Tobin Tax",'Statements (Raw)'!D262)),"TOBIN TAX",IF(ISNUMBER(SEARCH("Rit.provento",'Statements (Raw)'!D262)),"WITHHOLDING TAX",IF(ISNUMBER(SEARCH("Incasso Dividendi",'Statements (Raw)'!D262)),"DIVIDEND",IF(ISNUMBER(SEARCH("Cedola",'Statements (Raw)'!D262)),"COUPON",IF(ISNUMBER(SEARCH("Ratei Pass",'Statements (Raw)'!D262)),"ACCRUED INT",IF(ISNUMBER(SEARCH("Interessi Prest",'Statements (Raw)'!D262)),"SEC LENDING",IF(ISNUMBER(SEARCH("Rimborso",'Statements (Raw)'!D262)),"REDEMPTION",IF(ISNUMBER(SEARCH("Provento",'Statements (Raw)'!D262)),"DISTRIBUTION","OTHER")))))))))))))</f>
        <v>WISDOMTREE PHYSICAL SILVER</v>
      </c>
      <c r="D264" s="6" t="str">
        <f>IF(A264="","",IF(C264="Saldo Iniziale","Balance",IF(C264="CASH DEPOSIT","Deposit",IF(C264="CASH WITHDRAWAL","Withdrawal",IF(C264="STAMP DUTY","Tax",IF(C264="TOBIN TAX","Tax",IF(C264="WITHHOLDING TAX","Tax",IF(C264="DIVIDEND","Dividend",IF(C264="COUPON","Coupon",IF(C264="ACCRUED INT","Accrued Int.",IF(C264="SEC LENDING","Sec. Lending",IF(C264="REDEMPTION","Redemption",IF(C264="DISTRIBUTION","Distribution",IF(ISNUMBER(SEARCH("Rimborso",'Statements (Raw)'!D262)),"Redemption",IF(ISNUMBER(SEARCH("Cedola",'Statements (Raw)'!D262)),"Coupon",IF(ISNUMBER(SEARCH("Incasso Dividendi",'Statements (Raw)'!D262)),"Dividend",IF(ISNUMBER(SEARCH("Provento Etf",'Statements (Raw)'!D262)),"Distribution",IF(ISNUMBER(SEARCH("Rit.provento",'Statements (Raw)'!D262)),"Tax",IF(ISNUMBER(SEARCH("Ratei Pass",'Statements (Raw)'!D262)),"Accrued Int.",IF(ISNUMBER(SEARCH("Interessi Prest",'Statements (Raw)'!D262)),"Sec. Lending",IF('Statements (Raw)'!G262="","Other",IF('Statements (Raw)'!G262&gt;0,"Buy","Sell"))))))))))))))))))))))</f>
        <v>Sell</v>
      </c>
      <c r="E264" s="6" t="str">
        <f t="shared" si="8"/>
        <v>ETF/ETC</v>
      </c>
      <c r="F264" s="8">
        <f>IF(A264="","",IF('Statements (Raw)'!E262="","",'Statements (Raw)'!E262))</f>
        <v>38.695</v>
      </c>
      <c r="G264" s="6" t="str">
        <f>IF(A264="","",IF('Statements (Raw)'!F262="","",'Statements (Raw)'!F262))</f>
        <v>EUR</v>
      </c>
      <c r="H264" s="9">
        <f>IF(A264="","",IF('Statements (Raw)'!G262="","",'Statements (Raw)'!G262))</f>
        <v>-78</v>
      </c>
      <c r="I264" s="10">
        <f>IF(A264="","",IF('Statements (Raw)'!H262="","",'Statements (Raw)'!H262))</f>
        <v>3018.21</v>
      </c>
      <c r="J264" s="10">
        <f>IF(A264="",0,IF('Statements (Raw)'!I262="",0,'Statements (Raw)'!I262))</f>
        <v>0</v>
      </c>
      <c r="K264" s="10">
        <f t="shared" si="9"/>
        <v>3018.21</v>
      </c>
    </row>
    <row r="265" spans="1:11" x14ac:dyDescent="0.3">
      <c r="A265" s="171">
        <f>IF(OR('Statements (Raw)'!A263="",'Statements (Raw)'!A263&gt;Holdings!$G$3),"",'Statements (Raw)'!A263)</f>
        <v>45953</v>
      </c>
      <c r="B265" s="7">
        <f>IF(A265="","",IF('Statements (Raw)'!B263="","",'Statements (Raw)'!B263))</f>
        <v>45957</v>
      </c>
      <c r="C265" s="6" t="str">
        <f>IF(A265="","",IF('Statements (Raw)'!C263&lt;&gt;"",'Statements (Raw)'!C263,IF(ISNUMBER(SEARCH("Conferimento",'Statements (Raw)'!D263)),"CASH DEPOSIT",IF(ISNUMBER(SEARCH("Prelievo",'Statements (Raw)'!D263)),"CASH WITHDRAWAL",IF(ISNUMBER(SEARCH("Bollo",'Statements (Raw)'!D263)),"STAMP DUTY",IF(ISNUMBER(SEARCH("Tobin Tax",'Statements (Raw)'!D263)),"TOBIN TAX",IF(ISNUMBER(SEARCH("Rit.provento",'Statements (Raw)'!D263)),"WITHHOLDING TAX",IF(ISNUMBER(SEARCH("Incasso Dividendi",'Statements (Raw)'!D263)),"DIVIDEND",IF(ISNUMBER(SEARCH("Cedola",'Statements (Raw)'!D263)),"COUPON",IF(ISNUMBER(SEARCH("Ratei Pass",'Statements (Raw)'!D263)),"ACCRUED INT",IF(ISNUMBER(SEARCH("Interessi Prest",'Statements (Raw)'!D263)),"SEC LENDING",IF(ISNUMBER(SEARCH("Rimborso",'Statements (Raw)'!D263)),"REDEMPTION",IF(ISNUMBER(SEARCH("Provento",'Statements (Raw)'!D263)),"DISTRIBUTION","OTHER")))))))))))))</f>
        <v>WISDOMTREE PHYSICAL SILVER</v>
      </c>
      <c r="D265" s="6" t="str">
        <f>IF(A265="","",IF(C265="Saldo Iniziale","Balance",IF(C265="CASH DEPOSIT","Deposit",IF(C265="CASH WITHDRAWAL","Withdrawal",IF(C265="STAMP DUTY","Tax",IF(C265="TOBIN TAX","Tax",IF(C265="WITHHOLDING TAX","Tax",IF(C265="DIVIDEND","Dividend",IF(C265="COUPON","Coupon",IF(C265="ACCRUED INT","Accrued Int.",IF(C265="SEC LENDING","Sec. Lending",IF(C265="REDEMPTION","Redemption",IF(C265="DISTRIBUTION","Distribution",IF(ISNUMBER(SEARCH("Rimborso",'Statements (Raw)'!D263)),"Redemption",IF(ISNUMBER(SEARCH("Cedola",'Statements (Raw)'!D263)),"Coupon",IF(ISNUMBER(SEARCH("Incasso Dividendi",'Statements (Raw)'!D263)),"Dividend",IF(ISNUMBER(SEARCH("Provento Etf",'Statements (Raw)'!D263)),"Distribution",IF(ISNUMBER(SEARCH("Rit.provento",'Statements (Raw)'!D263)),"Tax",IF(ISNUMBER(SEARCH("Ratei Pass",'Statements (Raw)'!D263)),"Accrued Int.",IF(ISNUMBER(SEARCH("Interessi Prest",'Statements (Raw)'!D263)),"Sec. Lending",IF('Statements (Raw)'!G263="","Other",IF('Statements (Raw)'!G263&gt;0,"Buy","Sell"))))))))))))))))))))))</f>
        <v>Sell</v>
      </c>
      <c r="E265" s="6" t="str">
        <f t="shared" si="8"/>
        <v>ETF/ETC</v>
      </c>
      <c r="F265" s="8">
        <f>IF(A265="","",IF('Statements (Raw)'!E263="","",'Statements (Raw)'!E263))</f>
        <v>38.695</v>
      </c>
      <c r="G265" s="6" t="str">
        <f>IF(A265="","",IF('Statements (Raw)'!F263="","",'Statements (Raw)'!F263))</f>
        <v>EUR</v>
      </c>
      <c r="H265" s="9">
        <f>IF(A265="","",IF('Statements (Raw)'!G263="","",'Statements (Raw)'!G263))</f>
        <v>-55</v>
      </c>
      <c r="I265" s="10">
        <f>IF(A265="","",IF('Statements (Raw)'!H263="","",'Statements (Raw)'!H263))</f>
        <v>2128.23</v>
      </c>
      <c r="J265" s="10">
        <f>IF(A265="",0,IF('Statements (Raw)'!I263="",0,'Statements (Raw)'!I263))</f>
        <v>0</v>
      </c>
      <c r="K265" s="10">
        <f t="shared" si="9"/>
        <v>2128.23</v>
      </c>
    </row>
    <row r="266" spans="1:11" x14ac:dyDescent="0.3">
      <c r="A266" s="171">
        <f>IF(OR('Statements (Raw)'!A264="",'Statements (Raw)'!A264&gt;Holdings!$G$3),"",'Statements (Raw)'!A264)</f>
        <v>45953</v>
      </c>
      <c r="B266" s="7">
        <f>IF(A266="","",IF('Statements (Raw)'!B264="","",'Statements (Raw)'!B264))</f>
        <v>45957</v>
      </c>
      <c r="C266" s="6" t="str">
        <f>IF(A266="","",IF('Statements (Raw)'!C264&lt;&gt;"",'Statements (Raw)'!C264,IF(ISNUMBER(SEARCH("Conferimento",'Statements (Raw)'!D264)),"CASH DEPOSIT",IF(ISNUMBER(SEARCH("Prelievo",'Statements (Raw)'!D264)),"CASH WITHDRAWAL",IF(ISNUMBER(SEARCH("Bollo",'Statements (Raw)'!D264)),"STAMP DUTY",IF(ISNUMBER(SEARCH("Tobin Tax",'Statements (Raw)'!D264)),"TOBIN TAX",IF(ISNUMBER(SEARCH("Rit.provento",'Statements (Raw)'!D264)),"WITHHOLDING TAX",IF(ISNUMBER(SEARCH("Incasso Dividendi",'Statements (Raw)'!D264)),"DIVIDEND",IF(ISNUMBER(SEARCH("Cedola",'Statements (Raw)'!D264)),"COUPON",IF(ISNUMBER(SEARCH("Ratei Pass",'Statements (Raw)'!D264)),"ACCRUED INT",IF(ISNUMBER(SEARCH("Interessi Prest",'Statements (Raw)'!D264)),"SEC LENDING",IF(ISNUMBER(SEARCH("Rimborso",'Statements (Raw)'!D264)),"REDEMPTION",IF(ISNUMBER(SEARCH("Provento",'Statements (Raw)'!D264)),"DISTRIBUTION","OTHER")))))))))))))</f>
        <v>WISDOMTREE PHYSICAL SILVER</v>
      </c>
      <c r="D266" s="6" t="str">
        <f>IF(A266="","",IF(C266="Saldo Iniziale","Balance",IF(C266="CASH DEPOSIT","Deposit",IF(C266="CASH WITHDRAWAL","Withdrawal",IF(C266="STAMP DUTY","Tax",IF(C266="TOBIN TAX","Tax",IF(C266="WITHHOLDING TAX","Tax",IF(C266="DIVIDEND","Dividend",IF(C266="COUPON","Coupon",IF(C266="ACCRUED INT","Accrued Int.",IF(C266="SEC LENDING","Sec. Lending",IF(C266="REDEMPTION","Redemption",IF(C266="DISTRIBUTION","Distribution",IF(ISNUMBER(SEARCH("Rimborso",'Statements (Raw)'!D264)),"Redemption",IF(ISNUMBER(SEARCH("Cedola",'Statements (Raw)'!D264)),"Coupon",IF(ISNUMBER(SEARCH("Incasso Dividendi",'Statements (Raw)'!D264)),"Dividend",IF(ISNUMBER(SEARCH("Provento Etf",'Statements (Raw)'!D264)),"Distribution",IF(ISNUMBER(SEARCH("Rit.provento",'Statements (Raw)'!D264)),"Tax",IF(ISNUMBER(SEARCH("Ratei Pass",'Statements (Raw)'!D264)),"Accrued Int.",IF(ISNUMBER(SEARCH("Interessi Prest",'Statements (Raw)'!D264)),"Sec. Lending",IF('Statements (Raw)'!G264="","Other",IF('Statements (Raw)'!G264&gt;0,"Buy","Sell"))))))))))))))))))))))</f>
        <v>Sell</v>
      </c>
      <c r="E266" s="6" t="str">
        <f t="shared" si="8"/>
        <v>ETF/ETC</v>
      </c>
      <c r="F266" s="8">
        <f>IF(A266="","",IF('Statements (Raw)'!E264="","",'Statements (Raw)'!E264))</f>
        <v>38.695</v>
      </c>
      <c r="G266" s="6" t="str">
        <f>IF(A266="","",IF('Statements (Raw)'!F264="","",'Statements (Raw)'!F264))</f>
        <v>EUR</v>
      </c>
      <c r="H266" s="9">
        <f>IF(A266="","",IF('Statements (Raw)'!G264="","",'Statements (Raw)'!G264))</f>
        <v>-7</v>
      </c>
      <c r="I266" s="10">
        <f>IF(A266="","",IF('Statements (Raw)'!H264="","",'Statements (Raw)'!H264))</f>
        <v>270.87</v>
      </c>
      <c r="J266" s="10">
        <f>IF(A266="",0,IF('Statements (Raw)'!I264="",0,'Statements (Raw)'!I264))</f>
        <v>0</v>
      </c>
      <c r="K266" s="10">
        <f t="shared" si="9"/>
        <v>270.87</v>
      </c>
    </row>
    <row r="267" spans="1:11" x14ac:dyDescent="0.3">
      <c r="A267" s="171">
        <f>IF(OR('Statements (Raw)'!A265="",'Statements (Raw)'!A265&gt;Holdings!$G$3),"",'Statements (Raw)'!A265)</f>
        <v>45953</v>
      </c>
      <c r="B267" s="7">
        <f>IF(A267="","",IF('Statements (Raw)'!B265="","",'Statements (Raw)'!B265))</f>
        <v>45957</v>
      </c>
      <c r="C267" s="6" t="str">
        <f>IF(A267="","",IF('Statements (Raw)'!C265&lt;&gt;"",'Statements (Raw)'!C265,IF(ISNUMBER(SEARCH("Conferimento",'Statements (Raw)'!D265)),"CASH DEPOSIT",IF(ISNUMBER(SEARCH("Prelievo",'Statements (Raw)'!D265)),"CASH WITHDRAWAL",IF(ISNUMBER(SEARCH("Bollo",'Statements (Raw)'!D265)),"STAMP DUTY",IF(ISNUMBER(SEARCH("Tobin Tax",'Statements (Raw)'!D265)),"TOBIN TAX",IF(ISNUMBER(SEARCH("Rit.provento",'Statements (Raw)'!D265)),"WITHHOLDING TAX",IF(ISNUMBER(SEARCH("Incasso Dividendi",'Statements (Raw)'!D265)),"DIVIDEND",IF(ISNUMBER(SEARCH("Cedola",'Statements (Raw)'!D265)),"COUPON",IF(ISNUMBER(SEARCH("Ratei Pass",'Statements (Raw)'!D265)),"ACCRUED INT",IF(ISNUMBER(SEARCH("Interessi Prest",'Statements (Raw)'!D265)),"SEC LENDING",IF(ISNUMBER(SEARCH("Rimborso",'Statements (Raw)'!D265)),"REDEMPTION",IF(ISNUMBER(SEARCH("Provento",'Statements (Raw)'!D265)),"DISTRIBUTION","OTHER")))))))))))))</f>
        <v>WISDOMTREE PHYSICAL SILVER</v>
      </c>
      <c r="D267" s="6" t="str">
        <f>IF(A267="","",IF(C267="Saldo Iniziale","Balance",IF(C267="CASH DEPOSIT","Deposit",IF(C267="CASH WITHDRAWAL","Withdrawal",IF(C267="STAMP DUTY","Tax",IF(C267="TOBIN TAX","Tax",IF(C267="WITHHOLDING TAX","Tax",IF(C267="DIVIDEND","Dividend",IF(C267="COUPON","Coupon",IF(C267="ACCRUED INT","Accrued Int.",IF(C267="SEC LENDING","Sec. Lending",IF(C267="REDEMPTION","Redemption",IF(C267="DISTRIBUTION","Distribution",IF(ISNUMBER(SEARCH("Rimborso",'Statements (Raw)'!D265)),"Redemption",IF(ISNUMBER(SEARCH("Cedola",'Statements (Raw)'!D265)),"Coupon",IF(ISNUMBER(SEARCH("Incasso Dividendi",'Statements (Raw)'!D265)),"Dividend",IF(ISNUMBER(SEARCH("Provento Etf",'Statements (Raw)'!D265)),"Distribution",IF(ISNUMBER(SEARCH("Rit.provento",'Statements (Raw)'!D265)),"Tax",IF(ISNUMBER(SEARCH("Ratei Pass",'Statements (Raw)'!D265)),"Accrued Int.",IF(ISNUMBER(SEARCH("Interessi Prest",'Statements (Raw)'!D265)),"Sec. Lending",IF('Statements (Raw)'!G265="","Other",IF('Statements (Raw)'!G265&gt;0,"Buy","Sell"))))))))))))))))))))))</f>
        <v>Sell</v>
      </c>
      <c r="E267" s="6" t="str">
        <f t="shared" si="8"/>
        <v>ETF/ETC</v>
      </c>
      <c r="F267" s="8">
        <f>IF(A267="","",IF('Statements (Raw)'!E265="","",'Statements (Raw)'!E265))</f>
        <v>38.695</v>
      </c>
      <c r="G267" s="6" t="str">
        <f>IF(A267="","",IF('Statements (Raw)'!F265="","",'Statements (Raw)'!F265))</f>
        <v>EUR</v>
      </c>
      <c r="H267" s="9">
        <f>IF(A267="","",IF('Statements (Raw)'!G265="","",'Statements (Raw)'!G265))</f>
        <v>-99</v>
      </c>
      <c r="I267" s="10">
        <f>IF(A267="","",IF('Statements (Raw)'!H265="","",'Statements (Raw)'!H265))</f>
        <v>3830.81</v>
      </c>
      <c r="J267" s="10">
        <f>IF(A267="",0,IF('Statements (Raw)'!I265="",0,'Statements (Raw)'!I265))</f>
        <v>0</v>
      </c>
      <c r="K267" s="10">
        <f t="shared" si="9"/>
        <v>3830.81</v>
      </c>
    </row>
    <row r="268" spans="1:11" x14ac:dyDescent="0.3">
      <c r="A268" s="171">
        <f>IF(OR('Statements (Raw)'!A266="",'Statements (Raw)'!A266&gt;Holdings!$G$3),"",'Statements (Raw)'!A266)</f>
        <v>45953</v>
      </c>
      <c r="B268" s="7">
        <f>IF(A268="","",IF('Statements (Raw)'!B266="","",'Statements (Raw)'!B266))</f>
        <v>45957</v>
      </c>
      <c r="C268" s="6" t="str">
        <f>IF(A268="","",IF('Statements (Raw)'!C266&lt;&gt;"",'Statements (Raw)'!C266,IF(ISNUMBER(SEARCH("Conferimento",'Statements (Raw)'!D266)),"CASH DEPOSIT",IF(ISNUMBER(SEARCH("Prelievo",'Statements (Raw)'!D266)),"CASH WITHDRAWAL",IF(ISNUMBER(SEARCH("Bollo",'Statements (Raw)'!D266)),"STAMP DUTY",IF(ISNUMBER(SEARCH("Tobin Tax",'Statements (Raw)'!D266)),"TOBIN TAX",IF(ISNUMBER(SEARCH("Rit.provento",'Statements (Raw)'!D266)),"WITHHOLDING TAX",IF(ISNUMBER(SEARCH("Incasso Dividendi",'Statements (Raw)'!D266)),"DIVIDEND",IF(ISNUMBER(SEARCH("Cedola",'Statements (Raw)'!D266)),"COUPON",IF(ISNUMBER(SEARCH("Ratei Pass",'Statements (Raw)'!D266)),"ACCRUED INT",IF(ISNUMBER(SEARCH("Interessi Prest",'Statements (Raw)'!D266)),"SEC LENDING",IF(ISNUMBER(SEARCH("Rimborso",'Statements (Raw)'!D266)),"REDEMPTION",IF(ISNUMBER(SEARCH("Provento",'Statements (Raw)'!D266)),"DISTRIBUTION","OTHER")))))))))))))</f>
        <v>WISDOMTREE CORE PHYSICAL GOLD</v>
      </c>
      <c r="D268" s="6" t="str">
        <f>IF(A268="","",IF(C268="Saldo Iniziale","Balance",IF(C268="CASH DEPOSIT","Deposit",IF(C268="CASH WITHDRAWAL","Withdrawal",IF(C268="STAMP DUTY","Tax",IF(C268="TOBIN TAX","Tax",IF(C268="WITHHOLDING TAX","Tax",IF(C268="DIVIDEND","Dividend",IF(C268="COUPON","Coupon",IF(C268="ACCRUED INT","Accrued Int.",IF(C268="SEC LENDING","Sec. Lending",IF(C268="REDEMPTION","Redemption",IF(C268="DISTRIBUTION","Distribution",IF(ISNUMBER(SEARCH("Rimborso",'Statements (Raw)'!D266)),"Redemption",IF(ISNUMBER(SEARCH("Cedola",'Statements (Raw)'!D266)),"Coupon",IF(ISNUMBER(SEARCH("Incasso Dividendi",'Statements (Raw)'!D266)),"Dividend",IF(ISNUMBER(SEARCH("Provento Etf",'Statements (Raw)'!D266)),"Distribution",IF(ISNUMBER(SEARCH("Rit.provento",'Statements (Raw)'!D266)),"Tax",IF(ISNUMBER(SEARCH("Ratei Pass",'Statements (Raw)'!D266)),"Accrued Int.",IF(ISNUMBER(SEARCH("Interessi Prest",'Statements (Raw)'!D266)),"Sec. Lending",IF('Statements (Raw)'!G266="","Other",IF('Statements (Raw)'!G266&gt;0,"Buy","Sell"))))))))))))))))))))))</f>
        <v>Sell</v>
      </c>
      <c r="E268" s="6" t="str">
        <f t="shared" si="8"/>
        <v>ETF/ETC</v>
      </c>
      <c r="F268" s="8">
        <f>IF(A268="","",IF('Statements (Raw)'!E266="","",'Statements (Raw)'!E266))</f>
        <v>352.97</v>
      </c>
      <c r="G268" s="6" t="str">
        <f>IF(A268="","",IF('Statements (Raw)'!F266="","",'Statements (Raw)'!F266))</f>
        <v>EUR</v>
      </c>
      <c r="H268" s="9">
        <f>IF(A268="","",IF('Statements (Raw)'!G266="","",'Statements (Raw)'!G266))</f>
        <v>-10</v>
      </c>
      <c r="I268" s="10">
        <f>IF(A268="","",IF('Statements (Raw)'!H266="","",'Statements (Raw)'!H266))</f>
        <v>3529.7</v>
      </c>
      <c r="J268" s="10">
        <f>IF(A268="",0,IF('Statements (Raw)'!I266="",0,'Statements (Raw)'!I266))</f>
        <v>-5</v>
      </c>
      <c r="K268" s="10">
        <f t="shared" si="9"/>
        <v>3524.7</v>
      </c>
    </row>
    <row r="269" spans="1:11" x14ac:dyDescent="0.3">
      <c r="A269" s="171">
        <f>IF(OR('Statements (Raw)'!A267="",'Statements (Raw)'!A267&gt;Holdings!$G$3),"",'Statements (Raw)'!A267)</f>
        <v>45953</v>
      </c>
      <c r="B269" s="7">
        <f>IF(A269="","",IF('Statements (Raw)'!B267="","",'Statements (Raw)'!B267))</f>
        <v>45957</v>
      </c>
      <c r="C269" s="6" t="str">
        <f>IF(A269="","",IF('Statements (Raw)'!C267&lt;&gt;"",'Statements (Raw)'!C267,IF(ISNUMBER(SEARCH("Conferimento",'Statements (Raw)'!D267)),"CASH DEPOSIT",IF(ISNUMBER(SEARCH("Prelievo",'Statements (Raw)'!D267)),"CASH WITHDRAWAL",IF(ISNUMBER(SEARCH("Bollo",'Statements (Raw)'!D267)),"STAMP DUTY",IF(ISNUMBER(SEARCH("Tobin Tax",'Statements (Raw)'!D267)),"TOBIN TAX",IF(ISNUMBER(SEARCH("Rit.provento",'Statements (Raw)'!D267)),"WITHHOLDING TAX",IF(ISNUMBER(SEARCH("Incasso Dividendi",'Statements (Raw)'!D267)),"DIVIDEND",IF(ISNUMBER(SEARCH("Cedola",'Statements (Raw)'!D267)),"COUPON",IF(ISNUMBER(SEARCH("Ratei Pass",'Statements (Raw)'!D267)),"ACCRUED INT",IF(ISNUMBER(SEARCH("Interessi Prest",'Statements (Raw)'!D267)),"SEC LENDING",IF(ISNUMBER(SEARCH("Rimborso",'Statements (Raw)'!D267)),"REDEMPTION",IF(ISNUMBER(SEARCH("Provento",'Statements (Raw)'!D267)),"DISTRIBUTION","OTHER")))))))))))))</f>
        <v>WISDOMTREE CORE PHYSICAL GOLD</v>
      </c>
      <c r="D269" s="6" t="str">
        <f>IF(A269="","",IF(C269="Saldo Iniziale","Balance",IF(C269="CASH DEPOSIT","Deposit",IF(C269="CASH WITHDRAWAL","Withdrawal",IF(C269="STAMP DUTY","Tax",IF(C269="TOBIN TAX","Tax",IF(C269="WITHHOLDING TAX","Tax",IF(C269="DIVIDEND","Dividend",IF(C269="COUPON","Coupon",IF(C269="ACCRUED INT","Accrued Int.",IF(C269="SEC LENDING","Sec. Lending",IF(C269="REDEMPTION","Redemption",IF(C269="DISTRIBUTION","Distribution",IF(ISNUMBER(SEARCH("Rimborso",'Statements (Raw)'!D267)),"Redemption",IF(ISNUMBER(SEARCH("Cedola",'Statements (Raw)'!D267)),"Coupon",IF(ISNUMBER(SEARCH("Incasso Dividendi",'Statements (Raw)'!D267)),"Dividend",IF(ISNUMBER(SEARCH("Provento Etf",'Statements (Raw)'!D267)),"Distribution",IF(ISNUMBER(SEARCH("Rit.provento",'Statements (Raw)'!D267)),"Tax",IF(ISNUMBER(SEARCH("Ratei Pass",'Statements (Raw)'!D267)),"Accrued Int.",IF(ISNUMBER(SEARCH("Interessi Prest",'Statements (Raw)'!D267)),"Sec. Lending",IF('Statements (Raw)'!G267="","Other",IF('Statements (Raw)'!G267&gt;0,"Buy","Sell"))))))))))))))))))))))</f>
        <v>Sell</v>
      </c>
      <c r="E269" s="6" t="str">
        <f t="shared" si="8"/>
        <v>ETF/ETC</v>
      </c>
      <c r="F269" s="8">
        <f>IF(A269="","",IF('Statements (Raw)'!E267="","",'Statements (Raw)'!E267))</f>
        <v>352.97</v>
      </c>
      <c r="G269" s="6" t="str">
        <f>IF(A269="","",IF('Statements (Raw)'!F267="","",'Statements (Raw)'!F267))</f>
        <v>EUR</v>
      </c>
      <c r="H269" s="9">
        <f>IF(A269="","",IF('Statements (Raw)'!G267="","",'Statements (Raw)'!G267))</f>
        <v>-46</v>
      </c>
      <c r="I269" s="10">
        <f>IF(A269="","",IF('Statements (Raw)'!H267="","",'Statements (Raw)'!H267))</f>
        <v>16236.62</v>
      </c>
      <c r="J269" s="10">
        <f>IF(A269="",0,IF('Statements (Raw)'!I267="",0,'Statements (Raw)'!I267))</f>
        <v>0</v>
      </c>
      <c r="K269" s="10">
        <f t="shared" si="9"/>
        <v>16236.62</v>
      </c>
    </row>
    <row r="270" spans="1:11" x14ac:dyDescent="0.3">
      <c r="A270" s="171">
        <f>IF(OR('Statements (Raw)'!A268="",'Statements (Raw)'!A268&gt;Holdings!$G$3),"",'Statements (Raw)'!A268)</f>
        <v>45953</v>
      </c>
      <c r="B270" s="7">
        <f>IF(A270="","",IF('Statements (Raw)'!B268="","",'Statements (Raw)'!B268))</f>
        <v>45957</v>
      </c>
      <c r="C270" s="6" t="str">
        <f>IF(A270="","",IF('Statements (Raw)'!C268&lt;&gt;"",'Statements (Raw)'!C268,IF(ISNUMBER(SEARCH("Conferimento",'Statements (Raw)'!D268)),"CASH DEPOSIT",IF(ISNUMBER(SEARCH("Prelievo",'Statements (Raw)'!D268)),"CASH WITHDRAWAL",IF(ISNUMBER(SEARCH("Bollo",'Statements (Raw)'!D268)),"STAMP DUTY",IF(ISNUMBER(SEARCH("Tobin Tax",'Statements (Raw)'!D268)),"TOBIN TAX",IF(ISNUMBER(SEARCH("Rit.provento",'Statements (Raw)'!D268)),"WITHHOLDING TAX",IF(ISNUMBER(SEARCH("Incasso Dividendi",'Statements (Raw)'!D268)),"DIVIDEND",IF(ISNUMBER(SEARCH("Cedola",'Statements (Raw)'!D268)),"COUPON",IF(ISNUMBER(SEARCH("Ratei Pass",'Statements (Raw)'!D268)),"ACCRUED INT",IF(ISNUMBER(SEARCH("Interessi Prest",'Statements (Raw)'!D268)),"SEC LENDING",IF(ISNUMBER(SEARCH("Rimborso",'Statements (Raw)'!D268)),"REDEMPTION",IF(ISNUMBER(SEARCH("Provento",'Statements (Raw)'!D268)),"DISTRIBUTION","OTHER")))))))))))))</f>
        <v>WisdomTree Europe Defence UCIT</v>
      </c>
      <c r="D270" s="6" t="str">
        <f>IF(A270="","",IF(C270="Saldo Iniziale","Balance",IF(C270="CASH DEPOSIT","Deposit",IF(C270="CASH WITHDRAWAL","Withdrawal",IF(C270="STAMP DUTY","Tax",IF(C270="TOBIN TAX","Tax",IF(C270="WITHHOLDING TAX","Tax",IF(C270="DIVIDEND","Dividend",IF(C270="COUPON","Coupon",IF(C270="ACCRUED INT","Accrued Int.",IF(C270="SEC LENDING","Sec. Lending",IF(C270="REDEMPTION","Redemption",IF(C270="DISTRIBUTION","Distribution",IF(ISNUMBER(SEARCH("Rimborso",'Statements (Raw)'!D268)),"Redemption",IF(ISNUMBER(SEARCH("Cedola",'Statements (Raw)'!D268)),"Coupon",IF(ISNUMBER(SEARCH("Incasso Dividendi",'Statements (Raw)'!D268)),"Dividend",IF(ISNUMBER(SEARCH("Provento Etf",'Statements (Raw)'!D268)),"Distribution",IF(ISNUMBER(SEARCH("Rit.provento",'Statements (Raw)'!D268)),"Tax",IF(ISNUMBER(SEARCH("Ratei Pass",'Statements (Raw)'!D268)),"Accrued Int.",IF(ISNUMBER(SEARCH("Interessi Prest",'Statements (Raw)'!D268)),"Sec. Lending",IF('Statements (Raw)'!G268="","Other",IF('Statements (Raw)'!G268&gt;0,"Buy","Sell"))))))))))))))))))))))</f>
        <v>Buy</v>
      </c>
      <c r="E270" s="6" t="str">
        <f t="shared" si="8"/>
        <v>ETF/ETC</v>
      </c>
      <c r="F270" s="8">
        <f>IF(A270="","",IF('Statements (Raw)'!E268="","",'Statements (Raw)'!E268))</f>
        <v>31.94</v>
      </c>
      <c r="G270" s="6" t="str">
        <f>IF(A270="","",IF('Statements (Raw)'!F268="","",'Statements (Raw)'!F268))</f>
        <v>EUR</v>
      </c>
      <c r="H270" s="9">
        <f>IF(A270="","",IF('Statements (Raw)'!G268="","",'Statements (Raw)'!G268))</f>
        <v>31</v>
      </c>
      <c r="I270" s="10">
        <f>IF(A270="","",IF('Statements (Raw)'!H268="","",'Statements (Raw)'!H268))</f>
        <v>-990.14</v>
      </c>
      <c r="J270" s="10">
        <f>IF(A270="",0,IF('Statements (Raw)'!I268="",0,'Statements (Raw)'!I268))</f>
        <v>0</v>
      </c>
      <c r="K270" s="10">
        <f t="shared" si="9"/>
        <v>-990.14</v>
      </c>
    </row>
    <row r="271" spans="1:11" x14ac:dyDescent="0.3">
      <c r="A271" s="171">
        <f>IF(OR('Statements (Raw)'!A269="",'Statements (Raw)'!A269&gt;Holdings!$G$3),"",'Statements (Raw)'!A269)</f>
        <v>45953</v>
      </c>
      <c r="B271" s="7">
        <f>IF(A271="","",IF('Statements (Raw)'!B269="","",'Statements (Raw)'!B269))</f>
        <v>45957</v>
      </c>
      <c r="C271" s="6" t="str">
        <f>IF(A271="","",IF('Statements (Raw)'!C269&lt;&gt;"",'Statements (Raw)'!C269,IF(ISNUMBER(SEARCH("Conferimento",'Statements (Raw)'!D269)),"CASH DEPOSIT",IF(ISNUMBER(SEARCH("Prelievo",'Statements (Raw)'!D269)),"CASH WITHDRAWAL",IF(ISNUMBER(SEARCH("Bollo",'Statements (Raw)'!D269)),"STAMP DUTY",IF(ISNUMBER(SEARCH("Tobin Tax",'Statements (Raw)'!D269)),"TOBIN TAX",IF(ISNUMBER(SEARCH("Rit.provento",'Statements (Raw)'!D269)),"WITHHOLDING TAX",IF(ISNUMBER(SEARCH("Incasso Dividendi",'Statements (Raw)'!D269)),"DIVIDEND",IF(ISNUMBER(SEARCH("Cedola",'Statements (Raw)'!D269)),"COUPON",IF(ISNUMBER(SEARCH("Ratei Pass",'Statements (Raw)'!D269)),"ACCRUED INT",IF(ISNUMBER(SEARCH("Interessi Prest",'Statements (Raw)'!D269)),"SEC LENDING",IF(ISNUMBER(SEARCH("Rimborso",'Statements (Raw)'!D269)),"REDEMPTION",IF(ISNUMBER(SEARCH("Provento",'Statements (Raw)'!D269)),"DISTRIBUTION","OTHER")))))))))))))</f>
        <v>ISHARES FTSE MIB UCITS ETF EUR</v>
      </c>
      <c r="D271" s="6" t="str">
        <f>IF(A271="","",IF(C271="Saldo Iniziale","Balance",IF(C271="CASH DEPOSIT","Deposit",IF(C271="CASH WITHDRAWAL","Withdrawal",IF(C271="STAMP DUTY","Tax",IF(C271="TOBIN TAX","Tax",IF(C271="WITHHOLDING TAX","Tax",IF(C271="DIVIDEND","Dividend",IF(C271="COUPON","Coupon",IF(C271="ACCRUED INT","Accrued Int.",IF(C271="SEC LENDING","Sec. Lending",IF(C271="REDEMPTION","Redemption",IF(C271="DISTRIBUTION","Distribution",IF(ISNUMBER(SEARCH("Rimborso",'Statements (Raw)'!D269)),"Redemption",IF(ISNUMBER(SEARCH("Cedola",'Statements (Raw)'!D269)),"Coupon",IF(ISNUMBER(SEARCH("Incasso Dividendi",'Statements (Raw)'!D269)),"Dividend",IF(ISNUMBER(SEARCH("Provento Etf",'Statements (Raw)'!D269)),"Distribution",IF(ISNUMBER(SEARCH("Rit.provento",'Statements (Raw)'!D269)),"Tax",IF(ISNUMBER(SEARCH("Ratei Pass",'Statements (Raw)'!D269)),"Accrued Int.",IF(ISNUMBER(SEARCH("Interessi Prest",'Statements (Raw)'!D269)),"Sec. Lending",IF('Statements (Raw)'!G269="","Other",IF('Statements (Raw)'!G269&gt;0,"Buy","Sell"))))))))))))))))))))))</f>
        <v>Buy</v>
      </c>
      <c r="E271" s="6" t="str">
        <f t="shared" si="8"/>
        <v>ETF/ETC</v>
      </c>
      <c r="F271" s="8">
        <f>IF(A271="","",IF('Statements (Raw)'!E269="","",'Statements (Raw)'!E269))</f>
        <v>203</v>
      </c>
      <c r="G271" s="6" t="str">
        <f>IF(A271="","",IF('Statements (Raw)'!F269="","",'Statements (Raw)'!F269))</f>
        <v>EUR</v>
      </c>
      <c r="H271" s="9">
        <f>IF(A271="","",IF('Statements (Raw)'!G269="","",'Statements (Raw)'!G269))</f>
        <v>12</v>
      </c>
      <c r="I271" s="10">
        <f>IF(A271="","",IF('Statements (Raw)'!H269="","",'Statements (Raw)'!H269))</f>
        <v>-2436</v>
      </c>
      <c r="J271" s="10">
        <f>IF(A271="",0,IF('Statements (Raw)'!I269="",0,'Statements (Raw)'!I269))</f>
        <v>0</v>
      </c>
      <c r="K271" s="10">
        <f t="shared" si="9"/>
        <v>-2436</v>
      </c>
    </row>
    <row r="272" spans="1:11" x14ac:dyDescent="0.3">
      <c r="A272" s="171">
        <f>IF(OR('Statements (Raw)'!A270="",'Statements (Raw)'!A270&gt;Holdings!$G$3),"",'Statements (Raw)'!A270)</f>
        <v>45953</v>
      </c>
      <c r="B272" s="7">
        <f>IF(A272="","",IF('Statements (Raw)'!B270="","",'Statements (Raw)'!B270))</f>
        <v>45957</v>
      </c>
      <c r="C272" s="6" t="str">
        <f>IF(A272="","",IF('Statements (Raw)'!C270&lt;&gt;"",'Statements (Raw)'!C270,IF(ISNUMBER(SEARCH("Conferimento",'Statements (Raw)'!D270)),"CASH DEPOSIT",IF(ISNUMBER(SEARCH("Prelievo",'Statements (Raw)'!D270)),"CASH WITHDRAWAL",IF(ISNUMBER(SEARCH("Bollo",'Statements (Raw)'!D270)),"STAMP DUTY",IF(ISNUMBER(SEARCH("Tobin Tax",'Statements (Raw)'!D270)),"TOBIN TAX",IF(ISNUMBER(SEARCH("Rit.provento",'Statements (Raw)'!D270)),"WITHHOLDING TAX",IF(ISNUMBER(SEARCH("Incasso Dividendi",'Statements (Raw)'!D270)),"DIVIDEND",IF(ISNUMBER(SEARCH("Cedola",'Statements (Raw)'!D270)),"COUPON",IF(ISNUMBER(SEARCH("Ratei Pass",'Statements (Raw)'!D270)),"ACCRUED INT",IF(ISNUMBER(SEARCH("Interessi Prest",'Statements (Raw)'!D270)),"SEC LENDING",IF(ISNUMBER(SEARCH("Rimborso",'Statements (Raw)'!D270)),"REDEMPTION",IF(ISNUMBER(SEARCH("Provento",'Statements (Raw)'!D270)),"DISTRIBUTION","OTHER")))))))))))))</f>
        <v>WISDOMTREE CORE PHYSICAL GOLD</v>
      </c>
      <c r="D272" s="6" t="str">
        <f>IF(A272="","",IF(C272="Saldo Iniziale","Balance",IF(C272="CASH DEPOSIT","Deposit",IF(C272="CASH WITHDRAWAL","Withdrawal",IF(C272="STAMP DUTY","Tax",IF(C272="TOBIN TAX","Tax",IF(C272="WITHHOLDING TAX","Tax",IF(C272="DIVIDEND","Dividend",IF(C272="COUPON","Coupon",IF(C272="ACCRUED INT","Accrued Int.",IF(C272="SEC LENDING","Sec. Lending",IF(C272="REDEMPTION","Redemption",IF(C272="DISTRIBUTION","Distribution",IF(ISNUMBER(SEARCH("Rimborso",'Statements (Raw)'!D270)),"Redemption",IF(ISNUMBER(SEARCH("Cedola",'Statements (Raw)'!D270)),"Coupon",IF(ISNUMBER(SEARCH("Incasso Dividendi",'Statements (Raw)'!D270)),"Dividend",IF(ISNUMBER(SEARCH("Provento Etf",'Statements (Raw)'!D270)),"Distribution",IF(ISNUMBER(SEARCH("Rit.provento",'Statements (Raw)'!D270)),"Tax",IF(ISNUMBER(SEARCH("Ratei Pass",'Statements (Raw)'!D270)),"Accrued Int.",IF(ISNUMBER(SEARCH("Interessi Prest",'Statements (Raw)'!D270)),"Sec. Lending",IF('Statements (Raw)'!G270="","Other",IF('Statements (Raw)'!G270&gt;0,"Buy","Sell"))))))))))))))))))))))</f>
        <v>Buy</v>
      </c>
      <c r="E272" s="6" t="str">
        <f t="shared" si="8"/>
        <v>ETF/ETC</v>
      </c>
      <c r="F272" s="8">
        <f>IF(A272="","",IF('Statements (Raw)'!E270="","",'Statements (Raw)'!E270))</f>
        <v>355.06</v>
      </c>
      <c r="G272" s="6" t="str">
        <f>IF(A272="","",IF('Statements (Raw)'!F270="","",'Statements (Raw)'!F270))</f>
        <v>EUR</v>
      </c>
      <c r="H272" s="9">
        <f>IF(A272="","",IF('Statements (Raw)'!G270="","",'Statements (Raw)'!G270))</f>
        <v>2</v>
      </c>
      <c r="I272" s="10">
        <f>IF(A272="","",IF('Statements (Raw)'!H270="","",'Statements (Raw)'!H270))</f>
        <v>-710.12</v>
      </c>
      <c r="J272" s="10">
        <f>IF(A272="",0,IF('Statements (Raw)'!I270="",0,'Statements (Raw)'!I270))</f>
        <v>0</v>
      </c>
      <c r="K272" s="10">
        <f t="shared" si="9"/>
        <v>-710.12</v>
      </c>
    </row>
    <row r="273" spans="1:11" x14ac:dyDescent="0.3">
      <c r="A273" s="171">
        <f>IF(OR('Statements (Raw)'!A271="",'Statements (Raw)'!A271&gt;Holdings!$G$3),"",'Statements (Raw)'!A271)</f>
        <v>45953</v>
      </c>
      <c r="B273" s="7">
        <f>IF(A273="","",IF('Statements (Raw)'!B271="","",'Statements (Raw)'!B271))</f>
        <v>45957</v>
      </c>
      <c r="C273" s="6" t="str">
        <f>IF(A273="","",IF('Statements (Raw)'!C271&lt;&gt;"",'Statements (Raw)'!C271,IF(ISNUMBER(SEARCH("Conferimento",'Statements (Raw)'!D271)),"CASH DEPOSIT",IF(ISNUMBER(SEARCH("Prelievo",'Statements (Raw)'!D271)),"CASH WITHDRAWAL",IF(ISNUMBER(SEARCH("Bollo",'Statements (Raw)'!D271)),"STAMP DUTY",IF(ISNUMBER(SEARCH("Tobin Tax",'Statements (Raw)'!D271)),"TOBIN TAX",IF(ISNUMBER(SEARCH("Rit.provento",'Statements (Raw)'!D271)),"WITHHOLDING TAX",IF(ISNUMBER(SEARCH("Incasso Dividendi",'Statements (Raw)'!D271)),"DIVIDEND",IF(ISNUMBER(SEARCH("Cedola",'Statements (Raw)'!D271)),"COUPON",IF(ISNUMBER(SEARCH("Ratei Pass",'Statements (Raw)'!D271)),"ACCRUED INT",IF(ISNUMBER(SEARCH("Interessi Prest",'Statements (Raw)'!D271)),"SEC LENDING",IF(ISNUMBER(SEARCH("Rimborso",'Statements (Raw)'!D271)),"REDEMPTION",IF(ISNUMBER(SEARCH("Provento",'Statements (Raw)'!D271)),"DISTRIBUTION","OTHER")))))))))))))</f>
        <v>TOBIN TAX</v>
      </c>
      <c r="D273" s="6" t="str">
        <f>IF(A273="","",IF(C273="Saldo Iniziale","Balance",IF(C273="CASH DEPOSIT","Deposit",IF(C273="CASH WITHDRAWAL","Withdrawal",IF(C273="STAMP DUTY","Tax",IF(C273="TOBIN TAX","Tax",IF(C273="WITHHOLDING TAX","Tax",IF(C273="DIVIDEND","Dividend",IF(C273="COUPON","Coupon",IF(C273="ACCRUED INT","Accrued Int.",IF(C273="SEC LENDING","Sec. Lending",IF(C273="REDEMPTION","Redemption",IF(C273="DISTRIBUTION","Distribution",IF(ISNUMBER(SEARCH("Rimborso",'Statements (Raw)'!D271)),"Redemption",IF(ISNUMBER(SEARCH("Cedola",'Statements (Raw)'!D271)),"Coupon",IF(ISNUMBER(SEARCH("Incasso Dividendi",'Statements (Raw)'!D271)),"Dividend",IF(ISNUMBER(SEARCH("Provento Etf",'Statements (Raw)'!D271)),"Distribution",IF(ISNUMBER(SEARCH("Rit.provento",'Statements (Raw)'!D271)),"Tax",IF(ISNUMBER(SEARCH("Ratei Pass",'Statements (Raw)'!D271)),"Accrued Int.",IF(ISNUMBER(SEARCH("Interessi Prest",'Statements (Raw)'!D271)),"Sec. Lending",IF('Statements (Raw)'!G271="","Other",IF('Statements (Raw)'!G271&gt;0,"Buy","Sell"))))))))))))))))))))))</f>
        <v>Tax</v>
      </c>
      <c r="E273" s="6" t="str">
        <f t="shared" si="8"/>
        <v>Tax/Fee</v>
      </c>
      <c r="F273" s="8" t="str">
        <f>IF(A273="","",IF('Statements (Raw)'!E271="","",'Statements (Raw)'!E271))</f>
        <v/>
      </c>
      <c r="G273" s="6" t="str">
        <f>IF(A273="","",IF('Statements (Raw)'!F271="","",'Statements (Raw)'!F271))</f>
        <v/>
      </c>
      <c r="H273" s="9" t="str">
        <f>IF(A273="","",IF('Statements (Raw)'!G271="","",'Statements (Raw)'!G271))</f>
        <v/>
      </c>
      <c r="I273" s="10">
        <f>IF(A273="","",IF('Statements (Raw)'!H271="","",'Statements (Raw)'!H271))</f>
        <v>-3.42</v>
      </c>
      <c r="J273" s="10">
        <f>IF(A273="",0,IF('Statements (Raw)'!I271="",0,'Statements (Raw)'!I271))</f>
        <v>0</v>
      </c>
      <c r="K273" s="10">
        <f t="shared" si="9"/>
        <v>-3.42</v>
      </c>
    </row>
    <row r="274" spans="1:11" x14ac:dyDescent="0.3">
      <c r="A274" s="171">
        <f>IF(OR('Statements (Raw)'!A272="",'Statements (Raw)'!A272&gt;Holdings!$G$3),"",'Statements (Raw)'!A272)</f>
        <v>45954</v>
      </c>
      <c r="B274" s="7">
        <f>IF(A274="","",IF('Statements (Raw)'!B272="","",'Statements (Raw)'!B272))</f>
        <v>45954</v>
      </c>
      <c r="C274" s="6" t="str">
        <f>IF(A274="","",IF('Statements (Raw)'!C272&lt;&gt;"",'Statements (Raw)'!C272,IF(ISNUMBER(SEARCH("Conferimento",'Statements (Raw)'!D272)),"CASH DEPOSIT",IF(ISNUMBER(SEARCH("Prelievo",'Statements (Raw)'!D272)),"CASH WITHDRAWAL",IF(ISNUMBER(SEARCH("Bollo",'Statements (Raw)'!D272)),"STAMP DUTY",IF(ISNUMBER(SEARCH("Tobin Tax",'Statements (Raw)'!D272)),"TOBIN TAX",IF(ISNUMBER(SEARCH("Rit.provento",'Statements (Raw)'!D272)),"WITHHOLDING TAX",IF(ISNUMBER(SEARCH("Incasso Dividendi",'Statements (Raw)'!D272)),"DIVIDEND",IF(ISNUMBER(SEARCH("Cedola",'Statements (Raw)'!D272)),"COUPON",IF(ISNUMBER(SEARCH("Ratei Pass",'Statements (Raw)'!D272)),"ACCRUED INT",IF(ISNUMBER(SEARCH("Interessi Prest",'Statements (Raw)'!D272)),"SEC LENDING",IF(ISNUMBER(SEARCH("Rimborso",'Statements (Raw)'!D272)),"REDEMPTION",IF(ISNUMBER(SEARCH("Provento",'Statements (Raw)'!D272)),"DISTRIBUTION","OTHER")))))))))))))</f>
        <v>ORACLE CORP</v>
      </c>
      <c r="D274" s="6" t="str">
        <f>IF(A274="","",IF(C274="Saldo Iniziale","Balance",IF(C274="CASH DEPOSIT","Deposit",IF(C274="CASH WITHDRAWAL","Withdrawal",IF(C274="STAMP DUTY","Tax",IF(C274="TOBIN TAX","Tax",IF(C274="WITHHOLDING TAX","Tax",IF(C274="DIVIDEND","Dividend",IF(C274="COUPON","Coupon",IF(C274="ACCRUED INT","Accrued Int.",IF(C274="SEC LENDING","Sec. Lending",IF(C274="REDEMPTION","Redemption",IF(C274="DISTRIBUTION","Distribution",IF(ISNUMBER(SEARCH("Rimborso",'Statements (Raw)'!D272)),"Redemption",IF(ISNUMBER(SEARCH("Cedola",'Statements (Raw)'!D272)),"Coupon",IF(ISNUMBER(SEARCH("Incasso Dividendi",'Statements (Raw)'!D272)),"Dividend",IF(ISNUMBER(SEARCH("Provento Etf",'Statements (Raw)'!D272)),"Distribution",IF(ISNUMBER(SEARCH("Rit.provento",'Statements (Raw)'!D272)),"Tax",IF(ISNUMBER(SEARCH("Ratei Pass",'Statements (Raw)'!D272)),"Accrued Int.",IF(ISNUMBER(SEARCH("Interessi Prest",'Statements (Raw)'!D272)),"Sec. Lending",IF('Statements (Raw)'!G272="","Other",IF('Statements (Raw)'!G272&gt;0,"Buy","Sell"))))))))))))))))))))))</f>
        <v>Dividend</v>
      </c>
      <c r="E274" s="6" t="str">
        <f t="shared" si="8"/>
        <v>Income</v>
      </c>
      <c r="F274" s="8" t="str">
        <f>IF(A274="","",IF('Statements (Raw)'!E272="","",'Statements (Raw)'!E272))</f>
        <v/>
      </c>
      <c r="G274" s="6" t="str">
        <f>IF(A274="","",IF('Statements (Raw)'!F272="","",'Statements (Raw)'!F272))</f>
        <v/>
      </c>
      <c r="H274" s="9" t="str">
        <f>IF(A274="","",IF('Statements (Raw)'!G272="","",'Statements (Raw)'!G272))</f>
        <v/>
      </c>
      <c r="I274" s="10">
        <f>IF(A274="","",IF('Statements (Raw)'!H272="","",'Statements (Raw)'!H272))</f>
        <v>20.12</v>
      </c>
      <c r="J274" s="10">
        <f>IF(A274="",0,IF('Statements (Raw)'!I272="",0,'Statements (Raw)'!I272))</f>
        <v>0</v>
      </c>
      <c r="K274" s="10">
        <f t="shared" si="9"/>
        <v>20.12</v>
      </c>
    </row>
    <row r="275" spans="1:11" x14ac:dyDescent="0.3">
      <c r="A275" s="171">
        <f>IF(OR('Statements (Raw)'!A273="",'Statements (Raw)'!A273&gt;Holdings!$G$3),"",'Statements (Raw)'!A273)</f>
        <v>45962</v>
      </c>
      <c r="B275" s="7" t="str">
        <f>IF(A275="","",IF('Statements (Raw)'!B273="","",'Statements (Raw)'!B273))</f>
        <v/>
      </c>
      <c r="C275" s="6" t="str">
        <f>IF(A275="","",IF('Statements (Raw)'!C273&lt;&gt;"",'Statements (Raw)'!C273,IF(ISNUMBER(SEARCH("Conferimento",'Statements (Raw)'!D273)),"CASH DEPOSIT",IF(ISNUMBER(SEARCH("Prelievo",'Statements (Raw)'!D273)),"CASH WITHDRAWAL",IF(ISNUMBER(SEARCH("Bollo",'Statements (Raw)'!D273)),"STAMP DUTY",IF(ISNUMBER(SEARCH("Tobin Tax",'Statements (Raw)'!D273)),"TOBIN TAX",IF(ISNUMBER(SEARCH("Rit.provento",'Statements (Raw)'!D273)),"WITHHOLDING TAX",IF(ISNUMBER(SEARCH("Incasso Dividendi",'Statements (Raw)'!D273)),"DIVIDEND",IF(ISNUMBER(SEARCH("Cedola",'Statements (Raw)'!D273)),"COUPON",IF(ISNUMBER(SEARCH("Ratei Pass",'Statements (Raw)'!D273)),"ACCRUED INT",IF(ISNUMBER(SEARCH("Interessi Prest",'Statements (Raw)'!D273)),"SEC LENDING",IF(ISNUMBER(SEARCH("Rimborso",'Statements (Raw)'!D273)),"REDEMPTION",IF(ISNUMBER(SEARCH("Provento",'Statements (Raw)'!D273)),"DISTRIBUTION","OTHER")))))))))))))</f>
        <v>Saldo Iniziale</v>
      </c>
      <c r="D275" s="6" t="str">
        <f>IF(A275="","",IF(C275="Saldo Iniziale","Balance",IF(C275="CASH DEPOSIT","Deposit",IF(C275="CASH WITHDRAWAL","Withdrawal",IF(C275="STAMP DUTY","Tax",IF(C275="TOBIN TAX","Tax",IF(C275="WITHHOLDING TAX","Tax",IF(C275="DIVIDEND","Dividend",IF(C275="COUPON","Coupon",IF(C275="ACCRUED INT","Accrued Int.",IF(C275="SEC LENDING","Sec. Lending",IF(C275="REDEMPTION","Redemption",IF(C275="DISTRIBUTION","Distribution",IF(ISNUMBER(SEARCH("Rimborso",'Statements (Raw)'!D273)),"Redemption",IF(ISNUMBER(SEARCH("Cedola",'Statements (Raw)'!D273)),"Coupon",IF(ISNUMBER(SEARCH("Incasso Dividendi",'Statements (Raw)'!D273)),"Dividend",IF(ISNUMBER(SEARCH("Provento Etf",'Statements (Raw)'!D273)),"Distribution",IF(ISNUMBER(SEARCH("Rit.provento",'Statements (Raw)'!D273)),"Tax",IF(ISNUMBER(SEARCH("Ratei Pass",'Statements (Raw)'!D273)),"Accrued Int.",IF(ISNUMBER(SEARCH("Interessi Prest",'Statements (Raw)'!D273)),"Sec. Lending",IF('Statements (Raw)'!G273="","Other",IF('Statements (Raw)'!G273&gt;0,"Buy","Sell"))))))))))))))))))))))</f>
        <v>Balance</v>
      </c>
      <c r="E275" s="6" t="str">
        <f t="shared" si="8"/>
        <v>Cash</v>
      </c>
      <c r="F275" s="8" t="str">
        <f>IF(A275="","",IF('Statements (Raw)'!E273="","",'Statements (Raw)'!E273))</f>
        <v/>
      </c>
      <c r="G275" s="6" t="str">
        <f>IF(A275="","",IF('Statements (Raw)'!F273="","",'Statements (Raw)'!F273))</f>
        <v/>
      </c>
      <c r="H275" s="9" t="str">
        <f>IF(A275="","",IF('Statements (Raw)'!G273="","",'Statements (Raw)'!G273))</f>
        <v/>
      </c>
      <c r="I275" s="10">
        <f>IF(A275="","",IF('Statements (Raw)'!H273="","",'Statements (Raw)'!H273))</f>
        <v>398586.78</v>
      </c>
      <c r="J275" s="10">
        <f>IF(A275="",0,IF('Statements (Raw)'!I273="",0,'Statements (Raw)'!I273))</f>
        <v>0</v>
      </c>
      <c r="K275" s="10">
        <f t="shared" si="9"/>
        <v>398586.78</v>
      </c>
    </row>
    <row r="276" spans="1:11" x14ac:dyDescent="0.3">
      <c r="A276" s="171">
        <f>IF(OR('Statements (Raw)'!A274="",'Statements (Raw)'!A274&gt;Holdings!$G$3),"",'Statements (Raw)'!A274)</f>
        <v>45964</v>
      </c>
      <c r="B276" s="7">
        <f>IF(A276="","",IF('Statements (Raw)'!B274="","",'Statements (Raw)'!B274))</f>
        <v>45966</v>
      </c>
      <c r="C276" s="6" t="str">
        <f>IF(A276="","",IF('Statements (Raw)'!C274&lt;&gt;"",'Statements (Raw)'!C274,IF(ISNUMBER(SEARCH("Conferimento",'Statements (Raw)'!D274)),"CASH DEPOSIT",IF(ISNUMBER(SEARCH("Prelievo",'Statements (Raw)'!D274)),"CASH WITHDRAWAL",IF(ISNUMBER(SEARCH("Bollo",'Statements (Raw)'!D274)),"STAMP DUTY",IF(ISNUMBER(SEARCH("Tobin Tax",'Statements (Raw)'!D274)),"TOBIN TAX",IF(ISNUMBER(SEARCH("Rit.provento",'Statements (Raw)'!D274)),"WITHHOLDING TAX",IF(ISNUMBER(SEARCH("Incasso Dividendi",'Statements (Raw)'!D274)),"DIVIDEND",IF(ISNUMBER(SEARCH("Cedola",'Statements (Raw)'!D274)),"COUPON",IF(ISNUMBER(SEARCH("Ratei Pass",'Statements (Raw)'!D274)),"ACCRUED INT",IF(ISNUMBER(SEARCH("Interessi Prest",'Statements (Raw)'!D274)),"SEC LENDING",IF(ISNUMBER(SEARCH("Rimborso",'Statements (Raw)'!D274)),"REDEMPTION",IF(ISNUMBER(SEARCH("Provento",'Statements (Raw)'!D274)),"DISTRIBUTION","OTHER")))))))))))))</f>
        <v>WisdomTree Europe Defence UCIT</v>
      </c>
      <c r="D276" s="6" t="str">
        <f>IF(A276="","",IF(C276="Saldo Iniziale","Balance",IF(C276="CASH DEPOSIT","Deposit",IF(C276="CASH WITHDRAWAL","Withdrawal",IF(C276="STAMP DUTY","Tax",IF(C276="TOBIN TAX","Tax",IF(C276="WITHHOLDING TAX","Tax",IF(C276="DIVIDEND","Dividend",IF(C276="COUPON","Coupon",IF(C276="ACCRUED INT","Accrued Int.",IF(C276="SEC LENDING","Sec. Lending",IF(C276="REDEMPTION","Redemption",IF(C276="DISTRIBUTION","Distribution",IF(ISNUMBER(SEARCH("Rimborso",'Statements (Raw)'!D274)),"Redemption",IF(ISNUMBER(SEARCH("Cedola",'Statements (Raw)'!D274)),"Coupon",IF(ISNUMBER(SEARCH("Incasso Dividendi",'Statements (Raw)'!D274)),"Dividend",IF(ISNUMBER(SEARCH("Provento Etf",'Statements (Raw)'!D274)),"Distribution",IF(ISNUMBER(SEARCH("Rit.provento",'Statements (Raw)'!D274)),"Tax",IF(ISNUMBER(SEARCH("Ratei Pass",'Statements (Raw)'!D274)),"Accrued Int.",IF(ISNUMBER(SEARCH("Interessi Prest",'Statements (Raw)'!D274)),"Sec. Lending",IF('Statements (Raw)'!G274="","Other",IF('Statements (Raw)'!G274&gt;0,"Buy","Sell"))))))))))))))))))))))</f>
        <v>Buy</v>
      </c>
      <c r="E276" s="6" t="str">
        <f t="shared" si="8"/>
        <v>ETF/ETC</v>
      </c>
      <c r="F276" s="8">
        <f>IF(A276="","",IF('Statements (Raw)'!E274="","",'Statements (Raw)'!E274))</f>
        <v>31.934999999999999</v>
      </c>
      <c r="G276" s="6" t="str">
        <f>IF(A276="","",IF('Statements (Raw)'!F274="","",'Statements (Raw)'!F274))</f>
        <v>EUR</v>
      </c>
      <c r="H276" s="9">
        <f>IF(A276="","",IF('Statements (Raw)'!G274="","",'Statements (Raw)'!G274))</f>
        <v>31</v>
      </c>
      <c r="I276" s="10">
        <f>IF(A276="","",IF('Statements (Raw)'!H274="","",'Statements (Raw)'!H274))</f>
        <v>-989.99</v>
      </c>
      <c r="J276" s="10">
        <f>IF(A276="",0,IF('Statements (Raw)'!I274="",0,'Statements (Raw)'!I274))</f>
        <v>0</v>
      </c>
      <c r="K276" s="10">
        <f t="shared" si="9"/>
        <v>-989.99</v>
      </c>
    </row>
    <row r="277" spans="1:11" x14ac:dyDescent="0.3">
      <c r="A277" s="171">
        <f>IF(OR('Statements (Raw)'!A275="",'Statements (Raw)'!A275&gt;Holdings!$G$3),"",'Statements (Raw)'!A275)</f>
        <v>45964</v>
      </c>
      <c r="B277" s="7">
        <f>IF(A277="","",IF('Statements (Raw)'!B275="","",'Statements (Raw)'!B275))</f>
        <v>45966</v>
      </c>
      <c r="C277" s="6" t="str">
        <f>IF(A277="","",IF('Statements (Raw)'!C275&lt;&gt;"",'Statements (Raw)'!C275,IF(ISNUMBER(SEARCH("Conferimento",'Statements (Raw)'!D275)),"CASH DEPOSIT",IF(ISNUMBER(SEARCH("Prelievo",'Statements (Raw)'!D275)),"CASH WITHDRAWAL",IF(ISNUMBER(SEARCH("Bollo",'Statements (Raw)'!D275)),"STAMP DUTY",IF(ISNUMBER(SEARCH("Tobin Tax",'Statements (Raw)'!D275)),"TOBIN TAX",IF(ISNUMBER(SEARCH("Rit.provento",'Statements (Raw)'!D275)),"WITHHOLDING TAX",IF(ISNUMBER(SEARCH("Incasso Dividendi",'Statements (Raw)'!D275)),"DIVIDEND",IF(ISNUMBER(SEARCH("Cedola",'Statements (Raw)'!D275)),"COUPON",IF(ISNUMBER(SEARCH("Ratei Pass",'Statements (Raw)'!D275)),"ACCRUED INT",IF(ISNUMBER(SEARCH("Interessi Prest",'Statements (Raw)'!D275)),"SEC LENDING",IF(ISNUMBER(SEARCH("Rimborso",'Statements (Raw)'!D275)),"REDEMPTION",IF(ISNUMBER(SEARCH("Provento",'Statements (Raw)'!D275)),"DISTRIBUTION","OTHER")))))))))))))</f>
        <v>ISHARES FTSE MIB UCITS ETF EUR</v>
      </c>
      <c r="D277" s="6" t="str">
        <f>IF(A277="","",IF(C277="Saldo Iniziale","Balance",IF(C277="CASH DEPOSIT","Deposit",IF(C277="CASH WITHDRAWAL","Withdrawal",IF(C277="STAMP DUTY","Tax",IF(C277="TOBIN TAX","Tax",IF(C277="WITHHOLDING TAX","Tax",IF(C277="DIVIDEND","Dividend",IF(C277="COUPON","Coupon",IF(C277="ACCRUED INT","Accrued Int.",IF(C277="SEC LENDING","Sec. Lending",IF(C277="REDEMPTION","Redemption",IF(C277="DISTRIBUTION","Distribution",IF(ISNUMBER(SEARCH("Rimborso",'Statements (Raw)'!D275)),"Redemption",IF(ISNUMBER(SEARCH("Cedola",'Statements (Raw)'!D275)),"Coupon",IF(ISNUMBER(SEARCH("Incasso Dividendi",'Statements (Raw)'!D275)),"Dividend",IF(ISNUMBER(SEARCH("Provento Etf",'Statements (Raw)'!D275)),"Distribution",IF(ISNUMBER(SEARCH("Rit.provento",'Statements (Raw)'!D275)),"Tax",IF(ISNUMBER(SEARCH("Ratei Pass",'Statements (Raw)'!D275)),"Accrued Int.",IF(ISNUMBER(SEARCH("Interessi Prest",'Statements (Raw)'!D275)),"Sec. Lending",IF('Statements (Raw)'!G275="","Other",IF('Statements (Raw)'!G275&gt;0,"Buy","Sell"))))))))))))))))))))))</f>
        <v>Buy</v>
      </c>
      <c r="E277" s="6" t="str">
        <f t="shared" si="8"/>
        <v>ETF/ETC</v>
      </c>
      <c r="F277" s="8">
        <f>IF(A277="","",IF('Statements (Raw)'!E275="","",'Statements (Raw)'!E275))</f>
        <v>207</v>
      </c>
      <c r="G277" s="6" t="str">
        <f>IF(A277="","",IF('Statements (Raw)'!F275="","",'Statements (Raw)'!F275))</f>
        <v>EUR</v>
      </c>
      <c r="H277" s="9">
        <f>IF(A277="","",IF('Statements (Raw)'!G275="","",'Statements (Raw)'!G275))</f>
        <v>12</v>
      </c>
      <c r="I277" s="10">
        <f>IF(A277="","",IF('Statements (Raw)'!H275="","",'Statements (Raw)'!H275))</f>
        <v>-2484</v>
      </c>
      <c r="J277" s="10">
        <f>IF(A277="",0,IF('Statements (Raw)'!I275="",0,'Statements (Raw)'!I275))</f>
        <v>0</v>
      </c>
      <c r="K277" s="10">
        <f t="shared" si="9"/>
        <v>-2484</v>
      </c>
    </row>
    <row r="278" spans="1:11" x14ac:dyDescent="0.3">
      <c r="A278" s="171">
        <f>IF(OR('Statements (Raw)'!A276="",'Statements (Raw)'!A276&gt;Holdings!$G$3),"",'Statements (Raw)'!A276)</f>
        <v>45968</v>
      </c>
      <c r="B278" s="7">
        <f>IF(A278="","",IF('Statements (Raw)'!B276="","",'Statements (Raw)'!B276))</f>
        <v>45967</v>
      </c>
      <c r="C278" s="6" t="str">
        <f>IF(A278="","",IF('Statements (Raw)'!C276&lt;&gt;"",'Statements (Raw)'!C276,IF(ISNUMBER(SEARCH("Conferimento",'Statements (Raw)'!D276)),"CASH DEPOSIT",IF(ISNUMBER(SEARCH("Prelievo",'Statements (Raw)'!D276)),"CASH WITHDRAWAL",IF(ISNUMBER(SEARCH("Bollo",'Statements (Raw)'!D276)),"STAMP DUTY",IF(ISNUMBER(SEARCH("Tobin Tax",'Statements (Raw)'!D276)),"TOBIN TAX",IF(ISNUMBER(SEARCH("Rit.provento",'Statements (Raw)'!D276)),"WITHHOLDING TAX",IF(ISNUMBER(SEARCH("Incasso Dividendi",'Statements (Raw)'!D276)),"DIVIDEND",IF(ISNUMBER(SEARCH("Cedola",'Statements (Raw)'!D276)),"COUPON",IF(ISNUMBER(SEARCH("Ratei Pass",'Statements (Raw)'!D276)),"ACCRUED INT",IF(ISNUMBER(SEARCH("Interessi Prest",'Statements (Raw)'!D276)),"SEC LENDING",IF(ISNUMBER(SEARCH("Rimborso",'Statements (Raw)'!D276)),"REDEMPTION",IF(ISNUMBER(SEARCH("Provento",'Statements (Raw)'!D276)),"DISTRIBUTION","OTHER")))))))))))))</f>
        <v>ASML HOLDING NV</v>
      </c>
      <c r="D278" s="6" t="str">
        <f>IF(A278="","",IF(C278="Saldo Iniziale","Balance",IF(C278="CASH DEPOSIT","Deposit",IF(C278="CASH WITHDRAWAL","Withdrawal",IF(C278="STAMP DUTY","Tax",IF(C278="TOBIN TAX","Tax",IF(C278="WITHHOLDING TAX","Tax",IF(C278="DIVIDEND","Dividend",IF(C278="COUPON","Coupon",IF(C278="ACCRUED INT","Accrued Int.",IF(C278="SEC LENDING","Sec. Lending",IF(C278="REDEMPTION","Redemption",IF(C278="DISTRIBUTION","Distribution",IF(ISNUMBER(SEARCH("Rimborso",'Statements (Raw)'!D276)),"Redemption",IF(ISNUMBER(SEARCH("Cedola",'Statements (Raw)'!D276)),"Coupon",IF(ISNUMBER(SEARCH("Incasso Dividendi",'Statements (Raw)'!D276)),"Dividend",IF(ISNUMBER(SEARCH("Provento Etf",'Statements (Raw)'!D276)),"Distribution",IF(ISNUMBER(SEARCH("Rit.provento",'Statements (Raw)'!D276)),"Tax",IF(ISNUMBER(SEARCH("Ratei Pass",'Statements (Raw)'!D276)),"Accrued Int.",IF(ISNUMBER(SEARCH("Interessi Prest",'Statements (Raw)'!D276)),"Sec. Lending",IF('Statements (Raw)'!G276="","Other",IF('Statements (Raw)'!G276&gt;0,"Buy","Sell"))))))))))))))))))))))</f>
        <v>Dividend</v>
      </c>
      <c r="E278" s="6" t="str">
        <f t="shared" si="8"/>
        <v>Income</v>
      </c>
      <c r="F278" s="8" t="str">
        <f>IF(A278="","",IF('Statements (Raw)'!E276="","",'Statements (Raw)'!E276))</f>
        <v/>
      </c>
      <c r="G278" s="6" t="str">
        <f>IF(A278="","",IF('Statements (Raw)'!F276="","",'Statements (Raw)'!F276))</f>
        <v/>
      </c>
      <c r="H278" s="9" t="str">
        <f>IF(A278="","",IF('Statements (Raw)'!G276="","",'Statements (Raw)'!G276))</f>
        <v/>
      </c>
      <c r="I278" s="10">
        <f>IF(A278="","",IF('Statements (Raw)'!H276="","",'Statements (Raw)'!H276))</f>
        <v>40.799999999999997</v>
      </c>
      <c r="J278" s="10">
        <f>IF(A278="",0,IF('Statements (Raw)'!I276="",0,'Statements (Raw)'!I276))</f>
        <v>0</v>
      </c>
      <c r="K278" s="10">
        <f t="shared" si="9"/>
        <v>40.799999999999997</v>
      </c>
    </row>
    <row r="279" spans="1:11" x14ac:dyDescent="0.3">
      <c r="A279" s="171">
        <f>IF(OR('Statements (Raw)'!A277="",'Statements (Raw)'!A277&gt;Holdings!$G$3),"",'Statements (Raw)'!A277)</f>
        <v>45971</v>
      </c>
      <c r="B279" s="7">
        <f>IF(A279="","",IF('Statements (Raw)'!B277="","",'Statements (Raw)'!B277))</f>
        <v>45973</v>
      </c>
      <c r="C279" s="6" t="str">
        <f>IF(A279="","",IF('Statements (Raw)'!C277&lt;&gt;"",'Statements (Raw)'!C277,IF(ISNUMBER(SEARCH("Conferimento",'Statements (Raw)'!D277)),"CASH DEPOSIT",IF(ISNUMBER(SEARCH("Prelievo",'Statements (Raw)'!D277)),"CASH WITHDRAWAL",IF(ISNUMBER(SEARCH("Bollo",'Statements (Raw)'!D277)),"STAMP DUTY",IF(ISNUMBER(SEARCH("Tobin Tax",'Statements (Raw)'!D277)),"TOBIN TAX",IF(ISNUMBER(SEARCH("Rit.provento",'Statements (Raw)'!D277)),"WITHHOLDING TAX",IF(ISNUMBER(SEARCH("Incasso Dividendi",'Statements (Raw)'!D277)),"DIVIDEND",IF(ISNUMBER(SEARCH("Cedola",'Statements (Raw)'!D277)),"COUPON",IF(ISNUMBER(SEARCH("Ratei Pass",'Statements (Raw)'!D277)),"ACCRUED INT",IF(ISNUMBER(SEARCH("Interessi Prest",'Statements (Raw)'!D277)),"SEC LENDING",IF(ISNUMBER(SEARCH("Rimborso",'Statements (Raw)'!D277)),"REDEMPTION",IF(ISNUMBER(SEARCH("Provento",'Statements (Raw)'!D277)),"DISTRIBUTION","OTHER")))))))))))))</f>
        <v>WisdomTree Europe Defence UCIT</v>
      </c>
      <c r="D279" s="6" t="str">
        <f>IF(A279="","",IF(C279="Saldo Iniziale","Balance",IF(C279="CASH DEPOSIT","Deposit",IF(C279="CASH WITHDRAWAL","Withdrawal",IF(C279="STAMP DUTY","Tax",IF(C279="TOBIN TAX","Tax",IF(C279="WITHHOLDING TAX","Tax",IF(C279="DIVIDEND","Dividend",IF(C279="COUPON","Coupon",IF(C279="ACCRUED INT","Accrued Int.",IF(C279="SEC LENDING","Sec. Lending",IF(C279="REDEMPTION","Redemption",IF(C279="DISTRIBUTION","Distribution",IF(ISNUMBER(SEARCH("Rimborso",'Statements (Raw)'!D277)),"Redemption",IF(ISNUMBER(SEARCH("Cedola",'Statements (Raw)'!D277)),"Coupon",IF(ISNUMBER(SEARCH("Incasso Dividendi",'Statements (Raw)'!D277)),"Dividend",IF(ISNUMBER(SEARCH("Provento Etf",'Statements (Raw)'!D277)),"Distribution",IF(ISNUMBER(SEARCH("Rit.provento",'Statements (Raw)'!D277)),"Tax",IF(ISNUMBER(SEARCH("Ratei Pass",'Statements (Raw)'!D277)),"Accrued Int.",IF(ISNUMBER(SEARCH("Interessi Prest",'Statements (Raw)'!D277)),"Sec. Lending",IF('Statements (Raw)'!G277="","Other",IF('Statements (Raw)'!G277&gt;0,"Buy","Sell"))))))))))))))))))))))</f>
        <v>Buy</v>
      </c>
      <c r="E279" s="6" t="str">
        <f t="shared" si="8"/>
        <v>ETF/ETC</v>
      </c>
      <c r="F279" s="8">
        <f>IF(A279="","",IF('Statements (Raw)'!E277="","",'Statements (Raw)'!E277))</f>
        <v>31.355</v>
      </c>
      <c r="G279" s="6" t="str">
        <f>IF(A279="","",IF('Statements (Raw)'!F277="","",'Statements (Raw)'!F277))</f>
        <v>EUR</v>
      </c>
      <c r="H279" s="9">
        <f>IF(A279="","",IF('Statements (Raw)'!G277="","",'Statements (Raw)'!G277))</f>
        <v>31</v>
      </c>
      <c r="I279" s="10">
        <f>IF(A279="","",IF('Statements (Raw)'!H277="","",'Statements (Raw)'!H277))</f>
        <v>-972.01</v>
      </c>
      <c r="J279" s="10">
        <f>IF(A279="",0,IF('Statements (Raw)'!I277="",0,'Statements (Raw)'!I277))</f>
        <v>0</v>
      </c>
      <c r="K279" s="10">
        <f t="shared" si="9"/>
        <v>-972.01</v>
      </c>
    </row>
    <row r="280" spans="1:11" x14ac:dyDescent="0.3">
      <c r="A280" s="171">
        <f>IF(OR('Statements (Raw)'!A278="",'Statements (Raw)'!A278&gt;Holdings!$G$3),"",'Statements (Raw)'!A278)</f>
        <v>45971</v>
      </c>
      <c r="B280" s="7">
        <f>IF(A280="","",IF('Statements (Raw)'!B278="","",'Statements (Raw)'!B278))</f>
        <v>45973</v>
      </c>
      <c r="C280" s="6" t="str">
        <f>IF(A280="","",IF('Statements (Raw)'!C278&lt;&gt;"",'Statements (Raw)'!C278,IF(ISNUMBER(SEARCH("Conferimento",'Statements (Raw)'!D278)),"CASH DEPOSIT",IF(ISNUMBER(SEARCH("Prelievo",'Statements (Raw)'!D278)),"CASH WITHDRAWAL",IF(ISNUMBER(SEARCH("Bollo",'Statements (Raw)'!D278)),"STAMP DUTY",IF(ISNUMBER(SEARCH("Tobin Tax",'Statements (Raw)'!D278)),"TOBIN TAX",IF(ISNUMBER(SEARCH("Rit.provento",'Statements (Raw)'!D278)),"WITHHOLDING TAX",IF(ISNUMBER(SEARCH("Incasso Dividendi",'Statements (Raw)'!D278)),"DIVIDEND",IF(ISNUMBER(SEARCH("Cedola",'Statements (Raw)'!D278)),"COUPON",IF(ISNUMBER(SEARCH("Ratei Pass",'Statements (Raw)'!D278)),"ACCRUED INT",IF(ISNUMBER(SEARCH("Interessi Prest",'Statements (Raw)'!D278)),"SEC LENDING",IF(ISNUMBER(SEARCH("Rimborso",'Statements (Raw)'!D278)),"REDEMPTION",IF(ISNUMBER(SEARCH("Provento",'Statements (Raw)'!D278)),"DISTRIBUTION","OTHER")))))))))))))</f>
        <v>ISHARES FTSE MIB UCITS ETF EUR</v>
      </c>
      <c r="D280" s="6" t="str">
        <f>IF(A280="","",IF(C280="Saldo Iniziale","Balance",IF(C280="CASH DEPOSIT","Deposit",IF(C280="CASH WITHDRAWAL","Withdrawal",IF(C280="STAMP DUTY","Tax",IF(C280="TOBIN TAX","Tax",IF(C280="WITHHOLDING TAX","Tax",IF(C280="DIVIDEND","Dividend",IF(C280="COUPON","Coupon",IF(C280="ACCRUED INT","Accrued Int.",IF(C280="SEC LENDING","Sec. Lending",IF(C280="REDEMPTION","Redemption",IF(C280="DISTRIBUTION","Distribution",IF(ISNUMBER(SEARCH("Rimborso",'Statements (Raw)'!D278)),"Redemption",IF(ISNUMBER(SEARCH("Cedola",'Statements (Raw)'!D278)),"Coupon",IF(ISNUMBER(SEARCH("Incasso Dividendi",'Statements (Raw)'!D278)),"Dividend",IF(ISNUMBER(SEARCH("Provento Etf",'Statements (Raw)'!D278)),"Distribution",IF(ISNUMBER(SEARCH("Rit.provento",'Statements (Raw)'!D278)),"Tax",IF(ISNUMBER(SEARCH("Ratei Pass",'Statements (Raw)'!D278)),"Accrued Int.",IF(ISNUMBER(SEARCH("Interessi Prest",'Statements (Raw)'!D278)),"Sec. Lending",IF('Statements (Raw)'!G278="","Other",IF('Statements (Raw)'!G278&gt;0,"Buy","Sell"))))))))))))))))))))))</f>
        <v>Buy</v>
      </c>
      <c r="E280" s="6" t="str">
        <f t="shared" si="8"/>
        <v>ETF/ETC</v>
      </c>
      <c r="F280" s="8">
        <f>IF(A280="","",IF('Statements (Raw)'!E278="","",'Statements (Raw)'!E278))</f>
        <v>210.15</v>
      </c>
      <c r="G280" s="6" t="str">
        <f>IF(A280="","",IF('Statements (Raw)'!F278="","",'Statements (Raw)'!F278))</f>
        <v>EUR</v>
      </c>
      <c r="H280" s="9">
        <f>IF(A280="","",IF('Statements (Raw)'!G278="","",'Statements (Raw)'!G278))</f>
        <v>11</v>
      </c>
      <c r="I280" s="10">
        <f>IF(A280="","",IF('Statements (Raw)'!H278="","",'Statements (Raw)'!H278))</f>
        <v>-2311.65</v>
      </c>
      <c r="J280" s="10">
        <f>IF(A280="",0,IF('Statements (Raw)'!I278="",0,'Statements (Raw)'!I278))</f>
        <v>0</v>
      </c>
      <c r="K280" s="10">
        <f t="shared" si="9"/>
        <v>-2311.65</v>
      </c>
    </row>
    <row r="281" spans="1:11" x14ac:dyDescent="0.3">
      <c r="A281" s="171">
        <f>IF(OR('Statements (Raw)'!A279="",'Statements (Raw)'!A279&gt;Holdings!$G$3),"",'Statements (Raw)'!A279)</f>
        <v>45978</v>
      </c>
      <c r="B281" s="7">
        <f>IF(A281="","",IF('Statements (Raw)'!B279="","",'Statements (Raw)'!B279))</f>
        <v>45980</v>
      </c>
      <c r="C281" s="6" t="str">
        <f>IF(A281="","",IF('Statements (Raw)'!C279&lt;&gt;"",'Statements (Raw)'!C279,IF(ISNUMBER(SEARCH("Conferimento",'Statements (Raw)'!D279)),"CASH DEPOSIT",IF(ISNUMBER(SEARCH("Prelievo",'Statements (Raw)'!D279)),"CASH WITHDRAWAL",IF(ISNUMBER(SEARCH("Bollo",'Statements (Raw)'!D279)),"STAMP DUTY",IF(ISNUMBER(SEARCH("Tobin Tax",'Statements (Raw)'!D279)),"TOBIN TAX",IF(ISNUMBER(SEARCH("Rit.provento",'Statements (Raw)'!D279)),"WITHHOLDING TAX",IF(ISNUMBER(SEARCH("Incasso Dividendi",'Statements (Raw)'!D279)),"DIVIDEND",IF(ISNUMBER(SEARCH("Cedola",'Statements (Raw)'!D279)),"COUPON",IF(ISNUMBER(SEARCH("Ratei Pass",'Statements (Raw)'!D279)),"ACCRUED INT",IF(ISNUMBER(SEARCH("Interessi Prest",'Statements (Raw)'!D279)),"SEC LENDING",IF(ISNUMBER(SEARCH("Rimborso",'Statements (Raw)'!D279)),"REDEMPTION",IF(ISNUMBER(SEARCH("Provento",'Statements (Raw)'!D279)),"DISTRIBUTION","OTHER")))))))))))))</f>
        <v>WisdomTree Europe Defence UCIT</v>
      </c>
      <c r="D281" s="6" t="str">
        <f>IF(A281="","",IF(C281="Saldo Iniziale","Balance",IF(C281="CASH DEPOSIT","Deposit",IF(C281="CASH WITHDRAWAL","Withdrawal",IF(C281="STAMP DUTY","Tax",IF(C281="TOBIN TAX","Tax",IF(C281="WITHHOLDING TAX","Tax",IF(C281="DIVIDEND","Dividend",IF(C281="COUPON","Coupon",IF(C281="ACCRUED INT","Accrued Int.",IF(C281="SEC LENDING","Sec. Lending",IF(C281="REDEMPTION","Redemption",IF(C281="DISTRIBUTION","Distribution",IF(ISNUMBER(SEARCH("Rimborso",'Statements (Raw)'!D279)),"Redemption",IF(ISNUMBER(SEARCH("Cedola",'Statements (Raw)'!D279)),"Coupon",IF(ISNUMBER(SEARCH("Incasso Dividendi",'Statements (Raw)'!D279)),"Dividend",IF(ISNUMBER(SEARCH("Provento Etf",'Statements (Raw)'!D279)),"Distribution",IF(ISNUMBER(SEARCH("Rit.provento",'Statements (Raw)'!D279)),"Tax",IF(ISNUMBER(SEARCH("Ratei Pass",'Statements (Raw)'!D279)),"Accrued Int.",IF(ISNUMBER(SEARCH("Interessi Prest",'Statements (Raw)'!D279)),"Sec. Lending",IF('Statements (Raw)'!G279="","Other",IF('Statements (Raw)'!G279&gt;0,"Buy","Sell"))))))))))))))))))))))</f>
        <v>Buy</v>
      </c>
      <c r="E281" s="6" t="str">
        <f t="shared" si="8"/>
        <v>ETF/ETC</v>
      </c>
      <c r="F281" s="8">
        <f>IF(A281="","",IF('Statements (Raw)'!E279="","",'Statements (Raw)'!E279))</f>
        <v>30.905000000000001</v>
      </c>
      <c r="G281" s="6" t="str">
        <f>IF(A281="","",IF('Statements (Raw)'!F279="","",'Statements (Raw)'!F279))</f>
        <v>EUR</v>
      </c>
      <c r="H281" s="9">
        <f>IF(A281="","",IF('Statements (Raw)'!G279="","",'Statements (Raw)'!G279))</f>
        <v>32</v>
      </c>
      <c r="I281" s="10">
        <f>IF(A281="","",IF('Statements (Raw)'!H279="","",'Statements (Raw)'!H279))</f>
        <v>-988.96</v>
      </c>
      <c r="J281" s="10">
        <f>IF(A281="",0,IF('Statements (Raw)'!I279="",0,'Statements (Raw)'!I279))</f>
        <v>0</v>
      </c>
      <c r="K281" s="10">
        <f t="shared" si="9"/>
        <v>-988.96</v>
      </c>
    </row>
    <row r="282" spans="1:11" x14ac:dyDescent="0.3">
      <c r="A282" s="171">
        <f>IF(OR('Statements (Raw)'!A280="",'Statements (Raw)'!A280&gt;Holdings!$G$3),"",'Statements (Raw)'!A280)</f>
        <v>45978</v>
      </c>
      <c r="B282" s="7">
        <f>IF(A282="","",IF('Statements (Raw)'!B280="","",'Statements (Raw)'!B280))</f>
        <v>45980</v>
      </c>
      <c r="C282" s="6" t="str">
        <f>IF(A282="","",IF('Statements (Raw)'!C280&lt;&gt;"",'Statements (Raw)'!C280,IF(ISNUMBER(SEARCH("Conferimento",'Statements (Raw)'!D280)),"CASH DEPOSIT",IF(ISNUMBER(SEARCH("Prelievo",'Statements (Raw)'!D280)),"CASH WITHDRAWAL",IF(ISNUMBER(SEARCH("Bollo",'Statements (Raw)'!D280)),"STAMP DUTY",IF(ISNUMBER(SEARCH("Tobin Tax",'Statements (Raw)'!D280)),"TOBIN TAX",IF(ISNUMBER(SEARCH("Rit.provento",'Statements (Raw)'!D280)),"WITHHOLDING TAX",IF(ISNUMBER(SEARCH("Incasso Dividendi",'Statements (Raw)'!D280)),"DIVIDEND",IF(ISNUMBER(SEARCH("Cedola",'Statements (Raw)'!D280)),"COUPON",IF(ISNUMBER(SEARCH("Ratei Pass",'Statements (Raw)'!D280)),"ACCRUED INT",IF(ISNUMBER(SEARCH("Interessi Prest",'Statements (Raw)'!D280)),"SEC LENDING",IF(ISNUMBER(SEARCH("Rimborso",'Statements (Raw)'!D280)),"REDEMPTION",IF(ISNUMBER(SEARCH("Provento",'Statements (Raw)'!D280)),"DISTRIBUTION","OTHER")))))))))))))</f>
        <v>ISHARES FTSE MIB UCITS ETF EUR</v>
      </c>
      <c r="D282" s="6" t="str">
        <f>IF(A282="","",IF(C282="Saldo Iniziale","Balance",IF(C282="CASH DEPOSIT","Deposit",IF(C282="CASH WITHDRAWAL","Withdrawal",IF(C282="STAMP DUTY","Tax",IF(C282="TOBIN TAX","Tax",IF(C282="WITHHOLDING TAX","Tax",IF(C282="DIVIDEND","Dividend",IF(C282="COUPON","Coupon",IF(C282="ACCRUED INT","Accrued Int.",IF(C282="SEC LENDING","Sec. Lending",IF(C282="REDEMPTION","Redemption",IF(C282="DISTRIBUTION","Distribution",IF(ISNUMBER(SEARCH("Rimborso",'Statements (Raw)'!D280)),"Redemption",IF(ISNUMBER(SEARCH("Cedola",'Statements (Raw)'!D280)),"Coupon",IF(ISNUMBER(SEARCH("Incasso Dividendi",'Statements (Raw)'!D280)),"Dividend",IF(ISNUMBER(SEARCH("Provento Etf",'Statements (Raw)'!D280)),"Distribution",IF(ISNUMBER(SEARCH("Rit.provento",'Statements (Raw)'!D280)),"Tax",IF(ISNUMBER(SEARCH("Ratei Pass",'Statements (Raw)'!D280)),"Accrued Int.",IF(ISNUMBER(SEARCH("Interessi Prest",'Statements (Raw)'!D280)),"Sec. Lending",IF('Statements (Raw)'!G280="","Other",IF('Statements (Raw)'!G280&gt;0,"Buy","Sell"))))))))))))))))))))))</f>
        <v>Buy</v>
      </c>
      <c r="E282" s="6" t="str">
        <f t="shared" si="8"/>
        <v>ETF/ETC</v>
      </c>
      <c r="F282" s="8">
        <f>IF(A282="","",IF('Statements (Raw)'!E280="","",'Statements (Raw)'!E280))</f>
        <v>209.65</v>
      </c>
      <c r="G282" s="6" t="str">
        <f>IF(A282="","",IF('Statements (Raw)'!F280="","",'Statements (Raw)'!F280))</f>
        <v>EUR</v>
      </c>
      <c r="H282" s="9">
        <f>IF(A282="","",IF('Statements (Raw)'!G280="","",'Statements (Raw)'!G280))</f>
        <v>11</v>
      </c>
      <c r="I282" s="10">
        <f>IF(A282="","",IF('Statements (Raw)'!H280="","",'Statements (Raw)'!H280))</f>
        <v>-2306.15</v>
      </c>
      <c r="J282" s="10">
        <f>IF(A282="",0,IF('Statements (Raw)'!I280="",0,'Statements (Raw)'!I280))</f>
        <v>0</v>
      </c>
      <c r="K282" s="10">
        <f t="shared" si="9"/>
        <v>-2306.15</v>
      </c>
    </row>
    <row r="283" spans="1:11" x14ac:dyDescent="0.3">
      <c r="A283" s="171">
        <f>IF(OR('Statements (Raw)'!A281="",'Statements (Raw)'!A281&gt;Holdings!$G$3),"",'Statements (Raw)'!A281)</f>
        <v>45981</v>
      </c>
      <c r="B283" s="7">
        <f>IF(A283="","",IF('Statements (Raw)'!B281="","",'Statements (Raw)'!B281))</f>
        <v>45981</v>
      </c>
      <c r="C283" s="6" t="str">
        <f>IF(A283="","",IF('Statements (Raw)'!C281&lt;&gt;"",'Statements (Raw)'!C281,IF(ISNUMBER(SEARCH("Conferimento",'Statements (Raw)'!D281)),"CASH DEPOSIT",IF(ISNUMBER(SEARCH("Prelievo",'Statements (Raw)'!D281)),"CASH WITHDRAWAL",IF(ISNUMBER(SEARCH("Bollo",'Statements (Raw)'!D281)),"STAMP DUTY",IF(ISNUMBER(SEARCH("Tobin Tax",'Statements (Raw)'!D281)),"TOBIN TAX",IF(ISNUMBER(SEARCH("Rit.provento",'Statements (Raw)'!D281)),"WITHHOLDING TAX",IF(ISNUMBER(SEARCH("Incasso Dividendi",'Statements (Raw)'!D281)),"DIVIDEND",IF(ISNUMBER(SEARCH("Cedola",'Statements (Raw)'!D281)),"COUPON",IF(ISNUMBER(SEARCH("Ratei Pass",'Statements (Raw)'!D281)),"ACCRUED INT",IF(ISNUMBER(SEARCH("Interessi Prest",'Statements (Raw)'!D281)),"SEC LENDING",IF(ISNUMBER(SEARCH("Rimborso",'Statements (Raw)'!D281)),"REDEMPTION",IF(ISNUMBER(SEARCH("Provento",'Statements (Raw)'!D281)),"DISTRIBUTION","OTHER")))))))))))))</f>
        <v>D AMICO</v>
      </c>
      <c r="D283" s="6" t="str">
        <f>IF(A283="","",IF(C283="Saldo Iniziale","Balance",IF(C283="CASH DEPOSIT","Deposit",IF(C283="CASH WITHDRAWAL","Withdrawal",IF(C283="STAMP DUTY","Tax",IF(C283="TOBIN TAX","Tax",IF(C283="WITHHOLDING TAX","Tax",IF(C283="DIVIDEND","Dividend",IF(C283="COUPON","Coupon",IF(C283="ACCRUED INT","Accrued Int.",IF(C283="SEC LENDING","Sec. Lending",IF(C283="REDEMPTION","Redemption",IF(C283="DISTRIBUTION","Distribution",IF(ISNUMBER(SEARCH("Rimborso",'Statements (Raw)'!D281)),"Redemption",IF(ISNUMBER(SEARCH("Cedola",'Statements (Raw)'!D281)),"Coupon",IF(ISNUMBER(SEARCH("Incasso Dividendi",'Statements (Raw)'!D281)),"Dividend",IF(ISNUMBER(SEARCH("Provento Etf",'Statements (Raw)'!D281)),"Distribution",IF(ISNUMBER(SEARCH("Rit.provento",'Statements (Raw)'!D281)),"Tax",IF(ISNUMBER(SEARCH("Ratei Pass",'Statements (Raw)'!D281)),"Accrued Int.",IF(ISNUMBER(SEARCH("Interessi Prest",'Statements (Raw)'!D281)),"Sec. Lending",IF('Statements (Raw)'!G281="","Other",IF('Statements (Raw)'!G281&gt;0,"Buy","Sell"))))))))))))))))))))))</f>
        <v>Dividend</v>
      </c>
      <c r="E283" s="6" t="str">
        <f t="shared" si="8"/>
        <v>Income</v>
      </c>
      <c r="F283" s="8" t="str">
        <f>IF(A283="","",IF('Statements (Raw)'!E281="","",'Statements (Raw)'!E281))</f>
        <v/>
      </c>
      <c r="G283" s="6" t="str">
        <f>IF(A283="","",IF('Statements (Raw)'!F281="","",'Statements (Raw)'!F281))</f>
        <v/>
      </c>
      <c r="H283" s="9" t="str">
        <f>IF(A283="","",IF('Statements (Raw)'!G281="","",'Statements (Raw)'!G281))</f>
        <v/>
      </c>
      <c r="I283" s="10">
        <f>IF(A283="","",IF('Statements (Raw)'!H281="","",'Statements (Raw)'!H281))</f>
        <v>296.38</v>
      </c>
      <c r="J283" s="10">
        <f>IF(A283="",0,IF('Statements (Raw)'!I281="",0,'Statements (Raw)'!I281))</f>
        <v>0</v>
      </c>
      <c r="K283" s="10">
        <f t="shared" si="9"/>
        <v>296.38</v>
      </c>
    </row>
    <row r="284" spans="1:11" x14ac:dyDescent="0.3">
      <c r="A284" s="171">
        <f>IF(OR('Statements (Raw)'!A282="",'Statements (Raw)'!A282&gt;Holdings!$G$3),"",'Statements (Raw)'!A282)</f>
        <v>45985</v>
      </c>
      <c r="B284" s="7">
        <f>IF(A284="","",IF('Statements (Raw)'!B282="","",'Statements (Raw)'!B282))</f>
        <v>45987</v>
      </c>
      <c r="C284" s="6" t="str">
        <f>IF(A284="","",IF('Statements (Raw)'!C282&lt;&gt;"",'Statements (Raw)'!C282,IF(ISNUMBER(SEARCH("Conferimento",'Statements (Raw)'!D282)),"CASH DEPOSIT",IF(ISNUMBER(SEARCH("Prelievo",'Statements (Raw)'!D282)),"CASH WITHDRAWAL",IF(ISNUMBER(SEARCH("Bollo",'Statements (Raw)'!D282)),"STAMP DUTY",IF(ISNUMBER(SEARCH("Tobin Tax",'Statements (Raw)'!D282)),"TOBIN TAX",IF(ISNUMBER(SEARCH("Rit.provento",'Statements (Raw)'!D282)),"WITHHOLDING TAX",IF(ISNUMBER(SEARCH("Incasso Dividendi",'Statements (Raw)'!D282)),"DIVIDEND",IF(ISNUMBER(SEARCH("Cedola",'Statements (Raw)'!D282)),"COUPON",IF(ISNUMBER(SEARCH("Ratei Pass",'Statements (Raw)'!D282)),"ACCRUED INT",IF(ISNUMBER(SEARCH("Interessi Prest",'Statements (Raw)'!D282)),"SEC LENDING",IF(ISNUMBER(SEARCH("Rimborso",'Statements (Raw)'!D282)),"REDEMPTION",IF(ISNUMBER(SEARCH("Provento",'Statements (Raw)'!D282)),"DISTRIBUTION","OTHER")))))))))))))</f>
        <v>WisdomTree Europe Defence UCIT</v>
      </c>
      <c r="D284" s="6" t="str">
        <f>IF(A284="","",IF(C284="Saldo Iniziale","Balance",IF(C284="CASH DEPOSIT","Deposit",IF(C284="CASH WITHDRAWAL","Withdrawal",IF(C284="STAMP DUTY","Tax",IF(C284="TOBIN TAX","Tax",IF(C284="WITHHOLDING TAX","Tax",IF(C284="DIVIDEND","Dividend",IF(C284="COUPON","Coupon",IF(C284="ACCRUED INT","Accrued Int.",IF(C284="SEC LENDING","Sec. Lending",IF(C284="REDEMPTION","Redemption",IF(C284="DISTRIBUTION","Distribution",IF(ISNUMBER(SEARCH("Rimborso",'Statements (Raw)'!D282)),"Redemption",IF(ISNUMBER(SEARCH("Cedola",'Statements (Raw)'!D282)),"Coupon",IF(ISNUMBER(SEARCH("Incasso Dividendi",'Statements (Raw)'!D282)),"Dividend",IF(ISNUMBER(SEARCH("Provento Etf",'Statements (Raw)'!D282)),"Distribution",IF(ISNUMBER(SEARCH("Rit.provento",'Statements (Raw)'!D282)),"Tax",IF(ISNUMBER(SEARCH("Ratei Pass",'Statements (Raw)'!D282)),"Accrued Int.",IF(ISNUMBER(SEARCH("Interessi Prest",'Statements (Raw)'!D282)),"Sec. Lending",IF('Statements (Raw)'!G282="","Other",IF('Statements (Raw)'!G282&gt;0,"Buy","Sell"))))))))))))))))))))))</f>
        <v>Buy</v>
      </c>
      <c r="E284" s="6" t="str">
        <f t="shared" si="8"/>
        <v>ETF/ETC</v>
      </c>
      <c r="F284" s="8">
        <f>IF(A284="","",IF('Statements (Raw)'!E282="","",'Statements (Raw)'!E282))</f>
        <v>27.9</v>
      </c>
      <c r="G284" s="6" t="str">
        <f>IF(A284="","",IF('Statements (Raw)'!F282="","",'Statements (Raw)'!F282))</f>
        <v>EUR</v>
      </c>
      <c r="H284" s="9">
        <f>IF(A284="","",IF('Statements (Raw)'!G282="","",'Statements (Raw)'!G282))</f>
        <v>35</v>
      </c>
      <c r="I284" s="10">
        <f>IF(A284="","",IF('Statements (Raw)'!H282="","",'Statements (Raw)'!H282))</f>
        <v>-976.5</v>
      </c>
      <c r="J284" s="10">
        <f>IF(A284="",0,IF('Statements (Raw)'!I282="",0,'Statements (Raw)'!I282))</f>
        <v>0</v>
      </c>
      <c r="K284" s="10">
        <f t="shared" si="9"/>
        <v>-976.5</v>
      </c>
    </row>
    <row r="285" spans="1:11" x14ac:dyDescent="0.3">
      <c r="A285" s="171">
        <f>IF(OR('Statements (Raw)'!A283="",'Statements (Raw)'!A283&gt;Holdings!$G$3),"",'Statements (Raw)'!A283)</f>
        <v>45985</v>
      </c>
      <c r="B285" s="7">
        <f>IF(A285="","",IF('Statements (Raw)'!B283="","",'Statements (Raw)'!B283))</f>
        <v>45987</v>
      </c>
      <c r="C285" s="6" t="str">
        <f>IF(A285="","",IF('Statements (Raw)'!C283&lt;&gt;"",'Statements (Raw)'!C283,IF(ISNUMBER(SEARCH("Conferimento",'Statements (Raw)'!D283)),"CASH DEPOSIT",IF(ISNUMBER(SEARCH("Prelievo",'Statements (Raw)'!D283)),"CASH WITHDRAWAL",IF(ISNUMBER(SEARCH("Bollo",'Statements (Raw)'!D283)),"STAMP DUTY",IF(ISNUMBER(SEARCH("Tobin Tax",'Statements (Raw)'!D283)),"TOBIN TAX",IF(ISNUMBER(SEARCH("Rit.provento",'Statements (Raw)'!D283)),"WITHHOLDING TAX",IF(ISNUMBER(SEARCH("Incasso Dividendi",'Statements (Raw)'!D283)),"DIVIDEND",IF(ISNUMBER(SEARCH("Cedola",'Statements (Raw)'!D283)),"COUPON",IF(ISNUMBER(SEARCH("Ratei Pass",'Statements (Raw)'!D283)),"ACCRUED INT",IF(ISNUMBER(SEARCH("Interessi Prest",'Statements (Raw)'!D283)),"SEC LENDING",IF(ISNUMBER(SEARCH("Rimborso",'Statements (Raw)'!D283)),"REDEMPTION",IF(ISNUMBER(SEARCH("Provento",'Statements (Raw)'!D283)),"DISTRIBUTION","OTHER")))))))))))))</f>
        <v>ISHARES FTSE MIB UCITS ETF EUR</v>
      </c>
      <c r="D285" s="6" t="str">
        <f>IF(A285="","",IF(C285="Saldo Iniziale","Balance",IF(C285="CASH DEPOSIT","Deposit",IF(C285="CASH WITHDRAWAL","Withdrawal",IF(C285="STAMP DUTY","Tax",IF(C285="TOBIN TAX","Tax",IF(C285="WITHHOLDING TAX","Tax",IF(C285="DIVIDEND","Dividend",IF(C285="COUPON","Coupon",IF(C285="ACCRUED INT","Accrued Int.",IF(C285="SEC LENDING","Sec. Lending",IF(C285="REDEMPTION","Redemption",IF(C285="DISTRIBUTION","Distribution",IF(ISNUMBER(SEARCH("Rimborso",'Statements (Raw)'!D283)),"Redemption",IF(ISNUMBER(SEARCH("Cedola",'Statements (Raw)'!D283)),"Coupon",IF(ISNUMBER(SEARCH("Incasso Dividendi",'Statements (Raw)'!D283)),"Dividend",IF(ISNUMBER(SEARCH("Provento Etf",'Statements (Raw)'!D283)),"Distribution",IF(ISNUMBER(SEARCH("Rit.provento",'Statements (Raw)'!D283)),"Tax",IF(ISNUMBER(SEARCH("Ratei Pass",'Statements (Raw)'!D283)),"Accrued Int.",IF(ISNUMBER(SEARCH("Interessi Prest",'Statements (Raw)'!D283)),"Sec. Lending",IF('Statements (Raw)'!G283="","Other",IF('Statements (Raw)'!G283&gt;0,"Buy","Sell"))))))))))))))))))))))</f>
        <v>Buy</v>
      </c>
      <c r="E285" s="6" t="str">
        <f t="shared" si="8"/>
        <v>ETF/ETC</v>
      </c>
      <c r="F285" s="8">
        <f>IF(A285="","",IF('Statements (Raw)'!E283="","",'Statements (Raw)'!E283))</f>
        <v>204.85</v>
      </c>
      <c r="G285" s="6" t="str">
        <f>IF(A285="","",IF('Statements (Raw)'!F283="","",'Statements (Raw)'!F283))</f>
        <v>EUR</v>
      </c>
      <c r="H285" s="9">
        <f>IF(A285="","",IF('Statements (Raw)'!G283="","",'Statements (Raw)'!G283))</f>
        <v>12</v>
      </c>
      <c r="I285" s="10">
        <f>IF(A285="","",IF('Statements (Raw)'!H283="","",'Statements (Raw)'!H283))</f>
        <v>-2458.1999999999998</v>
      </c>
      <c r="J285" s="10">
        <f>IF(A285="",0,IF('Statements (Raw)'!I283="",0,'Statements (Raw)'!I283))</f>
        <v>0</v>
      </c>
      <c r="K285" s="10">
        <f t="shared" si="9"/>
        <v>-2458.1999999999998</v>
      </c>
    </row>
    <row r="286" spans="1:11" x14ac:dyDescent="0.3">
      <c r="A286" s="171">
        <f>IF(OR('Statements (Raw)'!A284="",'Statements (Raw)'!A284&gt;Holdings!$G$3),"",'Statements (Raw)'!A284)</f>
        <v>45986</v>
      </c>
      <c r="B286" s="7">
        <f>IF(A286="","",IF('Statements (Raw)'!B284="","",'Statements (Raw)'!B284))</f>
        <v>45989</v>
      </c>
      <c r="C286" s="6" t="str">
        <f>IF(A286="","",IF('Statements (Raw)'!C284&lt;&gt;"",'Statements (Raw)'!C284,IF(ISNUMBER(SEARCH("Conferimento",'Statements (Raw)'!D284)),"CASH DEPOSIT",IF(ISNUMBER(SEARCH("Prelievo",'Statements (Raw)'!D284)),"CASH WITHDRAWAL",IF(ISNUMBER(SEARCH("Bollo",'Statements (Raw)'!D284)),"STAMP DUTY",IF(ISNUMBER(SEARCH("Tobin Tax",'Statements (Raw)'!D284)),"TOBIN TAX",IF(ISNUMBER(SEARCH("Rit.provento",'Statements (Raw)'!D284)),"WITHHOLDING TAX",IF(ISNUMBER(SEARCH("Incasso Dividendi",'Statements (Raw)'!D284)),"DIVIDEND",IF(ISNUMBER(SEARCH("Cedola",'Statements (Raw)'!D284)),"COUPON",IF(ISNUMBER(SEARCH("Ratei Pass",'Statements (Raw)'!D284)),"ACCRUED INT",IF(ISNUMBER(SEARCH("Interessi Prest",'Statements (Raw)'!D284)),"SEC LENDING",IF(ISNUMBER(SEARCH("Rimborso",'Statements (Raw)'!D284)),"REDEMPTION",IF(ISNUMBER(SEARCH("Provento",'Statements (Raw)'!D284)),"DISTRIBUTION","OTHER")))))))))))))</f>
        <v>BOT ZC NOV25 S EUR</v>
      </c>
      <c r="D286" s="6" t="str">
        <f>IF(A286="","",IF(C286="Saldo Iniziale","Balance",IF(C286="CASH DEPOSIT","Deposit",IF(C286="CASH WITHDRAWAL","Withdrawal",IF(C286="STAMP DUTY","Tax",IF(C286="TOBIN TAX","Tax",IF(C286="WITHHOLDING TAX","Tax",IF(C286="DIVIDEND","Dividend",IF(C286="COUPON","Coupon",IF(C286="ACCRUED INT","Accrued Int.",IF(C286="SEC LENDING","Sec. Lending",IF(C286="REDEMPTION","Redemption",IF(C286="DISTRIBUTION","Distribution",IF(ISNUMBER(SEARCH("Rimborso",'Statements (Raw)'!D284)),"Redemption",IF(ISNUMBER(SEARCH("Cedola",'Statements (Raw)'!D284)),"Coupon",IF(ISNUMBER(SEARCH("Incasso Dividendi",'Statements (Raw)'!D284)),"Dividend",IF(ISNUMBER(SEARCH("Provento Etf",'Statements (Raw)'!D284)),"Distribution",IF(ISNUMBER(SEARCH("Rit.provento",'Statements (Raw)'!D284)),"Tax",IF(ISNUMBER(SEARCH("Ratei Pass",'Statements (Raw)'!D284)),"Accrued Int.",IF(ISNUMBER(SEARCH("Interessi Prest",'Statements (Raw)'!D284)),"Sec. Lending",IF('Statements (Raw)'!G284="","Other",IF('Statements (Raw)'!G284&gt;0,"Buy","Sell"))))))))))))))))))))))</f>
        <v>Redemption</v>
      </c>
      <c r="E286" s="6" t="str">
        <f t="shared" si="8"/>
        <v>Bond</v>
      </c>
      <c r="F286" s="8" t="str">
        <f>IF(A286="","",IF('Statements (Raw)'!E284="","",'Statements (Raw)'!E284))</f>
        <v/>
      </c>
      <c r="G286" s="6" t="str">
        <f>IF(A286="","",IF('Statements (Raw)'!F284="","",'Statements (Raw)'!F284))</f>
        <v/>
      </c>
      <c r="H286" s="9" t="str">
        <f>IF(A286="","",IF('Statements (Raw)'!G284="","",'Statements (Raw)'!G284))</f>
        <v/>
      </c>
      <c r="I286" s="10">
        <f>IF(A286="","",IF('Statements (Raw)'!H284="","",'Statements (Raw)'!H284))</f>
        <v>50000</v>
      </c>
      <c r="J286" s="10">
        <f>IF(A286="",0,IF('Statements (Raw)'!I284="",0,'Statements (Raw)'!I284))</f>
        <v>0</v>
      </c>
      <c r="K286" s="10">
        <f t="shared" si="9"/>
        <v>50000</v>
      </c>
    </row>
    <row r="287" spans="1:11" x14ac:dyDescent="0.3">
      <c r="A287" s="171">
        <f>IF(OR('Statements (Raw)'!A285="",'Statements (Raw)'!A285&gt;Holdings!$G$3),"",'Statements (Raw)'!A285)</f>
        <v>45992</v>
      </c>
      <c r="B287" s="7" t="str">
        <f>IF(A287="","",IF('Statements (Raw)'!B285="","",'Statements (Raw)'!B285))</f>
        <v/>
      </c>
      <c r="C287" s="6" t="str">
        <f>IF(A287="","",IF('Statements (Raw)'!C285&lt;&gt;"",'Statements (Raw)'!C285,IF(ISNUMBER(SEARCH("Conferimento",'Statements (Raw)'!D285)),"CASH DEPOSIT",IF(ISNUMBER(SEARCH("Prelievo",'Statements (Raw)'!D285)),"CASH WITHDRAWAL",IF(ISNUMBER(SEARCH("Bollo",'Statements (Raw)'!D285)),"STAMP DUTY",IF(ISNUMBER(SEARCH("Tobin Tax",'Statements (Raw)'!D285)),"TOBIN TAX",IF(ISNUMBER(SEARCH("Rit.provento",'Statements (Raw)'!D285)),"WITHHOLDING TAX",IF(ISNUMBER(SEARCH("Incasso Dividendi",'Statements (Raw)'!D285)),"DIVIDEND",IF(ISNUMBER(SEARCH("Cedola",'Statements (Raw)'!D285)),"COUPON",IF(ISNUMBER(SEARCH("Ratei Pass",'Statements (Raw)'!D285)),"ACCRUED INT",IF(ISNUMBER(SEARCH("Interessi Prest",'Statements (Raw)'!D285)),"SEC LENDING",IF(ISNUMBER(SEARCH("Rimborso",'Statements (Raw)'!D285)),"REDEMPTION",IF(ISNUMBER(SEARCH("Provento",'Statements (Raw)'!D285)),"DISTRIBUTION","OTHER")))))))))))))</f>
        <v>Saldo Iniziale</v>
      </c>
      <c r="D287" s="6" t="str">
        <f>IF(A287="","",IF(C287="Saldo Iniziale","Balance",IF(C287="CASH DEPOSIT","Deposit",IF(C287="CASH WITHDRAWAL","Withdrawal",IF(C287="STAMP DUTY","Tax",IF(C287="TOBIN TAX","Tax",IF(C287="WITHHOLDING TAX","Tax",IF(C287="DIVIDEND","Dividend",IF(C287="COUPON","Coupon",IF(C287="ACCRUED INT","Accrued Int.",IF(C287="SEC LENDING","Sec. Lending",IF(C287="REDEMPTION","Redemption",IF(C287="DISTRIBUTION","Distribution",IF(ISNUMBER(SEARCH("Rimborso",'Statements (Raw)'!D285)),"Redemption",IF(ISNUMBER(SEARCH("Cedola",'Statements (Raw)'!D285)),"Coupon",IF(ISNUMBER(SEARCH("Incasso Dividendi",'Statements (Raw)'!D285)),"Dividend",IF(ISNUMBER(SEARCH("Provento Etf",'Statements (Raw)'!D285)),"Distribution",IF(ISNUMBER(SEARCH("Rit.provento",'Statements (Raw)'!D285)),"Tax",IF(ISNUMBER(SEARCH("Ratei Pass",'Statements (Raw)'!D285)),"Accrued Int.",IF(ISNUMBER(SEARCH("Interessi Prest",'Statements (Raw)'!D285)),"Sec. Lending",IF('Statements (Raw)'!G285="","Other",IF('Statements (Raw)'!G285&gt;0,"Buy","Sell"))))))))))))))))))))))</f>
        <v>Balance</v>
      </c>
      <c r="E287" s="6" t="str">
        <f t="shared" si="8"/>
        <v>Cash</v>
      </c>
      <c r="F287" s="8" t="str">
        <f>IF(A287="","",IF('Statements (Raw)'!E285="","",'Statements (Raw)'!E285))</f>
        <v/>
      </c>
      <c r="G287" s="6" t="str">
        <f>IF(A287="","",IF('Statements (Raw)'!F285="","",'Statements (Raw)'!F285))</f>
        <v/>
      </c>
      <c r="H287" s="9" t="str">
        <f>IF(A287="","",IF('Statements (Raw)'!G285="","",'Statements (Raw)'!G285))</f>
        <v/>
      </c>
      <c r="I287" s="10">
        <f>IF(A287="","",IF('Statements (Raw)'!H285="","",'Statements (Raw)'!H285))</f>
        <v>435436.5</v>
      </c>
      <c r="J287" s="10">
        <f>IF(A287="",0,IF('Statements (Raw)'!I285="",0,'Statements (Raw)'!I285))</f>
        <v>0</v>
      </c>
      <c r="K287" s="10">
        <f t="shared" si="9"/>
        <v>435436.5</v>
      </c>
    </row>
    <row r="288" spans="1:11" x14ac:dyDescent="0.3">
      <c r="A288" s="171">
        <f>IF(OR('Statements (Raw)'!A286="",'Statements (Raw)'!A286&gt;Holdings!$G$3),"",'Statements (Raw)'!A286)</f>
        <v>45992</v>
      </c>
      <c r="B288" s="7">
        <f>IF(A288="","",IF('Statements (Raw)'!B286="","",'Statements (Raw)'!B286))</f>
        <v>45994</v>
      </c>
      <c r="C288" s="6" t="str">
        <f>IF(A288="","",IF('Statements (Raw)'!C286&lt;&gt;"",'Statements (Raw)'!C286,IF(ISNUMBER(SEARCH("Conferimento",'Statements (Raw)'!D286)),"CASH DEPOSIT",IF(ISNUMBER(SEARCH("Prelievo",'Statements (Raw)'!D286)),"CASH WITHDRAWAL",IF(ISNUMBER(SEARCH("Bollo",'Statements (Raw)'!D286)),"STAMP DUTY",IF(ISNUMBER(SEARCH("Tobin Tax",'Statements (Raw)'!D286)),"TOBIN TAX",IF(ISNUMBER(SEARCH("Rit.provento",'Statements (Raw)'!D286)),"WITHHOLDING TAX",IF(ISNUMBER(SEARCH("Incasso Dividendi",'Statements (Raw)'!D286)),"DIVIDEND",IF(ISNUMBER(SEARCH("Cedola",'Statements (Raw)'!D286)),"COUPON",IF(ISNUMBER(SEARCH("Ratei Pass",'Statements (Raw)'!D286)),"ACCRUED INT",IF(ISNUMBER(SEARCH("Interessi Prest",'Statements (Raw)'!D286)),"SEC LENDING",IF(ISNUMBER(SEARCH("Rimborso",'Statements (Raw)'!D286)),"REDEMPTION",IF(ISNUMBER(SEARCH("Provento",'Statements (Raw)'!D286)),"DISTRIBUTION","OTHER")))))))))))))</f>
        <v>WisdomTree Europe Defence UCIT</v>
      </c>
      <c r="D288" s="6" t="str">
        <f>IF(A288="","",IF(C288="Saldo Iniziale","Balance",IF(C288="CASH DEPOSIT","Deposit",IF(C288="CASH WITHDRAWAL","Withdrawal",IF(C288="STAMP DUTY","Tax",IF(C288="TOBIN TAX","Tax",IF(C288="WITHHOLDING TAX","Tax",IF(C288="DIVIDEND","Dividend",IF(C288="COUPON","Coupon",IF(C288="ACCRUED INT","Accrued Int.",IF(C288="SEC LENDING","Sec. Lending",IF(C288="REDEMPTION","Redemption",IF(C288="DISTRIBUTION","Distribution",IF(ISNUMBER(SEARCH("Rimborso",'Statements (Raw)'!D286)),"Redemption",IF(ISNUMBER(SEARCH("Cedola",'Statements (Raw)'!D286)),"Coupon",IF(ISNUMBER(SEARCH("Incasso Dividendi",'Statements (Raw)'!D286)),"Dividend",IF(ISNUMBER(SEARCH("Provento Etf",'Statements (Raw)'!D286)),"Distribution",IF(ISNUMBER(SEARCH("Rit.provento",'Statements (Raw)'!D286)),"Tax",IF(ISNUMBER(SEARCH("Ratei Pass",'Statements (Raw)'!D286)),"Accrued Int.",IF(ISNUMBER(SEARCH("Interessi Prest",'Statements (Raw)'!D286)),"Sec. Lending",IF('Statements (Raw)'!G286="","Other",IF('Statements (Raw)'!G286&gt;0,"Buy","Sell"))))))))))))))))))))))</f>
        <v>Buy</v>
      </c>
      <c r="E288" s="6" t="str">
        <f t="shared" si="8"/>
        <v>ETF/ETC</v>
      </c>
      <c r="F288" s="8">
        <f>IF(A288="","",IF('Statements (Raw)'!E286="","",'Statements (Raw)'!E286))</f>
        <v>27.785</v>
      </c>
      <c r="G288" s="6" t="str">
        <f>IF(A288="","",IF('Statements (Raw)'!F286="","",'Statements (Raw)'!F286))</f>
        <v>EUR</v>
      </c>
      <c r="H288" s="9">
        <f>IF(A288="","",IF('Statements (Raw)'!G286="","",'Statements (Raw)'!G286))</f>
        <v>35</v>
      </c>
      <c r="I288" s="10">
        <f>IF(A288="","",IF('Statements (Raw)'!H286="","",'Statements (Raw)'!H286))</f>
        <v>-972.48</v>
      </c>
      <c r="J288" s="10">
        <f>IF(A288="",0,IF('Statements (Raw)'!I286="",0,'Statements (Raw)'!I286))</f>
        <v>0</v>
      </c>
      <c r="K288" s="10">
        <f t="shared" si="9"/>
        <v>-972.48</v>
      </c>
    </row>
    <row r="289" spans="1:11" x14ac:dyDescent="0.3">
      <c r="A289" s="171">
        <f>IF(OR('Statements (Raw)'!A287="",'Statements (Raw)'!A287&gt;Holdings!$G$3),"",'Statements (Raw)'!A287)</f>
        <v>45992</v>
      </c>
      <c r="B289" s="7">
        <f>IF(A289="","",IF('Statements (Raw)'!B287="","",'Statements (Raw)'!B287))</f>
        <v>45994</v>
      </c>
      <c r="C289" s="6" t="str">
        <f>IF(A289="","",IF('Statements (Raw)'!C287&lt;&gt;"",'Statements (Raw)'!C287,IF(ISNUMBER(SEARCH("Conferimento",'Statements (Raw)'!D287)),"CASH DEPOSIT",IF(ISNUMBER(SEARCH("Prelievo",'Statements (Raw)'!D287)),"CASH WITHDRAWAL",IF(ISNUMBER(SEARCH("Bollo",'Statements (Raw)'!D287)),"STAMP DUTY",IF(ISNUMBER(SEARCH("Tobin Tax",'Statements (Raw)'!D287)),"TOBIN TAX",IF(ISNUMBER(SEARCH("Rit.provento",'Statements (Raw)'!D287)),"WITHHOLDING TAX",IF(ISNUMBER(SEARCH("Incasso Dividendi",'Statements (Raw)'!D287)),"DIVIDEND",IF(ISNUMBER(SEARCH("Cedola",'Statements (Raw)'!D287)),"COUPON",IF(ISNUMBER(SEARCH("Ratei Pass",'Statements (Raw)'!D287)),"ACCRUED INT",IF(ISNUMBER(SEARCH("Interessi Prest",'Statements (Raw)'!D287)),"SEC LENDING",IF(ISNUMBER(SEARCH("Rimborso",'Statements (Raw)'!D287)),"REDEMPTION",IF(ISNUMBER(SEARCH("Provento",'Statements (Raw)'!D287)),"DISTRIBUTION","OTHER")))))))))))))</f>
        <v>ISHARES FTSE MIB UCITS ETF EUR</v>
      </c>
      <c r="D289" s="6" t="str">
        <f>IF(A289="","",IF(C289="Saldo Iniziale","Balance",IF(C289="CASH DEPOSIT","Deposit",IF(C289="CASH WITHDRAWAL","Withdrawal",IF(C289="STAMP DUTY","Tax",IF(C289="TOBIN TAX","Tax",IF(C289="WITHHOLDING TAX","Tax",IF(C289="DIVIDEND","Dividend",IF(C289="COUPON","Coupon",IF(C289="ACCRUED INT","Accrued Int.",IF(C289="SEC LENDING","Sec. Lending",IF(C289="REDEMPTION","Redemption",IF(C289="DISTRIBUTION","Distribution",IF(ISNUMBER(SEARCH("Rimborso",'Statements (Raw)'!D287)),"Redemption",IF(ISNUMBER(SEARCH("Cedola",'Statements (Raw)'!D287)),"Coupon",IF(ISNUMBER(SEARCH("Incasso Dividendi",'Statements (Raw)'!D287)),"Dividend",IF(ISNUMBER(SEARCH("Provento Etf",'Statements (Raw)'!D287)),"Distribution",IF(ISNUMBER(SEARCH("Rit.provento",'Statements (Raw)'!D287)),"Tax",IF(ISNUMBER(SEARCH("Ratei Pass",'Statements (Raw)'!D287)),"Accrued Int.",IF(ISNUMBER(SEARCH("Interessi Prest",'Statements (Raw)'!D287)),"Sec. Lending",IF('Statements (Raw)'!G287="","Other",IF('Statements (Raw)'!G287&gt;0,"Buy","Sell"))))))))))))))))))))))</f>
        <v>Buy</v>
      </c>
      <c r="E289" s="6" t="str">
        <f t="shared" si="8"/>
        <v>ETF/ETC</v>
      </c>
      <c r="F289" s="8">
        <f>IF(A289="","",IF('Statements (Raw)'!E287="","",'Statements (Raw)'!E287))</f>
        <v>209.35</v>
      </c>
      <c r="G289" s="6" t="str">
        <f>IF(A289="","",IF('Statements (Raw)'!F287="","",'Statements (Raw)'!F287))</f>
        <v>EUR</v>
      </c>
      <c r="H289" s="9">
        <f>IF(A289="","",IF('Statements (Raw)'!G287="","",'Statements (Raw)'!G287))</f>
        <v>11</v>
      </c>
      <c r="I289" s="10">
        <f>IF(A289="","",IF('Statements (Raw)'!H287="","",'Statements (Raw)'!H287))</f>
        <v>-2302.85</v>
      </c>
      <c r="J289" s="10">
        <f>IF(A289="",0,IF('Statements (Raw)'!I287="",0,'Statements (Raw)'!I287))</f>
        <v>0</v>
      </c>
      <c r="K289" s="10">
        <f t="shared" si="9"/>
        <v>-2302.85</v>
      </c>
    </row>
    <row r="290" spans="1:11" x14ac:dyDescent="0.3">
      <c r="A290" s="171">
        <f>IF(OR('Statements (Raw)'!A288="",'Statements (Raw)'!A288&gt;Holdings!$G$3),"",'Statements (Raw)'!A288)</f>
        <v>45995</v>
      </c>
      <c r="B290" s="7">
        <f>IF(A290="","",IF('Statements (Raw)'!B288="","",'Statements (Raw)'!B288))</f>
        <v>45999</v>
      </c>
      <c r="C290" s="6" t="str">
        <f>IF(A290="","",IF('Statements (Raw)'!C288&lt;&gt;"",'Statements (Raw)'!C288,IF(ISNUMBER(SEARCH("Conferimento",'Statements (Raw)'!D288)),"CASH DEPOSIT",IF(ISNUMBER(SEARCH("Prelievo",'Statements (Raw)'!D288)),"CASH WITHDRAWAL",IF(ISNUMBER(SEARCH("Bollo",'Statements (Raw)'!D288)),"STAMP DUTY",IF(ISNUMBER(SEARCH("Tobin Tax",'Statements (Raw)'!D288)),"TOBIN TAX",IF(ISNUMBER(SEARCH("Rit.provento",'Statements (Raw)'!D288)),"WITHHOLDING TAX",IF(ISNUMBER(SEARCH("Incasso Dividendi",'Statements (Raw)'!D288)),"DIVIDEND",IF(ISNUMBER(SEARCH("Cedola",'Statements (Raw)'!D288)),"COUPON",IF(ISNUMBER(SEARCH("Ratei Pass",'Statements (Raw)'!D288)),"ACCRUED INT",IF(ISNUMBER(SEARCH("Interessi Prest",'Statements (Raw)'!D288)),"SEC LENDING",IF(ISNUMBER(SEARCH("Rimborso",'Statements (Raw)'!D288)),"REDEMPTION",IF(ISNUMBER(SEARCH("Provento",'Statements (Raw)'!D288)),"DISTRIBUTION","OTHER")))))))))))))</f>
        <v>INTESA SANPAOLO</v>
      </c>
      <c r="D290" s="6" t="str">
        <f>IF(A290="","",IF(C290="Saldo Iniziale","Balance",IF(C290="CASH DEPOSIT","Deposit",IF(C290="CASH WITHDRAWAL","Withdrawal",IF(C290="STAMP DUTY","Tax",IF(C290="TOBIN TAX","Tax",IF(C290="WITHHOLDING TAX","Tax",IF(C290="DIVIDEND","Dividend",IF(C290="COUPON","Coupon",IF(C290="ACCRUED INT","Accrued Int.",IF(C290="SEC LENDING","Sec. Lending",IF(C290="REDEMPTION","Redemption",IF(C290="DISTRIBUTION","Distribution",IF(ISNUMBER(SEARCH("Rimborso",'Statements (Raw)'!D288)),"Redemption",IF(ISNUMBER(SEARCH("Cedola",'Statements (Raw)'!D288)),"Coupon",IF(ISNUMBER(SEARCH("Incasso Dividendi",'Statements (Raw)'!D288)),"Dividend",IF(ISNUMBER(SEARCH("Provento Etf",'Statements (Raw)'!D288)),"Distribution",IF(ISNUMBER(SEARCH("Rit.provento",'Statements (Raw)'!D288)),"Tax",IF(ISNUMBER(SEARCH("Ratei Pass",'Statements (Raw)'!D288)),"Accrued Int.",IF(ISNUMBER(SEARCH("Interessi Prest",'Statements (Raw)'!D288)),"Sec. Lending",IF('Statements (Raw)'!G288="","Other",IF('Statements (Raw)'!G288&gt;0,"Buy","Sell"))))))))))))))))))))))</f>
        <v>Buy</v>
      </c>
      <c r="E290" s="6" t="str">
        <f t="shared" si="8"/>
        <v>Stock</v>
      </c>
      <c r="F290" s="8">
        <f>IF(A290="","",IF('Statements (Raw)'!E288="","",'Statements (Raw)'!E288))</f>
        <v>5.609</v>
      </c>
      <c r="G290" s="6" t="str">
        <f>IF(A290="","",IF('Statements (Raw)'!F288="","",'Statements (Raw)'!F288))</f>
        <v>EUR</v>
      </c>
      <c r="H290" s="9">
        <f>IF(A290="","",IF('Statements (Raw)'!G288="","",'Statements (Raw)'!G288))</f>
        <v>60</v>
      </c>
      <c r="I290" s="10">
        <f>IF(A290="","",IF('Statements (Raw)'!H288="","",'Statements (Raw)'!H288))</f>
        <v>-336.54</v>
      </c>
      <c r="J290" s="10">
        <f>IF(A290="",0,IF('Statements (Raw)'!I288="",0,'Statements (Raw)'!I288))</f>
        <v>-5</v>
      </c>
      <c r="K290" s="10">
        <f t="shared" si="9"/>
        <v>-341.54</v>
      </c>
    </row>
    <row r="291" spans="1:11" x14ac:dyDescent="0.3">
      <c r="A291" s="171">
        <f>IF(OR('Statements (Raw)'!A289="",'Statements (Raw)'!A289&gt;Holdings!$G$3),"",'Statements (Raw)'!A289)</f>
        <v>45995</v>
      </c>
      <c r="B291" s="7">
        <f>IF(A291="","",IF('Statements (Raw)'!B289="","",'Statements (Raw)'!B289))</f>
        <v>45999</v>
      </c>
      <c r="C291" s="6" t="str">
        <f>IF(A291="","",IF('Statements (Raw)'!C289&lt;&gt;"",'Statements (Raw)'!C289,IF(ISNUMBER(SEARCH("Conferimento",'Statements (Raw)'!D289)),"CASH DEPOSIT",IF(ISNUMBER(SEARCH("Prelievo",'Statements (Raw)'!D289)),"CASH WITHDRAWAL",IF(ISNUMBER(SEARCH("Bollo",'Statements (Raw)'!D289)),"STAMP DUTY",IF(ISNUMBER(SEARCH("Tobin Tax",'Statements (Raw)'!D289)),"TOBIN TAX",IF(ISNUMBER(SEARCH("Rit.provento",'Statements (Raw)'!D289)),"WITHHOLDING TAX",IF(ISNUMBER(SEARCH("Incasso Dividendi",'Statements (Raw)'!D289)),"DIVIDEND",IF(ISNUMBER(SEARCH("Cedola",'Statements (Raw)'!D289)),"COUPON",IF(ISNUMBER(SEARCH("Ratei Pass",'Statements (Raw)'!D289)),"ACCRUED INT",IF(ISNUMBER(SEARCH("Interessi Prest",'Statements (Raw)'!D289)),"SEC LENDING",IF(ISNUMBER(SEARCH("Rimborso",'Statements (Raw)'!D289)),"REDEMPTION",IF(ISNUMBER(SEARCH("Provento",'Statements (Raw)'!D289)),"DISTRIBUTION","OTHER")))))))))))))</f>
        <v>INTESA SANPAOLO</v>
      </c>
      <c r="D291" s="6" t="str">
        <f>IF(A291="","",IF(C291="Saldo Iniziale","Balance",IF(C291="CASH DEPOSIT","Deposit",IF(C291="CASH WITHDRAWAL","Withdrawal",IF(C291="STAMP DUTY","Tax",IF(C291="TOBIN TAX","Tax",IF(C291="WITHHOLDING TAX","Tax",IF(C291="DIVIDEND","Dividend",IF(C291="COUPON","Coupon",IF(C291="ACCRUED INT","Accrued Int.",IF(C291="SEC LENDING","Sec. Lending",IF(C291="REDEMPTION","Redemption",IF(C291="DISTRIBUTION","Distribution",IF(ISNUMBER(SEARCH("Rimborso",'Statements (Raw)'!D289)),"Redemption",IF(ISNUMBER(SEARCH("Cedola",'Statements (Raw)'!D289)),"Coupon",IF(ISNUMBER(SEARCH("Incasso Dividendi",'Statements (Raw)'!D289)),"Dividend",IF(ISNUMBER(SEARCH("Provento Etf",'Statements (Raw)'!D289)),"Distribution",IF(ISNUMBER(SEARCH("Rit.provento",'Statements (Raw)'!D289)),"Tax",IF(ISNUMBER(SEARCH("Ratei Pass",'Statements (Raw)'!D289)),"Accrued Int.",IF(ISNUMBER(SEARCH("Interessi Prest",'Statements (Raw)'!D289)),"Sec. Lending",IF('Statements (Raw)'!G289="","Other",IF('Statements (Raw)'!G289&gt;0,"Buy","Sell"))))))))))))))))))))))</f>
        <v>Buy</v>
      </c>
      <c r="E291" s="6" t="str">
        <f t="shared" si="8"/>
        <v>Stock</v>
      </c>
      <c r="F291" s="8">
        <f>IF(A291="","",IF('Statements (Raw)'!E289="","",'Statements (Raw)'!E289))</f>
        <v>5.609</v>
      </c>
      <c r="G291" s="6" t="str">
        <f>IF(A291="","",IF('Statements (Raw)'!F289="","",'Statements (Raw)'!F289))</f>
        <v>EUR</v>
      </c>
      <c r="H291" s="9">
        <f>IF(A291="","",IF('Statements (Raw)'!G289="","",'Statements (Raw)'!G289))</f>
        <v>100</v>
      </c>
      <c r="I291" s="10">
        <f>IF(A291="","",IF('Statements (Raw)'!H289="","",'Statements (Raw)'!H289))</f>
        <v>-560.9</v>
      </c>
      <c r="J291" s="10">
        <f>IF(A291="",0,IF('Statements (Raw)'!I289="",0,'Statements (Raw)'!I289))</f>
        <v>0</v>
      </c>
      <c r="K291" s="10">
        <f t="shared" si="9"/>
        <v>-560.9</v>
      </c>
    </row>
    <row r="292" spans="1:11" x14ac:dyDescent="0.3">
      <c r="A292" s="171">
        <f>IF(OR('Statements (Raw)'!A290="",'Statements (Raw)'!A290&gt;Holdings!$G$3),"",'Statements (Raw)'!A290)</f>
        <v>45995</v>
      </c>
      <c r="B292" s="7">
        <f>IF(A292="","",IF('Statements (Raw)'!B290="","",'Statements (Raw)'!B290))</f>
        <v>45999</v>
      </c>
      <c r="C292" s="6" t="str">
        <f>IF(A292="","",IF('Statements (Raw)'!C290&lt;&gt;"",'Statements (Raw)'!C290,IF(ISNUMBER(SEARCH("Conferimento",'Statements (Raw)'!D290)),"CASH DEPOSIT",IF(ISNUMBER(SEARCH("Prelievo",'Statements (Raw)'!D290)),"CASH WITHDRAWAL",IF(ISNUMBER(SEARCH("Bollo",'Statements (Raw)'!D290)),"STAMP DUTY",IF(ISNUMBER(SEARCH("Tobin Tax",'Statements (Raw)'!D290)),"TOBIN TAX",IF(ISNUMBER(SEARCH("Rit.provento",'Statements (Raw)'!D290)),"WITHHOLDING TAX",IF(ISNUMBER(SEARCH("Incasso Dividendi",'Statements (Raw)'!D290)),"DIVIDEND",IF(ISNUMBER(SEARCH("Cedola",'Statements (Raw)'!D290)),"COUPON",IF(ISNUMBER(SEARCH("Ratei Pass",'Statements (Raw)'!D290)),"ACCRUED INT",IF(ISNUMBER(SEARCH("Interessi Prest",'Statements (Raw)'!D290)),"SEC LENDING",IF(ISNUMBER(SEARCH("Rimborso",'Statements (Raw)'!D290)),"REDEMPTION",IF(ISNUMBER(SEARCH("Provento",'Statements (Raw)'!D290)),"DISTRIBUTION","OTHER")))))))))))))</f>
        <v>INTESA SANPAOLO</v>
      </c>
      <c r="D292" s="6" t="str">
        <f>IF(A292="","",IF(C292="Saldo Iniziale","Balance",IF(C292="CASH DEPOSIT","Deposit",IF(C292="CASH WITHDRAWAL","Withdrawal",IF(C292="STAMP DUTY","Tax",IF(C292="TOBIN TAX","Tax",IF(C292="WITHHOLDING TAX","Tax",IF(C292="DIVIDEND","Dividend",IF(C292="COUPON","Coupon",IF(C292="ACCRUED INT","Accrued Int.",IF(C292="SEC LENDING","Sec. Lending",IF(C292="REDEMPTION","Redemption",IF(C292="DISTRIBUTION","Distribution",IF(ISNUMBER(SEARCH("Rimborso",'Statements (Raw)'!D290)),"Redemption",IF(ISNUMBER(SEARCH("Cedola",'Statements (Raw)'!D290)),"Coupon",IF(ISNUMBER(SEARCH("Incasso Dividendi",'Statements (Raw)'!D290)),"Dividend",IF(ISNUMBER(SEARCH("Provento Etf",'Statements (Raw)'!D290)),"Distribution",IF(ISNUMBER(SEARCH("Rit.provento",'Statements (Raw)'!D290)),"Tax",IF(ISNUMBER(SEARCH("Ratei Pass",'Statements (Raw)'!D290)),"Accrued Int.",IF(ISNUMBER(SEARCH("Interessi Prest",'Statements (Raw)'!D290)),"Sec. Lending",IF('Statements (Raw)'!G290="","Other",IF('Statements (Raw)'!G290&gt;0,"Buy","Sell"))))))))))))))))))))))</f>
        <v>Buy</v>
      </c>
      <c r="E292" s="6" t="str">
        <f t="shared" si="8"/>
        <v>Stock</v>
      </c>
      <c r="F292" s="8">
        <f>IF(A292="","",IF('Statements (Raw)'!E290="","",'Statements (Raw)'!E290))</f>
        <v>5.609</v>
      </c>
      <c r="G292" s="6" t="str">
        <f>IF(A292="","",IF('Statements (Raw)'!F290="","",'Statements (Raw)'!F290))</f>
        <v>EUR</v>
      </c>
      <c r="H292" s="9">
        <f>IF(A292="","",IF('Statements (Raw)'!G290="","",'Statements (Raw)'!G290))</f>
        <v>1416</v>
      </c>
      <c r="I292" s="10">
        <f>IF(A292="","",IF('Statements (Raw)'!H290="","",'Statements (Raw)'!H290))</f>
        <v>-7942.34</v>
      </c>
      <c r="J292" s="10">
        <f>IF(A292="",0,IF('Statements (Raw)'!I290="",0,'Statements (Raw)'!I290))</f>
        <v>0</v>
      </c>
      <c r="K292" s="10">
        <f t="shared" si="9"/>
        <v>-7942.34</v>
      </c>
    </row>
    <row r="293" spans="1:11" x14ac:dyDescent="0.3">
      <c r="A293" s="171">
        <f>IF(OR('Statements (Raw)'!A291="",'Statements (Raw)'!A291&gt;Holdings!$G$3),"",'Statements (Raw)'!A291)</f>
        <v>45995</v>
      </c>
      <c r="B293" s="7">
        <f>IF(A293="","",IF('Statements (Raw)'!B291="","",'Statements (Raw)'!B291))</f>
        <v>45999</v>
      </c>
      <c r="C293" s="6" t="str">
        <f>IF(A293="","",IF('Statements (Raw)'!C291&lt;&gt;"",'Statements (Raw)'!C291,IF(ISNUMBER(SEARCH("Conferimento",'Statements (Raw)'!D291)),"CASH DEPOSIT",IF(ISNUMBER(SEARCH("Prelievo",'Statements (Raw)'!D291)),"CASH WITHDRAWAL",IF(ISNUMBER(SEARCH("Bollo",'Statements (Raw)'!D291)),"STAMP DUTY",IF(ISNUMBER(SEARCH("Tobin Tax",'Statements (Raw)'!D291)),"TOBIN TAX",IF(ISNUMBER(SEARCH("Rit.provento",'Statements (Raw)'!D291)),"WITHHOLDING TAX",IF(ISNUMBER(SEARCH("Incasso Dividendi",'Statements (Raw)'!D291)),"DIVIDEND",IF(ISNUMBER(SEARCH("Cedola",'Statements (Raw)'!D291)),"COUPON",IF(ISNUMBER(SEARCH("Ratei Pass",'Statements (Raw)'!D291)),"ACCRUED INT",IF(ISNUMBER(SEARCH("Interessi Prest",'Statements (Raw)'!D291)),"SEC LENDING",IF(ISNUMBER(SEARCH("Rimborso",'Statements (Raw)'!D291)),"REDEMPTION",IF(ISNUMBER(SEARCH("Provento",'Statements (Raw)'!D291)),"DISTRIBUTION","OTHER")))))))))))))</f>
        <v>INTESA SANPAOLO</v>
      </c>
      <c r="D293" s="6" t="str">
        <f>IF(A293="","",IF(C293="Saldo Iniziale","Balance",IF(C293="CASH DEPOSIT","Deposit",IF(C293="CASH WITHDRAWAL","Withdrawal",IF(C293="STAMP DUTY","Tax",IF(C293="TOBIN TAX","Tax",IF(C293="WITHHOLDING TAX","Tax",IF(C293="DIVIDEND","Dividend",IF(C293="COUPON","Coupon",IF(C293="ACCRUED INT","Accrued Int.",IF(C293="SEC LENDING","Sec. Lending",IF(C293="REDEMPTION","Redemption",IF(C293="DISTRIBUTION","Distribution",IF(ISNUMBER(SEARCH("Rimborso",'Statements (Raw)'!D291)),"Redemption",IF(ISNUMBER(SEARCH("Cedola",'Statements (Raw)'!D291)),"Coupon",IF(ISNUMBER(SEARCH("Incasso Dividendi",'Statements (Raw)'!D291)),"Dividend",IF(ISNUMBER(SEARCH("Provento Etf",'Statements (Raw)'!D291)),"Distribution",IF(ISNUMBER(SEARCH("Rit.provento",'Statements (Raw)'!D291)),"Tax",IF(ISNUMBER(SEARCH("Ratei Pass",'Statements (Raw)'!D291)),"Accrued Int.",IF(ISNUMBER(SEARCH("Interessi Prest",'Statements (Raw)'!D291)),"Sec. Lending",IF('Statements (Raw)'!G291="","Other",IF('Statements (Raw)'!G291&gt;0,"Buy","Sell"))))))))))))))))))))))</f>
        <v>Buy</v>
      </c>
      <c r="E293" s="6" t="str">
        <f t="shared" si="8"/>
        <v>Stock</v>
      </c>
      <c r="F293" s="8">
        <f>IF(A293="","",IF('Statements (Raw)'!E291="","",'Statements (Raw)'!E291))</f>
        <v>5.609</v>
      </c>
      <c r="G293" s="6" t="str">
        <f>IF(A293="","",IF('Statements (Raw)'!F291="","",'Statements (Raw)'!F291))</f>
        <v>EUR</v>
      </c>
      <c r="H293" s="9">
        <f>IF(A293="","",IF('Statements (Raw)'!G291="","",'Statements (Raw)'!G291))</f>
        <v>69</v>
      </c>
      <c r="I293" s="10">
        <f>IF(A293="","",IF('Statements (Raw)'!H291="","",'Statements (Raw)'!H291))</f>
        <v>-387.02</v>
      </c>
      <c r="J293" s="10">
        <f>IF(A293="",0,IF('Statements (Raw)'!I291="",0,'Statements (Raw)'!I291))</f>
        <v>0</v>
      </c>
      <c r="K293" s="10">
        <f t="shared" si="9"/>
        <v>-387.02</v>
      </c>
    </row>
    <row r="294" spans="1:11" x14ac:dyDescent="0.3">
      <c r="A294" s="171">
        <f>IF(OR('Statements (Raw)'!A292="",'Statements (Raw)'!A292&gt;Holdings!$G$3),"",'Statements (Raw)'!A292)</f>
        <v>45995</v>
      </c>
      <c r="B294" s="7">
        <f>IF(A294="","",IF('Statements (Raw)'!B292="","",'Statements (Raw)'!B292))</f>
        <v>45999</v>
      </c>
      <c r="C294" s="6" t="str">
        <f>IF(A294="","",IF('Statements (Raw)'!C292&lt;&gt;"",'Statements (Raw)'!C292,IF(ISNUMBER(SEARCH("Conferimento",'Statements (Raw)'!D292)),"CASH DEPOSIT",IF(ISNUMBER(SEARCH("Prelievo",'Statements (Raw)'!D292)),"CASH WITHDRAWAL",IF(ISNUMBER(SEARCH("Bollo",'Statements (Raw)'!D292)),"STAMP DUTY",IF(ISNUMBER(SEARCH("Tobin Tax",'Statements (Raw)'!D292)),"TOBIN TAX",IF(ISNUMBER(SEARCH("Rit.provento",'Statements (Raw)'!D292)),"WITHHOLDING TAX",IF(ISNUMBER(SEARCH("Incasso Dividendi",'Statements (Raw)'!D292)),"DIVIDEND",IF(ISNUMBER(SEARCH("Cedola",'Statements (Raw)'!D292)),"COUPON",IF(ISNUMBER(SEARCH("Ratei Pass",'Statements (Raw)'!D292)),"ACCRUED INT",IF(ISNUMBER(SEARCH("Interessi Prest",'Statements (Raw)'!D292)),"SEC LENDING",IF(ISNUMBER(SEARCH("Rimborso",'Statements (Raw)'!D292)),"REDEMPTION",IF(ISNUMBER(SEARCH("Provento",'Statements (Raw)'!D292)),"DISTRIBUTION","OTHER")))))))))))))</f>
        <v>INTESA SANPAOLO</v>
      </c>
      <c r="D294" s="6" t="str">
        <f>IF(A294="","",IF(C294="Saldo Iniziale","Balance",IF(C294="CASH DEPOSIT","Deposit",IF(C294="CASH WITHDRAWAL","Withdrawal",IF(C294="STAMP DUTY","Tax",IF(C294="TOBIN TAX","Tax",IF(C294="WITHHOLDING TAX","Tax",IF(C294="DIVIDEND","Dividend",IF(C294="COUPON","Coupon",IF(C294="ACCRUED INT","Accrued Int.",IF(C294="SEC LENDING","Sec. Lending",IF(C294="REDEMPTION","Redemption",IF(C294="DISTRIBUTION","Distribution",IF(ISNUMBER(SEARCH("Rimborso",'Statements (Raw)'!D292)),"Redemption",IF(ISNUMBER(SEARCH("Cedola",'Statements (Raw)'!D292)),"Coupon",IF(ISNUMBER(SEARCH("Incasso Dividendi",'Statements (Raw)'!D292)),"Dividend",IF(ISNUMBER(SEARCH("Provento Etf",'Statements (Raw)'!D292)),"Distribution",IF(ISNUMBER(SEARCH("Rit.provento",'Statements (Raw)'!D292)),"Tax",IF(ISNUMBER(SEARCH("Ratei Pass",'Statements (Raw)'!D292)),"Accrued Int.",IF(ISNUMBER(SEARCH("Interessi Prest",'Statements (Raw)'!D292)),"Sec. Lending",IF('Statements (Raw)'!G292="","Other",IF('Statements (Raw)'!G292&gt;0,"Buy","Sell"))))))))))))))))))))))</f>
        <v>Buy</v>
      </c>
      <c r="E294" s="6" t="str">
        <f t="shared" si="8"/>
        <v>Stock</v>
      </c>
      <c r="F294" s="8">
        <f>IF(A294="","",IF('Statements (Raw)'!E292="","",'Statements (Raw)'!E292))</f>
        <v>5.609</v>
      </c>
      <c r="G294" s="6" t="str">
        <f>IF(A294="","",IF('Statements (Raw)'!F292="","",'Statements (Raw)'!F292))</f>
        <v>EUR</v>
      </c>
      <c r="H294" s="9">
        <f>IF(A294="","",IF('Statements (Raw)'!G292="","",'Statements (Raw)'!G292))</f>
        <v>1650</v>
      </c>
      <c r="I294" s="10">
        <f>IF(A294="","",IF('Statements (Raw)'!H292="","",'Statements (Raw)'!H292))</f>
        <v>-9254.85</v>
      </c>
      <c r="J294" s="10">
        <f>IF(A294="",0,IF('Statements (Raw)'!I292="",0,'Statements (Raw)'!I292))</f>
        <v>0</v>
      </c>
      <c r="K294" s="10">
        <f t="shared" si="9"/>
        <v>-9254.85</v>
      </c>
    </row>
    <row r="295" spans="1:11" x14ac:dyDescent="0.3">
      <c r="A295" s="171">
        <f>IF(OR('Statements (Raw)'!A293="",'Statements (Raw)'!A293&gt;Holdings!$G$3),"",'Statements (Raw)'!A293)</f>
        <v>45995</v>
      </c>
      <c r="B295" s="7">
        <f>IF(A295="","",IF('Statements (Raw)'!B293="","",'Statements (Raw)'!B293))</f>
        <v>45999</v>
      </c>
      <c r="C295" s="6" t="str">
        <f>IF(A295="","",IF('Statements (Raw)'!C293&lt;&gt;"",'Statements (Raw)'!C293,IF(ISNUMBER(SEARCH("Conferimento",'Statements (Raw)'!D293)),"CASH DEPOSIT",IF(ISNUMBER(SEARCH("Prelievo",'Statements (Raw)'!D293)),"CASH WITHDRAWAL",IF(ISNUMBER(SEARCH("Bollo",'Statements (Raw)'!D293)),"STAMP DUTY",IF(ISNUMBER(SEARCH("Tobin Tax",'Statements (Raw)'!D293)),"TOBIN TAX",IF(ISNUMBER(SEARCH("Rit.provento",'Statements (Raw)'!D293)),"WITHHOLDING TAX",IF(ISNUMBER(SEARCH("Incasso Dividendi",'Statements (Raw)'!D293)),"DIVIDEND",IF(ISNUMBER(SEARCH("Cedola",'Statements (Raw)'!D293)),"COUPON",IF(ISNUMBER(SEARCH("Ratei Pass",'Statements (Raw)'!D293)),"ACCRUED INT",IF(ISNUMBER(SEARCH("Interessi Prest",'Statements (Raw)'!D293)),"SEC LENDING",IF(ISNUMBER(SEARCH("Rimborso",'Statements (Raw)'!D293)),"REDEMPTION",IF(ISNUMBER(SEARCH("Provento",'Statements (Raw)'!D293)),"DISTRIBUTION","OTHER")))))))))))))</f>
        <v>INTESA SANPAOLO</v>
      </c>
      <c r="D295" s="6" t="str">
        <f>IF(A295="","",IF(C295="Saldo Iniziale","Balance",IF(C295="CASH DEPOSIT","Deposit",IF(C295="CASH WITHDRAWAL","Withdrawal",IF(C295="STAMP DUTY","Tax",IF(C295="TOBIN TAX","Tax",IF(C295="WITHHOLDING TAX","Tax",IF(C295="DIVIDEND","Dividend",IF(C295="COUPON","Coupon",IF(C295="ACCRUED INT","Accrued Int.",IF(C295="SEC LENDING","Sec. Lending",IF(C295="REDEMPTION","Redemption",IF(C295="DISTRIBUTION","Distribution",IF(ISNUMBER(SEARCH("Rimborso",'Statements (Raw)'!D293)),"Redemption",IF(ISNUMBER(SEARCH("Cedola",'Statements (Raw)'!D293)),"Coupon",IF(ISNUMBER(SEARCH("Incasso Dividendi",'Statements (Raw)'!D293)),"Dividend",IF(ISNUMBER(SEARCH("Provento Etf",'Statements (Raw)'!D293)),"Distribution",IF(ISNUMBER(SEARCH("Rit.provento",'Statements (Raw)'!D293)),"Tax",IF(ISNUMBER(SEARCH("Ratei Pass",'Statements (Raw)'!D293)),"Accrued Int.",IF(ISNUMBER(SEARCH("Interessi Prest",'Statements (Raw)'!D293)),"Sec. Lending",IF('Statements (Raw)'!G293="","Other",IF('Statements (Raw)'!G293&gt;0,"Buy","Sell"))))))))))))))))))))))</f>
        <v>Buy</v>
      </c>
      <c r="E295" s="6" t="str">
        <f t="shared" si="8"/>
        <v>Stock</v>
      </c>
      <c r="F295" s="8">
        <f>IF(A295="","",IF('Statements (Raw)'!E293="","",'Statements (Raw)'!E293))</f>
        <v>5.609</v>
      </c>
      <c r="G295" s="6" t="str">
        <f>IF(A295="","",IF('Statements (Raw)'!F293="","",'Statements (Raw)'!F293))</f>
        <v>EUR</v>
      </c>
      <c r="H295" s="9">
        <f>IF(A295="","",IF('Statements (Raw)'!G293="","",'Statements (Raw)'!G293))</f>
        <v>3640</v>
      </c>
      <c r="I295" s="10">
        <f>IF(A295="","",IF('Statements (Raw)'!H293="","",'Statements (Raw)'!H293))</f>
        <v>-20416.759999999998</v>
      </c>
      <c r="J295" s="10">
        <f>IF(A295="",0,IF('Statements (Raw)'!I293="",0,'Statements (Raw)'!I293))</f>
        <v>0</v>
      </c>
      <c r="K295" s="10">
        <f t="shared" si="9"/>
        <v>-20416.759999999998</v>
      </c>
    </row>
    <row r="296" spans="1:11" x14ac:dyDescent="0.3">
      <c r="A296" s="171">
        <f>IF(OR('Statements (Raw)'!A294="",'Statements (Raw)'!A294&gt;Holdings!$G$3),"",'Statements (Raw)'!A294)</f>
        <v>45995</v>
      </c>
      <c r="B296" s="7">
        <f>IF(A296="","",IF('Statements (Raw)'!B294="","",'Statements (Raw)'!B294))</f>
        <v>45999</v>
      </c>
      <c r="C296" s="6" t="str">
        <f>IF(A296="","",IF('Statements (Raw)'!C294&lt;&gt;"",'Statements (Raw)'!C294,IF(ISNUMBER(SEARCH("Conferimento",'Statements (Raw)'!D294)),"CASH DEPOSIT",IF(ISNUMBER(SEARCH("Prelievo",'Statements (Raw)'!D294)),"CASH WITHDRAWAL",IF(ISNUMBER(SEARCH("Bollo",'Statements (Raw)'!D294)),"STAMP DUTY",IF(ISNUMBER(SEARCH("Tobin Tax",'Statements (Raw)'!D294)),"TOBIN TAX",IF(ISNUMBER(SEARCH("Rit.provento",'Statements (Raw)'!D294)),"WITHHOLDING TAX",IF(ISNUMBER(SEARCH("Incasso Dividendi",'Statements (Raw)'!D294)),"DIVIDEND",IF(ISNUMBER(SEARCH("Cedola",'Statements (Raw)'!D294)),"COUPON",IF(ISNUMBER(SEARCH("Ratei Pass",'Statements (Raw)'!D294)),"ACCRUED INT",IF(ISNUMBER(SEARCH("Interessi Prest",'Statements (Raw)'!D294)),"SEC LENDING",IF(ISNUMBER(SEARCH("Rimborso",'Statements (Raw)'!D294)),"REDEMPTION",IF(ISNUMBER(SEARCH("Provento",'Statements (Raw)'!D294)),"DISTRIBUTION","OTHER")))))))))))))</f>
        <v>INTESA SANPAOLO</v>
      </c>
      <c r="D296" s="6" t="str">
        <f>IF(A296="","",IF(C296="Saldo Iniziale","Balance",IF(C296="CASH DEPOSIT","Deposit",IF(C296="CASH WITHDRAWAL","Withdrawal",IF(C296="STAMP DUTY","Tax",IF(C296="TOBIN TAX","Tax",IF(C296="WITHHOLDING TAX","Tax",IF(C296="DIVIDEND","Dividend",IF(C296="COUPON","Coupon",IF(C296="ACCRUED INT","Accrued Int.",IF(C296="SEC LENDING","Sec. Lending",IF(C296="REDEMPTION","Redemption",IF(C296="DISTRIBUTION","Distribution",IF(ISNUMBER(SEARCH("Rimborso",'Statements (Raw)'!D294)),"Redemption",IF(ISNUMBER(SEARCH("Cedola",'Statements (Raw)'!D294)),"Coupon",IF(ISNUMBER(SEARCH("Incasso Dividendi",'Statements (Raw)'!D294)),"Dividend",IF(ISNUMBER(SEARCH("Provento Etf",'Statements (Raw)'!D294)),"Distribution",IF(ISNUMBER(SEARCH("Rit.provento",'Statements (Raw)'!D294)),"Tax",IF(ISNUMBER(SEARCH("Ratei Pass",'Statements (Raw)'!D294)),"Accrued Int.",IF(ISNUMBER(SEARCH("Interessi Prest",'Statements (Raw)'!D294)),"Sec. Lending",IF('Statements (Raw)'!G294="","Other",IF('Statements (Raw)'!G294&gt;0,"Buy","Sell"))))))))))))))))))))))</f>
        <v>Buy</v>
      </c>
      <c r="E296" s="6" t="str">
        <f t="shared" si="8"/>
        <v>Stock</v>
      </c>
      <c r="F296" s="8">
        <f>IF(A296="","",IF('Statements (Raw)'!E294="","",'Statements (Raw)'!E294))</f>
        <v>5.609</v>
      </c>
      <c r="G296" s="6" t="str">
        <f>IF(A296="","",IF('Statements (Raw)'!F294="","",'Statements (Raw)'!F294))</f>
        <v>EUR</v>
      </c>
      <c r="H296" s="9">
        <f>IF(A296="","",IF('Statements (Raw)'!G294="","",'Statements (Raw)'!G294))</f>
        <v>28</v>
      </c>
      <c r="I296" s="10">
        <f>IF(A296="","",IF('Statements (Raw)'!H294="","",'Statements (Raw)'!H294))</f>
        <v>-157.05000000000001</v>
      </c>
      <c r="J296" s="10">
        <f>IF(A296="",0,IF('Statements (Raw)'!I294="",0,'Statements (Raw)'!I294))</f>
        <v>0</v>
      </c>
      <c r="K296" s="10">
        <f t="shared" si="9"/>
        <v>-157.05000000000001</v>
      </c>
    </row>
    <row r="297" spans="1:11" x14ac:dyDescent="0.3">
      <c r="A297" s="171">
        <f>IF(OR('Statements (Raw)'!A295="",'Statements (Raw)'!A295&gt;Holdings!$G$3),"",'Statements (Raw)'!A295)</f>
        <v>45995</v>
      </c>
      <c r="B297" s="7">
        <f>IF(A297="","",IF('Statements (Raw)'!B295="","",'Statements (Raw)'!B295))</f>
        <v>45999</v>
      </c>
      <c r="C297" s="6" t="str">
        <f>IF(A297="","",IF('Statements (Raw)'!C295&lt;&gt;"",'Statements (Raw)'!C295,IF(ISNUMBER(SEARCH("Conferimento",'Statements (Raw)'!D295)),"CASH DEPOSIT",IF(ISNUMBER(SEARCH("Prelievo",'Statements (Raw)'!D295)),"CASH WITHDRAWAL",IF(ISNUMBER(SEARCH("Bollo",'Statements (Raw)'!D295)),"STAMP DUTY",IF(ISNUMBER(SEARCH("Tobin Tax",'Statements (Raw)'!D295)),"TOBIN TAX",IF(ISNUMBER(SEARCH("Rit.provento",'Statements (Raw)'!D295)),"WITHHOLDING TAX",IF(ISNUMBER(SEARCH("Incasso Dividendi",'Statements (Raw)'!D295)),"DIVIDEND",IF(ISNUMBER(SEARCH("Cedola",'Statements (Raw)'!D295)),"COUPON",IF(ISNUMBER(SEARCH("Ratei Pass",'Statements (Raw)'!D295)),"ACCRUED INT",IF(ISNUMBER(SEARCH("Interessi Prest",'Statements (Raw)'!D295)),"SEC LENDING",IF(ISNUMBER(SEARCH("Rimborso",'Statements (Raw)'!D295)),"REDEMPTION",IF(ISNUMBER(SEARCH("Provento",'Statements (Raw)'!D295)),"DISTRIBUTION","OTHER")))))))))))))</f>
        <v>INTESA SANPAOLO</v>
      </c>
      <c r="D297" s="6" t="str">
        <f>IF(A297="","",IF(C297="Saldo Iniziale","Balance",IF(C297="CASH DEPOSIT","Deposit",IF(C297="CASH WITHDRAWAL","Withdrawal",IF(C297="STAMP DUTY","Tax",IF(C297="TOBIN TAX","Tax",IF(C297="WITHHOLDING TAX","Tax",IF(C297="DIVIDEND","Dividend",IF(C297="COUPON","Coupon",IF(C297="ACCRUED INT","Accrued Int.",IF(C297="SEC LENDING","Sec. Lending",IF(C297="REDEMPTION","Redemption",IF(C297="DISTRIBUTION","Distribution",IF(ISNUMBER(SEARCH("Rimborso",'Statements (Raw)'!D295)),"Redemption",IF(ISNUMBER(SEARCH("Cedola",'Statements (Raw)'!D295)),"Coupon",IF(ISNUMBER(SEARCH("Incasso Dividendi",'Statements (Raw)'!D295)),"Dividend",IF(ISNUMBER(SEARCH("Provento Etf",'Statements (Raw)'!D295)),"Distribution",IF(ISNUMBER(SEARCH("Rit.provento",'Statements (Raw)'!D295)),"Tax",IF(ISNUMBER(SEARCH("Ratei Pass",'Statements (Raw)'!D295)),"Accrued Int.",IF(ISNUMBER(SEARCH("Interessi Prest",'Statements (Raw)'!D295)),"Sec. Lending",IF('Statements (Raw)'!G295="","Other",IF('Statements (Raw)'!G295&gt;0,"Buy","Sell"))))))))))))))))))))))</f>
        <v>Buy</v>
      </c>
      <c r="E297" s="6" t="str">
        <f t="shared" si="8"/>
        <v>Stock</v>
      </c>
      <c r="F297" s="8">
        <f>IF(A297="","",IF('Statements (Raw)'!E295="","",'Statements (Raw)'!E295))</f>
        <v>5.609</v>
      </c>
      <c r="G297" s="6" t="str">
        <f>IF(A297="","",IF('Statements (Raw)'!F295="","",'Statements (Raw)'!F295))</f>
        <v>EUR</v>
      </c>
      <c r="H297" s="9">
        <f>IF(A297="","",IF('Statements (Raw)'!G295="","",'Statements (Raw)'!G295))</f>
        <v>957</v>
      </c>
      <c r="I297" s="10">
        <f>IF(A297="","",IF('Statements (Raw)'!H295="","",'Statements (Raw)'!H295))</f>
        <v>-5367.81</v>
      </c>
      <c r="J297" s="10">
        <f>IF(A297="",0,IF('Statements (Raw)'!I295="",0,'Statements (Raw)'!I295))</f>
        <v>0</v>
      </c>
      <c r="K297" s="10">
        <f t="shared" si="9"/>
        <v>-5367.81</v>
      </c>
    </row>
    <row r="298" spans="1:11" x14ac:dyDescent="0.3">
      <c r="A298" s="171">
        <f>IF(OR('Statements (Raw)'!A296="",'Statements (Raw)'!A296&gt;Holdings!$G$3),"",'Statements (Raw)'!A296)</f>
        <v>45995</v>
      </c>
      <c r="B298" s="7">
        <f>IF(A298="","",IF('Statements (Raw)'!B296="","",'Statements (Raw)'!B296))</f>
        <v>45999</v>
      </c>
      <c r="C298" s="6" t="str">
        <f>IF(A298="","",IF('Statements (Raw)'!C296&lt;&gt;"",'Statements (Raw)'!C296,IF(ISNUMBER(SEARCH("Conferimento",'Statements (Raw)'!D296)),"CASH DEPOSIT",IF(ISNUMBER(SEARCH("Prelievo",'Statements (Raw)'!D296)),"CASH WITHDRAWAL",IF(ISNUMBER(SEARCH("Bollo",'Statements (Raw)'!D296)),"STAMP DUTY",IF(ISNUMBER(SEARCH("Tobin Tax",'Statements (Raw)'!D296)),"TOBIN TAX",IF(ISNUMBER(SEARCH("Rit.provento",'Statements (Raw)'!D296)),"WITHHOLDING TAX",IF(ISNUMBER(SEARCH("Incasso Dividendi",'Statements (Raw)'!D296)),"DIVIDEND",IF(ISNUMBER(SEARCH("Cedola",'Statements (Raw)'!D296)),"COUPON",IF(ISNUMBER(SEARCH("Ratei Pass",'Statements (Raw)'!D296)),"ACCRUED INT",IF(ISNUMBER(SEARCH("Interessi Prest",'Statements (Raw)'!D296)),"SEC LENDING",IF(ISNUMBER(SEARCH("Rimborso",'Statements (Raw)'!D296)),"REDEMPTION",IF(ISNUMBER(SEARCH("Provento",'Statements (Raw)'!D296)),"DISTRIBUTION","OTHER")))))))))))))</f>
        <v>INTESA SANPAOLO</v>
      </c>
      <c r="D298" s="6" t="str">
        <f>IF(A298="","",IF(C298="Saldo Iniziale","Balance",IF(C298="CASH DEPOSIT","Deposit",IF(C298="CASH WITHDRAWAL","Withdrawal",IF(C298="STAMP DUTY","Tax",IF(C298="TOBIN TAX","Tax",IF(C298="WITHHOLDING TAX","Tax",IF(C298="DIVIDEND","Dividend",IF(C298="COUPON","Coupon",IF(C298="ACCRUED INT","Accrued Int.",IF(C298="SEC LENDING","Sec. Lending",IF(C298="REDEMPTION","Redemption",IF(C298="DISTRIBUTION","Distribution",IF(ISNUMBER(SEARCH("Rimborso",'Statements (Raw)'!D296)),"Redemption",IF(ISNUMBER(SEARCH("Cedola",'Statements (Raw)'!D296)),"Coupon",IF(ISNUMBER(SEARCH("Incasso Dividendi",'Statements (Raw)'!D296)),"Dividend",IF(ISNUMBER(SEARCH("Provento Etf",'Statements (Raw)'!D296)),"Distribution",IF(ISNUMBER(SEARCH("Rit.provento",'Statements (Raw)'!D296)),"Tax",IF(ISNUMBER(SEARCH("Ratei Pass",'Statements (Raw)'!D296)),"Accrued Int.",IF(ISNUMBER(SEARCH("Interessi Prest",'Statements (Raw)'!D296)),"Sec. Lending",IF('Statements (Raw)'!G296="","Other",IF('Statements (Raw)'!G296&gt;0,"Buy","Sell"))))))))))))))))))))))</f>
        <v>Buy</v>
      </c>
      <c r="E298" s="6" t="str">
        <f t="shared" si="8"/>
        <v>Stock</v>
      </c>
      <c r="F298" s="8">
        <f>IF(A298="","",IF('Statements (Raw)'!E296="","",'Statements (Raw)'!E296))</f>
        <v>5.609</v>
      </c>
      <c r="G298" s="6" t="str">
        <f>IF(A298="","",IF('Statements (Raw)'!F296="","",'Statements (Raw)'!F296))</f>
        <v>EUR</v>
      </c>
      <c r="H298" s="9">
        <f>IF(A298="","",IF('Statements (Raw)'!G296="","",'Statements (Raw)'!G296))</f>
        <v>172</v>
      </c>
      <c r="I298" s="10">
        <f>IF(A298="","",IF('Statements (Raw)'!H296="","",'Statements (Raw)'!H296))</f>
        <v>-964.75</v>
      </c>
      <c r="J298" s="10">
        <f>IF(A298="",0,IF('Statements (Raw)'!I296="",0,'Statements (Raw)'!I296))</f>
        <v>0</v>
      </c>
      <c r="K298" s="10">
        <f t="shared" si="9"/>
        <v>-964.75</v>
      </c>
    </row>
    <row r="299" spans="1:11" x14ac:dyDescent="0.3">
      <c r="A299" s="171">
        <f>IF(OR('Statements (Raw)'!A297="",'Statements (Raw)'!A297&gt;Holdings!$G$3),"",'Statements (Raw)'!A297)</f>
        <v>45995</v>
      </c>
      <c r="B299" s="7">
        <f>IF(A299="","",IF('Statements (Raw)'!B297="","",'Statements (Raw)'!B297))</f>
        <v>45999</v>
      </c>
      <c r="C299" s="6" t="str">
        <f>IF(A299="","",IF('Statements (Raw)'!C297&lt;&gt;"",'Statements (Raw)'!C297,IF(ISNUMBER(SEARCH("Conferimento",'Statements (Raw)'!D297)),"CASH DEPOSIT",IF(ISNUMBER(SEARCH("Prelievo",'Statements (Raw)'!D297)),"CASH WITHDRAWAL",IF(ISNUMBER(SEARCH("Bollo",'Statements (Raw)'!D297)),"STAMP DUTY",IF(ISNUMBER(SEARCH("Tobin Tax",'Statements (Raw)'!D297)),"TOBIN TAX",IF(ISNUMBER(SEARCH("Rit.provento",'Statements (Raw)'!D297)),"WITHHOLDING TAX",IF(ISNUMBER(SEARCH("Incasso Dividendi",'Statements (Raw)'!D297)),"DIVIDEND",IF(ISNUMBER(SEARCH("Cedola",'Statements (Raw)'!D297)),"COUPON",IF(ISNUMBER(SEARCH("Ratei Pass",'Statements (Raw)'!D297)),"ACCRUED INT",IF(ISNUMBER(SEARCH("Interessi Prest",'Statements (Raw)'!D297)),"SEC LENDING",IF(ISNUMBER(SEARCH("Rimborso",'Statements (Raw)'!D297)),"REDEMPTION",IF(ISNUMBER(SEARCH("Provento",'Statements (Raw)'!D297)),"DISTRIBUTION","OTHER")))))))))))))</f>
        <v>INTESA SANPAOLO</v>
      </c>
      <c r="D299" s="6" t="str">
        <f>IF(A299="","",IF(C299="Saldo Iniziale","Balance",IF(C299="CASH DEPOSIT","Deposit",IF(C299="CASH WITHDRAWAL","Withdrawal",IF(C299="STAMP DUTY","Tax",IF(C299="TOBIN TAX","Tax",IF(C299="WITHHOLDING TAX","Tax",IF(C299="DIVIDEND","Dividend",IF(C299="COUPON","Coupon",IF(C299="ACCRUED INT","Accrued Int.",IF(C299="SEC LENDING","Sec. Lending",IF(C299="REDEMPTION","Redemption",IF(C299="DISTRIBUTION","Distribution",IF(ISNUMBER(SEARCH("Rimborso",'Statements (Raw)'!D297)),"Redemption",IF(ISNUMBER(SEARCH("Cedola",'Statements (Raw)'!D297)),"Coupon",IF(ISNUMBER(SEARCH("Incasso Dividendi",'Statements (Raw)'!D297)),"Dividend",IF(ISNUMBER(SEARCH("Provento Etf",'Statements (Raw)'!D297)),"Distribution",IF(ISNUMBER(SEARCH("Rit.provento",'Statements (Raw)'!D297)),"Tax",IF(ISNUMBER(SEARCH("Ratei Pass",'Statements (Raw)'!D297)),"Accrued Int.",IF(ISNUMBER(SEARCH("Interessi Prest",'Statements (Raw)'!D297)),"Sec. Lending",IF('Statements (Raw)'!G297="","Other",IF('Statements (Raw)'!G297&gt;0,"Buy","Sell"))))))))))))))))))))))</f>
        <v>Buy</v>
      </c>
      <c r="E299" s="6" t="str">
        <f t="shared" si="8"/>
        <v>Stock</v>
      </c>
      <c r="F299" s="8">
        <f>IF(A299="","",IF('Statements (Raw)'!E297="","",'Statements (Raw)'!E297))</f>
        <v>5.609</v>
      </c>
      <c r="G299" s="6" t="str">
        <f>IF(A299="","",IF('Statements (Raw)'!F297="","",'Statements (Raw)'!F297))</f>
        <v>EUR</v>
      </c>
      <c r="H299" s="9">
        <f>IF(A299="","",IF('Statements (Raw)'!G297="","",'Statements (Raw)'!G297))</f>
        <v>82</v>
      </c>
      <c r="I299" s="10">
        <f>IF(A299="","",IF('Statements (Raw)'!H297="","",'Statements (Raw)'!H297))</f>
        <v>-459.94</v>
      </c>
      <c r="J299" s="10">
        <f>IF(A299="",0,IF('Statements (Raw)'!I297="",0,'Statements (Raw)'!I297))</f>
        <v>0</v>
      </c>
      <c r="K299" s="10">
        <f t="shared" si="9"/>
        <v>-459.94</v>
      </c>
    </row>
    <row r="300" spans="1:11" x14ac:dyDescent="0.3">
      <c r="A300" s="171">
        <f>IF(OR('Statements (Raw)'!A298="",'Statements (Raw)'!A298&gt;Holdings!$G$3),"",'Statements (Raw)'!A298)</f>
        <v>45995</v>
      </c>
      <c r="B300" s="7">
        <f>IF(A300="","",IF('Statements (Raw)'!B298="","",'Statements (Raw)'!B298))</f>
        <v>45999</v>
      </c>
      <c r="C300" s="6" t="str">
        <f>IF(A300="","",IF('Statements (Raw)'!C298&lt;&gt;"",'Statements (Raw)'!C298,IF(ISNUMBER(SEARCH("Conferimento",'Statements (Raw)'!D298)),"CASH DEPOSIT",IF(ISNUMBER(SEARCH("Prelievo",'Statements (Raw)'!D298)),"CASH WITHDRAWAL",IF(ISNUMBER(SEARCH("Bollo",'Statements (Raw)'!D298)),"STAMP DUTY",IF(ISNUMBER(SEARCH("Tobin Tax",'Statements (Raw)'!D298)),"TOBIN TAX",IF(ISNUMBER(SEARCH("Rit.provento",'Statements (Raw)'!D298)),"WITHHOLDING TAX",IF(ISNUMBER(SEARCH("Incasso Dividendi",'Statements (Raw)'!D298)),"DIVIDEND",IF(ISNUMBER(SEARCH("Cedola",'Statements (Raw)'!D298)),"COUPON",IF(ISNUMBER(SEARCH("Ratei Pass",'Statements (Raw)'!D298)),"ACCRUED INT",IF(ISNUMBER(SEARCH("Interessi Prest",'Statements (Raw)'!D298)),"SEC LENDING",IF(ISNUMBER(SEARCH("Rimborso",'Statements (Raw)'!D298)),"REDEMPTION",IF(ISNUMBER(SEARCH("Provento",'Statements (Raw)'!D298)),"DISTRIBUTION","OTHER")))))))))))))</f>
        <v>INTESA SANPAOLO</v>
      </c>
      <c r="D300" s="6" t="str">
        <f>IF(A300="","",IF(C300="Saldo Iniziale","Balance",IF(C300="CASH DEPOSIT","Deposit",IF(C300="CASH WITHDRAWAL","Withdrawal",IF(C300="STAMP DUTY","Tax",IF(C300="TOBIN TAX","Tax",IF(C300="WITHHOLDING TAX","Tax",IF(C300="DIVIDEND","Dividend",IF(C300="COUPON","Coupon",IF(C300="ACCRUED INT","Accrued Int.",IF(C300="SEC LENDING","Sec. Lending",IF(C300="REDEMPTION","Redemption",IF(C300="DISTRIBUTION","Distribution",IF(ISNUMBER(SEARCH("Rimborso",'Statements (Raw)'!D298)),"Redemption",IF(ISNUMBER(SEARCH("Cedola",'Statements (Raw)'!D298)),"Coupon",IF(ISNUMBER(SEARCH("Incasso Dividendi",'Statements (Raw)'!D298)),"Dividend",IF(ISNUMBER(SEARCH("Provento Etf",'Statements (Raw)'!D298)),"Distribution",IF(ISNUMBER(SEARCH("Rit.provento",'Statements (Raw)'!D298)),"Tax",IF(ISNUMBER(SEARCH("Ratei Pass",'Statements (Raw)'!D298)),"Accrued Int.",IF(ISNUMBER(SEARCH("Interessi Prest",'Statements (Raw)'!D298)),"Sec. Lending",IF('Statements (Raw)'!G298="","Other",IF('Statements (Raw)'!G298&gt;0,"Buy","Sell"))))))))))))))))))))))</f>
        <v>Buy</v>
      </c>
      <c r="E300" s="6" t="str">
        <f t="shared" si="8"/>
        <v>Stock</v>
      </c>
      <c r="F300" s="8">
        <f>IF(A300="","",IF('Statements (Raw)'!E298="","",'Statements (Raw)'!E298))</f>
        <v>5.609</v>
      </c>
      <c r="G300" s="6" t="str">
        <f>IF(A300="","",IF('Statements (Raw)'!F298="","",'Statements (Raw)'!F298))</f>
        <v>EUR</v>
      </c>
      <c r="H300" s="9">
        <f>IF(A300="","",IF('Statements (Raw)'!G298="","",'Statements (Raw)'!G298))</f>
        <v>1826</v>
      </c>
      <c r="I300" s="10">
        <f>IF(A300="","",IF('Statements (Raw)'!H298="","",'Statements (Raw)'!H298))</f>
        <v>-10242.030000000001</v>
      </c>
      <c r="J300" s="10">
        <f>IF(A300="",0,IF('Statements (Raw)'!I298="",0,'Statements (Raw)'!I298))</f>
        <v>0</v>
      </c>
      <c r="K300" s="10">
        <f t="shared" si="9"/>
        <v>-10242.030000000001</v>
      </c>
    </row>
    <row r="301" spans="1:11" x14ac:dyDescent="0.3">
      <c r="A301" s="171">
        <f>IF(OR('Statements (Raw)'!A299="",'Statements (Raw)'!A299&gt;Holdings!$G$3),"",'Statements (Raw)'!A299)</f>
        <v>45995</v>
      </c>
      <c r="B301" s="7">
        <f>IF(A301="","",IF('Statements (Raw)'!B299="","",'Statements (Raw)'!B299))</f>
        <v>45999</v>
      </c>
      <c r="C301" s="6" t="str">
        <f>IF(A301="","",IF('Statements (Raw)'!C299&lt;&gt;"",'Statements (Raw)'!C299,IF(ISNUMBER(SEARCH("Conferimento",'Statements (Raw)'!D299)),"CASH DEPOSIT",IF(ISNUMBER(SEARCH("Prelievo",'Statements (Raw)'!D299)),"CASH WITHDRAWAL",IF(ISNUMBER(SEARCH("Bollo",'Statements (Raw)'!D299)),"STAMP DUTY",IF(ISNUMBER(SEARCH("Tobin Tax",'Statements (Raw)'!D299)),"TOBIN TAX",IF(ISNUMBER(SEARCH("Rit.provento",'Statements (Raw)'!D299)),"WITHHOLDING TAX",IF(ISNUMBER(SEARCH("Incasso Dividendi",'Statements (Raw)'!D299)),"DIVIDEND",IF(ISNUMBER(SEARCH("Cedola",'Statements (Raw)'!D299)),"COUPON",IF(ISNUMBER(SEARCH("Ratei Pass",'Statements (Raw)'!D299)),"ACCRUED INT",IF(ISNUMBER(SEARCH("Interessi Prest",'Statements (Raw)'!D299)),"SEC LENDING",IF(ISNUMBER(SEARCH("Rimborso",'Statements (Raw)'!D299)),"REDEMPTION",IF(ISNUMBER(SEARCH("Provento",'Statements (Raw)'!D299)),"DISTRIBUTION","OTHER")))))))))))))</f>
        <v>MEDIOBANCA</v>
      </c>
      <c r="D301" s="6" t="str">
        <f>IF(A301="","",IF(C301="Saldo Iniziale","Balance",IF(C301="CASH DEPOSIT","Deposit",IF(C301="CASH WITHDRAWAL","Withdrawal",IF(C301="STAMP DUTY","Tax",IF(C301="TOBIN TAX","Tax",IF(C301="WITHHOLDING TAX","Tax",IF(C301="DIVIDEND","Dividend",IF(C301="COUPON","Coupon",IF(C301="ACCRUED INT","Accrued Int.",IF(C301="SEC LENDING","Sec. Lending",IF(C301="REDEMPTION","Redemption",IF(C301="DISTRIBUTION","Distribution",IF(ISNUMBER(SEARCH("Rimborso",'Statements (Raw)'!D299)),"Redemption",IF(ISNUMBER(SEARCH("Cedola",'Statements (Raw)'!D299)),"Coupon",IF(ISNUMBER(SEARCH("Incasso Dividendi",'Statements (Raw)'!D299)),"Dividend",IF(ISNUMBER(SEARCH("Provento Etf",'Statements (Raw)'!D299)),"Distribution",IF(ISNUMBER(SEARCH("Rit.provento",'Statements (Raw)'!D299)),"Tax",IF(ISNUMBER(SEARCH("Ratei Pass",'Statements (Raw)'!D299)),"Accrued Int.",IF(ISNUMBER(SEARCH("Interessi Prest",'Statements (Raw)'!D299)),"Sec. Lending",IF('Statements (Raw)'!G299="","Other",IF('Statements (Raw)'!G299&gt;0,"Buy","Sell"))))))))))))))))))))))</f>
        <v>Buy</v>
      </c>
      <c r="E301" s="6" t="str">
        <f t="shared" si="8"/>
        <v>Stock</v>
      </c>
      <c r="F301" s="8">
        <f>IF(A301="","",IF('Statements (Raw)'!E299="","",'Statements (Raw)'!E299))</f>
        <v>16.875</v>
      </c>
      <c r="G301" s="6" t="str">
        <f>IF(A301="","",IF('Statements (Raw)'!F299="","",'Statements (Raw)'!F299))</f>
        <v>EUR</v>
      </c>
      <c r="H301" s="9">
        <f>IF(A301="","",IF('Statements (Raw)'!G299="","",'Statements (Raw)'!G299))</f>
        <v>250</v>
      </c>
      <c r="I301" s="10">
        <f>IF(A301="","",IF('Statements (Raw)'!H299="","",'Statements (Raw)'!H299))</f>
        <v>-4218.75</v>
      </c>
      <c r="J301" s="10">
        <f>IF(A301="",0,IF('Statements (Raw)'!I299="",0,'Statements (Raw)'!I299))</f>
        <v>-5</v>
      </c>
      <c r="K301" s="10">
        <f t="shared" si="9"/>
        <v>-4223.75</v>
      </c>
    </row>
    <row r="302" spans="1:11" x14ac:dyDescent="0.3">
      <c r="A302" s="171">
        <f>IF(OR('Statements (Raw)'!A300="",'Statements (Raw)'!A300&gt;Holdings!$G$3),"",'Statements (Raw)'!A300)</f>
        <v>45995</v>
      </c>
      <c r="B302" s="7">
        <f>IF(A302="","",IF('Statements (Raw)'!B300="","",'Statements (Raw)'!B300))</f>
        <v>45999</v>
      </c>
      <c r="C302" s="6" t="str">
        <f>IF(A302="","",IF('Statements (Raw)'!C300&lt;&gt;"",'Statements (Raw)'!C300,IF(ISNUMBER(SEARCH("Conferimento",'Statements (Raw)'!D300)),"CASH DEPOSIT",IF(ISNUMBER(SEARCH("Prelievo",'Statements (Raw)'!D300)),"CASH WITHDRAWAL",IF(ISNUMBER(SEARCH("Bollo",'Statements (Raw)'!D300)),"STAMP DUTY",IF(ISNUMBER(SEARCH("Tobin Tax",'Statements (Raw)'!D300)),"TOBIN TAX",IF(ISNUMBER(SEARCH("Rit.provento",'Statements (Raw)'!D300)),"WITHHOLDING TAX",IF(ISNUMBER(SEARCH("Incasso Dividendi",'Statements (Raw)'!D300)),"DIVIDEND",IF(ISNUMBER(SEARCH("Cedola",'Statements (Raw)'!D300)),"COUPON",IF(ISNUMBER(SEARCH("Ratei Pass",'Statements (Raw)'!D300)),"ACCRUED INT",IF(ISNUMBER(SEARCH("Interessi Prest",'Statements (Raw)'!D300)),"SEC LENDING",IF(ISNUMBER(SEARCH("Rimborso",'Statements (Raw)'!D300)),"REDEMPTION",IF(ISNUMBER(SEARCH("Provento",'Statements (Raw)'!D300)),"DISTRIBUTION","OTHER")))))))))))))</f>
        <v>MEDIOBANCA</v>
      </c>
      <c r="D302" s="6" t="str">
        <f>IF(A302="","",IF(C302="Saldo Iniziale","Balance",IF(C302="CASH DEPOSIT","Deposit",IF(C302="CASH WITHDRAWAL","Withdrawal",IF(C302="STAMP DUTY","Tax",IF(C302="TOBIN TAX","Tax",IF(C302="WITHHOLDING TAX","Tax",IF(C302="DIVIDEND","Dividend",IF(C302="COUPON","Coupon",IF(C302="ACCRUED INT","Accrued Int.",IF(C302="SEC LENDING","Sec. Lending",IF(C302="REDEMPTION","Redemption",IF(C302="DISTRIBUTION","Distribution",IF(ISNUMBER(SEARCH("Rimborso",'Statements (Raw)'!D300)),"Redemption",IF(ISNUMBER(SEARCH("Cedola",'Statements (Raw)'!D300)),"Coupon",IF(ISNUMBER(SEARCH("Incasso Dividendi",'Statements (Raw)'!D300)),"Dividend",IF(ISNUMBER(SEARCH("Provento Etf",'Statements (Raw)'!D300)),"Distribution",IF(ISNUMBER(SEARCH("Rit.provento",'Statements (Raw)'!D300)),"Tax",IF(ISNUMBER(SEARCH("Ratei Pass",'Statements (Raw)'!D300)),"Accrued Int.",IF(ISNUMBER(SEARCH("Interessi Prest",'Statements (Raw)'!D300)),"Sec. Lending",IF('Statements (Raw)'!G300="","Other",IF('Statements (Raw)'!G300&gt;0,"Buy","Sell"))))))))))))))))))))))</f>
        <v>Buy</v>
      </c>
      <c r="E302" s="6" t="str">
        <f t="shared" si="8"/>
        <v>Stock</v>
      </c>
      <c r="F302" s="8">
        <f>IF(A302="","",IF('Statements (Raw)'!E300="","",'Statements (Raw)'!E300))</f>
        <v>16.875</v>
      </c>
      <c r="G302" s="6" t="str">
        <f>IF(A302="","",IF('Statements (Raw)'!F300="","",'Statements (Raw)'!F300))</f>
        <v>EUR</v>
      </c>
      <c r="H302" s="9">
        <f>IF(A302="","",IF('Statements (Raw)'!G300="","",'Statements (Raw)'!G300))</f>
        <v>400</v>
      </c>
      <c r="I302" s="10">
        <f>IF(A302="","",IF('Statements (Raw)'!H300="","",'Statements (Raw)'!H300))</f>
        <v>-6750</v>
      </c>
      <c r="J302" s="10">
        <f>IF(A302="",0,IF('Statements (Raw)'!I300="",0,'Statements (Raw)'!I300))</f>
        <v>0</v>
      </c>
      <c r="K302" s="10">
        <f t="shared" si="9"/>
        <v>-6750</v>
      </c>
    </row>
    <row r="303" spans="1:11" x14ac:dyDescent="0.3">
      <c r="A303" s="171">
        <f>IF(OR('Statements (Raw)'!A301="",'Statements (Raw)'!A301&gt;Holdings!$G$3),"",'Statements (Raw)'!A301)</f>
        <v>45995</v>
      </c>
      <c r="B303" s="7">
        <f>IF(A303="","",IF('Statements (Raw)'!B301="","",'Statements (Raw)'!B301))</f>
        <v>45999</v>
      </c>
      <c r="C303" s="6" t="str">
        <f>IF(A303="","",IF('Statements (Raw)'!C301&lt;&gt;"",'Statements (Raw)'!C301,IF(ISNUMBER(SEARCH("Conferimento",'Statements (Raw)'!D301)),"CASH DEPOSIT",IF(ISNUMBER(SEARCH("Prelievo",'Statements (Raw)'!D301)),"CASH WITHDRAWAL",IF(ISNUMBER(SEARCH("Bollo",'Statements (Raw)'!D301)),"STAMP DUTY",IF(ISNUMBER(SEARCH("Tobin Tax",'Statements (Raw)'!D301)),"TOBIN TAX",IF(ISNUMBER(SEARCH("Rit.provento",'Statements (Raw)'!D301)),"WITHHOLDING TAX",IF(ISNUMBER(SEARCH("Incasso Dividendi",'Statements (Raw)'!D301)),"DIVIDEND",IF(ISNUMBER(SEARCH("Cedola",'Statements (Raw)'!D301)),"COUPON",IF(ISNUMBER(SEARCH("Ratei Pass",'Statements (Raw)'!D301)),"ACCRUED INT",IF(ISNUMBER(SEARCH("Interessi Prest",'Statements (Raw)'!D301)),"SEC LENDING",IF(ISNUMBER(SEARCH("Rimborso",'Statements (Raw)'!D301)),"REDEMPTION",IF(ISNUMBER(SEARCH("Provento",'Statements (Raw)'!D301)),"DISTRIBUTION","OTHER")))))))))))))</f>
        <v>MEDIOBANCA</v>
      </c>
      <c r="D303" s="6" t="str">
        <f>IF(A303="","",IF(C303="Saldo Iniziale","Balance",IF(C303="CASH DEPOSIT","Deposit",IF(C303="CASH WITHDRAWAL","Withdrawal",IF(C303="STAMP DUTY","Tax",IF(C303="TOBIN TAX","Tax",IF(C303="WITHHOLDING TAX","Tax",IF(C303="DIVIDEND","Dividend",IF(C303="COUPON","Coupon",IF(C303="ACCRUED INT","Accrued Int.",IF(C303="SEC LENDING","Sec. Lending",IF(C303="REDEMPTION","Redemption",IF(C303="DISTRIBUTION","Distribution",IF(ISNUMBER(SEARCH("Rimborso",'Statements (Raw)'!D301)),"Redemption",IF(ISNUMBER(SEARCH("Cedola",'Statements (Raw)'!D301)),"Coupon",IF(ISNUMBER(SEARCH("Incasso Dividendi",'Statements (Raw)'!D301)),"Dividend",IF(ISNUMBER(SEARCH("Provento Etf",'Statements (Raw)'!D301)),"Distribution",IF(ISNUMBER(SEARCH("Rit.provento",'Statements (Raw)'!D301)),"Tax",IF(ISNUMBER(SEARCH("Ratei Pass",'Statements (Raw)'!D301)),"Accrued Int.",IF(ISNUMBER(SEARCH("Interessi Prest",'Statements (Raw)'!D301)),"Sec. Lending",IF('Statements (Raw)'!G301="","Other",IF('Statements (Raw)'!G301&gt;0,"Buy","Sell"))))))))))))))))))))))</f>
        <v>Buy</v>
      </c>
      <c r="E303" s="6" t="str">
        <f t="shared" si="8"/>
        <v>Stock</v>
      </c>
      <c r="F303" s="8">
        <f>IF(A303="","",IF('Statements (Raw)'!E301="","",'Statements (Raw)'!E301))</f>
        <v>16.875</v>
      </c>
      <c r="G303" s="6" t="str">
        <f>IF(A303="","",IF('Statements (Raw)'!F301="","",'Statements (Raw)'!F301))</f>
        <v>EUR</v>
      </c>
      <c r="H303" s="9">
        <f>IF(A303="","",IF('Statements (Raw)'!G301="","",'Statements (Raw)'!G301))</f>
        <v>102</v>
      </c>
      <c r="I303" s="10">
        <f>IF(A303="","",IF('Statements (Raw)'!H301="","",'Statements (Raw)'!H301))</f>
        <v>-1721.25</v>
      </c>
      <c r="J303" s="10">
        <f>IF(A303="",0,IF('Statements (Raw)'!I301="",0,'Statements (Raw)'!I301))</f>
        <v>0</v>
      </c>
      <c r="K303" s="10">
        <f t="shared" si="9"/>
        <v>-1721.25</v>
      </c>
    </row>
    <row r="304" spans="1:11" x14ac:dyDescent="0.3">
      <c r="A304" s="171">
        <f>IF(OR('Statements (Raw)'!A302="",'Statements (Raw)'!A302&gt;Holdings!$G$3),"",'Statements (Raw)'!A302)</f>
        <v>45995</v>
      </c>
      <c r="B304" s="7">
        <f>IF(A304="","",IF('Statements (Raw)'!B302="","",'Statements (Raw)'!B302))</f>
        <v>45999</v>
      </c>
      <c r="C304" s="6" t="str">
        <f>IF(A304="","",IF('Statements (Raw)'!C302&lt;&gt;"",'Statements (Raw)'!C302,IF(ISNUMBER(SEARCH("Conferimento",'Statements (Raw)'!D302)),"CASH DEPOSIT",IF(ISNUMBER(SEARCH("Prelievo",'Statements (Raw)'!D302)),"CASH WITHDRAWAL",IF(ISNUMBER(SEARCH("Bollo",'Statements (Raw)'!D302)),"STAMP DUTY",IF(ISNUMBER(SEARCH("Tobin Tax",'Statements (Raw)'!D302)),"TOBIN TAX",IF(ISNUMBER(SEARCH("Rit.provento",'Statements (Raw)'!D302)),"WITHHOLDING TAX",IF(ISNUMBER(SEARCH("Incasso Dividendi",'Statements (Raw)'!D302)),"DIVIDEND",IF(ISNUMBER(SEARCH("Cedola",'Statements (Raw)'!D302)),"COUPON",IF(ISNUMBER(SEARCH("Ratei Pass",'Statements (Raw)'!D302)),"ACCRUED INT",IF(ISNUMBER(SEARCH("Interessi Prest",'Statements (Raw)'!D302)),"SEC LENDING",IF(ISNUMBER(SEARCH("Rimborso",'Statements (Raw)'!D302)),"REDEMPTION",IF(ISNUMBER(SEARCH("Provento",'Statements (Raw)'!D302)),"DISTRIBUTION","OTHER")))))))))))))</f>
        <v>MEDIOBANCA</v>
      </c>
      <c r="D304" s="6" t="str">
        <f>IF(A304="","",IF(C304="Saldo Iniziale","Balance",IF(C304="CASH DEPOSIT","Deposit",IF(C304="CASH WITHDRAWAL","Withdrawal",IF(C304="STAMP DUTY","Tax",IF(C304="TOBIN TAX","Tax",IF(C304="WITHHOLDING TAX","Tax",IF(C304="DIVIDEND","Dividend",IF(C304="COUPON","Coupon",IF(C304="ACCRUED INT","Accrued Int.",IF(C304="SEC LENDING","Sec. Lending",IF(C304="REDEMPTION","Redemption",IF(C304="DISTRIBUTION","Distribution",IF(ISNUMBER(SEARCH("Rimborso",'Statements (Raw)'!D302)),"Redemption",IF(ISNUMBER(SEARCH("Cedola",'Statements (Raw)'!D302)),"Coupon",IF(ISNUMBER(SEARCH("Incasso Dividendi",'Statements (Raw)'!D302)),"Dividend",IF(ISNUMBER(SEARCH("Provento Etf",'Statements (Raw)'!D302)),"Distribution",IF(ISNUMBER(SEARCH("Rit.provento",'Statements (Raw)'!D302)),"Tax",IF(ISNUMBER(SEARCH("Ratei Pass",'Statements (Raw)'!D302)),"Accrued Int.",IF(ISNUMBER(SEARCH("Interessi Prest",'Statements (Raw)'!D302)),"Sec. Lending",IF('Statements (Raw)'!G302="","Other",IF('Statements (Raw)'!G302&gt;0,"Buy","Sell"))))))))))))))))))))))</f>
        <v>Buy</v>
      </c>
      <c r="E304" s="6" t="str">
        <f t="shared" si="8"/>
        <v>Stock</v>
      </c>
      <c r="F304" s="8">
        <f>IF(A304="","",IF('Statements (Raw)'!E302="","",'Statements (Raw)'!E302))</f>
        <v>16.875</v>
      </c>
      <c r="G304" s="6" t="str">
        <f>IF(A304="","",IF('Statements (Raw)'!F302="","",'Statements (Raw)'!F302))</f>
        <v>EUR</v>
      </c>
      <c r="H304" s="9">
        <f>IF(A304="","",IF('Statements (Raw)'!G302="","",'Statements (Raw)'!G302))</f>
        <v>117</v>
      </c>
      <c r="I304" s="10">
        <f>IF(A304="","",IF('Statements (Raw)'!H302="","",'Statements (Raw)'!H302))</f>
        <v>-1974.38</v>
      </c>
      <c r="J304" s="10">
        <f>IF(A304="",0,IF('Statements (Raw)'!I302="",0,'Statements (Raw)'!I302))</f>
        <v>0</v>
      </c>
      <c r="K304" s="10">
        <f t="shared" si="9"/>
        <v>-1974.38</v>
      </c>
    </row>
    <row r="305" spans="1:11" x14ac:dyDescent="0.3">
      <c r="A305" s="171">
        <f>IF(OR('Statements (Raw)'!A303="",'Statements (Raw)'!A303&gt;Holdings!$G$3),"",'Statements (Raw)'!A303)</f>
        <v>45995</v>
      </c>
      <c r="B305" s="7">
        <f>IF(A305="","",IF('Statements (Raw)'!B303="","",'Statements (Raw)'!B303))</f>
        <v>45999</v>
      </c>
      <c r="C305" s="6" t="str">
        <f>IF(A305="","",IF('Statements (Raw)'!C303&lt;&gt;"",'Statements (Raw)'!C303,IF(ISNUMBER(SEARCH("Conferimento",'Statements (Raw)'!D303)),"CASH DEPOSIT",IF(ISNUMBER(SEARCH("Prelievo",'Statements (Raw)'!D303)),"CASH WITHDRAWAL",IF(ISNUMBER(SEARCH("Bollo",'Statements (Raw)'!D303)),"STAMP DUTY",IF(ISNUMBER(SEARCH("Tobin Tax",'Statements (Raw)'!D303)),"TOBIN TAX",IF(ISNUMBER(SEARCH("Rit.provento",'Statements (Raw)'!D303)),"WITHHOLDING TAX",IF(ISNUMBER(SEARCH("Incasso Dividendi",'Statements (Raw)'!D303)),"DIVIDEND",IF(ISNUMBER(SEARCH("Cedola",'Statements (Raw)'!D303)),"COUPON",IF(ISNUMBER(SEARCH("Ratei Pass",'Statements (Raw)'!D303)),"ACCRUED INT",IF(ISNUMBER(SEARCH("Interessi Prest",'Statements (Raw)'!D303)),"SEC LENDING",IF(ISNUMBER(SEARCH("Rimborso",'Statements (Raw)'!D303)),"REDEMPTION",IF(ISNUMBER(SEARCH("Provento",'Statements (Raw)'!D303)),"DISTRIBUTION","OTHER")))))))))))))</f>
        <v>MEDIOBANCA</v>
      </c>
      <c r="D305" s="6" t="str">
        <f>IF(A305="","",IF(C305="Saldo Iniziale","Balance",IF(C305="CASH DEPOSIT","Deposit",IF(C305="CASH WITHDRAWAL","Withdrawal",IF(C305="STAMP DUTY","Tax",IF(C305="TOBIN TAX","Tax",IF(C305="WITHHOLDING TAX","Tax",IF(C305="DIVIDEND","Dividend",IF(C305="COUPON","Coupon",IF(C305="ACCRUED INT","Accrued Int.",IF(C305="SEC LENDING","Sec. Lending",IF(C305="REDEMPTION","Redemption",IF(C305="DISTRIBUTION","Distribution",IF(ISNUMBER(SEARCH("Rimborso",'Statements (Raw)'!D303)),"Redemption",IF(ISNUMBER(SEARCH("Cedola",'Statements (Raw)'!D303)),"Coupon",IF(ISNUMBER(SEARCH("Incasso Dividendi",'Statements (Raw)'!D303)),"Dividend",IF(ISNUMBER(SEARCH("Provento Etf",'Statements (Raw)'!D303)),"Distribution",IF(ISNUMBER(SEARCH("Rit.provento",'Statements (Raw)'!D303)),"Tax",IF(ISNUMBER(SEARCH("Ratei Pass",'Statements (Raw)'!D303)),"Accrued Int.",IF(ISNUMBER(SEARCH("Interessi Prest",'Statements (Raw)'!D303)),"Sec. Lending",IF('Statements (Raw)'!G303="","Other",IF('Statements (Raw)'!G303&gt;0,"Buy","Sell"))))))))))))))))))))))</f>
        <v>Buy</v>
      </c>
      <c r="E305" s="6" t="str">
        <f t="shared" si="8"/>
        <v>Stock</v>
      </c>
      <c r="F305" s="8">
        <f>IF(A305="","",IF('Statements (Raw)'!E303="","",'Statements (Raw)'!E303))</f>
        <v>16.875</v>
      </c>
      <c r="G305" s="6" t="str">
        <f>IF(A305="","",IF('Statements (Raw)'!F303="","",'Statements (Raw)'!F303))</f>
        <v>EUR</v>
      </c>
      <c r="H305" s="9">
        <f>IF(A305="","",IF('Statements (Raw)'!G303="","",'Statements (Raw)'!G303))</f>
        <v>131</v>
      </c>
      <c r="I305" s="10">
        <f>IF(A305="","",IF('Statements (Raw)'!H303="","",'Statements (Raw)'!H303))</f>
        <v>-2210.63</v>
      </c>
      <c r="J305" s="10">
        <f>IF(A305="",0,IF('Statements (Raw)'!I303="",0,'Statements (Raw)'!I303))</f>
        <v>0</v>
      </c>
      <c r="K305" s="10">
        <f t="shared" si="9"/>
        <v>-2210.63</v>
      </c>
    </row>
    <row r="306" spans="1:11" x14ac:dyDescent="0.3">
      <c r="A306" s="171">
        <f>IF(OR('Statements (Raw)'!A304="",'Statements (Raw)'!A304&gt;Holdings!$G$3),"",'Statements (Raw)'!A304)</f>
        <v>45995</v>
      </c>
      <c r="B306" s="7">
        <f>IF(A306="","",IF('Statements (Raw)'!B304="","",'Statements (Raw)'!B304))</f>
        <v>45999</v>
      </c>
      <c r="C306" s="6" t="str">
        <f>IF(A306="","",IF('Statements (Raw)'!C304&lt;&gt;"",'Statements (Raw)'!C304,IF(ISNUMBER(SEARCH("Conferimento",'Statements (Raw)'!D304)),"CASH DEPOSIT",IF(ISNUMBER(SEARCH("Prelievo",'Statements (Raw)'!D304)),"CASH WITHDRAWAL",IF(ISNUMBER(SEARCH("Bollo",'Statements (Raw)'!D304)),"STAMP DUTY",IF(ISNUMBER(SEARCH("Tobin Tax",'Statements (Raw)'!D304)),"TOBIN TAX",IF(ISNUMBER(SEARCH("Rit.provento",'Statements (Raw)'!D304)),"WITHHOLDING TAX",IF(ISNUMBER(SEARCH("Incasso Dividendi",'Statements (Raw)'!D304)),"DIVIDEND",IF(ISNUMBER(SEARCH("Cedola",'Statements (Raw)'!D304)),"COUPON",IF(ISNUMBER(SEARCH("Ratei Pass",'Statements (Raw)'!D304)),"ACCRUED INT",IF(ISNUMBER(SEARCH("Interessi Prest",'Statements (Raw)'!D304)),"SEC LENDING",IF(ISNUMBER(SEARCH("Rimborso",'Statements (Raw)'!D304)),"REDEMPTION",IF(ISNUMBER(SEARCH("Provento",'Statements (Raw)'!D304)),"DISTRIBUTION","OTHER")))))))))))))</f>
        <v>ENEL</v>
      </c>
      <c r="D306" s="6" t="str">
        <f>IF(A306="","",IF(C306="Saldo Iniziale","Balance",IF(C306="CASH DEPOSIT","Deposit",IF(C306="CASH WITHDRAWAL","Withdrawal",IF(C306="STAMP DUTY","Tax",IF(C306="TOBIN TAX","Tax",IF(C306="WITHHOLDING TAX","Tax",IF(C306="DIVIDEND","Dividend",IF(C306="COUPON","Coupon",IF(C306="ACCRUED INT","Accrued Int.",IF(C306="SEC LENDING","Sec. Lending",IF(C306="REDEMPTION","Redemption",IF(C306="DISTRIBUTION","Distribution",IF(ISNUMBER(SEARCH("Rimborso",'Statements (Raw)'!D304)),"Redemption",IF(ISNUMBER(SEARCH("Cedola",'Statements (Raw)'!D304)),"Coupon",IF(ISNUMBER(SEARCH("Incasso Dividendi",'Statements (Raw)'!D304)),"Dividend",IF(ISNUMBER(SEARCH("Provento Etf",'Statements (Raw)'!D304)),"Distribution",IF(ISNUMBER(SEARCH("Rit.provento",'Statements (Raw)'!D304)),"Tax",IF(ISNUMBER(SEARCH("Ratei Pass",'Statements (Raw)'!D304)),"Accrued Int.",IF(ISNUMBER(SEARCH("Interessi Prest",'Statements (Raw)'!D304)),"Sec. Lending",IF('Statements (Raw)'!G304="","Other",IF('Statements (Raw)'!G304&gt;0,"Buy","Sell"))))))))))))))))))))))</f>
        <v>Buy</v>
      </c>
      <c r="E306" s="6" t="str">
        <f t="shared" si="8"/>
        <v>Stock</v>
      </c>
      <c r="F306" s="8">
        <f>IF(A306="","",IF('Statements (Raw)'!E304="","",'Statements (Raw)'!E304))</f>
        <v>8.843</v>
      </c>
      <c r="G306" s="6" t="str">
        <f>IF(A306="","",IF('Statements (Raw)'!F304="","",'Statements (Raw)'!F304))</f>
        <v>EUR</v>
      </c>
      <c r="H306" s="9">
        <f>IF(A306="","",IF('Statements (Raw)'!G304="","",'Statements (Raw)'!G304))</f>
        <v>350</v>
      </c>
      <c r="I306" s="10">
        <f>IF(A306="","",IF('Statements (Raw)'!H304="","",'Statements (Raw)'!H304))</f>
        <v>-3095.05</v>
      </c>
      <c r="J306" s="10">
        <f>IF(A306="",0,IF('Statements (Raw)'!I304="",0,'Statements (Raw)'!I304))</f>
        <v>-5</v>
      </c>
      <c r="K306" s="10">
        <f t="shared" si="9"/>
        <v>-3100.05</v>
      </c>
    </row>
    <row r="307" spans="1:11" x14ac:dyDescent="0.3">
      <c r="A307" s="171">
        <f>IF(OR('Statements (Raw)'!A305="",'Statements (Raw)'!A305&gt;Holdings!$G$3),"",'Statements (Raw)'!A305)</f>
        <v>45995</v>
      </c>
      <c r="B307" s="7">
        <f>IF(A307="","",IF('Statements (Raw)'!B305="","",'Statements (Raw)'!B305))</f>
        <v>45999</v>
      </c>
      <c r="C307" s="6" t="str">
        <f>IF(A307="","",IF('Statements (Raw)'!C305&lt;&gt;"",'Statements (Raw)'!C305,IF(ISNUMBER(SEARCH("Conferimento",'Statements (Raw)'!D305)),"CASH DEPOSIT",IF(ISNUMBER(SEARCH("Prelievo",'Statements (Raw)'!D305)),"CASH WITHDRAWAL",IF(ISNUMBER(SEARCH("Bollo",'Statements (Raw)'!D305)),"STAMP DUTY",IF(ISNUMBER(SEARCH("Tobin Tax",'Statements (Raw)'!D305)),"TOBIN TAX",IF(ISNUMBER(SEARCH("Rit.provento",'Statements (Raw)'!D305)),"WITHHOLDING TAX",IF(ISNUMBER(SEARCH("Incasso Dividendi",'Statements (Raw)'!D305)),"DIVIDEND",IF(ISNUMBER(SEARCH("Cedola",'Statements (Raw)'!D305)),"COUPON",IF(ISNUMBER(SEARCH("Ratei Pass",'Statements (Raw)'!D305)),"ACCRUED INT",IF(ISNUMBER(SEARCH("Interessi Prest",'Statements (Raw)'!D305)),"SEC LENDING",IF(ISNUMBER(SEARCH("Rimborso",'Statements (Raw)'!D305)),"REDEMPTION",IF(ISNUMBER(SEARCH("Provento",'Statements (Raw)'!D305)),"DISTRIBUTION","OTHER")))))))))))))</f>
        <v>ENEL</v>
      </c>
      <c r="D307" s="6" t="str">
        <f>IF(A307="","",IF(C307="Saldo Iniziale","Balance",IF(C307="CASH DEPOSIT","Deposit",IF(C307="CASH WITHDRAWAL","Withdrawal",IF(C307="STAMP DUTY","Tax",IF(C307="TOBIN TAX","Tax",IF(C307="WITHHOLDING TAX","Tax",IF(C307="DIVIDEND","Dividend",IF(C307="COUPON","Coupon",IF(C307="ACCRUED INT","Accrued Int.",IF(C307="SEC LENDING","Sec. Lending",IF(C307="REDEMPTION","Redemption",IF(C307="DISTRIBUTION","Distribution",IF(ISNUMBER(SEARCH("Rimborso",'Statements (Raw)'!D305)),"Redemption",IF(ISNUMBER(SEARCH("Cedola",'Statements (Raw)'!D305)),"Coupon",IF(ISNUMBER(SEARCH("Incasso Dividendi",'Statements (Raw)'!D305)),"Dividend",IF(ISNUMBER(SEARCH("Provento Etf",'Statements (Raw)'!D305)),"Distribution",IF(ISNUMBER(SEARCH("Rit.provento",'Statements (Raw)'!D305)),"Tax",IF(ISNUMBER(SEARCH("Ratei Pass",'Statements (Raw)'!D305)),"Accrued Int.",IF(ISNUMBER(SEARCH("Interessi Prest",'Statements (Raw)'!D305)),"Sec. Lending",IF('Statements (Raw)'!G305="","Other",IF('Statements (Raw)'!G305&gt;0,"Buy","Sell"))))))))))))))))))))))</f>
        <v>Buy</v>
      </c>
      <c r="E307" s="6" t="str">
        <f t="shared" si="8"/>
        <v>Stock</v>
      </c>
      <c r="F307" s="8">
        <f>IF(A307="","",IF('Statements (Raw)'!E305="","",'Statements (Raw)'!E305))</f>
        <v>8.843</v>
      </c>
      <c r="G307" s="6" t="str">
        <f>IF(A307="","",IF('Statements (Raw)'!F305="","",'Statements (Raw)'!F305))</f>
        <v>EUR</v>
      </c>
      <c r="H307" s="9">
        <f>IF(A307="","",IF('Statements (Raw)'!G305="","",'Statements (Raw)'!G305))</f>
        <v>81</v>
      </c>
      <c r="I307" s="10">
        <f>IF(A307="","",IF('Statements (Raw)'!H305="","",'Statements (Raw)'!H305))</f>
        <v>-716.28</v>
      </c>
      <c r="J307" s="10">
        <f>IF(A307="",0,IF('Statements (Raw)'!I305="",0,'Statements (Raw)'!I305))</f>
        <v>0</v>
      </c>
      <c r="K307" s="10">
        <f t="shared" si="9"/>
        <v>-716.28</v>
      </c>
    </row>
    <row r="308" spans="1:11" x14ac:dyDescent="0.3">
      <c r="A308" s="171">
        <f>IF(OR('Statements (Raw)'!A306="",'Statements (Raw)'!A306&gt;Holdings!$G$3),"",'Statements (Raw)'!A306)</f>
        <v>45995</v>
      </c>
      <c r="B308" s="7">
        <f>IF(A308="","",IF('Statements (Raw)'!B306="","",'Statements (Raw)'!B306))</f>
        <v>45999</v>
      </c>
      <c r="C308" s="6" t="str">
        <f>IF(A308="","",IF('Statements (Raw)'!C306&lt;&gt;"",'Statements (Raw)'!C306,IF(ISNUMBER(SEARCH("Conferimento",'Statements (Raw)'!D306)),"CASH DEPOSIT",IF(ISNUMBER(SEARCH("Prelievo",'Statements (Raw)'!D306)),"CASH WITHDRAWAL",IF(ISNUMBER(SEARCH("Bollo",'Statements (Raw)'!D306)),"STAMP DUTY",IF(ISNUMBER(SEARCH("Tobin Tax",'Statements (Raw)'!D306)),"TOBIN TAX",IF(ISNUMBER(SEARCH("Rit.provento",'Statements (Raw)'!D306)),"WITHHOLDING TAX",IF(ISNUMBER(SEARCH("Incasso Dividendi",'Statements (Raw)'!D306)),"DIVIDEND",IF(ISNUMBER(SEARCH("Cedola",'Statements (Raw)'!D306)),"COUPON",IF(ISNUMBER(SEARCH("Ratei Pass",'Statements (Raw)'!D306)),"ACCRUED INT",IF(ISNUMBER(SEARCH("Interessi Prest",'Statements (Raw)'!D306)),"SEC LENDING",IF(ISNUMBER(SEARCH("Rimborso",'Statements (Raw)'!D306)),"REDEMPTION",IF(ISNUMBER(SEARCH("Provento",'Statements (Raw)'!D306)),"DISTRIBUTION","OTHER")))))))))))))</f>
        <v>ENEL</v>
      </c>
      <c r="D308" s="6" t="str">
        <f>IF(A308="","",IF(C308="Saldo Iniziale","Balance",IF(C308="CASH DEPOSIT","Deposit",IF(C308="CASH WITHDRAWAL","Withdrawal",IF(C308="STAMP DUTY","Tax",IF(C308="TOBIN TAX","Tax",IF(C308="WITHHOLDING TAX","Tax",IF(C308="DIVIDEND","Dividend",IF(C308="COUPON","Coupon",IF(C308="ACCRUED INT","Accrued Int.",IF(C308="SEC LENDING","Sec. Lending",IF(C308="REDEMPTION","Redemption",IF(C308="DISTRIBUTION","Distribution",IF(ISNUMBER(SEARCH("Rimborso",'Statements (Raw)'!D306)),"Redemption",IF(ISNUMBER(SEARCH("Cedola",'Statements (Raw)'!D306)),"Coupon",IF(ISNUMBER(SEARCH("Incasso Dividendi",'Statements (Raw)'!D306)),"Dividend",IF(ISNUMBER(SEARCH("Provento Etf",'Statements (Raw)'!D306)),"Distribution",IF(ISNUMBER(SEARCH("Rit.provento",'Statements (Raw)'!D306)),"Tax",IF(ISNUMBER(SEARCH("Ratei Pass",'Statements (Raw)'!D306)),"Accrued Int.",IF(ISNUMBER(SEARCH("Interessi Prest",'Statements (Raw)'!D306)),"Sec. Lending",IF('Statements (Raw)'!G306="","Other",IF('Statements (Raw)'!G306&gt;0,"Buy","Sell"))))))))))))))))))))))</f>
        <v>Buy</v>
      </c>
      <c r="E308" s="6" t="str">
        <f t="shared" si="8"/>
        <v>Stock</v>
      </c>
      <c r="F308" s="8">
        <f>IF(A308="","",IF('Statements (Raw)'!E306="","",'Statements (Raw)'!E306))</f>
        <v>8.843</v>
      </c>
      <c r="G308" s="6" t="str">
        <f>IF(A308="","",IF('Statements (Raw)'!F306="","",'Statements (Raw)'!F306))</f>
        <v>EUR</v>
      </c>
      <c r="H308" s="9">
        <f>IF(A308="","",IF('Statements (Raw)'!G306="","",'Statements (Raw)'!G306))</f>
        <v>569</v>
      </c>
      <c r="I308" s="10">
        <f>IF(A308="","",IF('Statements (Raw)'!H306="","",'Statements (Raw)'!H306))</f>
        <v>-5031.67</v>
      </c>
      <c r="J308" s="10">
        <f>IF(A308="",0,IF('Statements (Raw)'!I306="",0,'Statements (Raw)'!I306))</f>
        <v>0</v>
      </c>
      <c r="K308" s="10">
        <f t="shared" si="9"/>
        <v>-5031.67</v>
      </c>
    </row>
    <row r="309" spans="1:11" x14ac:dyDescent="0.3">
      <c r="A309" s="171">
        <f>IF(OR('Statements (Raw)'!A307="",'Statements (Raw)'!A307&gt;Holdings!$G$3),"",'Statements (Raw)'!A307)</f>
        <v>45995</v>
      </c>
      <c r="B309" s="7">
        <f>IF(A309="","",IF('Statements (Raw)'!B307="","",'Statements (Raw)'!B307))</f>
        <v>45999</v>
      </c>
      <c r="C309" s="6" t="str">
        <f>IF(A309="","",IF('Statements (Raw)'!C307&lt;&gt;"",'Statements (Raw)'!C307,IF(ISNUMBER(SEARCH("Conferimento",'Statements (Raw)'!D307)),"CASH DEPOSIT",IF(ISNUMBER(SEARCH("Prelievo",'Statements (Raw)'!D307)),"CASH WITHDRAWAL",IF(ISNUMBER(SEARCH("Bollo",'Statements (Raw)'!D307)),"STAMP DUTY",IF(ISNUMBER(SEARCH("Tobin Tax",'Statements (Raw)'!D307)),"TOBIN TAX",IF(ISNUMBER(SEARCH("Rit.provento",'Statements (Raw)'!D307)),"WITHHOLDING TAX",IF(ISNUMBER(SEARCH("Incasso Dividendi",'Statements (Raw)'!D307)),"DIVIDEND",IF(ISNUMBER(SEARCH("Cedola",'Statements (Raw)'!D307)),"COUPON",IF(ISNUMBER(SEARCH("Ratei Pass",'Statements (Raw)'!D307)),"ACCRUED INT",IF(ISNUMBER(SEARCH("Interessi Prest",'Statements (Raw)'!D307)),"SEC LENDING",IF(ISNUMBER(SEARCH("Rimborso",'Statements (Raw)'!D307)),"REDEMPTION",IF(ISNUMBER(SEARCH("Provento",'Statements (Raw)'!D307)),"DISTRIBUTION","OTHER")))))))))))))</f>
        <v>iShares   High Yield Corp Bond</v>
      </c>
      <c r="D309" s="6" t="str">
        <f>IF(A309="","",IF(C309="Saldo Iniziale","Balance",IF(C309="CASH DEPOSIT","Deposit",IF(C309="CASH WITHDRAWAL","Withdrawal",IF(C309="STAMP DUTY","Tax",IF(C309="TOBIN TAX","Tax",IF(C309="WITHHOLDING TAX","Tax",IF(C309="DIVIDEND","Dividend",IF(C309="COUPON","Coupon",IF(C309="ACCRUED INT","Accrued Int.",IF(C309="SEC LENDING","Sec. Lending",IF(C309="REDEMPTION","Redemption",IF(C309="DISTRIBUTION","Distribution",IF(ISNUMBER(SEARCH("Rimborso",'Statements (Raw)'!D307)),"Redemption",IF(ISNUMBER(SEARCH("Cedola",'Statements (Raw)'!D307)),"Coupon",IF(ISNUMBER(SEARCH("Incasso Dividendi",'Statements (Raw)'!D307)),"Dividend",IF(ISNUMBER(SEARCH("Provento Etf",'Statements (Raw)'!D307)),"Distribution",IF(ISNUMBER(SEARCH("Rit.provento",'Statements (Raw)'!D307)),"Tax",IF(ISNUMBER(SEARCH("Ratei Pass",'Statements (Raw)'!D307)),"Accrued Int.",IF(ISNUMBER(SEARCH("Interessi Prest",'Statements (Raw)'!D307)),"Sec. Lending",IF('Statements (Raw)'!G307="","Other",IF('Statements (Raw)'!G307&gt;0,"Buy","Sell"))))))))))))))))))))))</f>
        <v>Buy</v>
      </c>
      <c r="E309" s="6" t="str">
        <f t="shared" si="8"/>
        <v>ETF/ETC</v>
      </c>
      <c r="F309" s="8">
        <f>IF(A309="","",IF('Statements (Raw)'!E307="","",'Statements (Raw)'!E307))</f>
        <v>5.8209999999999997</v>
      </c>
      <c r="G309" s="6" t="str">
        <f>IF(A309="","",IF('Statements (Raw)'!F307="","",'Statements (Raw)'!F307))</f>
        <v>EUR</v>
      </c>
      <c r="H309" s="9">
        <f>IF(A309="","",IF('Statements (Raw)'!G307="","",'Statements (Raw)'!G307))</f>
        <v>1000</v>
      </c>
      <c r="I309" s="10">
        <f>IF(A309="","",IF('Statements (Raw)'!H307="","",'Statements (Raw)'!H307))</f>
        <v>-5821</v>
      </c>
      <c r="J309" s="10">
        <f>IF(A309="",0,IF('Statements (Raw)'!I307="",0,'Statements (Raw)'!I307))</f>
        <v>0</v>
      </c>
      <c r="K309" s="10">
        <f t="shared" si="9"/>
        <v>-5821</v>
      </c>
    </row>
    <row r="310" spans="1:11" x14ac:dyDescent="0.3">
      <c r="A310" s="171">
        <f>IF(OR('Statements (Raw)'!A308="",'Statements (Raw)'!A308&gt;Holdings!$G$3),"",'Statements (Raw)'!A308)</f>
        <v>45995</v>
      </c>
      <c r="B310" s="7">
        <f>IF(A310="","",IF('Statements (Raw)'!B308="","",'Statements (Raw)'!B308))</f>
        <v>45999</v>
      </c>
      <c r="C310" s="6" t="str">
        <f>IF(A310="","",IF('Statements (Raw)'!C308&lt;&gt;"",'Statements (Raw)'!C308,IF(ISNUMBER(SEARCH("Conferimento",'Statements (Raw)'!D308)),"CASH DEPOSIT",IF(ISNUMBER(SEARCH("Prelievo",'Statements (Raw)'!D308)),"CASH WITHDRAWAL",IF(ISNUMBER(SEARCH("Bollo",'Statements (Raw)'!D308)),"STAMP DUTY",IF(ISNUMBER(SEARCH("Tobin Tax",'Statements (Raw)'!D308)),"TOBIN TAX",IF(ISNUMBER(SEARCH("Rit.provento",'Statements (Raw)'!D308)),"WITHHOLDING TAX",IF(ISNUMBER(SEARCH("Incasso Dividendi",'Statements (Raw)'!D308)),"DIVIDEND",IF(ISNUMBER(SEARCH("Cedola",'Statements (Raw)'!D308)),"COUPON",IF(ISNUMBER(SEARCH("Ratei Pass",'Statements (Raw)'!D308)),"ACCRUED INT",IF(ISNUMBER(SEARCH("Interessi Prest",'Statements (Raw)'!D308)),"SEC LENDING",IF(ISNUMBER(SEARCH("Rimborso",'Statements (Raw)'!D308)),"REDEMPTION",IF(ISNUMBER(SEARCH("Provento",'Statements (Raw)'!D308)),"DISTRIBUTION","OTHER")))))))))))))</f>
        <v>ISHARES HIGH YLD CORP UCITS ET</v>
      </c>
      <c r="D310" s="6" t="str">
        <f>IF(A310="","",IF(C310="Saldo Iniziale","Balance",IF(C310="CASH DEPOSIT","Deposit",IF(C310="CASH WITHDRAWAL","Withdrawal",IF(C310="STAMP DUTY","Tax",IF(C310="TOBIN TAX","Tax",IF(C310="WITHHOLDING TAX","Tax",IF(C310="DIVIDEND","Dividend",IF(C310="COUPON","Coupon",IF(C310="ACCRUED INT","Accrued Int.",IF(C310="SEC LENDING","Sec. Lending",IF(C310="REDEMPTION","Redemption",IF(C310="DISTRIBUTION","Distribution",IF(ISNUMBER(SEARCH("Rimborso",'Statements (Raw)'!D308)),"Redemption",IF(ISNUMBER(SEARCH("Cedola",'Statements (Raw)'!D308)),"Coupon",IF(ISNUMBER(SEARCH("Incasso Dividendi",'Statements (Raw)'!D308)),"Dividend",IF(ISNUMBER(SEARCH("Provento Etf",'Statements (Raw)'!D308)),"Distribution",IF(ISNUMBER(SEARCH("Rit.provento",'Statements (Raw)'!D308)),"Tax",IF(ISNUMBER(SEARCH("Ratei Pass",'Statements (Raw)'!D308)),"Accrued Int.",IF(ISNUMBER(SEARCH("Interessi Prest",'Statements (Raw)'!D308)),"Sec. Lending",IF('Statements (Raw)'!G308="","Other",IF('Statements (Raw)'!G308&gt;0,"Buy","Sell"))))))))))))))))))))))</f>
        <v>Buy</v>
      </c>
      <c r="E310" s="6" t="str">
        <f t="shared" si="8"/>
        <v>ETF/ETC</v>
      </c>
      <c r="F310" s="8">
        <f>IF(A310="","",IF('Statements (Raw)'!E308="","",'Statements (Raw)'!E308))</f>
        <v>92.9</v>
      </c>
      <c r="G310" s="6" t="str">
        <f>IF(A310="","",IF('Statements (Raw)'!F308="","",'Statements (Raw)'!F308))</f>
        <v>EUR</v>
      </c>
      <c r="H310" s="9">
        <f>IF(A310="","",IF('Statements (Raw)'!G308="","",'Statements (Raw)'!G308))</f>
        <v>100</v>
      </c>
      <c r="I310" s="10">
        <f>IF(A310="","",IF('Statements (Raw)'!H308="","",'Statements (Raw)'!H308))</f>
        <v>-9290</v>
      </c>
      <c r="J310" s="10">
        <f>IF(A310="",0,IF('Statements (Raw)'!I308="",0,'Statements (Raw)'!I308))</f>
        <v>0</v>
      </c>
      <c r="K310" s="10">
        <f t="shared" si="9"/>
        <v>-9290</v>
      </c>
    </row>
    <row r="311" spans="1:11" x14ac:dyDescent="0.3">
      <c r="A311" s="171">
        <f>IF(OR('Statements (Raw)'!A309="",'Statements (Raw)'!A309&gt;Holdings!$G$3),"",'Statements (Raw)'!A309)</f>
        <v>45995</v>
      </c>
      <c r="B311" s="7">
        <f>IF(A311="","",IF('Statements (Raw)'!B309="","",'Statements (Raw)'!B309))</f>
        <v>45999</v>
      </c>
      <c r="C311" s="6" t="str">
        <f>IF(A311="","",IF('Statements (Raw)'!C309&lt;&gt;"",'Statements (Raw)'!C309,IF(ISNUMBER(SEARCH("Conferimento",'Statements (Raw)'!D309)),"CASH DEPOSIT",IF(ISNUMBER(SEARCH("Prelievo",'Statements (Raw)'!D309)),"CASH WITHDRAWAL",IF(ISNUMBER(SEARCH("Bollo",'Statements (Raw)'!D309)),"STAMP DUTY",IF(ISNUMBER(SEARCH("Tobin Tax",'Statements (Raw)'!D309)),"TOBIN TAX",IF(ISNUMBER(SEARCH("Rit.provento",'Statements (Raw)'!D309)),"WITHHOLDING TAX",IF(ISNUMBER(SEARCH("Incasso Dividendi",'Statements (Raw)'!D309)),"DIVIDEND",IF(ISNUMBER(SEARCH("Cedola",'Statements (Raw)'!D309)),"COUPON",IF(ISNUMBER(SEARCH("Ratei Pass",'Statements (Raw)'!D309)),"ACCRUED INT",IF(ISNUMBER(SEARCH("Interessi Prest",'Statements (Raw)'!D309)),"SEC LENDING",IF(ISNUMBER(SEARCH("Rimborso",'Statements (Raw)'!D309)),"REDEMPTION",IF(ISNUMBER(SEARCH("Provento",'Statements (Raw)'!D309)),"DISTRIBUTION","OTHER")))))))))))))</f>
        <v>DE LONGHI</v>
      </c>
      <c r="D311" s="6" t="str">
        <f>IF(A311="","",IF(C311="Saldo Iniziale","Balance",IF(C311="CASH DEPOSIT","Deposit",IF(C311="CASH WITHDRAWAL","Withdrawal",IF(C311="STAMP DUTY","Tax",IF(C311="TOBIN TAX","Tax",IF(C311="WITHHOLDING TAX","Tax",IF(C311="DIVIDEND","Dividend",IF(C311="COUPON","Coupon",IF(C311="ACCRUED INT","Accrued Int.",IF(C311="SEC LENDING","Sec. Lending",IF(C311="REDEMPTION","Redemption",IF(C311="DISTRIBUTION","Distribution",IF(ISNUMBER(SEARCH("Rimborso",'Statements (Raw)'!D309)),"Redemption",IF(ISNUMBER(SEARCH("Cedola",'Statements (Raw)'!D309)),"Coupon",IF(ISNUMBER(SEARCH("Incasso Dividendi",'Statements (Raw)'!D309)),"Dividend",IF(ISNUMBER(SEARCH("Provento Etf",'Statements (Raw)'!D309)),"Distribution",IF(ISNUMBER(SEARCH("Rit.provento",'Statements (Raw)'!D309)),"Tax",IF(ISNUMBER(SEARCH("Ratei Pass",'Statements (Raw)'!D309)),"Accrued Int.",IF(ISNUMBER(SEARCH("Interessi Prest",'Statements (Raw)'!D309)),"Sec. Lending",IF('Statements (Raw)'!G309="","Other",IF('Statements (Raw)'!G309&gt;0,"Buy","Sell"))))))))))))))))))))))</f>
        <v>Buy</v>
      </c>
      <c r="E311" s="6" t="str">
        <f t="shared" si="8"/>
        <v>Stock</v>
      </c>
      <c r="F311" s="8">
        <f>IF(A311="","",IF('Statements (Raw)'!E309="","",'Statements (Raw)'!E309))</f>
        <v>36.06</v>
      </c>
      <c r="G311" s="6" t="str">
        <f>IF(A311="","",IF('Statements (Raw)'!F309="","",'Statements (Raw)'!F309))</f>
        <v>EUR</v>
      </c>
      <c r="H311" s="9">
        <f>IF(A311="","",IF('Statements (Raw)'!G309="","",'Statements (Raw)'!G309))</f>
        <v>56</v>
      </c>
      <c r="I311" s="10">
        <f>IF(A311="","",IF('Statements (Raw)'!H309="","",'Statements (Raw)'!H309))</f>
        <v>-2019.36</v>
      </c>
      <c r="J311" s="10">
        <f>IF(A311="",0,IF('Statements (Raw)'!I309="",0,'Statements (Raw)'!I309))</f>
        <v>-5</v>
      </c>
      <c r="K311" s="10">
        <f t="shared" si="9"/>
        <v>-2024.36</v>
      </c>
    </row>
    <row r="312" spans="1:11" x14ac:dyDescent="0.3">
      <c r="A312" s="171">
        <f>IF(OR('Statements (Raw)'!A310="",'Statements (Raw)'!A310&gt;Holdings!$G$3),"",'Statements (Raw)'!A310)</f>
        <v>45995</v>
      </c>
      <c r="B312" s="7">
        <f>IF(A312="","",IF('Statements (Raw)'!B310="","",'Statements (Raw)'!B310))</f>
        <v>45999</v>
      </c>
      <c r="C312" s="6" t="str">
        <f>IF(A312="","",IF('Statements (Raw)'!C310&lt;&gt;"",'Statements (Raw)'!C310,IF(ISNUMBER(SEARCH("Conferimento",'Statements (Raw)'!D310)),"CASH DEPOSIT",IF(ISNUMBER(SEARCH("Prelievo",'Statements (Raw)'!D310)),"CASH WITHDRAWAL",IF(ISNUMBER(SEARCH("Bollo",'Statements (Raw)'!D310)),"STAMP DUTY",IF(ISNUMBER(SEARCH("Tobin Tax",'Statements (Raw)'!D310)),"TOBIN TAX",IF(ISNUMBER(SEARCH("Rit.provento",'Statements (Raw)'!D310)),"WITHHOLDING TAX",IF(ISNUMBER(SEARCH("Incasso Dividendi",'Statements (Raw)'!D310)),"DIVIDEND",IF(ISNUMBER(SEARCH("Cedola",'Statements (Raw)'!D310)),"COUPON",IF(ISNUMBER(SEARCH("Ratei Pass",'Statements (Raw)'!D310)),"ACCRUED INT",IF(ISNUMBER(SEARCH("Interessi Prest",'Statements (Raw)'!D310)),"SEC LENDING",IF(ISNUMBER(SEARCH("Rimborso",'Statements (Raw)'!D310)),"REDEMPTION",IF(ISNUMBER(SEARCH("Provento",'Statements (Raw)'!D310)),"DISTRIBUTION","OTHER")))))))))))))</f>
        <v>DE LONGHI</v>
      </c>
      <c r="D312" s="6" t="str">
        <f>IF(A312="","",IF(C312="Saldo Iniziale","Balance",IF(C312="CASH DEPOSIT","Deposit",IF(C312="CASH WITHDRAWAL","Withdrawal",IF(C312="STAMP DUTY","Tax",IF(C312="TOBIN TAX","Tax",IF(C312="WITHHOLDING TAX","Tax",IF(C312="DIVIDEND","Dividend",IF(C312="COUPON","Coupon",IF(C312="ACCRUED INT","Accrued Int.",IF(C312="SEC LENDING","Sec. Lending",IF(C312="REDEMPTION","Redemption",IF(C312="DISTRIBUTION","Distribution",IF(ISNUMBER(SEARCH("Rimborso",'Statements (Raw)'!D310)),"Redemption",IF(ISNUMBER(SEARCH("Cedola",'Statements (Raw)'!D310)),"Coupon",IF(ISNUMBER(SEARCH("Incasso Dividendi",'Statements (Raw)'!D310)),"Dividend",IF(ISNUMBER(SEARCH("Provento Etf",'Statements (Raw)'!D310)),"Distribution",IF(ISNUMBER(SEARCH("Rit.provento",'Statements (Raw)'!D310)),"Tax",IF(ISNUMBER(SEARCH("Ratei Pass",'Statements (Raw)'!D310)),"Accrued Int.",IF(ISNUMBER(SEARCH("Interessi Prest",'Statements (Raw)'!D310)),"Sec. Lending",IF('Statements (Raw)'!G310="","Other",IF('Statements (Raw)'!G310&gt;0,"Buy","Sell"))))))))))))))))))))))</f>
        <v>Buy</v>
      </c>
      <c r="E312" s="6" t="str">
        <f t="shared" si="8"/>
        <v>Stock</v>
      </c>
      <c r="F312" s="8">
        <f>IF(A312="","",IF('Statements (Raw)'!E310="","",'Statements (Raw)'!E310))</f>
        <v>36.06</v>
      </c>
      <c r="G312" s="6" t="str">
        <f>IF(A312="","",IF('Statements (Raw)'!F310="","",'Statements (Raw)'!F310))</f>
        <v>EUR</v>
      </c>
      <c r="H312" s="9">
        <f>IF(A312="","",IF('Statements (Raw)'!G310="","",'Statements (Raw)'!G310))</f>
        <v>212</v>
      </c>
      <c r="I312" s="10">
        <f>IF(A312="","",IF('Statements (Raw)'!H310="","",'Statements (Raw)'!H310))</f>
        <v>-7644.72</v>
      </c>
      <c r="J312" s="10">
        <f>IF(A312="",0,IF('Statements (Raw)'!I310="",0,'Statements (Raw)'!I310))</f>
        <v>0</v>
      </c>
      <c r="K312" s="10">
        <f t="shared" si="9"/>
        <v>-7644.72</v>
      </c>
    </row>
    <row r="313" spans="1:11" x14ac:dyDescent="0.3">
      <c r="A313" s="171">
        <f>IF(OR('Statements (Raw)'!A311="",'Statements (Raw)'!A311&gt;Holdings!$G$3),"",'Statements (Raw)'!A311)</f>
        <v>45995</v>
      </c>
      <c r="B313" s="7">
        <f>IF(A313="","",IF('Statements (Raw)'!B311="","",'Statements (Raw)'!B311))</f>
        <v>45999</v>
      </c>
      <c r="C313" s="6" t="str">
        <f>IF(A313="","",IF('Statements (Raw)'!C311&lt;&gt;"",'Statements (Raw)'!C311,IF(ISNUMBER(SEARCH("Conferimento",'Statements (Raw)'!D311)),"CASH DEPOSIT",IF(ISNUMBER(SEARCH("Prelievo",'Statements (Raw)'!D311)),"CASH WITHDRAWAL",IF(ISNUMBER(SEARCH("Bollo",'Statements (Raw)'!D311)),"STAMP DUTY",IF(ISNUMBER(SEARCH("Tobin Tax",'Statements (Raw)'!D311)),"TOBIN TAX",IF(ISNUMBER(SEARCH("Rit.provento",'Statements (Raw)'!D311)),"WITHHOLDING TAX",IF(ISNUMBER(SEARCH("Incasso Dividendi",'Statements (Raw)'!D311)),"DIVIDEND",IF(ISNUMBER(SEARCH("Cedola",'Statements (Raw)'!D311)),"COUPON",IF(ISNUMBER(SEARCH("Ratei Pass",'Statements (Raw)'!D311)),"ACCRUED INT",IF(ISNUMBER(SEARCH("Interessi Prest",'Statements (Raw)'!D311)),"SEC LENDING",IF(ISNUMBER(SEARCH("Rimborso",'Statements (Raw)'!D311)),"REDEMPTION",IF(ISNUMBER(SEARCH("Provento",'Statements (Raw)'!D311)),"DISTRIBUTION","OTHER")))))))))))))</f>
        <v>DE LONGHI</v>
      </c>
      <c r="D313" s="6" t="str">
        <f>IF(A313="","",IF(C313="Saldo Iniziale","Balance",IF(C313="CASH DEPOSIT","Deposit",IF(C313="CASH WITHDRAWAL","Withdrawal",IF(C313="STAMP DUTY","Tax",IF(C313="TOBIN TAX","Tax",IF(C313="WITHHOLDING TAX","Tax",IF(C313="DIVIDEND","Dividend",IF(C313="COUPON","Coupon",IF(C313="ACCRUED INT","Accrued Int.",IF(C313="SEC LENDING","Sec. Lending",IF(C313="REDEMPTION","Redemption",IF(C313="DISTRIBUTION","Distribution",IF(ISNUMBER(SEARCH("Rimborso",'Statements (Raw)'!D311)),"Redemption",IF(ISNUMBER(SEARCH("Cedola",'Statements (Raw)'!D311)),"Coupon",IF(ISNUMBER(SEARCH("Incasso Dividendi",'Statements (Raw)'!D311)),"Dividend",IF(ISNUMBER(SEARCH("Provento Etf",'Statements (Raw)'!D311)),"Distribution",IF(ISNUMBER(SEARCH("Rit.provento",'Statements (Raw)'!D311)),"Tax",IF(ISNUMBER(SEARCH("Ratei Pass",'Statements (Raw)'!D311)),"Accrued Int.",IF(ISNUMBER(SEARCH("Interessi Prest",'Statements (Raw)'!D311)),"Sec. Lending",IF('Statements (Raw)'!G311="","Other",IF('Statements (Raw)'!G311&gt;0,"Buy","Sell"))))))))))))))))))))))</f>
        <v>Buy</v>
      </c>
      <c r="E313" s="6" t="str">
        <f t="shared" si="8"/>
        <v>Stock</v>
      </c>
      <c r="F313" s="8">
        <f>IF(A313="","",IF('Statements (Raw)'!E311="","",'Statements (Raw)'!E311))</f>
        <v>36.06</v>
      </c>
      <c r="G313" s="6" t="str">
        <f>IF(A313="","",IF('Statements (Raw)'!F311="","",'Statements (Raw)'!F311))</f>
        <v>EUR</v>
      </c>
      <c r="H313" s="9">
        <f>IF(A313="","",IF('Statements (Raw)'!G311="","",'Statements (Raw)'!G311))</f>
        <v>47</v>
      </c>
      <c r="I313" s="10">
        <f>IF(A313="","",IF('Statements (Raw)'!H311="","",'Statements (Raw)'!H311))</f>
        <v>-1694.82</v>
      </c>
      <c r="J313" s="10">
        <f>IF(A313="",0,IF('Statements (Raw)'!I311="",0,'Statements (Raw)'!I311))</f>
        <v>0</v>
      </c>
      <c r="K313" s="10">
        <f t="shared" si="9"/>
        <v>-1694.82</v>
      </c>
    </row>
    <row r="314" spans="1:11" x14ac:dyDescent="0.3">
      <c r="A314" s="171">
        <f>IF(OR('Statements (Raw)'!A312="",'Statements (Raw)'!A312&gt;Holdings!$G$3),"",'Statements (Raw)'!A312)</f>
        <v>45995</v>
      </c>
      <c r="B314" s="7">
        <f>IF(A314="","",IF('Statements (Raw)'!B312="","",'Statements (Raw)'!B312))</f>
        <v>45999</v>
      </c>
      <c r="C314" s="6" t="str">
        <f>IF(A314="","",IF('Statements (Raw)'!C312&lt;&gt;"",'Statements (Raw)'!C312,IF(ISNUMBER(SEARCH("Conferimento",'Statements (Raw)'!D312)),"CASH DEPOSIT",IF(ISNUMBER(SEARCH("Prelievo",'Statements (Raw)'!D312)),"CASH WITHDRAWAL",IF(ISNUMBER(SEARCH("Bollo",'Statements (Raw)'!D312)),"STAMP DUTY",IF(ISNUMBER(SEARCH("Tobin Tax",'Statements (Raw)'!D312)),"TOBIN TAX",IF(ISNUMBER(SEARCH("Rit.provento",'Statements (Raw)'!D312)),"WITHHOLDING TAX",IF(ISNUMBER(SEARCH("Incasso Dividendi",'Statements (Raw)'!D312)),"DIVIDEND",IF(ISNUMBER(SEARCH("Cedola",'Statements (Raw)'!D312)),"COUPON",IF(ISNUMBER(SEARCH("Ratei Pass",'Statements (Raw)'!D312)),"ACCRUED INT",IF(ISNUMBER(SEARCH("Interessi Prest",'Statements (Raw)'!D312)),"SEC LENDING",IF(ISNUMBER(SEARCH("Rimborso",'Statements (Raw)'!D312)),"REDEMPTION",IF(ISNUMBER(SEARCH("Provento",'Statements (Raw)'!D312)),"DISTRIBUTION","OTHER")))))))))))))</f>
        <v>DE LONGHI</v>
      </c>
      <c r="D314" s="6" t="str">
        <f>IF(A314="","",IF(C314="Saldo Iniziale","Balance",IF(C314="CASH DEPOSIT","Deposit",IF(C314="CASH WITHDRAWAL","Withdrawal",IF(C314="STAMP DUTY","Tax",IF(C314="TOBIN TAX","Tax",IF(C314="WITHHOLDING TAX","Tax",IF(C314="DIVIDEND","Dividend",IF(C314="COUPON","Coupon",IF(C314="ACCRUED INT","Accrued Int.",IF(C314="SEC LENDING","Sec. Lending",IF(C314="REDEMPTION","Redemption",IF(C314="DISTRIBUTION","Distribution",IF(ISNUMBER(SEARCH("Rimborso",'Statements (Raw)'!D312)),"Redemption",IF(ISNUMBER(SEARCH("Cedola",'Statements (Raw)'!D312)),"Coupon",IF(ISNUMBER(SEARCH("Incasso Dividendi",'Statements (Raw)'!D312)),"Dividend",IF(ISNUMBER(SEARCH("Provento Etf",'Statements (Raw)'!D312)),"Distribution",IF(ISNUMBER(SEARCH("Rit.provento",'Statements (Raw)'!D312)),"Tax",IF(ISNUMBER(SEARCH("Ratei Pass",'Statements (Raw)'!D312)),"Accrued Int.",IF(ISNUMBER(SEARCH("Interessi Prest",'Statements (Raw)'!D312)),"Sec. Lending",IF('Statements (Raw)'!G312="","Other",IF('Statements (Raw)'!G312&gt;0,"Buy","Sell"))))))))))))))))))))))</f>
        <v>Buy</v>
      </c>
      <c r="E314" s="6" t="str">
        <f t="shared" si="8"/>
        <v>Stock</v>
      </c>
      <c r="F314" s="8">
        <f>IF(A314="","",IF('Statements (Raw)'!E312="","",'Statements (Raw)'!E312))</f>
        <v>36.06</v>
      </c>
      <c r="G314" s="6" t="str">
        <f>IF(A314="","",IF('Statements (Raw)'!F312="","",'Statements (Raw)'!F312))</f>
        <v>EUR</v>
      </c>
      <c r="H314" s="9">
        <f>IF(A314="","",IF('Statements (Raw)'!G312="","",'Statements (Raw)'!G312))</f>
        <v>84</v>
      </c>
      <c r="I314" s="10">
        <f>IF(A314="","",IF('Statements (Raw)'!H312="","",'Statements (Raw)'!H312))</f>
        <v>-3029.04</v>
      </c>
      <c r="J314" s="10">
        <f>IF(A314="",0,IF('Statements (Raw)'!I312="",0,'Statements (Raw)'!I312))</f>
        <v>0</v>
      </c>
      <c r="K314" s="10">
        <f t="shared" si="9"/>
        <v>-3029.04</v>
      </c>
    </row>
    <row r="315" spans="1:11" x14ac:dyDescent="0.3">
      <c r="A315" s="171">
        <f>IF(OR('Statements (Raw)'!A313="",'Statements (Raw)'!A313&gt;Holdings!$G$3),"",'Statements (Raw)'!A313)</f>
        <v>45995</v>
      </c>
      <c r="B315" s="7">
        <f>IF(A315="","",IF('Statements (Raw)'!B313="","",'Statements (Raw)'!B313))</f>
        <v>45999</v>
      </c>
      <c r="C315" s="6" t="str">
        <f>IF(A315="","",IF('Statements (Raw)'!C313&lt;&gt;"",'Statements (Raw)'!C313,IF(ISNUMBER(SEARCH("Conferimento",'Statements (Raw)'!D313)),"CASH DEPOSIT",IF(ISNUMBER(SEARCH("Prelievo",'Statements (Raw)'!D313)),"CASH WITHDRAWAL",IF(ISNUMBER(SEARCH("Bollo",'Statements (Raw)'!D313)),"STAMP DUTY",IF(ISNUMBER(SEARCH("Tobin Tax",'Statements (Raw)'!D313)),"TOBIN TAX",IF(ISNUMBER(SEARCH("Rit.provento",'Statements (Raw)'!D313)),"WITHHOLDING TAX",IF(ISNUMBER(SEARCH("Incasso Dividendi",'Statements (Raw)'!D313)),"DIVIDEND",IF(ISNUMBER(SEARCH("Cedola",'Statements (Raw)'!D313)),"COUPON",IF(ISNUMBER(SEARCH("Ratei Pass",'Statements (Raw)'!D313)),"ACCRUED INT",IF(ISNUMBER(SEARCH("Interessi Prest",'Statements (Raw)'!D313)),"SEC LENDING",IF(ISNUMBER(SEARCH("Rimborso",'Statements (Raw)'!D313)),"REDEMPTION",IF(ISNUMBER(SEARCH("Provento",'Statements (Raw)'!D313)),"DISTRIBUTION","OTHER")))))))))))))</f>
        <v>DE LONGHI</v>
      </c>
      <c r="D315" s="6" t="str">
        <f>IF(A315="","",IF(C315="Saldo Iniziale","Balance",IF(C315="CASH DEPOSIT","Deposit",IF(C315="CASH WITHDRAWAL","Withdrawal",IF(C315="STAMP DUTY","Tax",IF(C315="TOBIN TAX","Tax",IF(C315="WITHHOLDING TAX","Tax",IF(C315="DIVIDEND","Dividend",IF(C315="COUPON","Coupon",IF(C315="ACCRUED INT","Accrued Int.",IF(C315="SEC LENDING","Sec. Lending",IF(C315="REDEMPTION","Redemption",IF(C315="DISTRIBUTION","Distribution",IF(ISNUMBER(SEARCH("Rimborso",'Statements (Raw)'!D313)),"Redemption",IF(ISNUMBER(SEARCH("Cedola",'Statements (Raw)'!D313)),"Coupon",IF(ISNUMBER(SEARCH("Incasso Dividendi",'Statements (Raw)'!D313)),"Dividend",IF(ISNUMBER(SEARCH("Provento Etf",'Statements (Raw)'!D313)),"Distribution",IF(ISNUMBER(SEARCH("Rit.provento",'Statements (Raw)'!D313)),"Tax",IF(ISNUMBER(SEARCH("Ratei Pass",'Statements (Raw)'!D313)),"Accrued Int.",IF(ISNUMBER(SEARCH("Interessi Prest",'Statements (Raw)'!D313)),"Sec. Lending",IF('Statements (Raw)'!G313="","Other",IF('Statements (Raw)'!G313&gt;0,"Buy","Sell"))))))))))))))))))))))</f>
        <v>Buy</v>
      </c>
      <c r="E315" s="6" t="str">
        <f t="shared" si="8"/>
        <v>Stock</v>
      </c>
      <c r="F315" s="8">
        <f>IF(A315="","",IF('Statements (Raw)'!E313="","",'Statements (Raw)'!E313))</f>
        <v>36.06</v>
      </c>
      <c r="G315" s="6" t="str">
        <f>IF(A315="","",IF('Statements (Raw)'!F313="","",'Statements (Raw)'!F313))</f>
        <v>EUR</v>
      </c>
      <c r="H315" s="9">
        <f>IF(A315="","",IF('Statements (Raw)'!G313="","",'Statements (Raw)'!G313))</f>
        <v>57</v>
      </c>
      <c r="I315" s="10">
        <f>IF(A315="","",IF('Statements (Raw)'!H313="","",'Statements (Raw)'!H313))</f>
        <v>-2055.42</v>
      </c>
      <c r="J315" s="10">
        <f>IF(A315="",0,IF('Statements (Raw)'!I313="",0,'Statements (Raw)'!I313))</f>
        <v>0</v>
      </c>
      <c r="K315" s="10">
        <f t="shared" si="9"/>
        <v>-2055.42</v>
      </c>
    </row>
    <row r="316" spans="1:11" x14ac:dyDescent="0.3">
      <c r="A316" s="171">
        <f>IF(OR('Statements (Raw)'!A314="",'Statements (Raw)'!A314&gt;Holdings!$G$3),"",'Statements (Raw)'!A314)</f>
        <v>45995</v>
      </c>
      <c r="B316" s="7">
        <f>IF(A316="","",IF('Statements (Raw)'!B314="","",'Statements (Raw)'!B314))</f>
        <v>45999</v>
      </c>
      <c r="C316" s="6" t="str">
        <f>IF(A316="","",IF('Statements (Raw)'!C314&lt;&gt;"",'Statements (Raw)'!C314,IF(ISNUMBER(SEARCH("Conferimento",'Statements (Raw)'!D314)),"CASH DEPOSIT",IF(ISNUMBER(SEARCH("Prelievo",'Statements (Raw)'!D314)),"CASH WITHDRAWAL",IF(ISNUMBER(SEARCH("Bollo",'Statements (Raw)'!D314)),"STAMP DUTY",IF(ISNUMBER(SEARCH("Tobin Tax",'Statements (Raw)'!D314)),"TOBIN TAX",IF(ISNUMBER(SEARCH("Rit.provento",'Statements (Raw)'!D314)),"WITHHOLDING TAX",IF(ISNUMBER(SEARCH("Incasso Dividendi",'Statements (Raw)'!D314)),"DIVIDEND",IF(ISNUMBER(SEARCH("Cedola",'Statements (Raw)'!D314)),"COUPON",IF(ISNUMBER(SEARCH("Ratei Pass",'Statements (Raw)'!D314)),"ACCRUED INT",IF(ISNUMBER(SEARCH("Interessi Prest",'Statements (Raw)'!D314)),"SEC LENDING",IF(ISNUMBER(SEARCH("Rimborso",'Statements (Raw)'!D314)),"REDEMPTION",IF(ISNUMBER(SEARCH("Provento",'Statements (Raw)'!D314)),"DISTRIBUTION","OTHER")))))))))))))</f>
        <v>DE LONGHI</v>
      </c>
      <c r="D316" s="6" t="str">
        <f>IF(A316="","",IF(C316="Saldo Iniziale","Balance",IF(C316="CASH DEPOSIT","Deposit",IF(C316="CASH WITHDRAWAL","Withdrawal",IF(C316="STAMP DUTY","Tax",IF(C316="TOBIN TAX","Tax",IF(C316="WITHHOLDING TAX","Tax",IF(C316="DIVIDEND","Dividend",IF(C316="COUPON","Coupon",IF(C316="ACCRUED INT","Accrued Int.",IF(C316="SEC LENDING","Sec. Lending",IF(C316="REDEMPTION","Redemption",IF(C316="DISTRIBUTION","Distribution",IF(ISNUMBER(SEARCH("Rimborso",'Statements (Raw)'!D314)),"Redemption",IF(ISNUMBER(SEARCH("Cedola",'Statements (Raw)'!D314)),"Coupon",IF(ISNUMBER(SEARCH("Incasso Dividendi",'Statements (Raw)'!D314)),"Dividend",IF(ISNUMBER(SEARCH("Provento Etf",'Statements (Raw)'!D314)),"Distribution",IF(ISNUMBER(SEARCH("Rit.provento",'Statements (Raw)'!D314)),"Tax",IF(ISNUMBER(SEARCH("Ratei Pass",'Statements (Raw)'!D314)),"Accrued Int.",IF(ISNUMBER(SEARCH("Interessi Prest",'Statements (Raw)'!D314)),"Sec. Lending",IF('Statements (Raw)'!G314="","Other",IF('Statements (Raw)'!G314&gt;0,"Buy","Sell"))))))))))))))))))))))</f>
        <v>Buy</v>
      </c>
      <c r="E316" s="6" t="str">
        <f t="shared" si="8"/>
        <v>Stock</v>
      </c>
      <c r="F316" s="8">
        <f>IF(A316="","",IF('Statements (Raw)'!E314="","",'Statements (Raw)'!E314))</f>
        <v>36.06</v>
      </c>
      <c r="G316" s="6" t="str">
        <f>IF(A316="","",IF('Statements (Raw)'!F314="","",'Statements (Raw)'!F314))</f>
        <v>EUR</v>
      </c>
      <c r="H316" s="9">
        <f>IF(A316="","",IF('Statements (Raw)'!G314="","",'Statements (Raw)'!G314))</f>
        <v>130</v>
      </c>
      <c r="I316" s="10">
        <f>IF(A316="","",IF('Statements (Raw)'!H314="","",'Statements (Raw)'!H314))</f>
        <v>-4687.8</v>
      </c>
      <c r="J316" s="10">
        <f>IF(A316="",0,IF('Statements (Raw)'!I314="",0,'Statements (Raw)'!I314))</f>
        <v>0</v>
      </c>
      <c r="K316" s="10">
        <f t="shared" si="9"/>
        <v>-4687.8</v>
      </c>
    </row>
    <row r="317" spans="1:11" x14ac:dyDescent="0.3">
      <c r="A317" s="171">
        <f>IF(OR('Statements (Raw)'!A315="",'Statements (Raw)'!A315&gt;Holdings!$G$3),"",'Statements (Raw)'!A315)</f>
        <v>45995</v>
      </c>
      <c r="B317" s="7">
        <f>IF(A317="","",IF('Statements (Raw)'!B315="","",'Statements (Raw)'!B315))</f>
        <v>45999</v>
      </c>
      <c r="C317" s="6" t="str">
        <f>IF(A317="","",IF('Statements (Raw)'!C315&lt;&gt;"",'Statements (Raw)'!C315,IF(ISNUMBER(SEARCH("Conferimento",'Statements (Raw)'!D315)),"CASH DEPOSIT",IF(ISNUMBER(SEARCH("Prelievo",'Statements (Raw)'!D315)),"CASH WITHDRAWAL",IF(ISNUMBER(SEARCH("Bollo",'Statements (Raw)'!D315)),"STAMP DUTY",IF(ISNUMBER(SEARCH("Tobin Tax",'Statements (Raw)'!D315)),"TOBIN TAX",IF(ISNUMBER(SEARCH("Rit.provento",'Statements (Raw)'!D315)),"WITHHOLDING TAX",IF(ISNUMBER(SEARCH("Incasso Dividendi",'Statements (Raw)'!D315)),"DIVIDEND",IF(ISNUMBER(SEARCH("Cedola",'Statements (Raw)'!D315)),"COUPON",IF(ISNUMBER(SEARCH("Ratei Pass",'Statements (Raw)'!D315)),"ACCRUED INT",IF(ISNUMBER(SEARCH("Interessi Prest",'Statements (Raw)'!D315)),"SEC LENDING",IF(ISNUMBER(SEARCH("Rimborso",'Statements (Raw)'!D315)),"REDEMPTION",IF(ISNUMBER(SEARCH("Provento",'Statements (Raw)'!D315)),"DISTRIBUTION","OTHER")))))))))))))</f>
        <v>DE LONGHI</v>
      </c>
      <c r="D317" s="6" t="str">
        <f>IF(A317="","",IF(C317="Saldo Iniziale","Balance",IF(C317="CASH DEPOSIT","Deposit",IF(C317="CASH WITHDRAWAL","Withdrawal",IF(C317="STAMP DUTY","Tax",IF(C317="TOBIN TAX","Tax",IF(C317="WITHHOLDING TAX","Tax",IF(C317="DIVIDEND","Dividend",IF(C317="COUPON","Coupon",IF(C317="ACCRUED INT","Accrued Int.",IF(C317="SEC LENDING","Sec. Lending",IF(C317="REDEMPTION","Redemption",IF(C317="DISTRIBUTION","Distribution",IF(ISNUMBER(SEARCH("Rimborso",'Statements (Raw)'!D315)),"Redemption",IF(ISNUMBER(SEARCH("Cedola",'Statements (Raw)'!D315)),"Coupon",IF(ISNUMBER(SEARCH("Incasso Dividendi",'Statements (Raw)'!D315)),"Dividend",IF(ISNUMBER(SEARCH("Provento Etf",'Statements (Raw)'!D315)),"Distribution",IF(ISNUMBER(SEARCH("Rit.provento",'Statements (Raw)'!D315)),"Tax",IF(ISNUMBER(SEARCH("Ratei Pass",'Statements (Raw)'!D315)),"Accrued Int.",IF(ISNUMBER(SEARCH("Interessi Prest",'Statements (Raw)'!D315)),"Sec. Lending",IF('Statements (Raw)'!G315="","Other",IF('Statements (Raw)'!G315&gt;0,"Buy","Sell"))))))))))))))))))))))</f>
        <v>Buy</v>
      </c>
      <c r="E317" s="6" t="str">
        <f t="shared" si="8"/>
        <v>Stock</v>
      </c>
      <c r="F317" s="8">
        <f>IF(A317="","",IF('Statements (Raw)'!E315="","",'Statements (Raw)'!E315))</f>
        <v>36.06</v>
      </c>
      <c r="G317" s="6" t="str">
        <f>IF(A317="","",IF('Statements (Raw)'!F315="","",'Statements (Raw)'!F315))</f>
        <v>EUR</v>
      </c>
      <c r="H317" s="9">
        <f>IF(A317="","",IF('Statements (Raw)'!G315="","",'Statements (Raw)'!G315))</f>
        <v>25</v>
      </c>
      <c r="I317" s="10">
        <f>IF(A317="","",IF('Statements (Raw)'!H315="","",'Statements (Raw)'!H315))</f>
        <v>-901.5</v>
      </c>
      <c r="J317" s="10">
        <f>IF(A317="",0,IF('Statements (Raw)'!I315="",0,'Statements (Raw)'!I315))</f>
        <v>0</v>
      </c>
      <c r="K317" s="10">
        <f t="shared" si="9"/>
        <v>-901.5</v>
      </c>
    </row>
    <row r="318" spans="1:11" x14ac:dyDescent="0.3">
      <c r="A318" s="171">
        <f>IF(OR('Statements (Raw)'!A316="",'Statements (Raw)'!A316&gt;Holdings!$G$3),"",'Statements (Raw)'!A316)</f>
        <v>45995</v>
      </c>
      <c r="B318" s="7">
        <f>IF(A318="","",IF('Statements (Raw)'!B316="","",'Statements (Raw)'!B316))</f>
        <v>45999</v>
      </c>
      <c r="C318" s="6" t="str">
        <f>IF(A318="","",IF('Statements (Raw)'!C316&lt;&gt;"",'Statements (Raw)'!C316,IF(ISNUMBER(SEARCH("Conferimento",'Statements (Raw)'!D316)),"CASH DEPOSIT",IF(ISNUMBER(SEARCH("Prelievo",'Statements (Raw)'!D316)),"CASH WITHDRAWAL",IF(ISNUMBER(SEARCH("Bollo",'Statements (Raw)'!D316)),"STAMP DUTY",IF(ISNUMBER(SEARCH("Tobin Tax",'Statements (Raw)'!D316)),"TOBIN TAX",IF(ISNUMBER(SEARCH("Rit.provento",'Statements (Raw)'!D316)),"WITHHOLDING TAX",IF(ISNUMBER(SEARCH("Incasso Dividendi",'Statements (Raw)'!D316)),"DIVIDEND",IF(ISNUMBER(SEARCH("Cedola",'Statements (Raw)'!D316)),"COUPON",IF(ISNUMBER(SEARCH("Ratei Pass",'Statements (Raw)'!D316)),"ACCRUED INT",IF(ISNUMBER(SEARCH("Interessi Prest",'Statements (Raw)'!D316)),"SEC LENDING",IF(ISNUMBER(SEARCH("Rimborso",'Statements (Raw)'!D316)),"REDEMPTION",IF(ISNUMBER(SEARCH("Provento",'Statements (Raw)'!D316)),"DISTRIBUTION","OTHER")))))))))))))</f>
        <v>DE LONGHI</v>
      </c>
      <c r="D318" s="6" t="str">
        <f>IF(A318="","",IF(C318="Saldo Iniziale","Balance",IF(C318="CASH DEPOSIT","Deposit",IF(C318="CASH WITHDRAWAL","Withdrawal",IF(C318="STAMP DUTY","Tax",IF(C318="TOBIN TAX","Tax",IF(C318="WITHHOLDING TAX","Tax",IF(C318="DIVIDEND","Dividend",IF(C318="COUPON","Coupon",IF(C318="ACCRUED INT","Accrued Int.",IF(C318="SEC LENDING","Sec. Lending",IF(C318="REDEMPTION","Redemption",IF(C318="DISTRIBUTION","Distribution",IF(ISNUMBER(SEARCH("Rimborso",'Statements (Raw)'!D316)),"Redemption",IF(ISNUMBER(SEARCH("Cedola",'Statements (Raw)'!D316)),"Coupon",IF(ISNUMBER(SEARCH("Incasso Dividendi",'Statements (Raw)'!D316)),"Dividend",IF(ISNUMBER(SEARCH("Provento Etf",'Statements (Raw)'!D316)),"Distribution",IF(ISNUMBER(SEARCH("Rit.provento",'Statements (Raw)'!D316)),"Tax",IF(ISNUMBER(SEARCH("Ratei Pass",'Statements (Raw)'!D316)),"Accrued Int.",IF(ISNUMBER(SEARCH("Interessi Prest",'Statements (Raw)'!D316)),"Sec. Lending",IF('Statements (Raw)'!G316="","Other",IF('Statements (Raw)'!G316&gt;0,"Buy","Sell"))))))))))))))))))))))</f>
        <v>Buy</v>
      </c>
      <c r="E318" s="6" t="str">
        <f t="shared" si="8"/>
        <v>Stock</v>
      </c>
      <c r="F318" s="8">
        <f>IF(A318="","",IF('Statements (Raw)'!E316="","",'Statements (Raw)'!E316))</f>
        <v>36.06</v>
      </c>
      <c r="G318" s="6" t="str">
        <f>IF(A318="","",IF('Statements (Raw)'!F316="","",'Statements (Raw)'!F316))</f>
        <v>EUR</v>
      </c>
      <c r="H318" s="9">
        <f>IF(A318="","",IF('Statements (Raw)'!G316="","",'Statements (Raw)'!G316))</f>
        <v>132</v>
      </c>
      <c r="I318" s="10">
        <f>IF(A318="","",IF('Statements (Raw)'!H316="","",'Statements (Raw)'!H316))</f>
        <v>-4759.92</v>
      </c>
      <c r="J318" s="10">
        <f>IF(A318="",0,IF('Statements (Raw)'!I316="",0,'Statements (Raw)'!I316))</f>
        <v>0</v>
      </c>
      <c r="K318" s="10">
        <f t="shared" si="9"/>
        <v>-4759.92</v>
      </c>
    </row>
    <row r="319" spans="1:11" x14ac:dyDescent="0.3">
      <c r="A319" s="171">
        <f>IF(OR('Statements (Raw)'!A317="",'Statements (Raw)'!A317&gt;Holdings!$G$3),"",'Statements (Raw)'!A317)</f>
        <v>45995</v>
      </c>
      <c r="B319" s="7">
        <f>IF(A319="","",IF('Statements (Raw)'!B317="","",'Statements (Raw)'!B317))</f>
        <v>45999</v>
      </c>
      <c r="C319" s="6" t="str">
        <f>IF(A319="","",IF('Statements (Raw)'!C317&lt;&gt;"",'Statements (Raw)'!C317,IF(ISNUMBER(SEARCH("Conferimento",'Statements (Raw)'!D317)),"CASH DEPOSIT",IF(ISNUMBER(SEARCH("Prelievo",'Statements (Raw)'!D317)),"CASH WITHDRAWAL",IF(ISNUMBER(SEARCH("Bollo",'Statements (Raw)'!D317)),"STAMP DUTY",IF(ISNUMBER(SEARCH("Tobin Tax",'Statements (Raw)'!D317)),"TOBIN TAX",IF(ISNUMBER(SEARCH("Rit.provento",'Statements (Raw)'!D317)),"WITHHOLDING TAX",IF(ISNUMBER(SEARCH("Incasso Dividendi",'Statements (Raw)'!D317)),"DIVIDEND",IF(ISNUMBER(SEARCH("Cedola",'Statements (Raw)'!D317)),"COUPON",IF(ISNUMBER(SEARCH("Ratei Pass",'Statements (Raw)'!D317)),"ACCRUED INT",IF(ISNUMBER(SEARCH("Interessi Prest",'Statements (Raw)'!D317)),"SEC LENDING",IF(ISNUMBER(SEARCH("Rimborso",'Statements (Raw)'!D317)),"REDEMPTION",IF(ISNUMBER(SEARCH("Provento",'Statements (Raw)'!D317)),"DISTRIBUTION","OTHER")))))))))))))</f>
        <v>DE LONGHI</v>
      </c>
      <c r="D319" s="6" t="str">
        <f>IF(A319="","",IF(C319="Saldo Iniziale","Balance",IF(C319="CASH DEPOSIT","Deposit",IF(C319="CASH WITHDRAWAL","Withdrawal",IF(C319="STAMP DUTY","Tax",IF(C319="TOBIN TAX","Tax",IF(C319="WITHHOLDING TAX","Tax",IF(C319="DIVIDEND","Dividend",IF(C319="COUPON","Coupon",IF(C319="ACCRUED INT","Accrued Int.",IF(C319="SEC LENDING","Sec. Lending",IF(C319="REDEMPTION","Redemption",IF(C319="DISTRIBUTION","Distribution",IF(ISNUMBER(SEARCH("Rimborso",'Statements (Raw)'!D317)),"Redemption",IF(ISNUMBER(SEARCH("Cedola",'Statements (Raw)'!D317)),"Coupon",IF(ISNUMBER(SEARCH("Incasso Dividendi",'Statements (Raw)'!D317)),"Dividend",IF(ISNUMBER(SEARCH("Provento Etf",'Statements (Raw)'!D317)),"Distribution",IF(ISNUMBER(SEARCH("Rit.provento",'Statements (Raw)'!D317)),"Tax",IF(ISNUMBER(SEARCH("Ratei Pass",'Statements (Raw)'!D317)),"Accrued Int.",IF(ISNUMBER(SEARCH("Interessi Prest",'Statements (Raw)'!D317)),"Sec. Lending",IF('Statements (Raw)'!G317="","Other",IF('Statements (Raw)'!G317&gt;0,"Buy","Sell"))))))))))))))))))))))</f>
        <v>Buy</v>
      </c>
      <c r="E319" s="6" t="str">
        <f t="shared" si="8"/>
        <v>Stock</v>
      </c>
      <c r="F319" s="8">
        <f>IF(A319="","",IF('Statements (Raw)'!E317="","",'Statements (Raw)'!E317))</f>
        <v>36.06</v>
      </c>
      <c r="G319" s="6" t="str">
        <f>IF(A319="","",IF('Statements (Raw)'!F317="","",'Statements (Raw)'!F317))</f>
        <v>EUR</v>
      </c>
      <c r="H319" s="9">
        <f>IF(A319="","",IF('Statements (Raw)'!G317="","",'Statements (Raw)'!G317))</f>
        <v>80</v>
      </c>
      <c r="I319" s="10">
        <f>IF(A319="","",IF('Statements (Raw)'!H317="","",'Statements (Raw)'!H317))</f>
        <v>-2884.8</v>
      </c>
      <c r="J319" s="10">
        <f>IF(A319="",0,IF('Statements (Raw)'!I317="",0,'Statements (Raw)'!I317))</f>
        <v>0</v>
      </c>
      <c r="K319" s="10">
        <f t="shared" si="9"/>
        <v>-2884.8</v>
      </c>
    </row>
    <row r="320" spans="1:11" x14ac:dyDescent="0.3">
      <c r="A320" s="171">
        <f>IF(OR('Statements (Raw)'!A318="",'Statements (Raw)'!A318&gt;Holdings!$G$3),"",'Statements (Raw)'!A318)</f>
        <v>45995</v>
      </c>
      <c r="B320" s="7">
        <f>IF(A320="","",IF('Statements (Raw)'!B318="","",'Statements (Raw)'!B318))</f>
        <v>45999</v>
      </c>
      <c r="C320" s="6" t="str">
        <f>IF(A320="","",IF('Statements (Raw)'!C318&lt;&gt;"",'Statements (Raw)'!C318,IF(ISNUMBER(SEARCH("Conferimento",'Statements (Raw)'!D318)),"CASH DEPOSIT",IF(ISNUMBER(SEARCH("Prelievo",'Statements (Raw)'!D318)),"CASH WITHDRAWAL",IF(ISNUMBER(SEARCH("Bollo",'Statements (Raw)'!D318)),"STAMP DUTY",IF(ISNUMBER(SEARCH("Tobin Tax",'Statements (Raw)'!D318)),"TOBIN TAX",IF(ISNUMBER(SEARCH("Rit.provento",'Statements (Raw)'!D318)),"WITHHOLDING TAX",IF(ISNUMBER(SEARCH("Incasso Dividendi",'Statements (Raw)'!D318)),"DIVIDEND",IF(ISNUMBER(SEARCH("Cedola",'Statements (Raw)'!D318)),"COUPON",IF(ISNUMBER(SEARCH("Ratei Pass",'Statements (Raw)'!D318)),"ACCRUED INT",IF(ISNUMBER(SEARCH("Interessi Prest",'Statements (Raw)'!D318)),"SEC LENDING",IF(ISNUMBER(SEARCH("Rimborso",'Statements (Raw)'!D318)),"REDEMPTION",IF(ISNUMBER(SEARCH("Provento",'Statements (Raw)'!D318)),"DISTRIBUTION","OTHER")))))))))))))</f>
        <v>DE LONGHI</v>
      </c>
      <c r="D320" s="6" t="str">
        <f>IF(A320="","",IF(C320="Saldo Iniziale","Balance",IF(C320="CASH DEPOSIT","Deposit",IF(C320="CASH WITHDRAWAL","Withdrawal",IF(C320="STAMP DUTY","Tax",IF(C320="TOBIN TAX","Tax",IF(C320="WITHHOLDING TAX","Tax",IF(C320="DIVIDEND","Dividend",IF(C320="COUPON","Coupon",IF(C320="ACCRUED INT","Accrued Int.",IF(C320="SEC LENDING","Sec. Lending",IF(C320="REDEMPTION","Redemption",IF(C320="DISTRIBUTION","Distribution",IF(ISNUMBER(SEARCH("Rimborso",'Statements (Raw)'!D318)),"Redemption",IF(ISNUMBER(SEARCH("Cedola",'Statements (Raw)'!D318)),"Coupon",IF(ISNUMBER(SEARCH("Incasso Dividendi",'Statements (Raw)'!D318)),"Dividend",IF(ISNUMBER(SEARCH("Provento Etf",'Statements (Raw)'!D318)),"Distribution",IF(ISNUMBER(SEARCH("Rit.provento",'Statements (Raw)'!D318)),"Tax",IF(ISNUMBER(SEARCH("Ratei Pass",'Statements (Raw)'!D318)),"Accrued Int.",IF(ISNUMBER(SEARCH("Interessi Prest",'Statements (Raw)'!D318)),"Sec. Lending",IF('Statements (Raw)'!G318="","Other",IF('Statements (Raw)'!G318&gt;0,"Buy","Sell"))))))))))))))))))))))</f>
        <v>Buy</v>
      </c>
      <c r="E320" s="6" t="str">
        <f t="shared" si="8"/>
        <v>Stock</v>
      </c>
      <c r="F320" s="8">
        <f>IF(A320="","",IF('Statements (Raw)'!E318="","",'Statements (Raw)'!E318))</f>
        <v>36.06</v>
      </c>
      <c r="G320" s="6" t="str">
        <f>IF(A320="","",IF('Statements (Raw)'!F318="","",'Statements (Raw)'!F318))</f>
        <v>EUR</v>
      </c>
      <c r="H320" s="9">
        <f>IF(A320="","",IF('Statements (Raw)'!G318="","",'Statements (Raw)'!G318))</f>
        <v>177</v>
      </c>
      <c r="I320" s="10">
        <f>IF(A320="","",IF('Statements (Raw)'!H318="","",'Statements (Raw)'!H318))</f>
        <v>-6382.62</v>
      </c>
      <c r="J320" s="10">
        <f>IF(A320="",0,IF('Statements (Raw)'!I318="",0,'Statements (Raw)'!I318))</f>
        <v>0</v>
      </c>
      <c r="K320" s="10">
        <f t="shared" si="9"/>
        <v>-6382.62</v>
      </c>
    </row>
    <row r="321" spans="1:11" x14ac:dyDescent="0.3">
      <c r="A321" s="171">
        <f>IF(OR('Statements (Raw)'!A319="",'Statements (Raw)'!A319&gt;Holdings!$G$3),"",'Statements (Raw)'!A319)</f>
        <v>45995</v>
      </c>
      <c r="B321" s="7">
        <f>IF(A321="","",IF('Statements (Raw)'!B319="","",'Statements (Raw)'!B319))</f>
        <v>45999</v>
      </c>
      <c r="C321" s="6" t="str">
        <f>IF(A321="","",IF('Statements (Raw)'!C319&lt;&gt;"",'Statements (Raw)'!C319,IF(ISNUMBER(SEARCH("Conferimento",'Statements (Raw)'!D319)),"CASH DEPOSIT",IF(ISNUMBER(SEARCH("Prelievo",'Statements (Raw)'!D319)),"CASH WITHDRAWAL",IF(ISNUMBER(SEARCH("Bollo",'Statements (Raw)'!D319)),"STAMP DUTY",IF(ISNUMBER(SEARCH("Tobin Tax",'Statements (Raw)'!D319)),"TOBIN TAX",IF(ISNUMBER(SEARCH("Rit.provento",'Statements (Raw)'!D319)),"WITHHOLDING TAX",IF(ISNUMBER(SEARCH("Incasso Dividendi",'Statements (Raw)'!D319)),"DIVIDEND",IF(ISNUMBER(SEARCH("Cedola",'Statements (Raw)'!D319)),"COUPON",IF(ISNUMBER(SEARCH("Ratei Pass",'Statements (Raw)'!D319)),"ACCRUED INT",IF(ISNUMBER(SEARCH("Interessi Prest",'Statements (Raw)'!D319)),"SEC LENDING",IF(ISNUMBER(SEARCH("Rimborso",'Statements (Raw)'!D319)),"REDEMPTION",IF(ISNUMBER(SEARCH("Provento",'Statements (Raw)'!D319)),"DISTRIBUTION","OTHER")))))))))))))</f>
        <v>BREMBO</v>
      </c>
      <c r="D321" s="6" t="str">
        <f>IF(A321="","",IF(C321="Saldo Iniziale","Balance",IF(C321="CASH DEPOSIT","Deposit",IF(C321="CASH WITHDRAWAL","Withdrawal",IF(C321="STAMP DUTY","Tax",IF(C321="TOBIN TAX","Tax",IF(C321="WITHHOLDING TAX","Tax",IF(C321="DIVIDEND","Dividend",IF(C321="COUPON","Coupon",IF(C321="ACCRUED INT","Accrued Int.",IF(C321="SEC LENDING","Sec. Lending",IF(C321="REDEMPTION","Redemption",IF(C321="DISTRIBUTION","Distribution",IF(ISNUMBER(SEARCH("Rimborso",'Statements (Raw)'!D319)),"Redemption",IF(ISNUMBER(SEARCH("Cedola",'Statements (Raw)'!D319)),"Coupon",IF(ISNUMBER(SEARCH("Incasso Dividendi",'Statements (Raw)'!D319)),"Dividend",IF(ISNUMBER(SEARCH("Provento Etf",'Statements (Raw)'!D319)),"Distribution",IF(ISNUMBER(SEARCH("Rit.provento",'Statements (Raw)'!D319)),"Tax",IF(ISNUMBER(SEARCH("Ratei Pass",'Statements (Raw)'!D319)),"Accrued Int.",IF(ISNUMBER(SEARCH("Interessi Prest",'Statements (Raw)'!D319)),"Sec. Lending",IF('Statements (Raw)'!G319="","Other",IF('Statements (Raw)'!G319&gt;0,"Buy","Sell"))))))))))))))))))))))</f>
        <v>Buy</v>
      </c>
      <c r="E321" s="6" t="str">
        <f t="shared" si="8"/>
        <v>Stock</v>
      </c>
      <c r="F321" s="8">
        <f>IF(A321="","",IF('Statements (Raw)'!E319="","",'Statements (Raw)'!E319))</f>
        <v>9.35</v>
      </c>
      <c r="G321" s="6" t="str">
        <f>IF(A321="","",IF('Statements (Raw)'!F319="","",'Statements (Raw)'!F319))</f>
        <v>EUR</v>
      </c>
      <c r="H321" s="9">
        <f>IF(A321="","",IF('Statements (Raw)'!G319="","",'Statements (Raw)'!G319))</f>
        <v>14</v>
      </c>
      <c r="I321" s="10">
        <f>IF(A321="","",IF('Statements (Raw)'!H319="","",'Statements (Raw)'!H319))</f>
        <v>-130.9</v>
      </c>
      <c r="J321" s="10">
        <f>IF(A321="",0,IF('Statements (Raw)'!I319="",0,'Statements (Raw)'!I319))</f>
        <v>-5</v>
      </c>
      <c r="K321" s="10">
        <f t="shared" si="9"/>
        <v>-135.9</v>
      </c>
    </row>
    <row r="322" spans="1:11" x14ac:dyDescent="0.3">
      <c r="A322" s="171">
        <f>IF(OR('Statements (Raw)'!A320="",'Statements (Raw)'!A320&gt;Holdings!$G$3),"",'Statements (Raw)'!A320)</f>
        <v>45995</v>
      </c>
      <c r="B322" s="7">
        <f>IF(A322="","",IF('Statements (Raw)'!B320="","",'Statements (Raw)'!B320))</f>
        <v>45999</v>
      </c>
      <c r="C322" s="6" t="str">
        <f>IF(A322="","",IF('Statements (Raw)'!C320&lt;&gt;"",'Statements (Raw)'!C320,IF(ISNUMBER(SEARCH("Conferimento",'Statements (Raw)'!D320)),"CASH DEPOSIT",IF(ISNUMBER(SEARCH("Prelievo",'Statements (Raw)'!D320)),"CASH WITHDRAWAL",IF(ISNUMBER(SEARCH("Bollo",'Statements (Raw)'!D320)),"STAMP DUTY",IF(ISNUMBER(SEARCH("Tobin Tax",'Statements (Raw)'!D320)),"TOBIN TAX",IF(ISNUMBER(SEARCH("Rit.provento",'Statements (Raw)'!D320)),"WITHHOLDING TAX",IF(ISNUMBER(SEARCH("Incasso Dividendi",'Statements (Raw)'!D320)),"DIVIDEND",IF(ISNUMBER(SEARCH("Cedola",'Statements (Raw)'!D320)),"COUPON",IF(ISNUMBER(SEARCH("Ratei Pass",'Statements (Raw)'!D320)),"ACCRUED INT",IF(ISNUMBER(SEARCH("Interessi Prest",'Statements (Raw)'!D320)),"SEC LENDING",IF(ISNUMBER(SEARCH("Rimborso",'Statements (Raw)'!D320)),"REDEMPTION",IF(ISNUMBER(SEARCH("Provento",'Statements (Raw)'!D320)),"DISTRIBUTION","OTHER")))))))))))))</f>
        <v>BREMBO</v>
      </c>
      <c r="D322" s="6" t="str">
        <f>IF(A322="","",IF(C322="Saldo Iniziale","Balance",IF(C322="CASH DEPOSIT","Deposit",IF(C322="CASH WITHDRAWAL","Withdrawal",IF(C322="STAMP DUTY","Tax",IF(C322="TOBIN TAX","Tax",IF(C322="WITHHOLDING TAX","Tax",IF(C322="DIVIDEND","Dividend",IF(C322="COUPON","Coupon",IF(C322="ACCRUED INT","Accrued Int.",IF(C322="SEC LENDING","Sec. Lending",IF(C322="REDEMPTION","Redemption",IF(C322="DISTRIBUTION","Distribution",IF(ISNUMBER(SEARCH("Rimborso",'Statements (Raw)'!D320)),"Redemption",IF(ISNUMBER(SEARCH("Cedola",'Statements (Raw)'!D320)),"Coupon",IF(ISNUMBER(SEARCH("Incasso Dividendi",'Statements (Raw)'!D320)),"Dividend",IF(ISNUMBER(SEARCH("Provento Etf",'Statements (Raw)'!D320)),"Distribution",IF(ISNUMBER(SEARCH("Rit.provento",'Statements (Raw)'!D320)),"Tax",IF(ISNUMBER(SEARCH("Ratei Pass",'Statements (Raw)'!D320)),"Accrued Int.",IF(ISNUMBER(SEARCH("Interessi Prest",'Statements (Raw)'!D320)),"Sec. Lending",IF('Statements (Raw)'!G320="","Other",IF('Statements (Raw)'!G320&gt;0,"Buy","Sell"))))))))))))))))))))))</f>
        <v>Buy</v>
      </c>
      <c r="E322" s="6" t="str">
        <f t="shared" si="8"/>
        <v>Stock</v>
      </c>
      <c r="F322" s="8">
        <f>IF(A322="","",IF('Statements (Raw)'!E320="","",'Statements (Raw)'!E320))</f>
        <v>9.35</v>
      </c>
      <c r="G322" s="6" t="str">
        <f>IF(A322="","",IF('Statements (Raw)'!F320="","",'Statements (Raw)'!F320))</f>
        <v>EUR</v>
      </c>
      <c r="H322" s="9">
        <f>IF(A322="","",IF('Statements (Raw)'!G320="","",'Statements (Raw)'!G320))</f>
        <v>1</v>
      </c>
      <c r="I322" s="10">
        <f>IF(A322="","",IF('Statements (Raw)'!H320="","",'Statements (Raw)'!H320))</f>
        <v>-9.35</v>
      </c>
      <c r="J322" s="10">
        <f>IF(A322="",0,IF('Statements (Raw)'!I320="",0,'Statements (Raw)'!I320))</f>
        <v>0</v>
      </c>
      <c r="K322" s="10">
        <f t="shared" si="9"/>
        <v>-9.35</v>
      </c>
    </row>
    <row r="323" spans="1:11" x14ac:dyDescent="0.3">
      <c r="A323" s="171">
        <f>IF(OR('Statements (Raw)'!A321="",'Statements (Raw)'!A321&gt;Holdings!$G$3),"",'Statements (Raw)'!A321)</f>
        <v>45995</v>
      </c>
      <c r="B323" s="7">
        <f>IF(A323="","",IF('Statements (Raw)'!B321="","",'Statements (Raw)'!B321))</f>
        <v>45999</v>
      </c>
      <c r="C323" s="6" t="str">
        <f>IF(A323="","",IF('Statements (Raw)'!C321&lt;&gt;"",'Statements (Raw)'!C321,IF(ISNUMBER(SEARCH("Conferimento",'Statements (Raw)'!D321)),"CASH DEPOSIT",IF(ISNUMBER(SEARCH("Prelievo",'Statements (Raw)'!D321)),"CASH WITHDRAWAL",IF(ISNUMBER(SEARCH("Bollo",'Statements (Raw)'!D321)),"STAMP DUTY",IF(ISNUMBER(SEARCH("Tobin Tax",'Statements (Raw)'!D321)),"TOBIN TAX",IF(ISNUMBER(SEARCH("Rit.provento",'Statements (Raw)'!D321)),"WITHHOLDING TAX",IF(ISNUMBER(SEARCH("Incasso Dividendi",'Statements (Raw)'!D321)),"DIVIDEND",IF(ISNUMBER(SEARCH("Cedola",'Statements (Raw)'!D321)),"COUPON",IF(ISNUMBER(SEARCH("Ratei Pass",'Statements (Raw)'!D321)),"ACCRUED INT",IF(ISNUMBER(SEARCH("Interessi Prest",'Statements (Raw)'!D321)),"SEC LENDING",IF(ISNUMBER(SEARCH("Rimborso",'Statements (Raw)'!D321)),"REDEMPTION",IF(ISNUMBER(SEARCH("Provento",'Statements (Raw)'!D321)),"DISTRIBUTION","OTHER")))))))))))))</f>
        <v>BREMBO</v>
      </c>
      <c r="D323" s="6" t="str">
        <f>IF(A323="","",IF(C323="Saldo Iniziale","Balance",IF(C323="CASH DEPOSIT","Deposit",IF(C323="CASH WITHDRAWAL","Withdrawal",IF(C323="STAMP DUTY","Tax",IF(C323="TOBIN TAX","Tax",IF(C323="WITHHOLDING TAX","Tax",IF(C323="DIVIDEND","Dividend",IF(C323="COUPON","Coupon",IF(C323="ACCRUED INT","Accrued Int.",IF(C323="SEC LENDING","Sec. Lending",IF(C323="REDEMPTION","Redemption",IF(C323="DISTRIBUTION","Distribution",IF(ISNUMBER(SEARCH("Rimborso",'Statements (Raw)'!D321)),"Redemption",IF(ISNUMBER(SEARCH("Cedola",'Statements (Raw)'!D321)),"Coupon",IF(ISNUMBER(SEARCH("Incasso Dividendi",'Statements (Raw)'!D321)),"Dividend",IF(ISNUMBER(SEARCH("Provento Etf",'Statements (Raw)'!D321)),"Distribution",IF(ISNUMBER(SEARCH("Rit.provento",'Statements (Raw)'!D321)),"Tax",IF(ISNUMBER(SEARCH("Ratei Pass",'Statements (Raw)'!D321)),"Accrued Int.",IF(ISNUMBER(SEARCH("Interessi Prest",'Statements (Raw)'!D321)),"Sec. Lending",IF('Statements (Raw)'!G321="","Other",IF('Statements (Raw)'!G321&gt;0,"Buy","Sell"))))))))))))))))))))))</f>
        <v>Buy</v>
      </c>
      <c r="E323" s="6" t="str">
        <f t="shared" si="8"/>
        <v>Stock</v>
      </c>
      <c r="F323" s="8">
        <f>IF(A323="","",IF('Statements (Raw)'!E321="","",'Statements (Raw)'!E321))</f>
        <v>9.35</v>
      </c>
      <c r="G323" s="6" t="str">
        <f>IF(A323="","",IF('Statements (Raw)'!F321="","",'Statements (Raw)'!F321))</f>
        <v>EUR</v>
      </c>
      <c r="H323" s="9">
        <f>IF(A323="","",IF('Statements (Raw)'!G321="","",'Statements (Raw)'!G321))</f>
        <v>157</v>
      </c>
      <c r="I323" s="10">
        <f>IF(A323="","",IF('Statements (Raw)'!H321="","",'Statements (Raw)'!H321))</f>
        <v>-1467.95</v>
      </c>
      <c r="J323" s="10">
        <f>IF(A323="",0,IF('Statements (Raw)'!I321="",0,'Statements (Raw)'!I321))</f>
        <v>0</v>
      </c>
      <c r="K323" s="10">
        <f t="shared" si="9"/>
        <v>-1467.95</v>
      </c>
    </row>
    <row r="324" spans="1:11" x14ac:dyDescent="0.3">
      <c r="A324" s="171">
        <f>IF(OR('Statements (Raw)'!A322="",'Statements (Raw)'!A322&gt;Holdings!$G$3),"",'Statements (Raw)'!A322)</f>
        <v>45995</v>
      </c>
      <c r="B324" s="7">
        <f>IF(A324="","",IF('Statements (Raw)'!B322="","",'Statements (Raw)'!B322))</f>
        <v>45999</v>
      </c>
      <c r="C324" s="6" t="str">
        <f>IF(A324="","",IF('Statements (Raw)'!C322&lt;&gt;"",'Statements (Raw)'!C322,IF(ISNUMBER(SEARCH("Conferimento",'Statements (Raw)'!D322)),"CASH DEPOSIT",IF(ISNUMBER(SEARCH("Prelievo",'Statements (Raw)'!D322)),"CASH WITHDRAWAL",IF(ISNUMBER(SEARCH("Bollo",'Statements (Raw)'!D322)),"STAMP DUTY",IF(ISNUMBER(SEARCH("Tobin Tax",'Statements (Raw)'!D322)),"TOBIN TAX",IF(ISNUMBER(SEARCH("Rit.provento",'Statements (Raw)'!D322)),"WITHHOLDING TAX",IF(ISNUMBER(SEARCH("Incasso Dividendi",'Statements (Raw)'!D322)),"DIVIDEND",IF(ISNUMBER(SEARCH("Cedola",'Statements (Raw)'!D322)),"COUPON",IF(ISNUMBER(SEARCH("Ratei Pass",'Statements (Raw)'!D322)),"ACCRUED INT",IF(ISNUMBER(SEARCH("Interessi Prest",'Statements (Raw)'!D322)),"SEC LENDING",IF(ISNUMBER(SEARCH("Rimborso",'Statements (Raw)'!D322)),"REDEMPTION",IF(ISNUMBER(SEARCH("Provento",'Statements (Raw)'!D322)),"DISTRIBUTION","OTHER")))))))))))))</f>
        <v>BREMBO</v>
      </c>
      <c r="D324" s="6" t="str">
        <f>IF(A324="","",IF(C324="Saldo Iniziale","Balance",IF(C324="CASH DEPOSIT","Deposit",IF(C324="CASH WITHDRAWAL","Withdrawal",IF(C324="STAMP DUTY","Tax",IF(C324="TOBIN TAX","Tax",IF(C324="WITHHOLDING TAX","Tax",IF(C324="DIVIDEND","Dividend",IF(C324="COUPON","Coupon",IF(C324="ACCRUED INT","Accrued Int.",IF(C324="SEC LENDING","Sec. Lending",IF(C324="REDEMPTION","Redemption",IF(C324="DISTRIBUTION","Distribution",IF(ISNUMBER(SEARCH("Rimborso",'Statements (Raw)'!D322)),"Redemption",IF(ISNUMBER(SEARCH("Cedola",'Statements (Raw)'!D322)),"Coupon",IF(ISNUMBER(SEARCH("Incasso Dividendi",'Statements (Raw)'!D322)),"Dividend",IF(ISNUMBER(SEARCH("Provento Etf",'Statements (Raw)'!D322)),"Distribution",IF(ISNUMBER(SEARCH("Rit.provento",'Statements (Raw)'!D322)),"Tax",IF(ISNUMBER(SEARCH("Ratei Pass",'Statements (Raw)'!D322)),"Accrued Int.",IF(ISNUMBER(SEARCH("Interessi Prest",'Statements (Raw)'!D322)),"Sec. Lending",IF('Statements (Raw)'!G322="","Other",IF('Statements (Raw)'!G322&gt;0,"Buy","Sell"))))))))))))))))))))))</f>
        <v>Buy</v>
      </c>
      <c r="E324" s="6" t="str">
        <f t="shared" si="8"/>
        <v>Stock</v>
      </c>
      <c r="F324" s="8">
        <f>IF(A324="","",IF('Statements (Raw)'!E322="","",'Statements (Raw)'!E322))</f>
        <v>9.35</v>
      </c>
      <c r="G324" s="6" t="str">
        <f>IF(A324="","",IF('Statements (Raw)'!F322="","",'Statements (Raw)'!F322))</f>
        <v>EUR</v>
      </c>
      <c r="H324" s="9">
        <f>IF(A324="","",IF('Statements (Raw)'!G322="","",'Statements (Raw)'!G322))</f>
        <v>64</v>
      </c>
      <c r="I324" s="10">
        <f>IF(A324="","",IF('Statements (Raw)'!H322="","",'Statements (Raw)'!H322))</f>
        <v>-598.4</v>
      </c>
      <c r="J324" s="10">
        <f>IF(A324="",0,IF('Statements (Raw)'!I322="",0,'Statements (Raw)'!I322))</f>
        <v>0</v>
      </c>
      <c r="K324" s="10">
        <f t="shared" si="9"/>
        <v>-598.4</v>
      </c>
    </row>
    <row r="325" spans="1:11" x14ac:dyDescent="0.3">
      <c r="A325" s="171">
        <f>IF(OR('Statements (Raw)'!A323="",'Statements (Raw)'!A323&gt;Holdings!$G$3),"",'Statements (Raw)'!A323)</f>
        <v>45995</v>
      </c>
      <c r="B325" s="7">
        <f>IF(A325="","",IF('Statements (Raw)'!B323="","",'Statements (Raw)'!B323))</f>
        <v>45999</v>
      </c>
      <c r="C325" s="6" t="str">
        <f>IF(A325="","",IF('Statements (Raw)'!C323&lt;&gt;"",'Statements (Raw)'!C323,IF(ISNUMBER(SEARCH("Conferimento",'Statements (Raw)'!D323)),"CASH DEPOSIT",IF(ISNUMBER(SEARCH("Prelievo",'Statements (Raw)'!D323)),"CASH WITHDRAWAL",IF(ISNUMBER(SEARCH("Bollo",'Statements (Raw)'!D323)),"STAMP DUTY",IF(ISNUMBER(SEARCH("Tobin Tax",'Statements (Raw)'!D323)),"TOBIN TAX",IF(ISNUMBER(SEARCH("Rit.provento",'Statements (Raw)'!D323)),"WITHHOLDING TAX",IF(ISNUMBER(SEARCH("Incasso Dividendi",'Statements (Raw)'!D323)),"DIVIDEND",IF(ISNUMBER(SEARCH("Cedola",'Statements (Raw)'!D323)),"COUPON",IF(ISNUMBER(SEARCH("Ratei Pass",'Statements (Raw)'!D323)),"ACCRUED INT",IF(ISNUMBER(SEARCH("Interessi Prest",'Statements (Raw)'!D323)),"SEC LENDING",IF(ISNUMBER(SEARCH("Rimborso",'Statements (Raw)'!D323)),"REDEMPTION",IF(ISNUMBER(SEARCH("Provento",'Statements (Raw)'!D323)),"DISTRIBUTION","OTHER")))))))))))))</f>
        <v>BREMBO</v>
      </c>
      <c r="D325" s="6" t="str">
        <f>IF(A325="","",IF(C325="Saldo Iniziale","Balance",IF(C325="CASH DEPOSIT","Deposit",IF(C325="CASH WITHDRAWAL","Withdrawal",IF(C325="STAMP DUTY","Tax",IF(C325="TOBIN TAX","Tax",IF(C325="WITHHOLDING TAX","Tax",IF(C325="DIVIDEND","Dividend",IF(C325="COUPON","Coupon",IF(C325="ACCRUED INT","Accrued Int.",IF(C325="SEC LENDING","Sec. Lending",IF(C325="REDEMPTION","Redemption",IF(C325="DISTRIBUTION","Distribution",IF(ISNUMBER(SEARCH("Rimborso",'Statements (Raw)'!D323)),"Redemption",IF(ISNUMBER(SEARCH("Cedola",'Statements (Raw)'!D323)),"Coupon",IF(ISNUMBER(SEARCH("Incasso Dividendi",'Statements (Raw)'!D323)),"Dividend",IF(ISNUMBER(SEARCH("Provento Etf",'Statements (Raw)'!D323)),"Distribution",IF(ISNUMBER(SEARCH("Rit.provento",'Statements (Raw)'!D323)),"Tax",IF(ISNUMBER(SEARCH("Ratei Pass",'Statements (Raw)'!D323)),"Accrued Int.",IF(ISNUMBER(SEARCH("Interessi Prest",'Statements (Raw)'!D323)),"Sec. Lending",IF('Statements (Raw)'!G323="","Other",IF('Statements (Raw)'!G323&gt;0,"Buy","Sell"))))))))))))))))))))))</f>
        <v>Buy</v>
      </c>
      <c r="E325" s="6" t="str">
        <f t="shared" ref="E325:E388" si="10">IF(D325="","",IF(OR(D325="Balance",D325="Deposit",D325="Withdrawal"),"Cash",IF(D325="Tax","Tax/Fee",IF(OR(D325="Dividend",D325="Coupon",D325="Distribution",D325="Sec. Lending",D325="Accrued Int."),"Income",IF(D325="Redemption","Bond",IF(OR(D325="Buy",D325="Sell"),IF(OR(ISNUMBER(SEARCH("BOT ",C325)),ISNUMBER(SEARCH("BTP ",C325)),ISNUMBER(SEARCH("CARRARO",C325))),"Bond",IF(OR(ISNUMBER(SEARCH("isdom",C325)),ISNUMBER(SEARCH("ISHARES",C325)),ISNUMBER(SEARCH("iShares",C325))),"ETF/ETC",IF(OR(ISNUMBER(SEARCH("Bitwise",C325)),ISNUMBER(SEARCH("BITWISE",C325))),"Crypto ETP","Stock"))),"Other"))))))</f>
        <v>Stock</v>
      </c>
      <c r="F325" s="8">
        <f>IF(A325="","",IF('Statements (Raw)'!E323="","",'Statements (Raw)'!E323))</f>
        <v>9.35</v>
      </c>
      <c r="G325" s="6" t="str">
        <f>IF(A325="","",IF('Statements (Raw)'!F323="","",'Statements (Raw)'!F323))</f>
        <v>EUR</v>
      </c>
      <c r="H325" s="9">
        <f>IF(A325="","",IF('Statements (Raw)'!G323="","",'Statements (Raw)'!G323))</f>
        <v>544</v>
      </c>
      <c r="I325" s="10">
        <f>IF(A325="","",IF('Statements (Raw)'!H323="","",'Statements (Raw)'!H323))</f>
        <v>-5086.3999999999996</v>
      </c>
      <c r="J325" s="10">
        <f>IF(A325="",0,IF('Statements (Raw)'!I323="",0,'Statements (Raw)'!I323))</f>
        <v>0</v>
      </c>
      <c r="K325" s="10">
        <f t="shared" ref="K325:K388" si="11">IF(I325="","",I325+J325)</f>
        <v>-5086.3999999999996</v>
      </c>
    </row>
    <row r="326" spans="1:11" x14ac:dyDescent="0.3">
      <c r="A326" s="171">
        <f>IF(OR('Statements (Raw)'!A324="",'Statements (Raw)'!A324&gt;Holdings!$G$3),"",'Statements (Raw)'!A324)</f>
        <v>45995</v>
      </c>
      <c r="B326" s="7">
        <f>IF(A326="","",IF('Statements (Raw)'!B324="","",'Statements (Raw)'!B324))</f>
        <v>45999</v>
      </c>
      <c r="C326" s="6" t="str">
        <f>IF(A326="","",IF('Statements (Raw)'!C324&lt;&gt;"",'Statements (Raw)'!C324,IF(ISNUMBER(SEARCH("Conferimento",'Statements (Raw)'!D324)),"CASH DEPOSIT",IF(ISNUMBER(SEARCH("Prelievo",'Statements (Raw)'!D324)),"CASH WITHDRAWAL",IF(ISNUMBER(SEARCH("Bollo",'Statements (Raw)'!D324)),"STAMP DUTY",IF(ISNUMBER(SEARCH("Tobin Tax",'Statements (Raw)'!D324)),"TOBIN TAX",IF(ISNUMBER(SEARCH("Rit.provento",'Statements (Raw)'!D324)),"WITHHOLDING TAX",IF(ISNUMBER(SEARCH("Incasso Dividendi",'Statements (Raw)'!D324)),"DIVIDEND",IF(ISNUMBER(SEARCH("Cedola",'Statements (Raw)'!D324)),"COUPON",IF(ISNUMBER(SEARCH("Ratei Pass",'Statements (Raw)'!D324)),"ACCRUED INT",IF(ISNUMBER(SEARCH("Interessi Prest",'Statements (Raw)'!D324)),"SEC LENDING",IF(ISNUMBER(SEARCH("Rimborso",'Statements (Raw)'!D324)),"REDEMPTION",IF(ISNUMBER(SEARCH("Provento",'Statements (Raw)'!D324)),"DISTRIBUTION","OTHER")))))))))))))</f>
        <v>BREMBO</v>
      </c>
      <c r="D326" s="6" t="str">
        <f>IF(A326="","",IF(C326="Saldo Iniziale","Balance",IF(C326="CASH DEPOSIT","Deposit",IF(C326="CASH WITHDRAWAL","Withdrawal",IF(C326="STAMP DUTY","Tax",IF(C326="TOBIN TAX","Tax",IF(C326="WITHHOLDING TAX","Tax",IF(C326="DIVIDEND","Dividend",IF(C326="COUPON","Coupon",IF(C326="ACCRUED INT","Accrued Int.",IF(C326="SEC LENDING","Sec. Lending",IF(C326="REDEMPTION","Redemption",IF(C326="DISTRIBUTION","Distribution",IF(ISNUMBER(SEARCH("Rimborso",'Statements (Raw)'!D324)),"Redemption",IF(ISNUMBER(SEARCH("Cedola",'Statements (Raw)'!D324)),"Coupon",IF(ISNUMBER(SEARCH("Incasso Dividendi",'Statements (Raw)'!D324)),"Dividend",IF(ISNUMBER(SEARCH("Provento Etf",'Statements (Raw)'!D324)),"Distribution",IF(ISNUMBER(SEARCH("Rit.provento",'Statements (Raw)'!D324)),"Tax",IF(ISNUMBER(SEARCH("Ratei Pass",'Statements (Raw)'!D324)),"Accrued Int.",IF(ISNUMBER(SEARCH("Interessi Prest",'Statements (Raw)'!D324)),"Sec. Lending",IF('Statements (Raw)'!G324="","Other",IF('Statements (Raw)'!G324&gt;0,"Buy","Sell"))))))))))))))))))))))</f>
        <v>Buy</v>
      </c>
      <c r="E326" s="6" t="str">
        <f t="shared" si="10"/>
        <v>Stock</v>
      </c>
      <c r="F326" s="8">
        <f>IF(A326="","",IF('Statements (Raw)'!E324="","",'Statements (Raw)'!E324))</f>
        <v>9.35</v>
      </c>
      <c r="G326" s="6" t="str">
        <f>IF(A326="","",IF('Statements (Raw)'!F324="","",'Statements (Raw)'!F324))</f>
        <v>EUR</v>
      </c>
      <c r="H326" s="9">
        <f>IF(A326="","",IF('Statements (Raw)'!G324="","",'Statements (Raw)'!G324))</f>
        <v>9</v>
      </c>
      <c r="I326" s="10">
        <f>IF(A326="","",IF('Statements (Raw)'!H324="","",'Statements (Raw)'!H324))</f>
        <v>-84.15</v>
      </c>
      <c r="J326" s="10">
        <f>IF(A326="",0,IF('Statements (Raw)'!I324="",0,'Statements (Raw)'!I324))</f>
        <v>0</v>
      </c>
      <c r="K326" s="10">
        <f t="shared" si="11"/>
        <v>-84.15</v>
      </c>
    </row>
    <row r="327" spans="1:11" x14ac:dyDescent="0.3">
      <c r="A327" s="171">
        <f>IF(OR('Statements (Raw)'!A325="",'Statements (Raw)'!A325&gt;Holdings!$G$3),"",'Statements (Raw)'!A325)</f>
        <v>45995</v>
      </c>
      <c r="B327" s="7">
        <f>IF(A327="","",IF('Statements (Raw)'!B325="","",'Statements (Raw)'!B325))</f>
        <v>45999</v>
      </c>
      <c r="C327" s="6" t="str">
        <f>IF(A327="","",IF('Statements (Raw)'!C325&lt;&gt;"",'Statements (Raw)'!C325,IF(ISNUMBER(SEARCH("Conferimento",'Statements (Raw)'!D325)),"CASH DEPOSIT",IF(ISNUMBER(SEARCH("Prelievo",'Statements (Raw)'!D325)),"CASH WITHDRAWAL",IF(ISNUMBER(SEARCH("Bollo",'Statements (Raw)'!D325)),"STAMP DUTY",IF(ISNUMBER(SEARCH("Tobin Tax",'Statements (Raw)'!D325)),"TOBIN TAX",IF(ISNUMBER(SEARCH("Rit.provento",'Statements (Raw)'!D325)),"WITHHOLDING TAX",IF(ISNUMBER(SEARCH("Incasso Dividendi",'Statements (Raw)'!D325)),"DIVIDEND",IF(ISNUMBER(SEARCH("Cedola",'Statements (Raw)'!D325)),"COUPON",IF(ISNUMBER(SEARCH("Ratei Pass",'Statements (Raw)'!D325)),"ACCRUED INT",IF(ISNUMBER(SEARCH("Interessi Prest",'Statements (Raw)'!D325)),"SEC LENDING",IF(ISNUMBER(SEARCH("Rimborso",'Statements (Raw)'!D325)),"REDEMPTION",IF(ISNUMBER(SEARCH("Provento",'Statements (Raw)'!D325)),"DISTRIBUTION","OTHER")))))))))))))</f>
        <v>BREMBO</v>
      </c>
      <c r="D327" s="6" t="str">
        <f>IF(A327="","",IF(C327="Saldo Iniziale","Balance",IF(C327="CASH DEPOSIT","Deposit",IF(C327="CASH WITHDRAWAL","Withdrawal",IF(C327="STAMP DUTY","Tax",IF(C327="TOBIN TAX","Tax",IF(C327="WITHHOLDING TAX","Tax",IF(C327="DIVIDEND","Dividend",IF(C327="COUPON","Coupon",IF(C327="ACCRUED INT","Accrued Int.",IF(C327="SEC LENDING","Sec. Lending",IF(C327="REDEMPTION","Redemption",IF(C327="DISTRIBUTION","Distribution",IF(ISNUMBER(SEARCH("Rimborso",'Statements (Raw)'!D325)),"Redemption",IF(ISNUMBER(SEARCH("Cedola",'Statements (Raw)'!D325)),"Coupon",IF(ISNUMBER(SEARCH("Incasso Dividendi",'Statements (Raw)'!D325)),"Dividend",IF(ISNUMBER(SEARCH("Provento Etf",'Statements (Raw)'!D325)),"Distribution",IF(ISNUMBER(SEARCH("Rit.provento",'Statements (Raw)'!D325)),"Tax",IF(ISNUMBER(SEARCH("Ratei Pass",'Statements (Raw)'!D325)),"Accrued Int.",IF(ISNUMBER(SEARCH("Interessi Prest",'Statements (Raw)'!D325)),"Sec. Lending",IF('Statements (Raw)'!G325="","Other",IF('Statements (Raw)'!G325&gt;0,"Buy","Sell"))))))))))))))))))))))</f>
        <v>Buy</v>
      </c>
      <c r="E327" s="6" t="str">
        <f t="shared" si="10"/>
        <v>Stock</v>
      </c>
      <c r="F327" s="8">
        <f>IF(A327="","",IF('Statements (Raw)'!E325="","",'Statements (Raw)'!E325))</f>
        <v>9.35</v>
      </c>
      <c r="G327" s="6" t="str">
        <f>IF(A327="","",IF('Statements (Raw)'!F325="","",'Statements (Raw)'!F325))</f>
        <v>EUR</v>
      </c>
      <c r="H327" s="9">
        <f>IF(A327="","",IF('Statements (Raw)'!G325="","",'Statements (Raw)'!G325))</f>
        <v>72</v>
      </c>
      <c r="I327" s="10">
        <f>IF(A327="","",IF('Statements (Raw)'!H325="","",'Statements (Raw)'!H325))</f>
        <v>-673.2</v>
      </c>
      <c r="J327" s="10">
        <f>IF(A327="",0,IF('Statements (Raw)'!I325="",0,'Statements (Raw)'!I325))</f>
        <v>0</v>
      </c>
      <c r="K327" s="10">
        <f t="shared" si="11"/>
        <v>-673.2</v>
      </c>
    </row>
    <row r="328" spans="1:11" x14ac:dyDescent="0.3">
      <c r="A328" s="171">
        <f>IF(OR('Statements (Raw)'!A326="",'Statements (Raw)'!A326&gt;Holdings!$G$3),"",'Statements (Raw)'!A326)</f>
        <v>45995</v>
      </c>
      <c r="B328" s="7">
        <f>IF(A328="","",IF('Statements (Raw)'!B326="","",'Statements (Raw)'!B326))</f>
        <v>45999</v>
      </c>
      <c r="C328" s="6" t="str">
        <f>IF(A328="","",IF('Statements (Raw)'!C326&lt;&gt;"",'Statements (Raw)'!C326,IF(ISNUMBER(SEARCH("Conferimento",'Statements (Raw)'!D326)),"CASH DEPOSIT",IF(ISNUMBER(SEARCH("Prelievo",'Statements (Raw)'!D326)),"CASH WITHDRAWAL",IF(ISNUMBER(SEARCH("Bollo",'Statements (Raw)'!D326)),"STAMP DUTY",IF(ISNUMBER(SEARCH("Tobin Tax",'Statements (Raw)'!D326)),"TOBIN TAX",IF(ISNUMBER(SEARCH("Rit.provento",'Statements (Raw)'!D326)),"WITHHOLDING TAX",IF(ISNUMBER(SEARCH("Incasso Dividendi",'Statements (Raw)'!D326)),"DIVIDEND",IF(ISNUMBER(SEARCH("Cedola",'Statements (Raw)'!D326)),"COUPON",IF(ISNUMBER(SEARCH("Ratei Pass",'Statements (Raw)'!D326)),"ACCRUED INT",IF(ISNUMBER(SEARCH("Interessi Prest",'Statements (Raw)'!D326)),"SEC LENDING",IF(ISNUMBER(SEARCH("Rimborso",'Statements (Raw)'!D326)),"REDEMPTION",IF(ISNUMBER(SEARCH("Provento",'Statements (Raw)'!D326)),"DISTRIBUTION","OTHER")))))))))))))</f>
        <v>BREMBO</v>
      </c>
      <c r="D328" s="6" t="str">
        <f>IF(A328="","",IF(C328="Saldo Iniziale","Balance",IF(C328="CASH DEPOSIT","Deposit",IF(C328="CASH WITHDRAWAL","Withdrawal",IF(C328="STAMP DUTY","Tax",IF(C328="TOBIN TAX","Tax",IF(C328="WITHHOLDING TAX","Tax",IF(C328="DIVIDEND","Dividend",IF(C328="COUPON","Coupon",IF(C328="ACCRUED INT","Accrued Int.",IF(C328="SEC LENDING","Sec. Lending",IF(C328="REDEMPTION","Redemption",IF(C328="DISTRIBUTION","Distribution",IF(ISNUMBER(SEARCH("Rimborso",'Statements (Raw)'!D326)),"Redemption",IF(ISNUMBER(SEARCH("Cedola",'Statements (Raw)'!D326)),"Coupon",IF(ISNUMBER(SEARCH("Incasso Dividendi",'Statements (Raw)'!D326)),"Dividend",IF(ISNUMBER(SEARCH("Provento Etf",'Statements (Raw)'!D326)),"Distribution",IF(ISNUMBER(SEARCH("Rit.provento",'Statements (Raw)'!D326)),"Tax",IF(ISNUMBER(SEARCH("Ratei Pass",'Statements (Raw)'!D326)),"Accrued Int.",IF(ISNUMBER(SEARCH("Interessi Prest",'Statements (Raw)'!D326)),"Sec. Lending",IF('Statements (Raw)'!G326="","Other",IF('Statements (Raw)'!G326&gt;0,"Buy","Sell"))))))))))))))))))))))</f>
        <v>Buy</v>
      </c>
      <c r="E328" s="6" t="str">
        <f t="shared" si="10"/>
        <v>Stock</v>
      </c>
      <c r="F328" s="8">
        <f>IF(A328="","",IF('Statements (Raw)'!E326="","",'Statements (Raw)'!E326))</f>
        <v>9.35</v>
      </c>
      <c r="G328" s="6" t="str">
        <f>IF(A328="","",IF('Statements (Raw)'!F326="","",'Statements (Raw)'!F326))</f>
        <v>EUR</v>
      </c>
      <c r="H328" s="9">
        <f>IF(A328="","",IF('Statements (Raw)'!G326="","",'Statements (Raw)'!G326))</f>
        <v>124</v>
      </c>
      <c r="I328" s="10">
        <f>IF(A328="","",IF('Statements (Raw)'!H326="","",'Statements (Raw)'!H326))</f>
        <v>-1159.4000000000001</v>
      </c>
      <c r="J328" s="10">
        <f>IF(A328="",0,IF('Statements (Raw)'!I326="",0,'Statements (Raw)'!I326))</f>
        <v>0</v>
      </c>
      <c r="K328" s="10">
        <f t="shared" si="11"/>
        <v>-1159.4000000000001</v>
      </c>
    </row>
    <row r="329" spans="1:11" x14ac:dyDescent="0.3">
      <c r="A329" s="171">
        <f>IF(OR('Statements (Raw)'!A327="",'Statements (Raw)'!A327&gt;Holdings!$G$3),"",'Statements (Raw)'!A327)</f>
        <v>45995</v>
      </c>
      <c r="B329" s="7">
        <f>IF(A329="","",IF('Statements (Raw)'!B327="","",'Statements (Raw)'!B327))</f>
        <v>45999</v>
      </c>
      <c r="C329" s="6" t="str">
        <f>IF(A329="","",IF('Statements (Raw)'!C327&lt;&gt;"",'Statements (Raw)'!C327,IF(ISNUMBER(SEARCH("Conferimento",'Statements (Raw)'!D327)),"CASH DEPOSIT",IF(ISNUMBER(SEARCH("Prelievo",'Statements (Raw)'!D327)),"CASH WITHDRAWAL",IF(ISNUMBER(SEARCH("Bollo",'Statements (Raw)'!D327)),"STAMP DUTY",IF(ISNUMBER(SEARCH("Tobin Tax",'Statements (Raw)'!D327)),"TOBIN TAX",IF(ISNUMBER(SEARCH("Rit.provento",'Statements (Raw)'!D327)),"WITHHOLDING TAX",IF(ISNUMBER(SEARCH("Incasso Dividendi",'Statements (Raw)'!D327)),"DIVIDEND",IF(ISNUMBER(SEARCH("Cedola",'Statements (Raw)'!D327)),"COUPON",IF(ISNUMBER(SEARCH("Ratei Pass",'Statements (Raw)'!D327)),"ACCRUED INT",IF(ISNUMBER(SEARCH("Interessi Prest",'Statements (Raw)'!D327)),"SEC LENDING",IF(ISNUMBER(SEARCH("Rimborso",'Statements (Raw)'!D327)),"REDEMPTION",IF(ISNUMBER(SEARCH("Provento",'Statements (Raw)'!D327)),"DISTRIBUTION","OTHER")))))))))))))</f>
        <v>BREMBO</v>
      </c>
      <c r="D329" s="6" t="str">
        <f>IF(A329="","",IF(C329="Saldo Iniziale","Balance",IF(C329="CASH DEPOSIT","Deposit",IF(C329="CASH WITHDRAWAL","Withdrawal",IF(C329="STAMP DUTY","Tax",IF(C329="TOBIN TAX","Tax",IF(C329="WITHHOLDING TAX","Tax",IF(C329="DIVIDEND","Dividend",IF(C329="COUPON","Coupon",IF(C329="ACCRUED INT","Accrued Int.",IF(C329="SEC LENDING","Sec. Lending",IF(C329="REDEMPTION","Redemption",IF(C329="DISTRIBUTION","Distribution",IF(ISNUMBER(SEARCH("Rimborso",'Statements (Raw)'!D327)),"Redemption",IF(ISNUMBER(SEARCH("Cedola",'Statements (Raw)'!D327)),"Coupon",IF(ISNUMBER(SEARCH("Incasso Dividendi",'Statements (Raw)'!D327)),"Dividend",IF(ISNUMBER(SEARCH("Provento Etf",'Statements (Raw)'!D327)),"Distribution",IF(ISNUMBER(SEARCH("Rit.provento",'Statements (Raw)'!D327)),"Tax",IF(ISNUMBER(SEARCH("Ratei Pass",'Statements (Raw)'!D327)),"Accrued Int.",IF(ISNUMBER(SEARCH("Interessi Prest",'Statements (Raw)'!D327)),"Sec. Lending",IF('Statements (Raw)'!G327="","Other",IF('Statements (Raw)'!G327&gt;0,"Buy","Sell"))))))))))))))))))))))</f>
        <v>Buy</v>
      </c>
      <c r="E329" s="6" t="str">
        <f t="shared" si="10"/>
        <v>Stock</v>
      </c>
      <c r="F329" s="8">
        <f>IF(A329="","",IF('Statements (Raw)'!E327="","",'Statements (Raw)'!E327))</f>
        <v>9.35</v>
      </c>
      <c r="G329" s="6" t="str">
        <f>IF(A329="","",IF('Statements (Raw)'!F327="","",'Statements (Raw)'!F327))</f>
        <v>EUR</v>
      </c>
      <c r="H329" s="9">
        <f>IF(A329="","",IF('Statements (Raw)'!G327="","",'Statements (Raw)'!G327))</f>
        <v>15</v>
      </c>
      <c r="I329" s="10">
        <f>IF(A329="","",IF('Statements (Raw)'!H327="","",'Statements (Raw)'!H327))</f>
        <v>-140.25</v>
      </c>
      <c r="J329" s="10">
        <f>IF(A329="",0,IF('Statements (Raw)'!I327="",0,'Statements (Raw)'!I327))</f>
        <v>0</v>
      </c>
      <c r="K329" s="10">
        <f t="shared" si="11"/>
        <v>-140.25</v>
      </c>
    </row>
    <row r="330" spans="1:11" x14ac:dyDescent="0.3">
      <c r="A330" s="171">
        <f>IF(OR('Statements (Raw)'!A328="",'Statements (Raw)'!A328&gt;Holdings!$G$3),"",'Statements (Raw)'!A328)</f>
        <v>45995</v>
      </c>
      <c r="B330" s="7">
        <f>IF(A330="","",IF('Statements (Raw)'!B328="","",'Statements (Raw)'!B328))</f>
        <v>45999</v>
      </c>
      <c r="C330" s="6" t="str">
        <f>IF(A330="","",IF('Statements (Raw)'!C328&lt;&gt;"",'Statements (Raw)'!C328,IF(ISNUMBER(SEARCH("Conferimento",'Statements (Raw)'!D328)),"CASH DEPOSIT",IF(ISNUMBER(SEARCH("Prelievo",'Statements (Raw)'!D328)),"CASH WITHDRAWAL",IF(ISNUMBER(SEARCH("Bollo",'Statements (Raw)'!D328)),"STAMP DUTY",IF(ISNUMBER(SEARCH("Tobin Tax",'Statements (Raw)'!D328)),"TOBIN TAX",IF(ISNUMBER(SEARCH("Rit.provento",'Statements (Raw)'!D328)),"WITHHOLDING TAX",IF(ISNUMBER(SEARCH("Incasso Dividendi",'Statements (Raw)'!D328)),"DIVIDEND",IF(ISNUMBER(SEARCH("Cedola",'Statements (Raw)'!D328)),"COUPON",IF(ISNUMBER(SEARCH("Ratei Pass",'Statements (Raw)'!D328)),"ACCRUED INT",IF(ISNUMBER(SEARCH("Interessi Prest",'Statements (Raw)'!D328)),"SEC LENDING",IF(ISNUMBER(SEARCH("Rimborso",'Statements (Raw)'!D328)),"REDEMPTION",IF(ISNUMBER(SEARCH("Provento",'Statements (Raw)'!D328)),"DISTRIBUTION","OTHER")))))))))))))</f>
        <v>TOBIN TAX</v>
      </c>
      <c r="D330" s="6" t="str">
        <f>IF(A330="","",IF(C330="Saldo Iniziale","Balance",IF(C330="CASH DEPOSIT","Deposit",IF(C330="CASH WITHDRAWAL","Withdrawal",IF(C330="STAMP DUTY","Tax",IF(C330="TOBIN TAX","Tax",IF(C330="WITHHOLDING TAX","Tax",IF(C330="DIVIDEND","Dividend",IF(C330="COUPON","Coupon",IF(C330="ACCRUED INT","Accrued Int.",IF(C330="SEC LENDING","Sec. Lending",IF(C330="REDEMPTION","Redemption",IF(C330="DISTRIBUTION","Distribution",IF(ISNUMBER(SEARCH("Rimborso",'Statements (Raw)'!D328)),"Redemption",IF(ISNUMBER(SEARCH("Cedola",'Statements (Raw)'!D328)),"Coupon",IF(ISNUMBER(SEARCH("Incasso Dividendi",'Statements (Raw)'!D328)),"Dividend",IF(ISNUMBER(SEARCH("Provento Etf",'Statements (Raw)'!D328)),"Distribution",IF(ISNUMBER(SEARCH("Rit.provento",'Statements (Raw)'!D328)),"Tax",IF(ISNUMBER(SEARCH("Ratei Pass",'Statements (Raw)'!D328)),"Accrued Int.",IF(ISNUMBER(SEARCH("Interessi Prest",'Statements (Raw)'!D328)),"Sec. Lending",IF('Statements (Raw)'!G328="","Other",IF('Statements (Raw)'!G328&gt;0,"Buy","Sell"))))))))))))))))))))))</f>
        <v>Tax</v>
      </c>
      <c r="E330" s="6" t="str">
        <f t="shared" si="10"/>
        <v>Tax/Fee</v>
      </c>
      <c r="F330" s="8" t="str">
        <f>IF(A330="","",IF('Statements (Raw)'!E328="","",'Statements (Raw)'!E328))</f>
        <v/>
      </c>
      <c r="G330" s="6" t="str">
        <f>IF(A330="","",IF('Statements (Raw)'!F328="","",'Statements (Raw)'!F328))</f>
        <v/>
      </c>
      <c r="H330" s="9" t="str">
        <f>IF(A330="","",IF('Statements (Raw)'!G328="","",'Statements (Raw)'!G328))</f>
        <v/>
      </c>
      <c r="I330" s="10">
        <f>IF(A330="","",IF('Statements (Raw)'!H328="","",'Statements (Raw)'!H328))</f>
        <v>-117.87</v>
      </c>
      <c r="J330" s="10">
        <f>IF(A330="",0,IF('Statements (Raw)'!I328="",0,'Statements (Raw)'!I328))</f>
        <v>0</v>
      </c>
      <c r="K330" s="10">
        <f t="shared" si="11"/>
        <v>-117.87</v>
      </c>
    </row>
    <row r="331" spans="1:11" x14ac:dyDescent="0.3">
      <c r="A331" s="171">
        <f>IF(OR('Statements (Raw)'!A329="",'Statements (Raw)'!A329&gt;Holdings!$G$3),"",'Statements (Raw)'!A329)</f>
        <v>45999</v>
      </c>
      <c r="B331" s="7">
        <f>IF(A331="","",IF('Statements (Raw)'!B329="","",'Statements (Raw)'!B329))</f>
        <v>46001</v>
      </c>
      <c r="C331" s="6" t="str">
        <f>IF(A331="","",IF('Statements (Raw)'!C329&lt;&gt;"",'Statements (Raw)'!C329,IF(ISNUMBER(SEARCH("Conferimento",'Statements (Raw)'!D329)),"CASH DEPOSIT",IF(ISNUMBER(SEARCH("Prelievo",'Statements (Raw)'!D329)),"CASH WITHDRAWAL",IF(ISNUMBER(SEARCH("Bollo",'Statements (Raw)'!D329)),"STAMP DUTY",IF(ISNUMBER(SEARCH("Tobin Tax",'Statements (Raw)'!D329)),"TOBIN TAX",IF(ISNUMBER(SEARCH("Rit.provento",'Statements (Raw)'!D329)),"WITHHOLDING TAX",IF(ISNUMBER(SEARCH("Incasso Dividendi",'Statements (Raw)'!D329)),"DIVIDEND",IF(ISNUMBER(SEARCH("Cedola",'Statements (Raw)'!D329)),"COUPON",IF(ISNUMBER(SEARCH("Ratei Pass",'Statements (Raw)'!D329)),"ACCRUED INT",IF(ISNUMBER(SEARCH("Interessi Prest",'Statements (Raw)'!D329)),"SEC LENDING",IF(ISNUMBER(SEARCH("Rimborso",'Statements (Raw)'!D329)),"REDEMPTION",IF(ISNUMBER(SEARCH("Provento",'Statements (Raw)'!D329)),"DISTRIBUTION","OTHER")))))))))))))</f>
        <v>WisdomTree Europe Defence UCIT</v>
      </c>
      <c r="D331" s="6" t="str">
        <f>IF(A331="","",IF(C331="Saldo Iniziale","Balance",IF(C331="CASH DEPOSIT","Deposit",IF(C331="CASH WITHDRAWAL","Withdrawal",IF(C331="STAMP DUTY","Tax",IF(C331="TOBIN TAX","Tax",IF(C331="WITHHOLDING TAX","Tax",IF(C331="DIVIDEND","Dividend",IF(C331="COUPON","Coupon",IF(C331="ACCRUED INT","Accrued Int.",IF(C331="SEC LENDING","Sec. Lending",IF(C331="REDEMPTION","Redemption",IF(C331="DISTRIBUTION","Distribution",IF(ISNUMBER(SEARCH("Rimborso",'Statements (Raw)'!D329)),"Redemption",IF(ISNUMBER(SEARCH("Cedola",'Statements (Raw)'!D329)),"Coupon",IF(ISNUMBER(SEARCH("Incasso Dividendi",'Statements (Raw)'!D329)),"Dividend",IF(ISNUMBER(SEARCH("Provento Etf",'Statements (Raw)'!D329)),"Distribution",IF(ISNUMBER(SEARCH("Rit.provento",'Statements (Raw)'!D329)),"Tax",IF(ISNUMBER(SEARCH("Ratei Pass",'Statements (Raw)'!D329)),"Accrued Int.",IF(ISNUMBER(SEARCH("Interessi Prest",'Statements (Raw)'!D329)),"Sec. Lending",IF('Statements (Raw)'!G329="","Other",IF('Statements (Raw)'!G329&gt;0,"Buy","Sell"))))))))))))))))))))))</f>
        <v>Buy</v>
      </c>
      <c r="E331" s="6" t="str">
        <f t="shared" si="10"/>
        <v>ETF/ETC</v>
      </c>
      <c r="F331" s="8">
        <f>IF(A331="","",IF('Statements (Raw)'!E329="","",'Statements (Raw)'!E329))</f>
        <v>29.35</v>
      </c>
      <c r="G331" s="6" t="str">
        <f>IF(A331="","",IF('Statements (Raw)'!F329="","",'Statements (Raw)'!F329))</f>
        <v>EUR</v>
      </c>
      <c r="H331" s="9">
        <f>IF(A331="","",IF('Statements (Raw)'!G329="","",'Statements (Raw)'!G329))</f>
        <v>33</v>
      </c>
      <c r="I331" s="10">
        <f>IF(A331="","",IF('Statements (Raw)'!H329="","",'Statements (Raw)'!H329))</f>
        <v>-968.55</v>
      </c>
      <c r="J331" s="10">
        <f>IF(A331="",0,IF('Statements (Raw)'!I329="",0,'Statements (Raw)'!I329))</f>
        <v>0</v>
      </c>
      <c r="K331" s="10">
        <f t="shared" si="11"/>
        <v>-968.55</v>
      </c>
    </row>
    <row r="332" spans="1:11" x14ac:dyDescent="0.3">
      <c r="A332" s="171">
        <f>IF(OR('Statements (Raw)'!A330="",'Statements (Raw)'!A330&gt;Holdings!$G$3),"",'Statements (Raw)'!A330)</f>
        <v>45999</v>
      </c>
      <c r="B332" s="7">
        <f>IF(A332="","",IF('Statements (Raw)'!B330="","",'Statements (Raw)'!B330))</f>
        <v>46001</v>
      </c>
      <c r="C332" s="6" t="str">
        <f>IF(A332="","",IF('Statements (Raw)'!C330&lt;&gt;"",'Statements (Raw)'!C330,IF(ISNUMBER(SEARCH("Conferimento",'Statements (Raw)'!D330)),"CASH DEPOSIT",IF(ISNUMBER(SEARCH("Prelievo",'Statements (Raw)'!D330)),"CASH WITHDRAWAL",IF(ISNUMBER(SEARCH("Bollo",'Statements (Raw)'!D330)),"STAMP DUTY",IF(ISNUMBER(SEARCH("Tobin Tax",'Statements (Raw)'!D330)),"TOBIN TAX",IF(ISNUMBER(SEARCH("Rit.provento",'Statements (Raw)'!D330)),"WITHHOLDING TAX",IF(ISNUMBER(SEARCH("Incasso Dividendi",'Statements (Raw)'!D330)),"DIVIDEND",IF(ISNUMBER(SEARCH("Cedola",'Statements (Raw)'!D330)),"COUPON",IF(ISNUMBER(SEARCH("Ratei Pass",'Statements (Raw)'!D330)),"ACCRUED INT",IF(ISNUMBER(SEARCH("Interessi Prest",'Statements (Raw)'!D330)),"SEC LENDING",IF(ISNUMBER(SEARCH("Rimborso",'Statements (Raw)'!D330)),"REDEMPTION",IF(ISNUMBER(SEARCH("Provento",'Statements (Raw)'!D330)),"DISTRIBUTION","OTHER")))))))))))))</f>
        <v>ISHARES FTSE MIB UCITS ETF EUR</v>
      </c>
      <c r="D332" s="6" t="str">
        <f>IF(A332="","",IF(C332="Saldo Iniziale","Balance",IF(C332="CASH DEPOSIT","Deposit",IF(C332="CASH WITHDRAWAL","Withdrawal",IF(C332="STAMP DUTY","Tax",IF(C332="TOBIN TAX","Tax",IF(C332="WITHHOLDING TAX","Tax",IF(C332="DIVIDEND","Dividend",IF(C332="COUPON","Coupon",IF(C332="ACCRUED INT","Accrued Int.",IF(C332="SEC LENDING","Sec. Lending",IF(C332="REDEMPTION","Redemption",IF(C332="DISTRIBUTION","Distribution",IF(ISNUMBER(SEARCH("Rimborso",'Statements (Raw)'!D330)),"Redemption",IF(ISNUMBER(SEARCH("Cedola",'Statements (Raw)'!D330)),"Coupon",IF(ISNUMBER(SEARCH("Incasso Dividendi",'Statements (Raw)'!D330)),"Dividend",IF(ISNUMBER(SEARCH("Provento Etf",'Statements (Raw)'!D330)),"Distribution",IF(ISNUMBER(SEARCH("Rit.provento",'Statements (Raw)'!D330)),"Tax",IF(ISNUMBER(SEARCH("Ratei Pass",'Statements (Raw)'!D330)),"Accrued Int.",IF(ISNUMBER(SEARCH("Interessi Prest",'Statements (Raw)'!D330)),"Sec. Lending",IF('Statements (Raw)'!G330="","Other",IF('Statements (Raw)'!G330&gt;0,"Buy","Sell"))))))))))))))))))))))</f>
        <v>Buy</v>
      </c>
      <c r="E332" s="6" t="str">
        <f t="shared" si="10"/>
        <v>ETF/ETC</v>
      </c>
      <c r="F332" s="8">
        <f>IF(A332="","",IF('Statements (Raw)'!E330="","",'Statements (Raw)'!E330))</f>
        <v>210.25</v>
      </c>
      <c r="G332" s="6" t="str">
        <f>IF(A332="","",IF('Statements (Raw)'!F330="","",'Statements (Raw)'!F330))</f>
        <v>EUR</v>
      </c>
      <c r="H332" s="9">
        <f>IF(A332="","",IF('Statements (Raw)'!G330="","",'Statements (Raw)'!G330))</f>
        <v>11</v>
      </c>
      <c r="I332" s="10">
        <f>IF(A332="","",IF('Statements (Raw)'!H330="","",'Statements (Raw)'!H330))</f>
        <v>-2312.75</v>
      </c>
      <c r="J332" s="10">
        <f>IF(A332="",0,IF('Statements (Raw)'!I330="",0,'Statements (Raw)'!I330))</f>
        <v>0</v>
      </c>
      <c r="K332" s="10">
        <f t="shared" si="11"/>
        <v>-2312.75</v>
      </c>
    </row>
    <row r="333" spans="1:11" x14ac:dyDescent="0.3">
      <c r="A333" s="171">
        <f>IF(OR('Statements (Raw)'!A331="",'Statements (Raw)'!A331&gt;Holdings!$G$3),"",'Statements (Raw)'!A331)</f>
        <v>46000</v>
      </c>
      <c r="B333" s="7">
        <f>IF(A333="","",IF('Statements (Raw)'!B331="","",'Statements (Raw)'!B331))</f>
        <v>46003</v>
      </c>
      <c r="C333" s="6" t="str">
        <f>IF(A333="","",IF('Statements (Raw)'!C331&lt;&gt;"",'Statements (Raw)'!C331,IF(ISNUMBER(SEARCH("Conferimento",'Statements (Raw)'!D331)),"CASH DEPOSIT",IF(ISNUMBER(SEARCH("Prelievo",'Statements (Raw)'!D331)),"CASH WITHDRAWAL",IF(ISNUMBER(SEARCH("Bollo",'Statements (Raw)'!D331)),"STAMP DUTY",IF(ISNUMBER(SEARCH("Tobin Tax",'Statements (Raw)'!D331)),"TOBIN TAX",IF(ISNUMBER(SEARCH("Rit.provento",'Statements (Raw)'!D331)),"WITHHOLDING TAX",IF(ISNUMBER(SEARCH("Incasso Dividendi",'Statements (Raw)'!D331)),"DIVIDEND",IF(ISNUMBER(SEARCH("Cedola",'Statements (Raw)'!D331)),"COUPON",IF(ISNUMBER(SEARCH("Ratei Pass",'Statements (Raw)'!D331)),"ACCRUED INT",IF(ISNUMBER(SEARCH("Interessi Prest",'Statements (Raw)'!D331)),"SEC LENDING",IF(ISNUMBER(SEARCH("Rimborso",'Statements (Raw)'!D331)),"REDEMPTION",IF(ISNUMBER(SEARCH("Provento",'Statements (Raw)'!D331)),"DISTRIBUTION","OTHER")))))))))))))</f>
        <v>BOT ZC DEC25 A EUR</v>
      </c>
      <c r="D333" s="6" t="str">
        <f>IF(A333="","",IF(C333="Saldo Iniziale","Balance",IF(C333="CASH DEPOSIT","Deposit",IF(C333="CASH WITHDRAWAL","Withdrawal",IF(C333="STAMP DUTY","Tax",IF(C333="TOBIN TAX","Tax",IF(C333="WITHHOLDING TAX","Tax",IF(C333="DIVIDEND","Dividend",IF(C333="COUPON","Coupon",IF(C333="ACCRUED INT","Accrued Int.",IF(C333="SEC LENDING","Sec. Lending",IF(C333="REDEMPTION","Redemption",IF(C333="DISTRIBUTION","Distribution",IF(ISNUMBER(SEARCH("Rimborso",'Statements (Raw)'!D331)),"Redemption",IF(ISNUMBER(SEARCH("Cedola",'Statements (Raw)'!D331)),"Coupon",IF(ISNUMBER(SEARCH("Incasso Dividendi",'Statements (Raw)'!D331)),"Dividend",IF(ISNUMBER(SEARCH("Provento Etf",'Statements (Raw)'!D331)),"Distribution",IF(ISNUMBER(SEARCH("Rit.provento",'Statements (Raw)'!D331)),"Tax",IF(ISNUMBER(SEARCH("Ratei Pass",'Statements (Raw)'!D331)),"Accrued Int.",IF(ISNUMBER(SEARCH("Interessi Prest",'Statements (Raw)'!D331)),"Sec. Lending",IF('Statements (Raw)'!G331="","Other",IF('Statements (Raw)'!G331&gt;0,"Buy","Sell"))))))))))))))))))))))</f>
        <v>Redemption</v>
      </c>
      <c r="E333" s="6" t="str">
        <f t="shared" si="10"/>
        <v>Bond</v>
      </c>
      <c r="F333" s="8" t="str">
        <f>IF(A333="","",IF('Statements (Raw)'!E331="","",'Statements (Raw)'!E331))</f>
        <v/>
      </c>
      <c r="G333" s="6" t="str">
        <f>IF(A333="","",IF('Statements (Raw)'!F331="","",'Statements (Raw)'!F331))</f>
        <v/>
      </c>
      <c r="H333" s="9" t="str">
        <f>IF(A333="","",IF('Statements (Raw)'!G331="","",'Statements (Raw)'!G331))</f>
        <v/>
      </c>
      <c r="I333" s="10">
        <f>IF(A333="","",IF('Statements (Raw)'!H331="","",'Statements (Raw)'!H331))</f>
        <v>150000</v>
      </c>
      <c r="J333" s="10">
        <f>IF(A333="",0,IF('Statements (Raw)'!I331="",0,'Statements (Raw)'!I331))</f>
        <v>0</v>
      </c>
      <c r="K333" s="10">
        <f t="shared" si="11"/>
        <v>150000</v>
      </c>
    </row>
    <row r="334" spans="1:11" x14ac:dyDescent="0.3">
      <c r="A334" s="171">
        <f>IF(OR('Statements (Raw)'!A332="",'Statements (Raw)'!A332&gt;Holdings!$G$3),"",'Statements (Raw)'!A332)</f>
        <v>46006</v>
      </c>
      <c r="B334" s="7">
        <f>IF(A334="","",IF('Statements (Raw)'!B332="","",'Statements (Raw)'!B332))</f>
        <v>46008</v>
      </c>
      <c r="C334" s="6" t="str">
        <f>IF(A334="","",IF('Statements (Raw)'!C332&lt;&gt;"",'Statements (Raw)'!C332,IF(ISNUMBER(SEARCH("Conferimento",'Statements (Raw)'!D332)),"CASH DEPOSIT",IF(ISNUMBER(SEARCH("Prelievo",'Statements (Raw)'!D332)),"CASH WITHDRAWAL",IF(ISNUMBER(SEARCH("Bollo",'Statements (Raw)'!D332)),"STAMP DUTY",IF(ISNUMBER(SEARCH("Tobin Tax",'Statements (Raw)'!D332)),"TOBIN TAX",IF(ISNUMBER(SEARCH("Rit.provento",'Statements (Raw)'!D332)),"WITHHOLDING TAX",IF(ISNUMBER(SEARCH("Incasso Dividendi",'Statements (Raw)'!D332)),"DIVIDEND",IF(ISNUMBER(SEARCH("Cedola",'Statements (Raw)'!D332)),"COUPON",IF(ISNUMBER(SEARCH("Ratei Pass",'Statements (Raw)'!D332)),"ACCRUED INT",IF(ISNUMBER(SEARCH("Interessi Prest",'Statements (Raw)'!D332)),"SEC LENDING",IF(ISNUMBER(SEARCH("Rimborso",'Statements (Raw)'!D332)),"REDEMPTION",IF(ISNUMBER(SEARCH("Provento",'Statements (Raw)'!D332)),"DISTRIBUTION","OTHER")))))))))))))</f>
        <v>WisdomTree Europe Defence UCIT</v>
      </c>
      <c r="D334" s="6" t="str">
        <f>IF(A334="","",IF(C334="Saldo Iniziale","Balance",IF(C334="CASH DEPOSIT","Deposit",IF(C334="CASH WITHDRAWAL","Withdrawal",IF(C334="STAMP DUTY","Tax",IF(C334="TOBIN TAX","Tax",IF(C334="WITHHOLDING TAX","Tax",IF(C334="DIVIDEND","Dividend",IF(C334="COUPON","Coupon",IF(C334="ACCRUED INT","Accrued Int.",IF(C334="SEC LENDING","Sec. Lending",IF(C334="REDEMPTION","Redemption",IF(C334="DISTRIBUTION","Distribution",IF(ISNUMBER(SEARCH("Rimborso",'Statements (Raw)'!D332)),"Redemption",IF(ISNUMBER(SEARCH("Cedola",'Statements (Raw)'!D332)),"Coupon",IF(ISNUMBER(SEARCH("Incasso Dividendi",'Statements (Raw)'!D332)),"Dividend",IF(ISNUMBER(SEARCH("Provento Etf",'Statements (Raw)'!D332)),"Distribution",IF(ISNUMBER(SEARCH("Rit.provento",'Statements (Raw)'!D332)),"Tax",IF(ISNUMBER(SEARCH("Ratei Pass",'Statements (Raw)'!D332)),"Accrued Int.",IF(ISNUMBER(SEARCH("Interessi Prest",'Statements (Raw)'!D332)),"Sec. Lending",IF('Statements (Raw)'!G332="","Other",IF('Statements (Raw)'!G332&gt;0,"Buy","Sell"))))))))))))))))))))))</f>
        <v>Buy</v>
      </c>
      <c r="E334" s="6" t="str">
        <f t="shared" si="10"/>
        <v>ETF/ETC</v>
      </c>
      <c r="F334" s="8">
        <f>IF(A334="","",IF('Statements (Raw)'!E332="","",'Statements (Raw)'!E332))</f>
        <v>29.43</v>
      </c>
      <c r="G334" s="6" t="str">
        <f>IF(A334="","",IF('Statements (Raw)'!F332="","",'Statements (Raw)'!F332))</f>
        <v>EUR</v>
      </c>
      <c r="H334" s="9">
        <f>IF(A334="","",IF('Statements (Raw)'!G332="","",'Statements (Raw)'!G332))</f>
        <v>33</v>
      </c>
      <c r="I334" s="10">
        <f>IF(A334="","",IF('Statements (Raw)'!H332="","",'Statements (Raw)'!H332))</f>
        <v>-971.19</v>
      </c>
      <c r="J334" s="10">
        <f>IF(A334="",0,IF('Statements (Raw)'!I332="",0,'Statements (Raw)'!I332))</f>
        <v>0</v>
      </c>
      <c r="K334" s="10">
        <f t="shared" si="11"/>
        <v>-971.19</v>
      </c>
    </row>
    <row r="335" spans="1:11" x14ac:dyDescent="0.3">
      <c r="A335" s="171">
        <f>IF(OR('Statements (Raw)'!A333="",'Statements (Raw)'!A333&gt;Holdings!$G$3),"",'Statements (Raw)'!A333)</f>
        <v>46006</v>
      </c>
      <c r="B335" s="7">
        <f>IF(A335="","",IF('Statements (Raw)'!B333="","",'Statements (Raw)'!B333))</f>
        <v>46008</v>
      </c>
      <c r="C335" s="6" t="str">
        <f>IF(A335="","",IF('Statements (Raw)'!C333&lt;&gt;"",'Statements (Raw)'!C333,IF(ISNUMBER(SEARCH("Conferimento",'Statements (Raw)'!D333)),"CASH DEPOSIT",IF(ISNUMBER(SEARCH("Prelievo",'Statements (Raw)'!D333)),"CASH WITHDRAWAL",IF(ISNUMBER(SEARCH("Bollo",'Statements (Raw)'!D333)),"STAMP DUTY",IF(ISNUMBER(SEARCH("Tobin Tax",'Statements (Raw)'!D333)),"TOBIN TAX",IF(ISNUMBER(SEARCH("Rit.provento",'Statements (Raw)'!D333)),"WITHHOLDING TAX",IF(ISNUMBER(SEARCH("Incasso Dividendi",'Statements (Raw)'!D333)),"DIVIDEND",IF(ISNUMBER(SEARCH("Cedola",'Statements (Raw)'!D333)),"COUPON",IF(ISNUMBER(SEARCH("Ratei Pass",'Statements (Raw)'!D333)),"ACCRUED INT",IF(ISNUMBER(SEARCH("Interessi Prest",'Statements (Raw)'!D333)),"SEC LENDING",IF(ISNUMBER(SEARCH("Rimborso",'Statements (Raw)'!D333)),"REDEMPTION",IF(ISNUMBER(SEARCH("Provento",'Statements (Raw)'!D333)),"DISTRIBUTION","OTHER")))))))))))))</f>
        <v>ISHARES FTSE MIB UCITS ETF EUR</v>
      </c>
      <c r="D335" s="6" t="str">
        <f>IF(A335="","",IF(C335="Saldo Iniziale","Balance",IF(C335="CASH DEPOSIT","Deposit",IF(C335="CASH WITHDRAWAL","Withdrawal",IF(C335="STAMP DUTY","Tax",IF(C335="TOBIN TAX","Tax",IF(C335="WITHHOLDING TAX","Tax",IF(C335="DIVIDEND","Dividend",IF(C335="COUPON","Coupon",IF(C335="ACCRUED INT","Accrued Int.",IF(C335="SEC LENDING","Sec. Lending",IF(C335="REDEMPTION","Redemption",IF(C335="DISTRIBUTION","Distribution",IF(ISNUMBER(SEARCH("Rimborso",'Statements (Raw)'!D333)),"Redemption",IF(ISNUMBER(SEARCH("Cedola",'Statements (Raw)'!D333)),"Coupon",IF(ISNUMBER(SEARCH("Incasso Dividendi",'Statements (Raw)'!D333)),"Dividend",IF(ISNUMBER(SEARCH("Provento Etf",'Statements (Raw)'!D333)),"Distribution",IF(ISNUMBER(SEARCH("Rit.provento",'Statements (Raw)'!D333)),"Tax",IF(ISNUMBER(SEARCH("Ratei Pass",'Statements (Raw)'!D333)),"Accrued Int.",IF(ISNUMBER(SEARCH("Interessi Prest",'Statements (Raw)'!D333)),"Sec. Lending",IF('Statements (Raw)'!G333="","Other",IF('Statements (Raw)'!G333&gt;0,"Buy","Sell"))))))))))))))))))))))</f>
        <v>Buy</v>
      </c>
      <c r="E335" s="6" t="str">
        <f t="shared" si="10"/>
        <v>ETF/ETC</v>
      </c>
      <c r="F335" s="8">
        <f>IF(A335="","",IF('Statements (Raw)'!E333="","",'Statements (Raw)'!E333))</f>
        <v>213.55</v>
      </c>
      <c r="G335" s="6" t="str">
        <f>IF(A335="","",IF('Statements (Raw)'!F333="","",'Statements (Raw)'!F333))</f>
        <v>EUR</v>
      </c>
      <c r="H335" s="9">
        <f>IF(A335="","",IF('Statements (Raw)'!G333="","",'Statements (Raw)'!G333))</f>
        <v>11</v>
      </c>
      <c r="I335" s="10">
        <f>IF(A335="","",IF('Statements (Raw)'!H333="","",'Statements (Raw)'!H333))</f>
        <v>-2349.0500000000002</v>
      </c>
      <c r="J335" s="10">
        <f>IF(A335="",0,IF('Statements (Raw)'!I333="",0,'Statements (Raw)'!I333))</f>
        <v>0</v>
      </c>
      <c r="K335" s="10">
        <f t="shared" si="11"/>
        <v>-2349.0500000000002</v>
      </c>
    </row>
    <row r="336" spans="1:11" x14ac:dyDescent="0.3">
      <c r="A336" s="171">
        <f>IF(OR('Statements (Raw)'!A334="",'Statements (Raw)'!A334&gt;Holdings!$G$3),"",'Statements (Raw)'!A334)</f>
        <v>46014</v>
      </c>
      <c r="B336" s="7">
        <f>IF(A336="","",IF('Statements (Raw)'!B334="","",'Statements (Raw)'!B334))</f>
        <v>46020</v>
      </c>
      <c r="C336" s="6" t="str">
        <f>IF(A336="","",IF('Statements (Raw)'!C334&lt;&gt;"",'Statements (Raw)'!C334,IF(ISNUMBER(SEARCH("Conferimento",'Statements (Raw)'!D334)),"CASH DEPOSIT",IF(ISNUMBER(SEARCH("Prelievo",'Statements (Raw)'!D334)),"CASH WITHDRAWAL",IF(ISNUMBER(SEARCH("Bollo",'Statements (Raw)'!D334)),"STAMP DUTY",IF(ISNUMBER(SEARCH("Tobin Tax",'Statements (Raw)'!D334)),"TOBIN TAX",IF(ISNUMBER(SEARCH("Rit.provento",'Statements (Raw)'!D334)),"WITHHOLDING TAX",IF(ISNUMBER(SEARCH("Incasso Dividendi",'Statements (Raw)'!D334)),"DIVIDEND",IF(ISNUMBER(SEARCH("Cedola",'Statements (Raw)'!D334)),"COUPON",IF(ISNUMBER(SEARCH("Ratei Pass",'Statements (Raw)'!D334)),"ACCRUED INT",IF(ISNUMBER(SEARCH("Interessi Prest",'Statements (Raw)'!D334)),"SEC LENDING",IF(ISNUMBER(SEARCH("Rimborso",'Statements (Raw)'!D334)),"REDEMPTION",IF(ISNUMBER(SEARCH("Provento",'Statements (Raw)'!D334)),"DISTRIBUTION","OTHER")))))))))))))</f>
        <v>WisdomTree Europe Defence UCIT</v>
      </c>
      <c r="D336" s="6" t="str">
        <f>IF(A336="","",IF(C336="Saldo Iniziale","Balance",IF(C336="CASH DEPOSIT","Deposit",IF(C336="CASH WITHDRAWAL","Withdrawal",IF(C336="STAMP DUTY","Tax",IF(C336="TOBIN TAX","Tax",IF(C336="WITHHOLDING TAX","Tax",IF(C336="DIVIDEND","Dividend",IF(C336="COUPON","Coupon",IF(C336="ACCRUED INT","Accrued Int.",IF(C336="SEC LENDING","Sec. Lending",IF(C336="REDEMPTION","Redemption",IF(C336="DISTRIBUTION","Distribution",IF(ISNUMBER(SEARCH("Rimborso",'Statements (Raw)'!D334)),"Redemption",IF(ISNUMBER(SEARCH("Cedola",'Statements (Raw)'!D334)),"Coupon",IF(ISNUMBER(SEARCH("Incasso Dividendi",'Statements (Raw)'!D334)),"Dividend",IF(ISNUMBER(SEARCH("Provento Etf",'Statements (Raw)'!D334)),"Distribution",IF(ISNUMBER(SEARCH("Rit.provento",'Statements (Raw)'!D334)),"Tax",IF(ISNUMBER(SEARCH("Ratei Pass",'Statements (Raw)'!D334)),"Accrued Int.",IF(ISNUMBER(SEARCH("Interessi Prest",'Statements (Raw)'!D334)),"Sec. Lending",IF('Statements (Raw)'!G334="","Other",IF('Statements (Raw)'!G334&gt;0,"Buy","Sell"))))))))))))))))))))))</f>
        <v>Buy</v>
      </c>
      <c r="E336" s="6" t="str">
        <f t="shared" si="10"/>
        <v>ETF/ETC</v>
      </c>
      <c r="F336" s="8">
        <f>IF(A336="","",IF('Statements (Raw)'!E334="","",'Statements (Raw)'!E334))</f>
        <v>29.77</v>
      </c>
      <c r="G336" s="6" t="str">
        <f>IF(A336="","",IF('Statements (Raw)'!F334="","",'Statements (Raw)'!F334))</f>
        <v>EUR</v>
      </c>
      <c r="H336" s="9">
        <f>IF(A336="","",IF('Statements (Raw)'!G334="","",'Statements (Raw)'!G334))</f>
        <v>33</v>
      </c>
      <c r="I336" s="10">
        <f>IF(A336="","",IF('Statements (Raw)'!H334="","",'Statements (Raw)'!H334))</f>
        <v>-982.41</v>
      </c>
      <c r="J336" s="10">
        <f>IF(A336="",0,IF('Statements (Raw)'!I334="",0,'Statements (Raw)'!I334))</f>
        <v>0</v>
      </c>
      <c r="K336" s="10">
        <f t="shared" si="11"/>
        <v>-982.41</v>
      </c>
    </row>
    <row r="337" spans="1:11" x14ac:dyDescent="0.3">
      <c r="A337" s="171">
        <f>IF(OR('Statements (Raw)'!A335="",'Statements (Raw)'!A335&gt;Holdings!$G$3),"",'Statements (Raw)'!A335)</f>
        <v>46014</v>
      </c>
      <c r="B337" s="7">
        <f>IF(A337="","",IF('Statements (Raw)'!B335="","",'Statements (Raw)'!B335))</f>
        <v>46020</v>
      </c>
      <c r="C337" s="6" t="str">
        <f>IF(A337="","",IF('Statements (Raw)'!C335&lt;&gt;"",'Statements (Raw)'!C335,IF(ISNUMBER(SEARCH("Conferimento",'Statements (Raw)'!D335)),"CASH DEPOSIT",IF(ISNUMBER(SEARCH("Prelievo",'Statements (Raw)'!D335)),"CASH WITHDRAWAL",IF(ISNUMBER(SEARCH("Bollo",'Statements (Raw)'!D335)),"STAMP DUTY",IF(ISNUMBER(SEARCH("Tobin Tax",'Statements (Raw)'!D335)),"TOBIN TAX",IF(ISNUMBER(SEARCH("Rit.provento",'Statements (Raw)'!D335)),"WITHHOLDING TAX",IF(ISNUMBER(SEARCH("Incasso Dividendi",'Statements (Raw)'!D335)),"DIVIDEND",IF(ISNUMBER(SEARCH("Cedola",'Statements (Raw)'!D335)),"COUPON",IF(ISNUMBER(SEARCH("Ratei Pass",'Statements (Raw)'!D335)),"ACCRUED INT",IF(ISNUMBER(SEARCH("Interessi Prest",'Statements (Raw)'!D335)),"SEC LENDING",IF(ISNUMBER(SEARCH("Rimborso",'Statements (Raw)'!D335)),"REDEMPTION",IF(ISNUMBER(SEARCH("Provento",'Statements (Raw)'!D335)),"DISTRIBUTION","OTHER")))))))))))))</f>
        <v>ISHARES FTSE MIB UCITS ETF EUR</v>
      </c>
      <c r="D337" s="6" t="str">
        <f>IF(A337="","",IF(C337="Saldo Iniziale","Balance",IF(C337="CASH DEPOSIT","Deposit",IF(C337="CASH WITHDRAWAL","Withdrawal",IF(C337="STAMP DUTY","Tax",IF(C337="TOBIN TAX","Tax",IF(C337="WITHHOLDING TAX","Tax",IF(C337="DIVIDEND","Dividend",IF(C337="COUPON","Coupon",IF(C337="ACCRUED INT","Accrued Int.",IF(C337="SEC LENDING","Sec. Lending",IF(C337="REDEMPTION","Redemption",IF(C337="DISTRIBUTION","Distribution",IF(ISNUMBER(SEARCH("Rimborso",'Statements (Raw)'!D335)),"Redemption",IF(ISNUMBER(SEARCH("Cedola",'Statements (Raw)'!D335)),"Coupon",IF(ISNUMBER(SEARCH("Incasso Dividendi",'Statements (Raw)'!D335)),"Dividend",IF(ISNUMBER(SEARCH("Provento Etf",'Statements (Raw)'!D335)),"Distribution",IF(ISNUMBER(SEARCH("Rit.provento",'Statements (Raw)'!D335)),"Tax",IF(ISNUMBER(SEARCH("Ratei Pass",'Statements (Raw)'!D335)),"Accrued Int.",IF(ISNUMBER(SEARCH("Interessi Prest",'Statements (Raw)'!D335)),"Sec. Lending",IF('Statements (Raw)'!G335="","Other",IF('Statements (Raw)'!G335&gt;0,"Buy","Sell"))))))))))))))))))))))</f>
        <v>Buy</v>
      </c>
      <c r="E337" s="6" t="str">
        <f t="shared" si="10"/>
        <v>ETF/ETC</v>
      </c>
      <c r="F337" s="8">
        <f>IF(A337="","",IF('Statements (Raw)'!E335="","",'Statements (Raw)'!E335))</f>
        <v>216.2</v>
      </c>
      <c r="G337" s="6" t="str">
        <f>IF(A337="","",IF('Statements (Raw)'!F335="","",'Statements (Raw)'!F335))</f>
        <v>EUR</v>
      </c>
      <c r="H337" s="9">
        <f>IF(A337="","",IF('Statements (Raw)'!G335="","",'Statements (Raw)'!G335))</f>
        <v>11</v>
      </c>
      <c r="I337" s="10">
        <f>IF(A337="","",IF('Statements (Raw)'!H335="","",'Statements (Raw)'!H335))</f>
        <v>-2378.1999999999998</v>
      </c>
      <c r="J337" s="10">
        <f>IF(A337="",0,IF('Statements (Raw)'!I335="",0,'Statements (Raw)'!I335))</f>
        <v>0</v>
      </c>
      <c r="K337" s="10">
        <f t="shared" si="11"/>
        <v>-2378.1999999999998</v>
      </c>
    </row>
    <row r="338" spans="1:11" x14ac:dyDescent="0.3">
      <c r="A338" s="171">
        <f>IF(OR('Statements (Raw)'!A336="",'Statements (Raw)'!A336&gt;Holdings!$G$3),"",'Statements (Raw)'!A336)</f>
        <v>46014</v>
      </c>
      <c r="B338" s="7">
        <f>IF(A338="","",IF('Statements (Raw)'!B336="","",'Statements (Raw)'!B336))</f>
        <v>46015</v>
      </c>
      <c r="C338" s="6" t="str">
        <f>IF(A338="","",IF('Statements (Raw)'!C336&lt;&gt;"",'Statements (Raw)'!C336,IF(ISNUMBER(SEARCH("Conferimento",'Statements (Raw)'!D336)),"CASH DEPOSIT",IF(ISNUMBER(SEARCH("Prelievo",'Statements (Raw)'!D336)),"CASH WITHDRAWAL",IF(ISNUMBER(SEARCH("Bollo",'Statements (Raw)'!D336)),"STAMP DUTY",IF(ISNUMBER(SEARCH("Tobin Tax",'Statements (Raw)'!D336)),"TOBIN TAX",IF(ISNUMBER(SEARCH("Rit.provento",'Statements (Raw)'!D336)),"WITHHOLDING TAX",IF(ISNUMBER(SEARCH("Incasso Dividendi",'Statements (Raw)'!D336)),"DIVIDEND",IF(ISNUMBER(SEARCH("Cedola",'Statements (Raw)'!D336)),"COUPON",IF(ISNUMBER(SEARCH("Ratei Pass",'Statements (Raw)'!D336)),"ACCRUED INT",IF(ISNUMBER(SEARCH("Interessi Prest",'Statements (Raw)'!D336)),"SEC LENDING",IF(ISNUMBER(SEARCH("Rimborso",'Statements (Raw)'!D336)),"REDEMPTION",IF(ISNUMBER(SEARCH("Provento",'Statements (Raw)'!D336)),"DISTRIBUTION","OTHER")))))))))))))</f>
        <v>CASH WITHDRAWAL</v>
      </c>
      <c r="D338" s="6" t="str">
        <f>IF(A338="","",IF(C338="Saldo Iniziale","Balance",IF(C338="CASH DEPOSIT","Deposit",IF(C338="CASH WITHDRAWAL","Withdrawal",IF(C338="STAMP DUTY","Tax",IF(C338="TOBIN TAX","Tax",IF(C338="WITHHOLDING TAX","Tax",IF(C338="DIVIDEND","Dividend",IF(C338="COUPON","Coupon",IF(C338="ACCRUED INT","Accrued Int.",IF(C338="SEC LENDING","Sec. Lending",IF(C338="REDEMPTION","Redemption",IF(C338="DISTRIBUTION","Distribution",IF(ISNUMBER(SEARCH("Rimborso",'Statements (Raw)'!D336)),"Redemption",IF(ISNUMBER(SEARCH("Cedola",'Statements (Raw)'!D336)),"Coupon",IF(ISNUMBER(SEARCH("Incasso Dividendi",'Statements (Raw)'!D336)),"Dividend",IF(ISNUMBER(SEARCH("Provento Etf",'Statements (Raw)'!D336)),"Distribution",IF(ISNUMBER(SEARCH("Rit.provento",'Statements (Raw)'!D336)),"Tax",IF(ISNUMBER(SEARCH("Ratei Pass",'Statements (Raw)'!D336)),"Accrued Int.",IF(ISNUMBER(SEARCH("Interessi Prest",'Statements (Raw)'!D336)),"Sec. Lending",IF('Statements (Raw)'!G336="","Other",IF('Statements (Raw)'!G336&gt;0,"Buy","Sell"))))))))))))))))))))))</f>
        <v>Withdrawal</v>
      </c>
      <c r="E338" s="6" t="str">
        <f t="shared" si="10"/>
        <v>Cash</v>
      </c>
      <c r="F338" s="8" t="str">
        <f>IF(A338="","",IF('Statements (Raw)'!E336="","",'Statements (Raw)'!E336))</f>
        <v/>
      </c>
      <c r="G338" s="6" t="str">
        <f>IF(A338="","",IF('Statements (Raw)'!F336="","",'Statements (Raw)'!F336))</f>
        <v/>
      </c>
      <c r="H338" s="9" t="str">
        <f>IF(A338="","",IF('Statements (Raw)'!G336="","",'Statements (Raw)'!G336))</f>
        <v/>
      </c>
      <c r="I338" s="10">
        <f>IF(A338="","",IF('Statements (Raw)'!H336="","",'Statements (Raw)'!H336))</f>
        <v>-30000</v>
      </c>
      <c r="J338" s="10">
        <f>IF(A338="",0,IF('Statements (Raw)'!I336="",0,'Statements (Raw)'!I336))</f>
        <v>0</v>
      </c>
      <c r="K338" s="10">
        <f t="shared" si="11"/>
        <v>-30000</v>
      </c>
    </row>
    <row r="339" spans="1:11" x14ac:dyDescent="0.3">
      <c r="A339" s="171">
        <f>IF(OR('Statements (Raw)'!A337="",'Statements (Raw)'!A337&gt;Holdings!$G$3),"",'Statements (Raw)'!A337)</f>
        <v>46023</v>
      </c>
      <c r="B339" s="7" t="str">
        <f>IF(A339="","",IF('Statements (Raw)'!B337="","",'Statements (Raw)'!B337))</f>
        <v/>
      </c>
      <c r="C339" s="6" t="str">
        <f>IF(A339="","",IF('Statements (Raw)'!C337&lt;&gt;"",'Statements (Raw)'!C337,IF(ISNUMBER(SEARCH("Conferimento",'Statements (Raw)'!D337)),"CASH DEPOSIT",IF(ISNUMBER(SEARCH("Prelievo",'Statements (Raw)'!D337)),"CASH WITHDRAWAL",IF(ISNUMBER(SEARCH("Bollo",'Statements (Raw)'!D337)),"STAMP DUTY",IF(ISNUMBER(SEARCH("Tobin Tax",'Statements (Raw)'!D337)),"TOBIN TAX",IF(ISNUMBER(SEARCH("Rit.provento",'Statements (Raw)'!D337)),"WITHHOLDING TAX",IF(ISNUMBER(SEARCH("Incasso Dividendi",'Statements (Raw)'!D337)),"DIVIDEND",IF(ISNUMBER(SEARCH("Cedola",'Statements (Raw)'!D337)),"COUPON",IF(ISNUMBER(SEARCH("Ratei Pass",'Statements (Raw)'!D337)),"ACCRUED INT",IF(ISNUMBER(SEARCH("Interessi Prest",'Statements (Raw)'!D337)),"SEC LENDING",IF(ISNUMBER(SEARCH("Rimborso",'Statements (Raw)'!D337)),"REDEMPTION",IF(ISNUMBER(SEARCH("Provento",'Statements (Raw)'!D337)),"DISTRIBUTION","OTHER")))))))))))))</f>
        <v>Saldo Iniziale</v>
      </c>
      <c r="D339" s="6" t="str">
        <f>IF(A339="","",IF(C339="Saldo Iniziale","Balance",IF(C339="CASH DEPOSIT","Deposit",IF(C339="CASH WITHDRAWAL","Withdrawal",IF(C339="STAMP DUTY","Tax",IF(C339="TOBIN TAX","Tax",IF(C339="WITHHOLDING TAX","Tax",IF(C339="DIVIDEND","Dividend",IF(C339="COUPON","Coupon",IF(C339="ACCRUED INT","Accrued Int.",IF(C339="SEC LENDING","Sec. Lending",IF(C339="REDEMPTION","Redemption",IF(C339="DISTRIBUTION","Distribution",IF(ISNUMBER(SEARCH("Rimborso",'Statements (Raw)'!D337)),"Redemption",IF(ISNUMBER(SEARCH("Cedola",'Statements (Raw)'!D337)),"Coupon",IF(ISNUMBER(SEARCH("Incasso Dividendi",'Statements (Raw)'!D337)),"Dividend",IF(ISNUMBER(SEARCH("Provento Etf",'Statements (Raw)'!D337)),"Distribution",IF(ISNUMBER(SEARCH("Rit.provento",'Statements (Raw)'!D337)),"Tax",IF(ISNUMBER(SEARCH("Ratei Pass",'Statements (Raw)'!D337)),"Accrued Int.",IF(ISNUMBER(SEARCH("Interessi Prest",'Statements (Raw)'!D337)),"Sec. Lending",IF('Statements (Raw)'!G337="","Other",IF('Statements (Raw)'!G337&gt;0,"Buy","Sell"))))))))))))))))))))))</f>
        <v>Balance</v>
      </c>
      <c r="E339" s="6" t="str">
        <f t="shared" si="10"/>
        <v>Cash</v>
      </c>
      <c r="F339" s="8" t="str">
        <f>IF(A339="","",IF('Statements (Raw)'!E337="","",'Statements (Raw)'!E337))</f>
        <v/>
      </c>
      <c r="G339" s="6" t="str">
        <f>IF(A339="","",IF('Statements (Raw)'!F337="","",'Statements (Raw)'!F337))</f>
        <v/>
      </c>
      <c r="H339" s="9" t="str">
        <f>IF(A339="","",IF('Statements (Raw)'!G337="","",'Statements (Raw)'!G337))</f>
        <v/>
      </c>
      <c r="I339" s="10">
        <f>IF(A339="","",IF('Statements (Raw)'!H337="","",'Statements (Raw)'!H337))</f>
        <v>399727.15</v>
      </c>
      <c r="J339" s="10">
        <f>IF(A339="",0,IF('Statements (Raw)'!I337="",0,'Statements (Raw)'!I337))</f>
        <v>0</v>
      </c>
      <c r="K339" s="10">
        <f t="shared" si="11"/>
        <v>399727.15</v>
      </c>
    </row>
    <row r="340" spans="1:11" x14ac:dyDescent="0.3">
      <c r="A340" s="171">
        <f>IF(OR('Statements (Raw)'!A338="",'Statements (Raw)'!A338&gt;Holdings!$G$3),"",'Statements (Raw)'!A338)</f>
        <v>46024</v>
      </c>
      <c r="B340" s="7">
        <f>IF(A340="","",IF('Statements (Raw)'!B338="","",'Statements (Raw)'!B338))</f>
        <v>46028</v>
      </c>
      <c r="C340" s="6" t="str">
        <f>IF(A340="","",IF('Statements (Raw)'!C338&lt;&gt;"",'Statements (Raw)'!C338,IF(ISNUMBER(SEARCH("Conferimento",'Statements (Raw)'!D338)),"CASH DEPOSIT",IF(ISNUMBER(SEARCH("Prelievo",'Statements (Raw)'!D338)),"CASH WITHDRAWAL",IF(ISNUMBER(SEARCH("Bollo",'Statements (Raw)'!D338)),"STAMP DUTY",IF(ISNUMBER(SEARCH("Tobin Tax",'Statements (Raw)'!D338)),"TOBIN TAX",IF(ISNUMBER(SEARCH("Rit.provento",'Statements (Raw)'!D338)),"WITHHOLDING TAX",IF(ISNUMBER(SEARCH("Incasso Dividendi",'Statements (Raw)'!D338)),"DIVIDEND",IF(ISNUMBER(SEARCH("Cedola",'Statements (Raw)'!D338)),"COUPON",IF(ISNUMBER(SEARCH("Ratei Pass",'Statements (Raw)'!D338)),"ACCRUED INT",IF(ISNUMBER(SEARCH("Interessi Prest",'Statements (Raw)'!D338)),"SEC LENDING",IF(ISNUMBER(SEARCH("Rimborso",'Statements (Raw)'!D338)),"REDEMPTION",IF(ISNUMBER(SEARCH("Provento",'Statements (Raw)'!D338)),"DISTRIBUTION","OTHER")))))))))))))</f>
        <v>WisdomTree Europe Defence UCIT</v>
      </c>
      <c r="D340" s="6" t="str">
        <f>IF(A340="","",IF(C340="Saldo Iniziale","Balance",IF(C340="CASH DEPOSIT","Deposit",IF(C340="CASH WITHDRAWAL","Withdrawal",IF(C340="STAMP DUTY","Tax",IF(C340="TOBIN TAX","Tax",IF(C340="WITHHOLDING TAX","Tax",IF(C340="DIVIDEND","Dividend",IF(C340="COUPON","Coupon",IF(C340="ACCRUED INT","Accrued Int.",IF(C340="SEC LENDING","Sec. Lending",IF(C340="REDEMPTION","Redemption",IF(C340="DISTRIBUTION","Distribution",IF(ISNUMBER(SEARCH("Rimborso",'Statements (Raw)'!D338)),"Redemption",IF(ISNUMBER(SEARCH("Cedola",'Statements (Raw)'!D338)),"Coupon",IF(ISNUMBER(SEARCH("Incasso Dividendi",'Statements (Raw)'!D338)),"Dividend",IF(ISNUMBER(SEARCH("Provento Etf",'Statements (Raw)'!D338)),"Distribution",IF(ISNUMBER(SEARCH("Rit.provento",'Statements (Raw)'!D338)),"Tax",IF(ISNUMBER(SEARCH("Ratei Pass",'Statements (Raw)'!D338)),"Accrued Int.",IF(ISNUMBER(SEARCH("Interessi Prest",'Statements (Raw)'!D338)),"Sec. Lending",IF('Statements (Raw)'!G338="","Other",IF('Statements (Raw)'!G338&gt;0,"Buy","Sell"))))))))))))))))))))))</f>
        <v>Buy</v>
      </c>
      <c r="E340" s="6" t="str">
        <f t="shared" si="10"/>
        <v>ETF/ETC</v>
      </c>
      <c r="F340" s="8">
        <f>IF(A340="","",IF('Statements (Raw)'!E338="","",'Statements (Raw)'!E338))</f>
        <v>30.795000000000002</v>
      </c>
      <c r="G340" s="6" t="str">
        <f>IF(A340="","",IF('Statements (Raw)'!F338="","",'Statements (Raw)'!F338))</f>
        <v>EUR</v>
      </c>
      <c r="H340" s="9">
        <f>IF(A340="","",IF('Statements (Raw)'!G338="","",'Statements (Raw)'!G338))</f>
        <v>32</v>
      </c>
      <c r="I340" s="10">
        <f>IF(A340="","",IF('Statements (Raw)'!H338="","",'Statements (Raw)'!H338))</f>
        <v>-985.44</v>
      </c>
      <c r="J340" s="10">
        <f>IF(A340="",0,IF('Statements (Raw)'!I338="",0,'Statements (Raw)'!I338))</f>
        <v>0</v>
      </c>
      <c r="K340" s="10">
        <f t="shared" si="11"/>
        <v>-985.44</v>
      </c>
    </row>
    <row r="341" spans="1:11" x14ac:dyDescent="0.3">
      <c r="A341" s="171">
        <f>IF(OR('Statements (Raw)'!A339="",'Statements (Raw)'!A339&gt;Holdings!$G$3),"",'Statements (Raw)'!A339)</f>
        <v>46024</v>
      </c>
      <c r="B341" s="7">
        <f>IF(A341="","",IF('Statements (Raw)'!B339="","",'Statements (Raw)'!B339))</f>
        <v>46028</v>
      </c>
      <c r="C341" s="6" t="str">
        <f>IF(A341="","",IF('Statements (Raw)'!C339&lt;&gt;"",'Statements (Raw)'!C339,IF(ISNUMBER(SEARCH("Conferimento",'Statements (Raw)'!D339)),"CASH DEPOSIT",IF(ISNUMBER(SEARCH("Prelievo",'Statements (Raw)'!D339)),"CASH WITHDRAWAL",IF(ISNUMBER(SEARCH("Bollo",'Statements (Raw)'!D339)),"STAMP DUTY",IF(ISNUMBER(SEARCH("Tobin Tax",'Statements (Raw)'!D339)),"TOBIN TAX",IF(ISNUMBER(SEARCH("Rit.provento",'Statements (Raw)'!D339)),"WITHHOLDING TAX",IF(ISNUMBER(SEARCH("Incasso Dividendi",'Statements (Raw)'!D339)),"DIVIDEND",IF(ISNUMBER(SEARCH("Cedola",'Statements (Raw)'!D339)),"COUPON",IF(ISNUMBER(SEARCH("Ratei Pass",'Statements (Raw)'!D339)),"ACCRUED INT",IF(ISNUMBER(SEARCH("Interessi Prest",'Statements (Raw)'!D339)),"SEC LENDING",IF(ISNUMBER(SEARCH("Rimborso",'Statements (Raw)'!D339)),"REDEMPTION",IF(ISNUMBER(SEARCH("Provento",'Statements (Raw)'!D339)),"DISTRIBUTION","OTHER")))))))))))))</f>
        <v>ISHARES FTSE MIB UCITS ETF EUR</v>
      </c>
      <c r="D341" s="6" t="str">
        <f>IF(A341="","",IF(C341="Saldo Iniziale","Balance",IF(C341="CASH DEPOSIT","Deposit",IF(C341="CASH WITHDRAWAL","Withdrawal",IF(C341="STAMP DUTY","Tax",IF(C341="TOBIN TAX","Tax",IF(C341="WITHHOLDING TAX","Tax",IF(C341="DIVIDEND","Dividend",IF(C341="COUPON","Coupon",IF(C341="ACCRUED INT","Accrued Int.",IF(C341="SEC LENDING","Sec. Lending",IF(C341="REDEMPTION","Redemption",IF(C341="DISTRIBUTION","Distribution",IF(ISNUMBER(SEARCH("Rimborso",'Statements (Raw)'!D339)),"Redemption",IF(ISNUMBER(SEARCH("Cedola",'Statements (Raw)'!D339)),"Coupon",IF(ISNUMBER(SEARCH("Incasso Dividendi",'Statements (Raw)'!D339)),"Dividend",IF(ISNUMBER(SEARCH("Provento Etf",'Statements (Raw)'!D339)),"Distribution",IF(ISNUMBER(SEARCH("Rit.provento",'Statements (Raw)'!D339)),"Tax",IF(ISNUMBER(SEARCH("Ratei Pass",'Statements (Raw)'!D339)),"Accrued Int.",IF(ISNUMBER(SEARCH("Interessi Prest",'Statements (Raw)'!D339)),"Sec. Lending",IF('Statements (Raw)'!G339="","Other",IF('Statements (Raw)'!G339&gt;0,"Buy","Sell"))))))))))))))))))))))</f>
        <v>Buy</v>
      </c>
      <c r="E341" s="6" t="str">
        <f t="shared" si="10"/>
        <v>ETF/ETC</v>
      </c>
      <c r="F341" s="8">
        <f>IF(A341="","",IF('Statements (Raw)'!E339="","",'Statements (Raw)'!E339))</f>
        <v>219.85</v>
      </c>
      <c r="G341" s="6" t="str">
        <f>IF(A341="","",IF('Statements (Raw)'!F339="","",'Statements (Raw)'!F339))</f>
        <v>EUR</v>
      </c>
      <c r="H341" s="9">
        <f>IF(A341="","",IF('Statements (Raw)'!G339="","",'Statements (Raw)'!G339))</f>
        <v>11</v>
      </c>
      <c r="I341" s="10">
        <f>IF(A341="","",IF('Statements (Raw)'!H339="","",'Statements (Raw)'!H339))</f>
        <v>-2418.35</v>
      </c>
      <c r="J341" s="10">
        <f>IF(A341="",0,IF('Statements (Raw)'!I339="",0,'Statements (Raw)'!I339))</f>
        <v>0</v>
      </c>
      <c r="K341" s="10">
        <f t="shared" si="11"/>
        <v>-2418.35</v>
      </c>
    </row>
    <row r="342" spans="1:11" x14ac:dyDescent="0.3">
      <c r="A342" s="171">
        <f>IF(OR('Statements (Raw)'!A340="",'Statements (Raw)'!A340&gt;Holdings!$G$3),"",'Statements (Raw)'!A340)</f>
        <v>46030</v>
      </c>
      <c r="B342" s="7">
        <f>IF(A342="","",IF('Statements (Raw)'!B340="","",'Statements (Raw)'!B340))</f>
        <v>46034</v>
      </c>
      <c r="C342" s="6" t="str">
        <f>IF(A342="","",IF('Statements (Raw)'!C340&lt;&gt;"",'Statements (Raw)'!C340,IF(ISNUMBER(SEARCH("Conferimento",'Statements (Raw)'!D340)),"CASH DEPOSIT",IF(ISNUMBER(SEARCH("Prelievo",'Statements (Raw)'!D340)),"CASH WITHDRAWAL",IF(ISNUMBER(SEARCH("Bollo",'Statements (Raw)'!D340)),"STAMP DUTY",IF(ISNUMBER(SEARCH("Tobin Tax",'Statements (Raw)'!D340)),"TOBIN TAX",IF(ISNUMBER(SEARCH("Rit.provento",'Statements (Raw)'!D340)),"WITHHOLDING TAX",IF(ISNUMBER(SEARCH("Incasso Dividendi",'Statements (Raw)'!D340)),"DIVIDEND",IF(ISNUMBER(SEARCH("Cedola",'Statements (Raw)'!D340)),"COUPON",IF(ISNUMBER(SEARCH("Ratei Pass",'Statements (Raw)'!D340)),"ACCRUED INT",IF(ISNUMBER(SEARCH("Interessi Prest",'Statements (Raw)'!D340)),"SEC LENDING",IF(ISNUMBER(SEARCH("Rimborso",'Statements (Raw)'!D340)),"REDEMPTION",IF(ISNUMBER(SEARCH("Provento",'Statements (Raw)'!D340)),"DISTRIBUTION","OTHER")))))))))))))</f>
        <v>WisdomTree Europe Defence UCIT</v>
      </c>
      <c r="D342" s="6" t="str">
        <f>IF(A342="","",IF(C342="Saldo Iniziale","Balance",IF(C342="CASH DEPOSIT","Deposit",IF(C342="CASH WITHDRAWAL","Withdrawal",IF(C342="STAMP DUTY","Tax",IF(C342="TOBIN TAX","Tax",IF(C342="WITHHOLDING TAX","Tax",IF(C342="DIVIDEND","Dividend",IF(C342="COUPON","Coupon",IF(C342="ACCRUED INT","Accrued Int.",IF(C342="SEC LENDING","Sec. Lending",IF(C342="REDEMPTION","Redemption",IF(C342="DISTRIBUTION","Distribution",IF(ISNUMBER(SEARCH("Rimborso",'Statements (Raw)'!D340)),"Redemption",IF(ISNUMBER(SEARCH("Cedola",'Statements (Raw)'!D340)),"Coupon",IF(ISNUMBER(SEARCH("Incasso Dividendi",'Statements (Raw)'!D340)),"Dividend",IF(ISNUMBER(SEARCH("Provento Etf",'Statements (Raw)'!D340)),"Distribution",IF(ISNUMBER(SEARCH("Rit.provento",'Statements (Raw)'!D340)),"Tax",IF(ISNUMBER(SEARCH("Ratei Pass",'Statements (Raw)'!D340)),"Accrued Int.",IF(ISNUMBER(SEARCH("Interessi Prest",'Statements (Raw)'!D340)),"Sec. Lending",IF('Statements (Raw)'!G340="","Other",IF('Statements (Raw)'!G340&gt;0,"Buy","Sell"))))))))))))))))))))))</f>
        <v>Buy</v>
      </c>
      <c r="E342" s="6" t="str">
        <f t="shared" si="10"/>
        <v>ETF/ETC</v>
      </c>
      <c r="F342" s="8">
        <f>IF(A342="","",IF('Statements (Raw)'!E340="","",'Statements (Raw)'!E340))</f>
        <v>34.255000000000003</v>
      </c>
      <c r="G342" s="6" t="str">
        <f>IF(A342="","",IF('Statements (Raw)'!F340="","",'Statements (Raw)'!F340))</f>
        <v>EUR</v>
      </c>
      <c r="H342" s="9">
        <f>IF(A342="","",IF('Statements (Raw)'!G340="","",'Statements (Raw)'!G340))</f>
        <v>29</v>
      </c>
      <c r="I342" s="10">
        <f>IF(A342="","",IF('Statements (Raw)'!H340="","",'Statements (Raw)'!H340))</f>
        <v>-993.4</v>
      </c>
      <c r="J342" s="10">
        <f>IF(A342="",0,IF('Statements (Raw)'!I340="",0,'Statements (Raw)'!I340))</f>
        <v>0</v>
      </c>
      <c r="K342" s="10">
        <f t="shared" si="11"/>
        <v>-993.4</v>
      </c>
    </row>
    <row r="343" spans="1:11" x14ac:dyDescent="0.3">
      <c r="A343" s="171">
        <f>IF(OR('Statements (Raw)'!A341="",'Statements (Raw)'!A341&gt;Holdings!$G$3),"",'Statements (Raw)'!A341)</f>
        <v>46030</v>
      </c>
      <c r="B343" s="7">
        <f>IF(A343="","",IF('Statements (Raw)'!B341="","",'Statements (Raw)'!B341))</f>
        <v>46034</v>
      </c>
      <c r="C343" s="6" t="str">
        <f>IF(A343="","",IF('Statements (Raw)'!C341&lt;&gt;"",'Statements (Raw)'!C341,IF(ISNUMBER(SEARCH("Conferimento",'Statements (Raw)'!D341)),"CASH DEPOSIT",IF(ISNUMBER(SEARCH("Prelievo",'Statements (Raw)'!D341)),"CASH WITHDRAWAL",IF(ISNUMBER(SEARCH("Bollo",'Statements (Raw)'!D341)),"STAMP DUTY",IF(ISNUMBER(SEARCH("Tobin Tax",'Statements (Raw)'!D341)),"TOBIN TAX",IF(ISNUMBER(SEARCH("Rit.provento",'Statements (Raw)'!D341)),"WITHHOLDING TAX",IF(ISNUMBER(SEARCH("Incasso Dividendi",'Statements (Raw)'!D341)),"DIVIDEND",IF(ISNUMBER(SEARCH("Cedola",'Statements (Raw)'!D341)),"COUPON",IF(ISNUMBER(SEARCH("Ratei Pass",'Statements (Raw)'!D341)),"ACCRUED INT",IF(ISNUMBER(SEARCH("Interessi Prest",'Statements (Raw)'!D341)),"SEC LENDING",IF(ISNUMBER(SEARCH("Rimborso",'Statements (Raw)'!D341)),"REDEMPTION",IF(ISNUMBER(SEARCH("Provento",'Statements (Raw)'!D341)),"DISTRIBUTION","OTHER")))))))))))))</f>
        <v>ISHARES FTSE MIB UCITS ETF EUR</v>
      </c>
      <c r="D343" s="6" t="str">
        <f>IF(A343="","",IF(C343="Saldo Iniziale","Balance",IF(C343="CASH DEPOSIT","Deposit",IF(C343="CASH WITHDRAWAL","Withdrawal",IF(C343="STAMP DUTY","Tax",IF(C343="TOBIN TAX","Tax",IF(C343="WITHHOLDING TAX","Tax",IF(C343="DIVIDEND","Dividend",IF(C343="COUPON","Coupon",IF(C343="ACCRUED INT","Accrued Int.",IF(C343="SEC LENDING","Sec. Lending",IF(C343="REDEMPTION","Redemption",IF(C343="DISTRIBUTION","Distribution",IF(ISNUMBER(SEARCH("Rimborso",'Statements (Raw)'!D341)),"Redemption",IF(ISNUMBER(SEARCH("Cedola",'Statements (Raw)'!D341)),"Coupon",IF(ISNUMBER(SEARCH("Incasso Dividendi",'Statements (Raw)'!D341)),"Dividend",IF(ISNUMBER(SEARCH("Provento Etf",'Statements (Raw)'!D341)),"Distribution",IF(ISNUMBER(SEARCH("Rit.provento",'Statements (Raw)'!D341)),"Tax",IF(ISNUMBER(SEARCH("Ratei Pass",'Statements (Raw)'!D341)),"Accrued Int.",IF(ISNUMBER(SEARCH("Interessi Prest",'Statements (Raw)'!D341)),"Sec. Lending",IF('Statements (Raw)'!G341="","Other",IF('Statements (Raw)'!G341&gt;0,"Buy","Sell"))))))))))))))))))))))</f>
        <v>Buy</v>
      </c>
      <c r="E343" s="6" t="str">
        <f t="shared" si="10"/>
        <v>ETF/ETC</v>
      </c>
      <c r="F343" s="8">
        <f>IF(A343="","",IF('Statements (Raw)'!E341="","",'Statements (Raw)'!E341))</f>
        <v>221.4</v>
      </c>
      <c r="G343" s="6" t="str">
        <f>IF(A343="","",IF('Statements (Raw)'!F341="","",'Statements (Raw)'!F341))</f>
        <v>EUR</v>
      </c>
      <c r="H343" s="9">
        <f>IF(A343="","",IF('Statements (Raw)'!G341="","",'Statements (Raw)'!G341))</f>
        <v>11</v>
      </c>
      <c r="I343" s="10">
        <f>IF(A343="","",IF('Statements (Raw)'!H341="","",'Statements (Raw)'!H341))</f>
        <v>-2435.4</v>
      </c>
      <c r="J343" s="10">
        <f>IF(A343="",0,IF('Statements (Raw)'!I341="",0,'Statements (Raw)'!I341))</f>
        <v>0</v>
      </c>
      <c r="K343" s="10">
        <f t="shared" si="11"/>
        <v>-2435.4</v>
      </c>
    </row>
    <row r="344" spans="1:11" x14ac:dyDescent="0.3">
      <c r="A344" s="171">
        <f>IF(OR('Statements (Raw)'!A342="",'Statements (Raw)'!A342&gt;Holdings!$G$3),"",'Statements (Raw)'!A342)</f>
        <v>46031</v>
      </c>
      <c r="B344" s="7">
        <f>IF(A344="","",IF('Statements (Raw)'!B342="","",'Statements (Raw)'!B342))</f>
        <v>46036</v>
      </c>
      <c r="C344" s="6" t="str">
        <f>IF(A344="","",IF('Statements (Raw)'!C342&lt;&gt;"",'Statements (Raw)'!C342,IF(ISNUMBER(SEARCH("Conferimento",'Statements (Raw)'!D342)),"CASH DEPOSIT",IF(ISNUMBER(SEARCH("Prelievo",'Statements (Raw)'!D342)),"CASH WITHDRAWAL",IF(ISNUMBER(SEARCH("Bollo",'Statements (Raw)'!D342)),"STAMP DUTY",IF(ISNUMBER(SEARCH("Tobin Tax",'Statements (Raw)'!D342)),"TOBIN TAX",IF(ISNUMBER(SEARCH("Rit.provento",'Statements (Raw)'!D342)),"WITHHOLDING TAX",IF(ISNUMBER(SEARCH("Incasso Dividendi",'Statements (Raw)'!D342)),"DIVIDEND",IF(ISNUMBER(SEARCH("Cedola",'Statements (Raw)'!D342)),"COUPON",IF(ISNUMBER(SEARCH("Ratei Pass",'Statements (Raw)'!D342)),"ACCRUED INT",IF(ISNUMBER(SEARCH("Interessi Prest",'Statements (Raw)'!D342)),"SEC LENDING",IF(ISNUMBER(SEARCH("Rimborso",'Statements (Raw)'!D342)),"REDEMPTION",IF(ISNUMBER(SEARCH("Provento",'Statements (Raw)'!D342)),"DISTRIBUTION","OTHER")))))))))))))</f>
        <v>BOT ZC JAN26 A EUR</v>
      </c>
      <c r="D344" s="6" t="str">
        <f>IF(A344="","",IF(C344="Saldo Iniziale","Balance",IF(C344="CASH DEPOSIT","Deposit",IF(C344="CASH WITHDRAWAL","Withdrawal",IF(C344="STAMP DUTY","Tax",IF(C344="TOBIN TAX","Tax",IF(C344="WITHHOLDING TAX","Tax",IF(C344="DIVIDEND","Dividend",IF(C344="COUPON","Coupon",IF(C344="ACCRUED INT","Accrued Int.",IF(C344="SEC LENDING","Sec. Lending",IF(C344="REDEMPTION","Redemption",IF(C344="DISTRIBUTION","Distribution",IF(ISNUMBER(SEARCH("Rimborso",'Statements (Raw)'!D342)),"Redemption",IF(ISNUMBER(SEARCH("Cedola",'Statements (Raw)'!D342)),"Coupon",IF(ISNUMBER(SEARCH("Incasso Dividendi",'Statements (Raw)'!D342)),"Dividend",IF(ISNUMBER(SEARCH("Provento Etf",'Statements (Raw)'!D342)),"Distribution",IF(ISNUMBER(SEARCH("Rit.provento",'Statements (Raw)'!D342)),"Tax",IF(ISNUMBER(SEARCH("Ratei Pass",'Statements (Raw)'!D342)),"Accrued Int.",IF(ISNUMBER(SEARCH("Interessi Prest",'Statements (Raw)'!D342)),"Sec. Lending",IF('Statements (Raw)'!G342="","Other",IF('Statements (Raw)'!G342&gt;0,"Buy","Sell"))))))))))))))))))))))</f>
        <v>Redemption</v>
      </c>
      <c r="E344" s="6" t="str">
        <f t="shared" si="10"/>
        <v>Bond</v>
      </c>
      <c r="F344" s="8" t="str">
        <f>IF(A344="","",IF('Statements (Raw)'!E342="","",'Statements (Raw)'!E342))</f>
        <v/>
      </c>
      <c r="G344" s="6" t="str">
        <f>IF(A344="","",IF('Statements (Raw)'!F342="","",'Statements (Raw)'!F342))</f>
        <v/>
      </c>
      <c r="H344" s="9" t="str">
        <f>IF(A344="","",IF('Statements (Raw)'!G342="","",'Statements (Raw)'!G342))</f>
        <v/>
      </c>
      <c r="I344" s="10">
        <f>IF(A344="","",IF('Statements (Raw)'!H342="","",'Statements (Raw)'!H342))</f>
        <v>70000</v>
      </c>
      <c r="J344" s="10">
        <f>IF(A344="",0,IF('Statements (Raw)'!I342="",0,'Statements (Raw)'!I342))</f>
        <v>0</v>
      </c>
      <c r="K344" s="10">
        <f t="shared" si="11"/>
        <v>70000</v>
      </c>
    </row>
    <row r="345" spans="1:11" x14ac:dyDescent="0.3">
      <c r="A345" s="171">
        <f>IF(OR('Statements (Raw)'!A343="",'Statements (Raw)'!A343&gt;Holdings!$G$3),"",'Statements (Raw)'!A343)</f>
        <v>46034</v>
      </c>
      <c r="B345" s="7">
        <f>IF(A345="","",IF('Statements (Raw)'!B343="","",'Statements (Raw)'!B343))</f>
        <v>46022</v>
      </c>
      <c r="C345" s="6" t="str">
        <f>IF(A345="","",IF('Statements (Raw)'!C343&lt;&gt;"",'Statements (Raw)'!C343,IF(ISNUMBER(SEARCH("Conferimento",'Statements (Raw)'!D343)),"CASH DEPOSIT",IF(ISNUMBER(SEARCH("Prelievo",'Statements (Raw)'!D343)),"CASH WITHDRAWAL",IF(ISNUMBER(SEARCH("Bollo",'Statements (Raw)'!D343)),"STAMP DUTY",IF(ISNUMBER(SEARCH("Tobin Tax",'Statements (Raw)'!D343)),"TOBIN TAX",IF(ISNUMBER(SEARCH("Rit.provento",'Statements (Raw)'!D343)),"WITHHOLDING TAX",IF(ISNUMBER(SEARCH("Incasso Dividendi",'Statements (Raw)'!D343)),"DIVIDEND",IF(ISNUMBER(SEARCH("Cedola",'Statements (Raw)'!D343)),"COUPON",IF(ISNUMBER(SEARCH("Ratei Pass",'Statements (Raw)'!D343)),"ACCRUED INT",IF(ISNUMBER(SEARCH("Interessi Prest",'Statements (Raw)'!D343)),"SEC LENDING",IF(ISNUMBER(SEARCH("Rimborso",'Statements (Raw)'!D343)),"REDEMPTION",IF(ISNUMBER(SEARCH("Provento",'Statements (Raw)'!D343)),"DISTRIBUTION","OTHER")))))))))))))</f>
        <v>STAMP DUTY</v>
      </c>
      <c r="D345" s="6" t="str">
        <f>IF(A345="","",IF(C345="Saldo Iniziale","Balance",IF(C345="CASH DEPOSIT","Deposit",IF(C345="CASH WITHDRAWAL","Withdrawal",IF(C345="STAMP DUTY","Tax",IF(C345="TOBIN TAX","Tax",IF(C345="WITHHOLDING TAX","Tax",IF(C345="DIVIDEND","Dividend",IF(C345="COUPON","Coupon",IF(C345="ACCRUED INT","Accrued Int.",IF(C345="SEC LENDING","Sec. Lending",IF(C345="REDEMPTION","Redemption",IF(C345="DISTRIBUTION","Distribution",IF(ISNUMBER(SEARCH("Rimborso",'Statements (Raw)'!D343)),"Redemption",IF(ISNUMBER(SEARCH("Cedola",'Statements (Raw)'!D343)),"Coupon",IF(ISNUMBER(SEARCH("Incasso Dividendi",'Statements (Raw)'!D343)),"Dividend",IF(ISNUMBER(SEARCH("Provento Etf",'Statements (Raw)'!D343)),"Distribution",IF(ISNUMBER(SEARCH("Rit.provento",'Statements (Raw)'!D343)),"Tax",IF(ISNUMBER(SEARCH("Ratei Pass",'Statements (Raw)'!D343)),"Accrued Int.",IF(ISNUMBER(SEARCH("Interessi Prest",'Statements (Raw)'!D343)),"Sec. Lending",IF('Statements (Raw)'!G343="","Other",IF('Statements (Raw)'!G343&gt;0,"Buy","Sell"))))))))))))))))))))))</f>
        <v>Tax</v>
      </c>
      <c r="E345" s="6" t="str">
        <f t="shared" si="10"/>
        <v>Tax/Fee</v>
      </c>
      <c r="F345" s="8" t="str">
        <f>IF(A345="","",IF('Statements (Raw)'!E343="","",'Statements (Raw)'!E343))</f>
        <v/>
      </c>
      <c r="G345" s="6" t="str">
        <f>IF(A345="","",IF('Statements (Raw)'!F343="","",'Statements (Raw)'!F343))</f>
        <v/>
      </c>
      <c r="H345" s="9" t="str">
        <f>IF(A345="","",IF('Statements (Raw)'!G343="","",'Statements (Raw)'!G343))</f>
        <v/>
      </c>
      <c r="I345" s="10">
        <f>IF(A345="","",IF('Statements (Raw)'!H343="","",'Statements (Raw)'!H343))</f>
        <v>-418</v>
      </c>
      <c r="J345" s="10">
        <f>IF(A345="",0,IF('Statements (Raw)'!I343="",0,'Statements (Raw)'!I343))</f>
        <v>0</v>
      </c>
      <c r="K345" s="10">
        <f t="shared" si="11"/>
        <v>-418</v>
      </c>
    </row>
    <row r="346" spans="1:11" x14ac:dyDescent="0.3">
      <c r="A346" s="171">
        <f>IF(OR('Statements (Raw)'!A344="",'Statements (Raw)'!A344&gt;Holdings!$G$3),"",'Statements (Raw)'!A344)</f>
        <v>46037</v>
      </c>
      <c r="B346" s="7">
        <f>IF(A346="","",IF('Statements (Raw)'!B344="","",'Statements (Raw)'!B344))</f>
        <v>46041</v>
      </c>
      <c r="C346" s="6" t="str">
        <f>IF(A346="","",IF('Statements (Raw)'!C344&lt;&gt;"",'Statements (Raw)'!C344,IF(ISNUMBER(SEARCH("Conferimento",'Statements (Raw)'!D344)),"CASH DEPOSIT",IF(ISNUMBER(SEARCH("Prelievo",'Statements (Raw)'!D344)),"CASH WITHDRAWAL",IF(ISNUMBER(SEARCH("Bollo",'Statements (Raw)'!D344)),"STAMP DUTY",IF(ISNUMBER(SEARCH("Tobin Tax",'Statements (Raw)'!D344)),"TOBIN TAX",IF(ISNUMBER(SEARCH("Rit.provento",'Statements (Raw)'!D344)),"WITHHOLDING TAX",IF(ISNUMBER(SEARCH("Incasso Dividendi",'Statements (Raw)'!D344)),"DIVIDEND",IF(ISNUMBER(SEARCH("Cedola",'Statements (Raw)'!D344)),"COUPON",IF(ISNUMBER(SEARCH("Ratei Pass",'Statements (Raw)'!D344)),"ACCRUED INT",IF(ISNUMBER(SEARCH("Interessi Prest",'Statements (Raw)'!D344)),"SEC LENDING",IF(ISNUMBER(SEARCH("Rimborso",'Statements (Raw)'!D344)),"REDEMPTION",IF(ISNUMBER(SEARCH("Provento",'Statements (Raw)'!D344)),"DISTRIBUTION","OTHER")))))))))))))</f>
        <v>WisdomTree Europe Defence UCIT</v>
      </c>
      <c r="D346" s="6" t="str">
        <f>IF(A346="","",IF(C346="Saldo Iniziale","Balance",IF(C346="CASH DEPOSIT","Deposit",IF(C346="CASH WITHDRAWAL","Withdrawal",IF(C346="STAMP DUTY","Tax",IF(C346="TOBIN TAX","Tax",IF(C346="WITHHOLDING TAX","Tax",IF(C346="DIVIDEND","Dividend",IF(C346="COUPON","Coupon",IF(C346="ACCRUED INT","Accrued Int.",IF(C346="SEC LENDING","Sec. Lending",IF(C346="REDEMPTION","Redemption",IF(C346="DISTRIBUTION","Distribution",IF(ISNUMBER(SEARCH("Rimborso",'Statements (Raw)'!D344)),"Redemption",IF(ISNUMBER(SEARCH("Cedola",'Statements (Raw)'!D344)),"Coupon",IF(ISNUMBER(SEARCH("Incasso Dividendi",'Statements (Raw)'!D344)),"Dividend",IF(ISNUMBER(SEARCH("Provento Etf",'Statements (Raw)'!D344)),"Distribution",IF(ISNUMBER(SEARCH("Rit.provento",'Statements (Raw)'!D344)),"Tax",IF(ISNUMBER(SEARCH("Ratei Pass",'Statements (Raw)'!D344)),"Accrued Int.",IF(ISNUMBER(SEARCH("Interessi Prest",'Statements (Raw)'!D344)),"Sec. Lending",IF('Statements (Raw)'!G344="","Other",IF('Statements (Raw)'!G344&gt;0,"Buy","Sell"))))))))))))))))))))))</f>
        <v>Buy</v>
      </c>
      <c r="E346" s="6" t="str">
        <f t="shared" si="10"/>
        <v>ETF/ETC</v>
      </c>
      <c r="F346" s="8">
        <f>IF(A346="","",IF('Statements (Raw)'!E344="","",'Statements (Raw)'!E344))</f>
        <v>34.65</v>
      </c>
      <c r="G346" s="6" t="str">
        <f>IF(A346="","",IF('Statements (Raw)'!F344="","",'Statements (Raw)'!F344))</f>
        <v>EUR</v>
      </c>
      <c r="H346" s="9">
        <f>IF(A346="","",IF('Statements (Raw)'!G344="","",'Statements (Raw)'!G344))</f>
        <v>28</v>
      </c>
      <c r="I346" s="10">
        <f>IF(A346="","",IF('Statements (Raw)'!H344="","",'Statements (Raw)'!H344))</f>
        <v>-970.2</v>
      </c>
      <c r="J346" s="10">
        <f>IF(A346="",0,IF('Statements (Raw)'!I344="",0,'Statements (Raw)'!I344))</f>
        <v>0</v>
      </c>
      <c r="K346" s="10">
        <f t="shared" si="11"/>
        <v>-970.2</v>
      </c>
    </row>
    <row r="347" spans="1:11" x14ac:dyDescent="0.3">
      <c r="A347" s="171">
        <f>IF(OR('Statements (Raw)'!A345="",'Statements (Raw)'!A345&gt;Holdings!$G$3),"",'Statements (Raw)'!A345)</f>
        <v>46037</v>
      </c>
      <c r="B347" s="7">
        <f>IF(A347="","",IF('Statements (Raw)'!B345="","",'Statements (Raw)'!B345))</f>
        <v>46041</v>
      </c>
      <c r="C347" s="6" t="str">
        <f>IF(A347="","",IF('Statements (Raw)'!C345&lt;&gt;"",'Statements (Raw)'!C345,IF(ISNUMBER(SEARCH("Conferimento",'Statements (Raw)'!D345)),"CASH DEPOSIT",IF(ISNUMBER(SEARCH("Prelievo",'Statements (Raw)'!D345)),"CASH WITHDRAWAL",IF(ISNUMBER(SEARCH("Bollo",'Statements (Raw)'!D345)),"STAMP DUTY",IF(ISNUMBER(SEARCH("Tobin Tax",'Statements (Raw)'!D345)),"TOBIN TAX",IF(ISNUMBER(SEARCH("Rit.provento",'Statements (Raw)'!D345)),"WITHHOLDING TAX",IF(ISNUMBER(SEARCH("Incasso Dividendi",'Statements (Raw)'!D345)),"DIVIDEND",IF(ISNUMBER(SEARCH("Cedola",'Statements (Raw)'!D345)),"COUPON",IF(ISNUMBER(SEARCH("Ratei Pass",'Statements (Raw)'!D345)),"ACCRUED INT",IF(ISNUMBER(SEARCH("Interessi Prest",'Statements (Raw)'!D345)),"SEC LENDING",IF(ISNUMBER(SEARCH("Rimborso",'Statements (Raw)'!D345)),"REDEMPTION",IF(ISNUMBER(SEARCH("Provento",'Statements (Raw)'!D345)),"DISTRIBUTION","OTHER")))))))))))))</f>
        <v>ISHARES FTSE MIB UCITS ETF EUR</v>
      </c>
      <c r="D347" s="6" t="str">
        <f>IF(A347="","",IF(C347="Saldo Iniziale","Balance",IF(C347="CASH DEPOSIT","Deposit",IF(C347="CASH WITHDRAWAL","Withdrawal",IF(C347="STAMP DUTY","Tax",IF(C347="TOBIN TAX","Tax",IF(C347="WITHHOLDING TAX","Tax",IF(C347="DIVIDEND","Dividend",IF(C347="COUPON","Coupon",IF(C347="ACCRUED INT","Accrued Int.",IF(C347="SEC LENDING","Sec. Lending",IF(C347="REDEMPTION","Redemption",IF(C347="DISTRIBUTION","Distribution",IF(ISNUMBER(SEARCH("Rimborso",'Statements (Raw)'!D345)),"Redemption",IF(ISNUMBER(SEARCH("Cedola",'Statements (Raw)'!D345)),"Coupon",IF(ISNUMBER(SEARCH("Incasso Dividendi",'Statements (Raw)'!D345)),"Dividend",IF(ISNUMBER(SEARCH("Provento Etf",'Statements (Raw)'!D345)),"Distribution",IF(ISNUMBER(SEARCH("Rit.provento",'Statements (Raw)'!D345)),"Tax",IF(ISNUMBER(SEARCH("Ratei Pass",'Statements (Raw)'!D345)),"Accrued Int.",IF(ISNUMBER(SEARCH("Interessi Prest",'Statements (Raw)'!D345)),"Sec. Lending",IF('Statements (Raw)'!G345="","Other",IF('Statements (Raw)'!G345&gt;0,"Buy","Sell"))))))))))))))))))))))</f>
        <v>Buy</v>
      </c>
      <c r="E347" s="6" t="str">
        <f t="shared" si="10"/>
        <v>ETF/ETC</v>
      </c>
      <c r="F347" s="8">
        <f>IF(A347="","",IF('Statements (Raw)'!E345="","",'Statements (Raw)'!E345))</f>
        <v>222.2</v>
      </c>
      <c r="G347" s="6" t="str">
        <f>IF(A347="","",IF('Statements (Raw)'!F345="","",'Statements (Raw)'!F345))</f>
        <v>EUR</v>
      </c>
      <c r="H347" s="9">
        <f>IF(A347="","",IF('Statements (Raw)'!G345="","",'Statements (Raw)'!G345))</f>
        <v>11</v>
      </c>
      <c r="I347" s="10">
        <f>IF(A347="","",IF('Statements (Raw)'!H345="","",'Statements (Raw)'!H345))</f>
        <v>-2444.1999999999998</v>
      </c>
      <c r="J347" s="10">
        <f>IF(A347="",0,IF('Statements (Raw)'!I345="",0,'Statements (Raw)'!I345))</f>
        <v>0</v>
      </c>
      <c r="K347" s="10">
        <f t="shared" si="11"/>
        <v>-2444.1999999999998</v>
      </c>
    </row>
    <row r="348" spans="1:11" x14ac:dyDescent="0.3">
      <c r="A348" s="171">
        <f>IF(OR('Statements (Raw)'!A346="",'Statements (Raw)'!A346&gt;Holdings!$G$3),"",'Statements (Raw)'!A346)</f>
        <v>46038</v>
      </c>
      <c r="B348" s="7">
        <f>IF(A348="","",IF('Statements (Raw)'!B346="","",'Statements (Raw)'!B346))</f>
        <v>46043</v>
      </c>
      <c r="C348" s="6" t="str">
        <f>IF(A348="","",IF('Statements (Raw)'!C346&lt;&gt;"",'Statements (Raw)'!C346,IF(ISNUMBER(SEARCH("Conferimento",'Statements (Raw)'!D346)),"CASH DEPOSIT",IF(ISNUMBER(SEARCH("Prelievo",'Statements (Raw)'!D346)),"CASH WITHDRAWAL",IF(ISNUMBER(SEARCH("Bollo",'Statements (Raw)'!D346)),"STAMP DUTY",IF(ISNUMBER(SEARCH("Tobin Tax",'Statements (Raw)'!D346)),"TOBIN TAX",IF(ISNUMBER(SEARCH("Rit.provento",'Statements (Raw)'!D346)),"WITHHOLDING TAX",IF(ISNUMBER(SEARCH("Incasso Dividendi",'Statements (Raw)'!D346)),"DIVIDEND",IF(ISNUMBER(SEARCH("Cedola",'Statements (Raw)'!D346)),"COUPON",IF(ISNUMBER(SEARCH("Ratei Pass",'Statements (Raw)'!D346)),"ACCRUED INT",IF(ISNUMBER(SEARCH("Interessi Prest",'Statements (Raw)'!D346)),"SEC LENDING",IF(ISNUMBER(SEARCH("Rimborso",'Statements (Raw)'!D346)),"REDEMPTION",IF(ISNUMBER(SEARCH("Provento",'Statements (Raw)'!D346)),"DISTRIBUTION","OTHER")))))))))))))</f>
        <v>ENEL</v>
      </c>
      <c r="D348" s="6" t="str">
        <f>IF(A348="","",IF(C348="Saldo Iniziale","Balance",IF(C348="CASH DEPOSIT","Deposit",IF(C348="CASH WITHDRAWAL","Withdrawal",IF(C348="STAMP DUTY","Tax",IF(C348="TOBIN TAX","Tax",IF(C348="WITHHOLDING TAX","Tax",IF(C348="DIVIDEND","Dividend",IF(C348="COUPON","Coupon",IF(C348="ACCRUED INT","Accrued Int.",IF(C348="SEC LENDING","Sec. Lending",IF(C348="REDEMPTION","Redemption",IF(C348="DISTRIBUTION","Distribution",IF(ISNUMBER(SEARCH("Rimborso",'Statements (Raw)'!D346)),"Redemption",IF(ISNUMBER(SEARCH("Cedola",'Statements (Raw)'!D346)),"Coupon",IF(ISNUMBER(SEARCH("Incasso Dividendi",'Statements (Raw)'!D346)),"Dividend",IF(ISNUMBER(SEARCH("Provento Etf",'Statements (Raw)'!D346)),"Distribution",IF(ISNUMBER(SEARCH("Rit.provento",'Statements (Raw)'!D346)),"Tax",IF(ISNUMBER(SEARCH("Ratei Pass",'Statements (Raw)'!D346)),"Accrued Int.",IF(ISNUMBER(SEARCH("Interessi Prest",'Statements (Raw)'!D346)),"Sec. Lending",IF('Statements (Raw)'!G346="","Other",IF('Statements (Raw)'!G346&gt;0,"Buy","Sell"))))))))))))))))))))))</f>
        <v>Dividend</v>
      </c>
      <c r="E348" s="6" t="str">
        <f t="shared" si="10"/>
        <v>Income</v>
      </c>
      <c r="F348" s="8" t="str">
        <f>IF(A348="","",IF('Statements (Raw)'!E346="","",'Statements (Raw)'!E346))</f>
        <v/>
      </c>
      <c r="G348" s="6" t="str">
        <f>IF(A348="","",IF('Statements (Raw)'!F346="","",'Statements (Raw)'!F346))</f>
        <v/>
      </c>
      <c r="H348" s="9" t="str">
        <f>IF(A348="","",IF('Statements (Raw)'!G346="","",'Statements (Raw)'!G346))</f>
        <v/>
      </c>
      <c r="I348" s="10">
        <f>IF(A348="","",IF('Statements (Raw)'!H346="","",'Statements (Raw)'!H346))</f>
        <v>230</v>
      </c>
      <c r="J348" s="10">
        <f>IF(A348="",0,IF('Statements (Raw)'!I346="",0,'Statements (Raw)'!I346))</f>
        <v>0</v>
      </c>
      <c r="K348" s="10">
        <f t="shared" si="11"/>
        <v>230</v>
      </c>
    </row>
    <row r="349" spans="1:11" x14ac:dyDescent="0.3">
      <c r="A349" s="171">
        <f>IF(OR('Statements (Raw)'!A347="",'Statements (Raw)'!A347&gt;Holdings!$G$3),"",'Statements (Raw)'!A347)</f>
        <v>46044</v>
      </c>
      <c r="B349" s="7">
        <f>IF(A349="","",IF('Statements (Raw)'!B347="","",'Statements (Raw)'!B347))</f>
        <v>46048</v>
      </c>
      <c r="C349" s="6" t="str">
        <f>IF(A349="","",IF('Statements (Raw)'!C347&lt;&gt;"",'Statements (Raw)'!C347,IF(ISNUMBER(SEARCH("Conferimento",'Statements (Raw)'!D347)),"CASH DEPOSIT",IF(ISNUMBER(SEARCH("Prelievo",'Statements (Raw)'!D347)),"CASH WITHDRAWAL",IF(ISNUMBER(SEARCH("Bollo",'Statements (Raw)'!D347)),"STAMP DUTY",IF(ISNUMBER(SEARCH("Tobin Tax",'Statements (Raw)'!D347)),"TOBIN TAX",IF(ISNUMBER(SEARCH("Rit.provento",'Statements (Raw)'!D347)),"WITHHOLDING TAX",IF(ISNUMBER(SEARCH("Incasso Dividendi",'Statements (Raw)'!D347)),"DIVIDEND",IF(ISNUMBER(SEARCH("Cedola",'Statements (Raw)'!D347)),"COUPON",IF(ISNUMBER(SEARCH("Ratei Pass",'Statements (Raw)'!D347)),"ACCRUED INT",IF(ISNUMBER(SEARCH("Interessi Prest",'Statements (Raw)'!D347)),"SEC LENDING",IF(ISNUMBER(SEARCH("Rimborso",'Statements (Raw)'!D347)),"REDEMPTION",IF(ISNUMBER(SEARCH("Provento",'Statements (Raw)'!D347)),"DISTRIBUTION","OTHER")))))))))))))</f>
        <v>MONCLER</v>
      </c>
      <c r="D349" s="6" t="str">
        <f>IF(A349="","",IF(C349="Saldo Iniziale","Balance",IF(C349="CASH DEPOSIT","Deposit",IF(C349="CASH WITHDRAWAL","Withdrawal",IF(C349="STAMP DUTY","Tax",IF(C349="TOBIN TAX","Tax",IF(C349="WITHHOLDING TAX","Tax",IF(C349="DIVIDEND","Dividend",IF(C349="COUPON","Coupon",IF(C349="ACCRUED INT","Accrued Int.",IF(C349="SEC LENDING","Sec. Lending",IF(C349="REDEMPTION","Redemption",IF(C349="DISTRIBUTION","Distribution",IF(ISNUMBER(SEARCH("Rimborso",'Statements (Raw)'!D347)),"Redemption",IF(ISNUMBER(SEARCH("Cedola",'Statements (Raw)'!D347)),"Coupon",IF(ISNUMBER(SEARCH("Incasso Dividendi",'Statements (Raw)'!D347)),"Dividend",IF(ISNUMBER(SEARCH("Provento Etf",'Statements (Raw)'!D347)),"Distribution",IF(ISNUMBER(SEARCH("Rit.provento",'Statements (Raw)'!D347)),"Tax",IF(ISNUMBER(SEARCH("Ratei Pass",'Statements (Raw)'!D347)),"Accrued Int.",IF(ISNUMBER(SEARCH("Interessi Prest",'Statements (Raw)'!D347)),"Sec. Lending",IF('Statements (Raw)'!G347="","Other",IF('Statements (Raw)'!G347&gt;0,"Buy","Sell"))))))))))))))))))))))</f>
        <v>Buy</v>
      </c>
      <c r="E349" s="6" t="str">
        <f t="shared" si="10"/>
        <v>Stock</v>
      </c>
      <c r="F349" s="8">
        <f>IF(A349="","",IF('Statements (Raw)'!E347="","",'Statements (Raw)'!E347))</f>
        <v>49.94</v>
      </c>
      <c r="G349" s="6" t="str">
        <f>IF(A349="","",IF('Statements (Raw)'!F347="","",'Statements (Raw)'!F347))</f>
        <v>EUR</v>
      </c>
      <c r="H349" s="9">
        <f>IF(A349="","",IF('Statements (Raw)'!G347="","",'Statements (Raw)'!G347))</f>
        <v>280</v>
      </c>
      <c r="I349" s="10">
        <f>IF(A349="","",IF('Statements (Raw)'!H347="","",'Statements (Raw)'!H347))</f>
        <v>-13983.2</v>
      </c>
      <c r="J349" s="10">
        <f>IF(A349="",0,IF('Statements (Raw)'!I347="",0,'Statements (Raw)'!I347))</f>
        <v>-5</v>
      </c>
      <c r="K349" s="10">
        <f t="shared" si="11"/>
        <v>-13988.2</v>
      </c>
    </row>
    <row r="350" spans="1:11" x14ac:dyDescent="0.3">
      <c r="A350" s="171">
        <f>IF(OR('Statements (Raw)'!A348="",'Statements (Raw)'!A348&gt;Holdings!$G$3),"",'Statements (Raw)'!A348)</f>
        <v>46044</v>
      </c>
      <c r="B350" s="7">
        <f>IF(A350="","",IF('Statements (Raw)'!B348="","",'Statements (Raw)'!B348))</f>
        <v>46048</v>
      </c>
      <c r="C350" s="6" t="str">
        <f>IF(A350="","",IF('Statements (Raw)'!C348&lt;&gt;"",'Statements (Raw)'!C348,IF(ISNUMBER(SEARCH("Conferimento",'Statements (Raw)'!D348)),"CASH DEPOSIT",IF(ISNUMBER(SEARCH("Prelievo",'Statements (Raw)'!D348)),"CASH WITHDRAWAL",IF(ISNUMBER(SEARCH("Bollo",'Statements (Raw)'!D348)),"STAMP DUTY",IF(ISNUMBER(SEARCH("Tobin Tax",'Statements (Raw)'!D348)),"TOBIN TAX",IF(ISNUMBER(SEARCH("Rit.provento",'Statements (Raw)'!D348)),"WITHHOLDING TAX",IF(ISNUMBER(SEARCH("Incasso Dividendi",'Statements (Raw)'!D348)),"DIVIDEND",IF(ISNUMBER(SEARCH("Cedola",'Statements (Raw)'!D348)),"COUPON",IF(ISNUMBER(SEARCH("Ratei Pass",'Statements (Raw)'!D348)),"ACCRUED INT",IF(ISNUMBER(SEARCH("Interessi Prest",'Statements (Raw)'!D348)),"SEC LENDING",IF(ISNUMBER(SEARCH("Rimborso",'Statements (Raw)'!D348)),"REDEMPTION",IF(ISNUMBER(SEARCH("Provento",'Statements (Raw)'!D348)),"DISTRIBUTION","OTHER")))))))))))))</f>
        <v>MONCLER</v>
      </c>
      <c r="D350" s="6" t="str">
        <f>IF(A350="","",IF(C350="Saldo Iniziale","Balance",IF(C350="CASH DEPOSIT","Deposit",IF(C350="CASH WITHDRAWAL","Withdrawal",IF(C350="STAMP DUTY","Tax",IF(C350="TOBIN TAX","Tax",IF(C350="WITHHOLDING TAX","Tax",IF(C350="DIVIDEND","Dividend",IF(C350="COUPON","Coupon",IF(C350="ACCRUED INT","Accrued Int.",IF(C350="SEC LENDING","Sec. Lending",IF(C350="REDEMPTION","Redemption",IF(C350="DISTRIBUTION","Distribution",IF(ISNUMBER(SEARCH("Rimborso",'Statements (Raw)'!D348)),"Redemption",IF(ISNUMBER(SEARCH("Cedola",'Statements (Raw)'!D348)),"Coupon",IF(ISNUMBER(SEARCH("Incasso Dividendi",'Statements (Raw)'!D348)),"Dividend",IF(ISNUMBER(SEARCH("Provento Etf",'Statements (Raw)'!D348)),"Distribution",IF(ISNUMBER(SEARCH("Rit.provento",'Statements (Raw)'!D348)),"Tax",IF(ISNUMBER(SEARCH("Ratei Pass",'Statements (Raw)'!D348)),"Accrued Int.",IF(ISNUMBER(SEARCH("Interessi Prest",'Statements (Raw)'!D348)),"Sec. Lending",IF('Statements (Raw)'!G348="","Other",IF('Statements (Raw)'!G348&gt;0,"Buy","Sell"))))))))))))))))))))))</f>
        <v>Buy</v>
      </c>
      <c r="E350" s="6" t="str">
        <f t="shared" si="10"/>
        <v>Stock</v>
      </c>
      <c r="F350" s="8">
        <f>IF(A350="","",IF('Statements (Raw)'!E348="","",'Statements (Raw)'!E348))</f>
        <v>49.94</v>
      </c>
      <c r="G350" s="6" t="str">
        <f>IF(A350="","",IF('Statements (Raw)'!F348="","",'Statements (Raw)'!F348))</f>
        <v>EUR</v>
      </c>
      <c r="H350" s="9">
        <f>IF(A350="","",IF('Statements (Raw)'!G348="","",'Statements (Raw)'!G348))</f>
        <v>516</v>
      </c>
      <c r="I350" s="10">
        <f>IF(A350="","",IF('Statements (Raw)'!H348="","",'Statements (Raw)'!H348))</f>
        <v>-25769.040000000001</v>
      </c>
      <c r="J350" s="10">
        <f>IF(A350="",0,IF('Statements (Raw)'!I348="",0,'Statements (Raw)'!I348))</f>
        <v>0</v>
      </c>
      <c r="K350" s="10">
        <f t="shared" si="11"/>
        <v>-25769.040000000001</v>
      </c>
    </row>
    <row r="351" spans="1:11" x14ac:dyDescent="0.3">
      <c r="A351" s="171">
        <f>IF(OR('Statements (Raw)'!A349="",'Statements (Raw)'!A349&gt;Holdings!$G$3),"",'Statements (Raw)'!A349)</f>
        <v>46044</v>
      </c>
      <c r="B351" s="7">
        <f>IF(A351="","",IF('Statements (Raw)'!B349="","",'Statements (Raw)'!B349))</f>
        <v>46048</v>
      </c>
      <c r="C351" s="6" t="str">
        <f>IF(A351="","",IF('Statements (Raw)'!C349&lt;&gt;"",'Statements (Raw)'!C349,IF(ISNUMBER(SEARCH("Conferimento",'Statements (Raw)'!D349)),"CASH DEPOSIT",IF(ISNUMBER(SEARCH("Prelievo",'Statements (Raw)'!D349)),"CASH WITHDRAWAL",IF(ISNUMBER(SEARCH("Bollo",'Statements (Raw)'!D349)),"STAMP DUTY",IF(ISNUMBER(SEARCH("Tobin Tax",'Statements (Raw)'!D349)),"TOBIN TAX",IF(ISNUMBER(SEARCH("Rit.provento",'Statements (Raw)'!D349)),"WITHHOLDING TAX",IF(ISNUMBER(SEARCH("Incasso Dividendi",'Statements (Raw)'!D349)),"DIVIDEND",IF(ISNUMBER(SEARCH("Cedola",'Statements (Raw)'!D349)),"COUPON",IF(ISNUMBER(SEARCH("Ratei Pass",'Statements (Raw)'!D349)),"ACCRUED INT",IF(ISNUMBER(SEARCH("Interessi Prest",'Statements (Raw)'!D349)),"SEC LENDING",IF(ISNUMBER(SEARCH("Rimborso",'Statements (Raw)'!D349)),"REDEMPTION",IF(ISNUMBER(SEARCH("Provento",'Statements (Raw)'!D349)),"DISTRIBUTION","OTHER")))))))))))))</f>
        <v>MONCLER</v>
      </c>
      <c r="D351" s="6" t="str">
        <f>IF(A351="","",IF(C351="Saldo Iniziale","Balance",IF(C351="CASH DEPOSIT","Deposit",IF(C351="CASH WITHDRAWAL","Withdrawal",IF(C351="STAMP DUTY","Tax",IF(C351="TOBIN TAX","Tax",IF(C351="WITHHOLDING TAX","Tax",IF(C351="DIVIDEND","Dividend",IF(C351="COUPON","Coupon",IF(C351="ACCRUED INT","Accrued Int.",IF(C351="SEC LENDING","Sec. Lending",IF(C351="REDEMPTION","Redemption",IF(C351="DISTRIBUTION","Distribution",IF(ISNUMBER(SEARCH("Rimborso",'Statements (Raw)'!D349)),"Redemption",IF(ISNUMBER(SEARCH("Cedola",'Statements (Raw)'!D349)),"Coupon",IF(ISNUMBER(SEARCH("Incasso Dividendi",'Statements (Raw)'!D349)),"Dividend",IF(ISNUMBER(SEARCH("Provento Etf",'Statements (Raw)'!D349)),"Distribution",IF(ISNUMBER(SEARCH("Rit.provento",'Statements (Raw)'!D349)),"Tax",IF(ISNUMBER(SEARCH("Ratei Pass",'Statements (Raw)'!D349)),"Accrued Int.",IF(ISNUMBER(SEARCH("Interessi Prest",'Statements (Raw)'!D349)),"Sec. Lending",IF('Statements (Raw)'!G349="","Other",IF('Statements (Raw)'!G349&gt;0,"Buy","Sell"))))))))))))))))))))))</f>
        <v>Buy</v>
      </c>
      <c r="E351" s="6" t="str">
        <f t="shared" si="10"/>
        <v>Stock</v>
      </c>
      <c r="F351" s="8">
        <f>IF(A351="","",IF('Statements (Raw)'!E349="","",'Statements (Raw)'!E349))</f>
        <v>49.94</v>
      </c>
      <c r="G351" s="6" t="str">
        <f>IF(A351="","",IF('Statements (Raw)'!F349="","",'Statements (Raw)'!F349))</f>
        <v>EUR</v>
      </c>
      <c r="H351" s="9">
        <f>IF(A351="","",IF('Statements (Raw)'!G349="","",'Statements (Raw)'!G349))</f>
        <v>428</v>
      </c>
      <c r="I351" s="10">
        <f>IF(A351="","",IF('Statements (Raw)'!H349="","",'Statements (Raw)'!H349))</f>
        <v>-21374.32</v>
      </c>
      <c r="J351" s="10">
        <f>IF(A351="",0,IF('Statements (Raw)'!I349="",0,'Statements (Raw)'!I349))</f>
        <v>0</v>
      </c>
      <c r="K351" s="10">
        <f t="shared" si="11"/>
        <v>-21374.32</v>
      </c>
    </row>
    <row r="352" spans="1:11" x14ac:dyDescent="0.3">
      <c r="A352" s="171">
        <f>IF(OR('Statements (Raw)'!A350="",'Statements (Raw)'!A350&gt;Holdings!$G$3),"",'Statements (Raw)'!A350)</f>
        <v>46044</v>
      </c>
      <c r="B352" s="7">
        <f>IF(A352="","",IF('Statements (Raw)'!B350="","",'Statements (Raw)'!B350))</f>
        <v>46048</v>
      </c>
      <c r="C352" s="6" t="str">
        <f>IF(A352="","",IF('Statements (Raw)'!C350&lt;&gt;"",'Statements (Raw)'!C350,IF(ISNUMBER(SEARCH("Conferimento",'Statements (Raw)'!D350)),"CASH DEPOSIT",IF(ISNUMBER(SEARCH("Prelievo",'Statements (Raw)'!D350)),"CASH WITHDRAWAL",IF(ISNUMBER(SEARCH("Bollo",'Statements (Raw)'!D350)),"STAMP DUTY",IF(ISNUMBER(SEARCH("Tobin Tax",'Statements (Raw)'!D350)),"TOBIN TAX",IF(ISNUMBER(SEARCH("Rit.provento",'Statements (Raw)'!D350)),"WITHHOLDING TAX",IF(ISNUMBER(SEARCH("Incasso Dividendi",'Statements (Raw)'!D350)),"DIVIDEND",IF(ISNUMBER(SEARCH("Cedola",'Statements (Raw)'!D350)),"COUPON",IF(ISNUMBER(SEARCH("Ratei Pass",'Statements (Raw)'!D350)),"ACCRUED INT",IF(ISNUMBER(SEARCH("Interessi Prest",'Statements (Raw)'!D350)),"SEC LENDING",IF(ISNUMBER(SEARCH("Rimborso",'Statements (Raw)'!D350)),"REDEMPTION",IF(ISNUMBER(SEARCH("Provento",'Statements (Raw)'!D350)),"DISTRIBUTION","OTHER")))))))))))))</f>
        <v>MONCLER</v>
      </c>
      <c r="D352" s="6" t="str">
        <f>IF(A352="","",IF(C352="Saldo Iniziale","Balance",IF(C352="CASH DEPOSIT","Deposit",IF(C352="CASH WITHDRAWAL","Withdrawal",IF(C352="STAMP DUTY","Tax",IF(C352="TOBIN TAX","Tax",IF(C352="WITHHOLDING TAX","Tax",IF(C352="DIVIDEND","Dividend",IF(C352="COUPON","Coupon",IF(C352="ACCRUED INT","Accrued Int.",IF(C352="SEC LENDING","Sec. Lending",IF(C352="REDEMPTION","Redemption",IF(C352="DISTRIBUTION","Distribution",IF(ISNUMBER(SEARCH("Rimborso",'Statements (Raw)'!D350)),"Redemption",IF(ISNUMBER(SEARCH("Cedola",'Statements (Raw)'!D350)),"Coupon",IF(ISNUMBER(SEARCH("Incasso Dividendi",'Statements (Raw)'!D350)),"Dividend",IF(ISNUMBER(SEARCH("Provento Etf",'Statements (Raw)'!D350)),"Distribution",IF(ISNUMBER(SEARCH("Rit.provento",'Statements (Raw)'!D350)),"Tax",IF(ISNUMBER(SEARCH("Ratei Pass",'Statements (Raw)'!D350)),"Accrued Int.",IF(ISNUMBER(SEARCH("Interessi Prest",'Statements (Raw)'!D350)),"Sec. Lending",IF('Statements (Raw)'!G350="","Other",IF('Statements (Raw)'!G350&gt;0,"Buy","Sell"))))))))))))))))))))))</f>
        <v>Buy</v>
      </c>
      <c r="E352" s="6" t="str">
        <f t="shared" si="10"/>
        <v>Stock</v>
      </c>
      <c r="F352" s="8">
        <f>IF(A352="","",IF('Statements (Raw)'!E350="","",'Statements (Raw)'!E350))</f>
        <v>49.94</v>
      </c>
      <c r="G352" s="6" t="str">
        <f>IF(A352="","",IF('Statements (Raw)'!F350="","",'Statements (Raw)'!F350))</f>
        <v>EUR</v>
      </c>
      <c r="H352" s="9">
        <f>IF(A352="","",IF('Statements (Raw)'!G350="","",'Statements (Raw)'!G350))</f>
        <v>103</v>
      </c>
      <c r="I352" s="10">
        <f>IF(A352="","",IF('Statements (Raw)'!H350="","",'Statements (Raw)'!H350))</f>
        <v>-5143.82</v>
      </c>
      <c r="J352" s="10">
        <f>IF(A352="",0,IF('Statements (Raw)'!I350="",0,'Statements (Raw)'!I350))</f>
        <v>0</v>
      </c>
      <c r="K352" s="10">
        <f t="shared" si="11"/>
        <v>-5143.82</v>
      </c>
    </row>
    <row r="353" spans="1:11" x14ac:dyDescent="0.3">
      <c r="A353" s="171">
        <f>IF(OR('Statements (Raw)'!A351="",'Statements (Raw)'!A351&gt;Holdings!$G$3),"",'Statements (Raw)'!A351)</f>
        <v>46044</v>
      </c>
      <c r="B353" s="7">
        <f>IF(A353="","",IF('Statements (Raw)'!B351="","",'Statements (Raw)'!B351))</f>
        <v>46048</v>
      </c>
      <c r="C353" s="6" t="str">
        <f>IF(A353="","",IF('Statements (Raw)'!C351&lt;&gt;"",'Statements (Raw)'!C351,IF(ISNUMBER(SEARCH("Conferimento",'Statements (Raw)'!D351)),"CASH DEPOSIT",IF(ISNUMBER(SEARCH("Prelievo",'Statements (Raw)'!D351)),"CASH WITHDRAWAL",IF(ISNUMBER(SEARCH("Bollo",'Statements (Raw)'!D351)),"STAMP DUTY",IF(ISNUMBER(SEARCH("Tobin Tax",'Statements (Raw)'!D351)),"TOBIN TAX",IF(ISNUMBER(SEARCH("Rit.provento",'Statements (Raw)'!D351)),"WITHHOLDING TAX",IF(ISNUMBER(SEARCH("Incasso Dividendi",'Statements (Raw)'!D351)),"DIVIDEND",IF(ISNUMBER(SEARCH("Cedola",'Statements (Raw)'!D351)),"COUPON",IF(ISNUMBER(SEARCH("Ratei Pass",'Statements (Raw)'!D351)),"ACCRUED INT",IF(ISNUMBER(SEARCH("Interessi Prest",'Statements (Raw)'!D351)),"SEC LENDING",IF(ISNUMBER(SEARCH("Rimborso",'Statements (Raw)'!D351)),"REDEMPTION",IF(ISNUMBER(SEARCH("Provento",'Statements (Raw)'!D351)),"DISTRIBUTION","OTHER")))))))))))))</f>
        <v>MONCLER</v>
      </c>
      <c r="D353" s="6" t="str">
        <f>IF(A353="","",IF(C353="Saldo Iniziale","Balance",IF(C353="CASH DEPOSIT","Deposit",IF(C353="CASH WITHDRAWAL","Withdrawal",IF(C353="STAMP DUTY","Tax",IF(C353="TOBIN TAX","Tax",IF(C353="WITHHOLDING TAX","Tax",IF(C353="DIVIDEND","Dividend",IF(C353="COUPON","Coupon",IF(C353="ACCRUED INT","Accrued Int.",IF(C353="SEC LENDING","Sec. Lending",IF(C353="REDEMPTION","Redemption",IF(C353="DISTRIBUTION","Distribution",IF(ISNUMBER(SEARCH("Rimborso",'Statements (Raw)'!D351)),"Redemption",IF(ISNUMBER(SEARCH("Cedola",'Statements (Raw)'!D351)),"Coupon",IF(ISNUMBER(SEARCH("Incasso Dividendi",'Statements (Raw)'!D351)),"Dividend",IF(ISNUMBER(SEARCH("Provento Etf",'Statements (Raw)'!D351)),"Distribution",IF(ISNUMBER(SEARCH("Rit.provento",'Statements (Raw)'!D351)),"Tax",IF(ISNUMBER(SEARCH("Ratei Pass",'Statements (Raw)'!D351)),"Accrued Int.",IF(ISNUMBER(SEARCH("Interessi Prest",'Statements (Raw)'!D351)),"Sec. Lending",IF('Statements (Raw)'!G351="","Other",IF('Statements (Raw)'!G351&gt;0,"Buy","Sell"))))))))))))))))))))))</f>
        <v>Buy</v>
      </c>
      <c r="E353" s="6" t="str">
        <f t="shared" si="10"/>
        <v>Stock</v>
      </c>
      <c r="F353" s="8">
        <f>IF(A353="","",IF('Statements (Raw)'!E351="","",'Statements (Raw)'!E351))</f>
        <v>49.95</v>
      </c>
      <c r="G353" s="6" t="str">
        <f>IF(A353="","",IF('Statements (Raw)'!F351="","",'Statements (Raw)'!F351))</f>
        <v>EUR</v>
      </c>
      <c r="H353" s="9">
        <f>IF(A353="","",IF('Statements (Raw)'!G351="","",'Statements (Raw)'!G351))</f>
        <v>280</v>
      </c>
      <c r="I353" s="10">
        <f>IF(A353="","",IF('Statements (Raw)'!H351="","",'Statements (Raw)'!H351))</f>
        <v>-13986</v>
      </c>
      <c r="J353" s="10">
        <f>IF(A353="",0,IF('Statements (Raw)'!I351="",0,'Statements (Raw)'!I351))</f>
        <v>0</v>
      </c>
      <c r="K353" s="10">
        <f t="shared" si="11"/>
        <v>-13986</v>
      </c>
    </row>
    <row r="354" spans="1:11" x14ac:dyDescent="0.3">
      <c r="A354" s="171">
        <f>IF(OR('Statements (Raw)'!A352="",'Statements (Raw)'!A352&gt;Holdings!$G$3),"",'Statements (Raw)'!A352)</f>
        <v>46044</v>
      </c>
      <c r="B354" s="7">
        <f>IF(A354="","",IF('Statements (Raw)'!B352="","",'Statements (Raw)'!B352))</f>
        <v>46048</v>
      </c>
      <c r="C354" s="6" t="str">
        <f>IF(A354="","",IF('Statements (Raw)'!C352&lt;&gt;"",'Statements (Raw)'!C352,IF(ISNUMBER(SEARCH("Conferimento",'Statements (Raw)'!D352)),"CASH DEPOSIT",IF(ISNUMBER(SEARCH("Prelievo",'Statements (Raw)'!D352)),"CASH WITHDRAWAL",IF(ISNUMBER(SEARCH("Bollo",'Statements (Raw)'!D352)),"STAMP DUTY",IF(ISNUMBER(SEARCH("Tobin Tax",'Statements (Raw)'!D352)),"TOBIN TAX",IF(ISNUMBER(SEARCH("Rit.provento",'Statements (Raw)'!D352)),"WITHHOLDING TAX",IF(ISNUMBER(SEARCH("Incasso Dividendi",'Statements (Raw)'!D352)),"DIVIDEND",IF(ISNUMBER(SEARCH("Cedola",'Statements (Raw)'!D352)),"COUPON",IF(ISNUMBER(SEARCH("Ratei Pass",'Statements (Raw)'!D352)),"ACCRUED INT",IF(ISNUMBER(SEARCH("Interessi Prest",'Statements (Raw)'!D352)),"SEC LENDING",IF(ISNUMBER(SEARCH("Rimborso",'Statements (Raw)'!D352)),"REDEMPTION",IF(ISNUMBER(SEARCH("Provento",'Statements (Raw)'!D352)),"DISTRIBUTION","OTHER")))))))))))))</f>
        <v>MONCLER</v>
      </c>
      <c r="D354" s="6" t="str">
        <f>IF(A354="","",IF(C354="Saldo Iniziale","Balance",IF(C354="CASH DEPOSIT","Deposit",IF(C354="CASH WITHDRAWAL","Withdrawal",IF(C354="STAMP DUTY","Tax",IF(C354="TOBIN TAX","Tax",IF(C354="WITHHOLDING TAX","Tax",IF(C354="DIVIDEND","Dividend",IF(C354="COUPON","Coupon",IF(C354="ACCRUED INT","Accrued Int.",IF(C354="SEC LENDING","Sec. Lending",IF(C354="REDEMPTION","Redemption",IF(C354="DISTRIBUTION","Distribution",IF(ISNUMBER(SEARCH("Rimborso",'Statements (Raw)'!D352)),"Redemption",IF(ISNUMBER(SEARCH("Cedola",'Statements (Raw)'!D352)),"Coupon",IF(ISNUMBER(SEARCH("Incasso Dividendi",'Statements (Raw)'!D352)),"Dividend",IF(ISNUMBER(SEARCH("Provento Etf",'Statements (Raw)'!D352)),"Distribution",IF(ISNUMBER(SEARCH("Rit.provento",'Statements (Raw)'!D352)),"Tax",IF(ISNUMBER(SEARCH("Ratei Pass",'Statements (Raw)'!D352)),"Accrued Int.",IF(ISNUMBER(SEARCH("Interessi Prest",'Statements (Raw)'!D352)),"Sec. Lending",IF('Statements (Raw)'!G352="","Other",IF('Statements (Raw)'!G352&gt;0,"Buy","Sell"))))))))))))))))))))))</f>
        <v>Buy</v>
      </c>
      <c r="E354" s="6" t="str">
        <f t="shared" si="10"/>
        <v>Stock</v>
      </c>
      <c r="F354" s="8">
        <f>IF(A354="","",IF('Statements (Raw)'!E352="","",'Statements (Raw)'!E352))</f>
        <v>49.95</v>
      </c>
      <c r="G354" s="6" t="str">
        <f>IF(A354="","",IF('Statements (Raw)'!F352="","",'Statements (Raw)'!F352))</f>
        <v>EUR</v>
      </c>
      <c r="H354" s="9">
        <f>IF(A354="","",IF('Statements (Raw)'!G352="","",'Statements (Raw)'!G352))</f>
        <v>393</v>
      </c>
      <c r="I354" s="10">
        <f>IF(A354="","",IF('Statements (Raw)'!H352="","",'Statements (Raw)'!H352))</f>
        <v>-19630.349999999999</v>
      </c>
      <c r="J354" s="10">
        <f>IF(A354="",0,IF('Statements (Raw)'!I352="",0,'Statements (Raw)'!I352))</f>
        <v>0</v>
      </c>
      <c r="K354" s="10">
        <f t="shared" si="11"/>
        <v>-19630.349999999999</v>
      </c>
    </row>
    <row r="355" spans="1:11" x14ac:dyDescent="0.3">
      <c r="A355" s="171">
        <f>IF(OR('Statements (Raw)'!A353="",'Statements (Raw)'!A353&gt;Holdings!$G$3),"",'Statements (Raw)'!A353)</f>
        <v>46044</v>
      </c>
      <c r="B355" s="7">
        <f>IF(A355="","",IF('Statements (Raw)'!B353="","",'Statements (Raw)'!B353))</f>
        <v>46048</v>
      </c>
      <c r="C355" s="6" t="str">
        <f>IF(A355="","",IF('Statements (Raw)'!C353&lt;&gt;"",'Statements (Raw)'!C353,IF(ISNUMBER(SEARCH("Conferimento",'Statements (Raw)'!D353)),"CASH DEPOSIT",IF(ISNUMBER(SEARCH("Prelievo",'Statements (Raw)'!D353)),"CASH WITHDRAWAL",IF(ISNUMBER(SEARCH("Bollo",'Statements (Raw)'!D353)),"STAMP DUTY",IF(ISNUMBER(SEARCH("Tobin Tax",'Statements (Raw)'!D353)),"TOBIN TAX",IF(ISNUMBER(SEARCH("Rit.provento",'Statements (Raw)'!D353)),"WITHHOLDING TAX",IF(ISNUMBER(SEARCH("Incasso Dividendi",'Statements (Raw)'!D353)),"DIVIDEND",IF(ISNUMBER(SEARCH("Cedola",'Statements (Raw)'!D353)),"COUPON",IF(ISNUMBER(SEARCH("Ratei Pass",'Statements (Raw)'!D353)),"ACCRUED INT",IF(ISNUMBER(SEARCH("Interessi Prest",'Statements (Raw)'!D353)),"SEC LENDING",IF(ISNUMBER(SEARCH("Rimborso",'Statements (Raw)'!D353)),"REDEMPTION",IF(ISNUMBER(SEARCH("Provento",'Statements (Raw)'!D353)),"DISTRIBUTION","OTHER")))))))))))))</f>
        <v>TOBIN TAX</v>
      </c>
      <c r="D355" s="6" t="str">
        <f>IF(A355="","",IF(C355="Saldo Iniziale","Balance",IF(C355="CASH DEPOSIT","Deposit",IF(C355="CASH WITHDRAWAL","Withdrawal",IF(C355="STAMP DUTY","Tax",IF(C355="TOBIN TAX","Tax",IF(C355="WITHHOLDING TAX","Tax",IF(C355="DIVIDEND","Dividend",IF(C355="COUPON","Coupon",IF(C355="ACCRUED INT","Accrued Int.",IF(C355="SEC LENDING","Sec. Lending",IF(C355="REDEMPTION","Redemption",IF(C355="DISTRIBUTION","Distribution",IF(ISNUMBER(SEARCH("Rimborso",'Statements (Raw)'!D353)),"Redemption",IF(ISNUMBER(SEARCH("Cedola",'Statements (Raw)'!D353)),"Coupon",IF(ISNUMBER(SEARCH("Incasso Dividendi",'Statements (Raw)'!D353)),"Dividend",IF(ISNUMBER(SEARCH("Provento Etf",'Statements (Raw)'!D353)),"Distribution",IF(ISNUMBER(SEARCH("Rit.provento",'Statements (Raw)'!D353)),"Tax",IF(ISNUMBER(SEARCH("Ratei Pass",'Statements (Raw)'!D353)),"Accrued Int.",IF(ISNUMBER(SEARCH("Interessi Prest",'Statements (Raw)'!D353)),"Sec. Lending",IF('Statements (Raw)'!G353="","Other",IF('Statements (Raw)'!G353&gt;0,"Buy","Sell"))))))))))))))))))))))</f>
        <v>Tax</v>
      </c>
      <c r="E355" s="6" t="str">
        <f t="shared" si="10"/>
        <v>Tax/Fee</v>
      </c>
      <c r="F355" s="8" t="str">
        <f>IF(A355="","",IF('Statements (Raw)'!E353="","",'Statements (Raw)'!E353))</f>
        <v/>
      </c>
      <c r="G355" s="6" t="str">
        <f>IF(A355="","",IF('Statements (Raw)'!F353="","",'Statements (Raw)'!F353))</f>
        <v/>
      </c>
      <c r="H355" s="9" t="str">
        <f>IF(A355="","",IF('Statements (Raw)'!G353="","",'Statements (Raw)'!G353))</f>
        <v/>
      </c>
      <c r="I355" s="10">
        <f>IF(A355="","",IF('Statements (Raw)'!H353="","",'Statements (Raw)'!H353))</f>
        <v>-199.77</v>
      </c>
      <c r="J355" s="10">
        <f>IF(A355="",0,IF('Statements (Raw)'!I353="",0,'Statements (Raw)'!I353))</f>
        <v>0</v>
      </c>
      <c r="K355" s="10">
        <f t="shared" si="11"/>
        <v>-199.77</v>
      </c>
    </row>
    <row r="356" spans="1:11" x14ac:dyDescent="0.3">
      <c r="A356" s="171">
        <f>IF(OR('Statements (Raw)'!A354="",'Statements (Raw)'!A354&gt;Holdings!$G$3),"",'Statements (Raw)'!A354)</f>
        <v>46045</v>
      </c>
      <c r="B356" s="7">
        <f>IF(A356="","",IF('Statements (Raw)'!B354="","",'Statements (Raw)'!B354))</f>
        <v>46049</v>
      </c>
      <c r="C356" s="6" t="str">
        <f>IF(A356="","",IF('Statements (Raw)'!C354&lt;&gt;"",'Statements (Raw)'!C354,IF(ISNUMBER(SEARCH("Conferimento",'Statements (Raw)'!D354)),"CASH DEPOSIT",IF(ISNUMBER(SEARCH("Prelievo",'Statements (Raw)'!D354)),"CASH WITHDRAWAL",IF(ISNUMBER(SEARCH("Bollo",'Statements (Raw)'!D354)),"STAMP DUTY",IF(ISNUMBER(SEARCH("Tobin Tax",'Statements (Raw)'!D354)),"TOBIN TAX",IF(ISNUMBER(SEARCH("Rit.provento",'Statements (Raw)'!D354)),"WITHHOLDING TAX",IF(ISNUMBER(SEARCH("Incasso Dividendi",'Statements (Raw)'!D354)),"DIVIDEND",IF(ISNUMBER(SEARCH("Cedola",'Statements (Raw)'!D354)),"COUPON",IF(ISNUMBER(SEARCH("Ratei Pass",'Statements (Raw)'!D354)),"ACCRUED INT",IF(ISNUMBER(SEARCH("Interessi Prest",'Statements (Raw)'!D354)),"SEC LENDING",IF(ISNUMBER(SEARCH("Rimborso",'Statements (Raw)'!D354)),"REDEMPTION",IF(ISNUMBER(SEARCH("Provento",'Statements (Raw)'!D354)),"DISTRIBUTION","OTHER")))))))))))))</f>
        <v>WisdomTree Europe Defence UCIT</v>
      </c>
      <c r="D356" s="6" t="str">
        <f>IF(A356="","",IF(C356="Saldo Iniziale","Balance",IF(C356="CASH DEPOSIT","Deposit",IF(C356="CASH WITHDRAWAL","Withdrawal",IF(C356="STAMP DUTY","Tax",IF(C356="TOBIN TAX","Tax",IF(C356="WITHHOLDING TAX","Tax",IF(C356="DIVIDEND","Dividend",IF(C356="COUPON","Coupon",IF(C356="ACCRUED INT","Accrued Int.",IF(C356="SEC LENDING","Sec. Lending",IF(C356="REDEMPTION","Redemption",IF(C356="DISTRIBUTION","Distribution",IF(ISNUMBER(SEARCH("Rimborso",'Statements (Raw)'!D354)),"Redemption",IF(ISNUMBER(SEARCH("Cedola",'Statements (Raw)'!D354)),"Coupon",IF(ISNUMBER(SEARCH("Incasso Dividendi",'Statements (Raw)'!D354)),"Dividend",IF(ISNUMBER(SEARCH("Provento Etf",'Statements (Raw)'!D354)),"Distribution",IF(ISNUMBER(SEARCH("Rit.provento",'Statements (Raw)'!D354)),"Tax",IF(ISNUMBER(SEARCH("Ratei Pass",'Statements (Raw)'!D354)),"Accrued Int.",IF(ISNUMBER(SEARCH("Interessi Prest",'Statements (Raw)'!D354)),"Sec. Lending",IF('Statements (Raw)'!G354="","Other",IF('Statements (Raw)'!G354&gt;0,"Buy","Sell"))))))))))))))))))))))</f>
        <v>Buy</v>
      </c>
      <c r="E356" s="6" t="str">
        <f t="shared" si="10"/>
        <v>ETF/ETC</v>
      </c>
      <c r="F356" s="8">
        <f>IF(A356="","",IF('Statements (Raw)'!E354="","",'Statements (Raw)'!E354))</f>
        <v>34.61</v>
      </c>
      <c r="G356" s="6" t="str">
        <f>IF(A356="","",IF('Statements (Raw)'!F354="","",'Statements (Raw)'!F354))</f>
        <v>EUR</v>
      </c>
      <c r="H356" s="9">
        <f>IF(A356="","",IF('Statements (Raw)'!G354="","",'Statements (Raw)'!G354))</f>
        <v>28</v>
      </c>
      <c r="I356" s="10">
        <f>IF(A356="","",IF('Statements (Raw)'!H354="","",'Statements (Raw)'!H354))</f>
        <v>-969.08</v>
      </c>
      <c r="J356" s="10">
        <f>IF(A356="",0,IF('Statements (Raw)'!I354="",0,'Statements (Raw)'!I354))</f>
        <v>0</v>
      </c>
      <c r="K356" s="10">
        <f t="shared" si="11"/>
        <v>-969.08</v>
      </c>
    </row>
    <row r="357" spans="1:11" x14ac:dyDescent="0.3">
      <c r="A357" s="171">
        <f>IF(OR('Statements (Raw)'!A355="",'Statements (Raw)'!A355&gt;Holdings!$G$3),"",'Statements (Raw)'!A355)</f>
        <v>46045</v>
      </c>
      <c r="B357" s="7">
        <f>IF(A357="","",IF('Statements (Raw)'!B355="","",'Statements (Raw)'!B355))</f>
        <v>46049</v>
      </c>
      <c r="C357" s="6" t="str">
        <f>IF(A357="","",IF('Statements (Raw)'!C355&lt;&gt;"",'Statements (Raw)'!C355,IF(ISNUMBER(SEARCH("Conferimento",'Statements (Raw)'!D355)),"CASH DEPOSIT",IF(ISNUMBER(SEARCH("Prelievo",'Statements (Raw)'!D355)),"CASH WITHDRAWAL",IF(ISNUMBER(SEARCH("Bollo",'Statements (Raw)'!D355)),"STAMP DUTY",IF(ISNUMBER(SEARCH("Tobin Tax",'Statements (Raw)'!D355)),"TOBIN TAX",IF(ISNUMBER(SEARCH("Rit.provento",'Statements (Raw)'!D355)),"WITHHOLDING TAX",IF(ISNUMBER(SEARCH("Incasso Dividendi",'Statements (Raw)'!D355)),"DIVIDEND",IF(ISNUMBER(SEARCH("Cedola",'Statements (Raw)'!D355)),"COUPON",IF(ISNUMBER(SEARCH("Ratei Pass",'Statements (Raw)'!D355)),"ACCRUED INT",IF(ISNUMBER(SEARCH("Interessi Prest",'Statements (Raw)'!D355)),"SEC LENDING",IF(ISNUMBER(SEARCH("Rimborso",'Statements (Raw)'!D355)),"REDEMPTION",IF(ISNUMBER(SEARCH("Provento",'Statements (Raw)'!D355)),"DISTRIBUTION","OTHER")))))))))))))</f>
        <v>ISHARES FTSE MIB UCITS ETF EUR</v>
      </c>
      <c r="D357" s="6" t="str">
        <f>IF(A357="","",IF(C357="Saldo Iniziale","Balance",IF(C357="CASH DEPOSIT","Deposit",IF(C357="CASH WITHDRAWAL","Withdrawal",IF(C357="STAMP DUTY","Tax",IF(C357="TOBIN TAX","Tax",IF(C357="WITHHOLDING TAX","Tax",IF(C357="DIVIDEND","Dividend",IF(C357="COUPON","Coupon",IF(C357="ACCRUED INT","Accrued Int.",IF(C357="SEC LENDING","Sec. Lending",IF(C357="REDEMPTION","Redemption",IF(C357="DISTRIBUTION","Distribution",IF(ISNUMBER(SEARCH("Rimborso",'Statements (Raw)'!D355)),"Redemption",IF(ISNUMBER(SEARCH("Cedola",'Statements (Raw)'!D355)),"Coupon",IF(ISNUMBER(SEARCH("Incasso Dividendi",'Statements (Raw)'!D355)),"Dividend",IF(ISNUMBER(SEARCH("Provento Etf",'Statements (Raw)'!D355)),"Distribution",IF(ISNUMBER(SEARCH("Rit.provento",'Statements (Raw)'!D355)),"Tax",IF(ISNUMBER(SEARCH("Ratei Pass",'Statements (Raw)'!D355)),"Accrued Int.",IF(ISNUMBER(SEARCH("Interessi Prest",'Statements (Raw)'!D355)),"Sec. Lending",IF('Statements (Raw)'!G355="","Other",IF('Statements (Raw)'!G355&gt;0,"Buy","Sell"))))))))))))))))))))))</f>
        <v>Buy</v>
      </c>
      <c r="E357" s="6" t="str">
        <f t="shared" si="10"/>
        <v>ETF/ETC</v>
      </c>
      <c r="F357" s="8">
        <f>IF(A357="","",IF('Statements (Raw)'!E355="","",'Statements (Raw)'!E355))</f>
        <v>217.85</v>
      </c>
      <c r="G357" s="6" t="str">
        <f>IF(A357="","",IF('Statements (Raw)'!F355="","",'Statements (Raw)'!F355))</f>
        <v>EUR</v>
      </c>
      <c r="H357" s="9">
        <f>IF(A357="","",IF('Statements (Raw)'!G355="","",'Statements (Raw)'!G355))</f>
        <v>11</v>
      </c>
      <c r="I357" s="10">
        <f>IF(A357="","",IF('Statements (Raw)'!H355="","",'Statements (Raw)'!H355))</f>
        <v>-2396.35</v>
      </c>
      <c r="J357" s="10">
        <f>IF(A357="",0,IF('Statements (Raw)'!I355="",0,'Statements (Raw)'!I355))</f>
        <v>0</v>
      </c>
      <c r="K357" s="10">
        <f t="shared" si="11"/>
        <v>-2396.35</v>
      </c>
    </row>
    <row r="358" spans="1:11" x14ac:dyDescent="0.3">
      <c r="A358" s="171">
        <f>IF(OR('Statements (Raw)'!A356="",'Statements (Raw)'!A356&gt;Holdings!$G$3),"",'Statements (Raw)'!A356)</f>
        <v>46045</v>
      </c>
      <c r="B358" s="7">
        <f>IF(A358="","",IF('Statements (Raw)'!B356="","",'Statements (Raw)'!B356))</f>
        <v>46050</v>
      </c>
      <c r="C358" s="6" t="str">
        <f>IF(A358="","",IF('Statements (Raw)'!C356&lt;&gt;"",'Statements (Raw)'!C356,IF(ISNUMBER(SEARCH("Conferimento",'Statements (Raw)'!D356)),"CASH DEPOSIT",IF(ISNUMBER(SEARCH("Prelievo",'Statements (Raw)'!D356)),"CASH WITHDRAWAL",IF(ISNUMBER(SEARCH("Bollo",'Statements (Raw)'!D356)),"STAMP DUTY",IF(ISNUMBER(SEARCH("Tobin Tax",'Statements (Raw)'!D356)),"TOBIN TAX",IF(ISNUMBER(SEARCH("Rit.provento",'Statements (Raw)'!D356)),"WITHHOLDING TAX",IF(ISNUMBER(SEARCH("Incasso Dividendi",'Statements (Raw)'!D356)),"DIVIDEND",IF(ISNUMBER(SEARCH("Cedola",'Statements (Raw)'!D356)),"COUPON",IF(ISNUMBER(SEARCH("Ratei Pass",'Statements (Raw)'!D356)),"ACCRUED INT",IF(ISNUMBER(SEARCH("Interessi Prest",'Statements (Raw)'!D356)),"SEC LENDING",IF(ISNUMBER(SEARCH("Rimborso",'Statements (Raw)'!D356)),"REDEMPTION",IF(ISNUMBER(SEARCH("Provento",'Statements (Raw)'!D356)),"DISTRIBUTION","OTHER")))))))))))))</f>
        <v>BTP FX 3.2% JAN26 EUR</v>
      </c>
      <c r="D358" s="6" t="str">
        <f>IF(A358="","",IF(C358="Saldo Iniziale","Balance",IF(C358="CASH DEPOSIT","Deposit",IF(C358="CASH WITHDRAWAL","Withdrawal",IF(C358="STAMP DUTY","Tax",IF(C358="TOBIN TAX","Tax",IF(C358="WITHHOLDING TAX","Tax",IF(C358="DIVIDEND","Dividend",IF(C358="COUPON","Coupon",IF(C358="ACCRUED INT","Accrued Int.",IF(C358="SEC LENDING","Sec. Lending",IF(C358="REDEMPTION","Redemption",IF(C358="DISTRIBUTION","Distribution",IF(ISNUMBER(SEARCH("Rimborso",'Statements (Raw)'!D356)),"Redemption",IF(ISNUMBER(SEARCH("Cedola",'Statements (Raw)'!D356)),"Coupon",IF(ISNUMBER(SEARCH("Incasso Dividendi",'Statements (Raw)'!D356)),"Dividend",IF(ISNUMBER(SEARCH("Provento Etf",'Statements (Raw)'!D356)),"Distribution",IF(ISNUMBER(SEARCH("Rit.provento",'Statements (Raw)'!D356)),"Tax",IF(ISNUMBER(SEARCH("Ratei Pass",'Statements (Raw)'!D356)),"Accrued Int.",IF(ISNUMBER(SEARCH("Interessi Prest",'Statements (Raw)'!D356)),"Sec. Lending",IF('Statements (Raw)'!G356="","Other",IF('Statements (Raw)'!G356&gt;0,"Buy","Sell"))))))))))))))))))))))</f>
        <v>Coupon</v>
      </c>
      <c r="E358" s="6" t="str">
        <f t="shared" si="10"/>
        <v>Income</v>
      </c>
      <c r="F358" s="8" t="str">
        <f>IF(A358="","",IF('Statements (Raw)'!E356="","",'Statements (Raw)'!E356))</f>
        <v/>
      </c>
      <c r="G358" s="6" t="str">
        <f>IF(A358="","",IF('Statements (Raw)'!F356="","",'Statements (Raw)'!F356))</f>
        <v/>
      </c>
      <c r="H358" s="9" t="str">
        <f>IF(A358="","",IF('Statements (Raw)'!G356="","",'Statements (Raw)'!G356))</f>
        <v/>
      </c>
      <c r="I358" s="10">
        <f>IF(A358="","",IF('Statements (Raw)'!H356="","",'Statements (Raw)'!H356))</f>
        <v>640</v>
      </c>
      <c r="J358" s="10">
        <f>IF(A358="",0,IF('Statements (Raw)'!I356="",0,'Statements (Raw)'!I356))</f>
        <v>0</v>
      </c>
      <c r="K358" s="10">
        <f t="shared" si="11"/>
        <v>640</v>
      </c>
    </row>
    <row r="359" spans="1:11" x14ac:dyDescent="0.3">
      <c r="A359" s="171">
        <f>IF(OR('Statements (Raw)'!A357="",'Statements (Raw)'!A357&gt;Holdings!$G$3),"",'Statements (Raw)'!A357)</f>
        <v>46045</v>
      </c>
      <c r="B359" s="7">
        <f>IF(A359="","",IF('Statements (Raw)'!B357="","",'Statements (Raw)'!B357))</f>
        <v>46050</v>
      </c>
      <c r="C359" s="6" t="str">
        <f>IF(A359="","",IF('Statements (Raw)'!C357&lt;&gt;"",'Statements (Raw)'!C357,IF(ISNUMBER(SEARCH("Conferimento",'Statements (Raw)'!D357)),"CASH DEPOSIT",IF(ISNUMBER(SEARCH("Prelievo",'Statements (Raw)'!D357)),"CASH WITHDRAWAL",IF(ISNUMBER(SEARCH("Bollo",'Statements (Raw)'!D357)),"STAMP DUTY",IF(ISNUMBER(SEARCH("Tobin Tax",'Statements (Raw)'!D357)),"TOBIN TAX",IF(ISNUMBER(SEARCH("Rit.provento",'Statements (Raw)'!D357)),"WITHHOLDING TAX",IF(ISNUMBER(SEARCH("Incasso Dividendi",'Statements (Raw)'!D357)),"DIVIDEND",IF(ISNUMBER(SEARCH("Cedola",'Statements (Raw)'!D357)),"COUPON",IF(ISNUMBER(SEARCH("Ratei Pass",'Statements (Raw)'!D357)),"ACCRUED INT",IF(ISNUMBER(SEARCH("Interessi Prest",'Statements (Raw)'!D357)),"SEC LENDING",IF(ISNUMBER(SEARCH("Rimborso",'Statements (Raw)'!D357)),"REDEMPTION",IF(ISNUMBER(SEARCH("Provento",'Statements (Raw)'!D357)),"DISTRIBUTION","OTHER")))))))))))))</f>
        <v>BTP FX 3.2% JAN26 EUR</v>
      </c>
      <c r="D359" s="6" t="str">
        <f>IF(A359="","",IF(C359="Saldo Iniziale","Balance",IF(C359="CASH DEPOSIT","Deposit",IF(C359="CASH WITHDRAWAL","Withdrawal",IF(C359="STAMP DUTY","Tax",IF(C359="TOBIN TAX","Tax",IF(C359="WITHHOLDING TAX","Tax",IF(C359="DIVIDEND","Dividend",IF(C359="COUPON","Coupon",IF(C359="ACCRUED INT","Accrued Int.",IF(C359="SEC LENDING","Sec. Lending",IF(C359="REDEMPTION","Redemption",IF(C359="DISTRIBUTION","Distribution",IF(ISNUMBER(SEARCH("Rimborso",'Statements (Raw)'!D357)),"Redemption",IF(ISNUMBER(SEARCH("Cedola",'Statements (Raw)'!D357)),"Coupon",IF(ISNUMBER(SEARCH("Incasso Dividendi",'Statements (Raw)'!D357)),"Dividend",IF(ISNUMBER(SEARCH("Provento Etf",'Statements (Raw)'!D357)),"Distribution",IF(ISNUMBER(SEARCH("Rit.provento",'Statements (Raw)'!D357)),"Tax",IF(ISNUMBER(SEARCH("Ratei Pass",'Statements (Raw)'!D357)),"Accrued Int.",IF(ISNUMBER(SEARCH("Interessi Prest",'Statements (Raw)'!D357)),"Sec. Lending",IF('Statements (Raw)'!G357="","Other",IF('Statements (Raw)'!G357&gt;0,"Buy","Sell"))))))))))))))))))))))</f>
        <v>Redemption</v>
      </c>
      <c r="E359" s="6" t="str">
        <f t="shared" si="10"/>
        <v>Bond</v>
      </c>
      <c r="F359" s="8" t="str">
        <f>IF(A359="","",IF('Statements (Raw)'!E357="","",'Statements (Raw)'!E357))</f>
        <v/>
      </c>
      <c r="G359" s="6" t="str">
        <f>IF(A359="","",IF('Statements (Raw)'!F357="","",'Statements (Raw)'!F357))</f>
        <v/>
      </c>
      <c r="H359" s="9" t="str">
        <f>IF(A359="","",IF('Statements (Raw)'!G357="","",'Statements (Raw)'!G357))</f>
        <v/>
      </c>
      <c r="I359" s="10">
        <f>IF(A359="","",IF('Statements (Raw)'!H357="","",'Statements (Raw)'!H357))</f>
        <v>40000</v>
      </c>
      <c r="J359" s="10">
        <f>IF(A359="",0,IF('Statements (Raw)'!I357="",0,'Statements (Raw)'!I357))</f>
        <v>0</v>
      </c>
      <c r="K359" s="10">
        <f t="shared" si="11"/>
        <v>40000</v>
      </c>
    </row>
    <row r="360" spans="1:11" x14ac:dyDescent="0.3">
      <c r="A360" s="171">
        <f>IF(OR('Statements (Raw)'!A358="",'Statements (Raw)'!A358&gt;Holdings!$G$3),"",'Statements (Raw)'!A358)</f>
        <v>46048</v>
      </c>
      <c r="B360" s="7">
        <f>IF(A360="","",IF('Statements (Raw)'!B358="","",'Statements (Raw)'!B358))</f>
        <v>46048</v>
      </c>
      <c r="C360" s="6" t="str">
        <f>IF(A360="","",IF('Statements (Raw)'!C358&lt;&gt;"",'Statements (Raw)'!C358,IF(ISNUMBER(SEARCH("Conferimento",'Statements (Raw)'!D358)),"CASH DEPOSIT",IF(ISNUMBER(SEARCH("Prelievo",'Statements (Raw)'!D358)),"CASH WITHDRAWAL",IF(ISNUMBER(SEARCH("Bollo",'Statements (Raw)'!D358)),"STAMP DUTY",IF(ISNUMBER(SEARCH("Tobin Tax",'Statements (Raw)'!D358)),"TOBIN TAX",IF(ISNUMBER(SEARCH("Rit.provento",'Statements (Raw)'!D358)),"WITHHOLDING TAX",IF(ISNUMBER(SEARCH("Incasso Dividendi",'Statements (Raw)'!D358)),"DIVIDEND",IF(ISNUMBER(SEARCH("Cedola",'Statements (Raw)'!D358)),"COUPON",IF(ISNUMBER(SEARCH("Ratei Pass",'Statements (Raw)'!D358)),"ACCRUED INT",IF(ISNUMBER(SEARCH("Interessi Prest",'Statements (Raw)'!D358)),"SEC LENDING",IF(ISNUMBER(SEARCH("Rimborso",'Statements (Raw)'!D358)),"REDEMPTION",IF(ISNUMBER(SEARCH("Provento",'Statements (Raw)'!D358)),"DISTRIBUTION","OTHER")))))))))))))</f>
        <v>ORACLE CORP</v>
      </c>
      <c r="D360" s="6" t="str">
        <f>IF(A360="","",IF(C360="Saldo Iniziale","Balance",IF(C360="CASH DEPOSIT","Deposit",IF(C360="CASH WITHDRAWAL","Withdrawal",IF(C360="STAMP DUTY","Tax",IF(C360="TOBIN TAX","Tax",IF(C360="WITHHOLDING TAX","Tax",IF(C360="DIVIDEND","Dividend",IF(C360="COUPON","Coupon",IF(C360="ACCRUED INT","Accrued Int.",IF(C360="SEC LENDING","Sec. Lending",IF(C360="REDEMPTION","Redemption",IF(C360="DISTRIBUTION","Distribution",IF(ISNUMBER(SEARCH("Rimborso",'Statements (Raw)'!D358)),"Redemption",IF(ISNUMBER(SEARCH("Cedola",'Statements (Raw)'!D358)),"Coupon",IF(ISNUMBER(SEARCH("Incasso Dividendi",'Statements (Raw)'!D358)),"Dividend",IF(ISNUMBER(SEARCH("Provento Etf",'Statements (Raw)'!D358)),"Distribution",IF(ISNUMBER(SEARCH("Rit.provento",'Statements (Raw)'!D358)),"Tax",IF(ISNUMBER(SEARCH("Ratei Pass",'Statements (Raw)'!D358)),"Accrued Int.",IF(ISNUMBER(SEARCH("Interessi Prest",'Statements (Raw)'!D358)),"Sec. Lending",IF('Statements (Raw)'!G358="","Other",IF('Statements (Raw)'!G358&gt;0,"Buy","Sell"))))))))))))))))))))))</f>
        <v>Dividend</v>
      </c>
      <c r="E360" s="6" t="str">
        <f t="shared" si="10"/>
        <v>Income</v>
      </c>
      <c r="F360" s="8" t="str">
        <f>IF(A360="","",IF('Statements (Raw)'!E358="","",'Statements (Raw)'!E358))</f>
        <v/>
      </c>
      <c r="G360" s="6" t="str">
        <f>IF(A360="","",IF('Statements (Raw)'!F358="","",'Statements (Raw)'!F358))</f>
        <v/>
      </c>
      <c r="H360" s="9" t="str">
        <f>IF(A360="","",IF('Statements (Raw)'!G358="","",'Statements (Raw)'!G358))</f>
        <v/>
      </c>
      <c r="I360" s="10">
        <f>IF(A360="","",IF('Statements (Raw)'!H358="","",'Statements (Raw)'!H358))</f>
        <v>19.77</v>
      </c>
      <c r="J360" s="10">
        <f>IF(A360="",0,IF('Statements (Raw)'!I358="",0,'Statements (Raw)'!I358))</f>
        <v>0</v>
      </c>
      <c r="K360" s="10">
        <f t="shared" si="11"/>
        <v>19.77</v>
      </c>
    </row>
    <row r="361" spans="1:11" x14ac:dyDescent="0.3">
      <c r="A361" s="171">
        <f>IF(OR('Statements (Raw)'!A359="",'Statements (Raw)'!A359&gt;Holdings!$G$3),"",'Statements (Raw)'!A359)</f>
        <v>46054</v>
      </c>
      <c r="B361" s="7" t="str">
        <f>IF(A361="","",IF('Statements (Raw)'!B359="","",'Statements (Raw)'!B359))</f>
        <v/>
      </c>
      <c r="C361" s="6" t="str">
        <f>IF(A361="","",IF('Statements (Raw)'!C359&lt;&gt;"",'Statements (Raw)'!C359,IF(ISNUMBER(SEARCH("Conferimento",'Statements (Raw)'!D359)),"CASH DEPOSIT",IF(ISNUMBER(SEARCH("Prelievo",'Statements (Raw)'!D359)),"CASH WITHDRAWAL",IF(ISNUMBER(SEARCH("Bollo",'Statements (Raw)'!D359)),"STAMP DUTY",IF(ISNUMBER(SEARCH("Tobin Tax",'Statements (Raw)'!D359)),"TOBIN TAX",IF(ISNUMBER(SEARCH("Rit.provento",'Statements (Raw)'!D359)),"WITHHOLDING TAX",IF(ISNUMBER(SEARCH("Incasso Dividendi",'Statements (Raw)'!D359)),"DIVIDEND",IF(ISNUMBER(SEARCH("Cedola",'Statements (Raw)'!D359)),"COUPON",IF(ISNUMBER(SEARCH("Ratei Pass",'Statements (Raw)'!D359)),"ACCRUED INT",IF(ISNUMBER(SEARCH("Interessi Prest",'Statements (Raw)'!D359)),"SEC LENDING",IF(ISNUMBER(SEARCH("Rimborso",'Statements (Raw)'!D359)),"REDEMPTION",IF(ISNUMBER(SEARCH("Provento",'Statements (Raw)'!D359)),"DISTRIBUTION","OTHER")))))))))))))</f>
        <v>Saldo Iniziale</v>
      </c>
      <c r="D361" s="6" t="str">
        <f>IF(A361="","",IF(C361="Saldo Iniziale","Balance",IF(C361="CASH DEPOSIT","Deposit",IF(C361="CASH WITHDRAWAL","Withdrawal",IF(C361="STAMP DUTY","Tax",IF(C361="TOBIN TAX","Tax",IF(C361="WITHHOLDING TAX","Tax",IF(C361="DIVIDEND","Dividend",IF(C361="COUPON","Coupon",IF(C361="ACCRUED INT","Accrued Int.",IF(C361="SEC LENDING","Sec. Lending",IF(C361="REDEMPTION","Redemption",IF(C361="DISTRIBUTION","Distribution",IF(ISNUMBER(SEARCH("Rimborso",'Statements (Raw)'!D359)),"Redemption",IF(ISNUMBER(SEARCH("Cedola",'Statements (Raw)'!D359)),"Coupon",IF(ISNUMBER(SEARCH("Incasso Dividendi",'Statements (Raw)'!D359)),"Dividend",IF(ISNUMBER(SEARCH("Provento Etf",'Statements (Raw)'!D359)),"Distribution",IF(ISNUMBER(SEARCH("Rit.provento",'Statements (Raw)'!D359)),"Tax",IF(ISNUMBER(SEARCH("Ratei Pass",'Statements (Raw)'!D359)),"Accrued Int.",IF(ISNUMBER(SEARCH("Interessi Prest",'Statements (Raw)'!D359)),"Sec. Lending",IF('Statements (Raw)'!G359="","Other",IF('Statements (Raw)'!G359&gt;0,"Buy","Sell"))))))))))))))))))))))</f>
        <v>Balance</v>
      </c>
      <c r="E361" s="6" t="str">
        <f t="shared" si="10"/>
        <v>Cash</v>
      </c>
      <c r="F361" s="8" t="str">
        <f>IF(A361="","",IF('Statements (Raw)'!E359="","",'Statements (Raw)'!E359))</f>
        <v/>
      </c>
      <c r="G361" s="6" t="str">
        <f>IF(A361="","",IF('Statements (Raw)'!F359="","",'Statements (Raw)'!F359))</f>
        <v/>
      </c>
      <c r="H361" s="9" t="str">
        <f>IF(A361="","",IF('Statements (Raw)'!G359="","",'Statements (Raw)'!G359))</f>
        <v/>
      </c>
      <c r="I361" s="10">
        <f>IF(A361="","",IF('Statements (Raw)'!H359="","",'Statements (Raw)'!H359))</f>
        <v>396495</v>
      </c>
      <c r="J361" s="10">
        <f>IF(A361="",0,IF('Statements (Raw)'!I359="",0,'Statements (Raw)'!I359))</f>
        <v>0</v>
      </c>
      <c r="K361" s="10">
        <f t="shared" si="11"/>
        <v>396495</v>
      </c>
    </row>
    <row r="362" spans="1:11" x14ac:dyDescent="0.3">
      <c r="A362" s="171">
        <f>IF(OR('Statements (Raw)'!A360="",'Statements (Raw)'!A360&gt;Holdings!$G$3),"",'Statements (Raw)'!A360)</f>
        <v>46055</v>
      </c>
      <c r="B362" s="7">
        <f>IF(A362="","",IF('Statements (Raw)'!B360="","",'Statements (Raw)'!B360))</f>
        <v>46057</v>
      </c>
      <c r="C362" s="6" t="str">
        <f>IF(A362="","",IF('Statements (Raw)'!C360&lt;&gt;"",'Statements (Raw)'!C360,IF(ISNUMBER(SEARCH("Conferimento",'Statements (Raw)'!D360)),"CASH DEPOSIT",IF(ISNUMBER(SEARCH("Prelievo",'Statements (Raw)'!D360)),"CASH WITHDRAWAL",IF(ISNUMBER(SEARCH("Bollo",'Statements (Raw)'!D360)),"STAMP DUTY",IF(ISNUMBER(SEARCH("Tobin Tax",'Statements (Raw)'!D360)),"TOBIN TAX",IF(ISNUMBER(SEARCH("Rit.provento",'Statements (Raw)'!D360)),"WITHHOLDING TAX",IF(ISNUMBER(SEARCH("Incasso Dividendi",'Statements (Raw)'!D360)),"DIVIDEND",IF(ISNUMBER(SEARCH("Cedola",'Statements (Raw)'!D360)),"COUPON",IF(ISNUMBER(SEARCH("Ratei Pass",'Statements (Raw)'!D360)),"ACCRUED INT",IF(ISNUMBER(SEARCH("Interessi Prest",'Statements (Raw)'!D360)),"SEC LENDING",IF(ISNUMBER(SEARCH("Rimborso",'Statements (Raw)'!D360)),"REDEMPTION",IF(ISNUMBER(SEARCH("Provento",'Statements (Raw)'!D360)),"DISTRIBUTION","OTHER")))))))))))))</f>
        <v>WISDOMTREE CORE PHYSICAL GOLD</v>
      </c>
      <c r="D362" s="6" t="str">
        <f>IF(A362="","",IF(C362="Saldo Iniziale","Balance",IF(C362="CASH DEPOSIT","Deposit",IF(C362="CASH WITHDRAWAL","Withdrawal",IF(C362="STAMP DUTY","Tax",IF(C362="TOBIN TAX","Tax",IF(C362="WITHHOLDING TAX","Tax",IF(C362="DIVIDEND","Dividend",IF(C362="COUPON","Coupon",IF(C362="ACCRUED INT","Accrued Int.",IF(C362="SEC LENDING","Sec. Lending",IF(C362="REDEMPTION","Redemption",IF(C362="DISTRIBUTION","Distribution",IF(ISNUMBER(SEARCH("Rimborso",'Statements (Raw)'!D360)),"Redemption",IF(ISNUMBER(SEARCH("Cedola",'Statements (Raw)'!D360)),"Coupon",IF(ISNUMBER(SEARCH("Incasso Dividendi",'Statements (Raw)'!D360)),"Dividend",IF(ISNUMBER(SEARCH("Provento Etf",'Statements (Raw)'!D360)),"Distribution",IF(ISNUMBER(SEARCH("Rit.provento",'Statements (Raw)'!D360)),"Tax",IF(ISNUMBER(SEARCH("Ratei Pass",'Statements (Raw)'!D360)),"Accrued Int.",IF(ISNUMBER(SEARCH("Interessi Prest",'Statements (Raw)'!D360)),"Sec. Lending",IF('Statements (Raw)'!G360="","Other",IF('Statements (Raw)'!G360&gt;0,"Buy","Sell"))))))))))))))))))))))</f>
        <v>Sell</v>
      </c>
      <c r="E362" s="6" t="str">
        <f t="shared" si="10"/>
        <v>ETF/ETC</v>
      </c>
      <c r="F362" s="8">
        <f>IF(A362="","",IF('Statements (Raw)'!E360="","",'Statements (Raw)'!E360))</f>
        <v>383.63</v>
      </c>
      <c r="G362" s="6" t="str">
        <f>IF(A362="","",IF('Statements (Raw)'!F360="","",'Statements (Raw)'!F360))</f>
        <v>EUR</v>
      </c>
      <c r="H362" s="9">
        <f>IF(A362="","",IF('Statements (Raw)'!G360="","",'Statements (Raw)'!G360))</f>
        <v>-2</v>
      </c>
      <c r="I362" s="10">
        <f>IF(A362="","",IF('Statements (Raw)'!H360="","",'Statements (Raw)'!H360))</f>
        <v>767.26</v>
      </c>
      <c r="J362" s="10">
        <f>IF(A362="",0,IF('Statements (Raw)'!I360="",0,'Statements (Raw)'!I360))</f>
        <v>-5</v>
      </c>
      <c r="K362" s="10">
        <f t="shared" si="11"/>
        <v>762.26</v>
      </c>
    </row>
    <row r="363" spans="1:11" x14ac:dyDescent="0.3">
      <c r="A363" s="171">
        <f>IF(OR('Statements (Raw)'!A361="",'Statements (Raw)'!A361&gt;Holdings!$G$3),"",'Statements (Raw)'!A361)</f>
        <v>46055</v>
      </c>
      <c r="B363" s="7">
        <f>IF(A363="","",IF('Statements (Raw)'!B361="","",'Statements (Raw)'!B361))</f>
        <v>46057</v>
      </c>
      <c r="C363" s="6" t="str">
        <f>IF(A363="","",IF('Statements (Raw)'!C361&lt;&gt;"",'Statements (Raw)'!C361,IF(ISNUMBER(SEARCH("Conferimento",'Statements (Raw)'!D361)),"CASH DEPOSIT",IF(ISNUMBER(SEARCH("Prelievo",'Statements (Raw)'!D361)),"CASH WITHDRAWAL",IF(ISNUMBER(SEARCH("Bollo",'Statements (Raw)'!D361)),"STAMP DUTY",IF(ISNUMBER(SEARCH("Tobin Tax",'Statements (Raw)'!D361)),"TOBIN TAX",IF(ISNUMBER(SEARCH("Rit.provento",'Statements (Raw)'!D361)),"WITHHOLDING TAX",IF(ISNUMBER(SEARCH("Incasso Dividendi",'Statements (Raw)'!D361)),"DIVIDEND",IF(ISNUMBER(SEARCH("Cedola",'Statements (Raw)'!D361)),"COUPON",IF(ISNUMBER(SEARCH("Ratei Pass",'Statements (Raw)'!D361)),"ACCRUED INT",IF(ISNUMBER(SEARCH("Interessi Prest",'Statements (Raw)'!D361)),"SEC LENDING",IF(ISNUMBER(SEARCH("Rimborso",'Statements (Raw)'!D361)),"REDEMPTION",IF(ISNUMBER(SEARCH("Provento",'Statements (Raw)'!D361)),"DISTRIBUTION","OTHER")))))))))))))</f>
        <v>BTP FX 3.1% AUG26 EUR</v>
      </c>
      <c r="D363" s="6" t="str">
        <f>IF(A363="","",IF(C363="Saldo Iniziale","Balance",IF(C363="CASH DEPOSIT","Deposit",IF(C363="CASH WITHDRAWAL","Withdrawal",IF(C363="STAMP DUTY","Tax",IF(C363="TOBIN TAX","Tax",IF(C363="WITHHOLDING TAX","Tax",IF(C363="DIVIDEND","Dividend",IF(C363="COUPON","Coupon",IF(C363="ACCRUED INT","Accrued Int.",IF(C363="SEC LENDING","Sec. Lending",IF(C363="REDEMPTION","Redemption",IF(C363="DISTRIBUTION","Distribution",IF(ISNUMBER(SEARCH("Rimborso",'Statements (Raw)'!D361)),"Redemption",IF(ISNUMBER(SEARCH("Cedola",'Statements (Raw)'!D361)),"Coupon",IF(ISNUMBER(SEARCH("Incasso Dividendi",'Statements (Raw)'!D361)),"Dividend",IF(ISNUMBER(SEARCH("Provento Etf",'Statements (Raw)'!D361)),"Distribution",IF(ISNUMBER(SEARCH("Rit.provento",'Statements (Raw)'!D361)),"Tax",IF(ISNUMBER(SEARCH("Ratei Pass",'Statements (Raw)'!D361)),"Accrued Int.",IF(ISNUMBER(SEARCH("Interessi Prest",'Statements (Raw)'!D361)),"Sec. Lending",IF('Statements (Raw)'!G361="","Other",IF('Statements (Raw)'!G361&gt;0,"Buy","Sell"))))))))))))))))))))))</f>
        <v>Buy</v>
      </c>
      <c r="E363" s="6" t="str">
        <f t="shared" si="10"/>
        <v>Bond</v>
      </c>
      <c r="F363" s="8">
        <f>IF(A363="","",IF('Statements (Raw)'!E361="","",'Statements (Raw)'!E361))</f>
        <v>100.589</v>
      </c>
      <c r="G363" s="6" t="str">
        <f>IF(A363="","",IF('Statements (Raw)'!F361="","",'Statements (Raw)'!F361))</f>
        <v>EUR</v>
      </c>
      <c r="H363" s="9">
        <f>IF(A363="","",IF('Statements (Raw)'!G361="","",'Statements (Raw)'!G361))</f>
        <v>100000</v>
      </c>
      <c r="I363" s="10">
        <f>IF(A363="","",IF('Statements (Raw)'!H361="","",'Statements (Raw)'!H361))</f>
        <v>-100589</v>
      </c>
      <c r="J363" s="10">
        <f>IF(A363="",0,IF('Statements (Raw)'!I361="",0,'Statements (Raw)'!I361))</f>
        <v>-5</v>
      </c>
      <c r="K363" s="10">
        <f t="shared" si="11"/>
        <v>-100594</v>
      </c>
    </row>
    <row r="364" spans="1:11" x14ac:dyDescent="0.3">
      <c r="A364" s="171">
        <f>IF(OR('Statements (Raw)'!A362="",'Statements (Raw)'!A362&gt;Holdings!$G$3),"",'Statements (Raw)'!A362)</f>
        <v>46055</v>
      </c>
      <c r="B364" s="7">
        <f>IF(A364="","",IF('Statements (Raw)'!B362="","",'Statements (Raw)'!B362))</f>
        <v>46057</v>
      </c>
      <c r="C364" s="6" t="str">
        <f>IF(A364="","",IF('Statements (Raw)'!C362&lt;&gt;"",'Statements (Raw)'!C362,IF(ISNUMBER(SEARCH("Conferimento",'Statements (Raw)'!D362)),"CASH DEPOSIT",IF(ISNUMBER(SEARCH("Prelievo",'Statements (Raw)'!D362)),"CASH WITHDRAWAL",IF(ISNUMBER(SEARCH("Bollo",'Statements (Raw)'!D362)),"STAMP DUTY",IF(ISNUMBER(SEARCH("Tobin Tax",'Statements (Raw)'!D362)),"TOBIN TAX",IF(ISNUMBER(SEARCH("Rit.provento",'Statements (Raw)'!D362)),"WITHHOLDING TAX",IF(ISNUMBER(SEARCH("Incasso Dividendi",'Statements (Raw)'!D362)),"DIVIDEND",IF(ISNUMBER(SEARCH("Cedola",'Statements (Raw)'!D362)),"COUPON",IF(ISNUMBER(SEARCH("Ratei Pass",'Statements (Raw)'!D362)),"ACCRUED INT",IF(ISNUMBER(SEARCH("Interessi Prest",'Statements (Raw)'!D362)),"SEC LENDING",IF(ISNUMBER(SEARCH("Rimborso",'Statements (Raw)'!D362)),"REDEMPTION",IF(ISNUMBER(SEARCH("Provento",'Statements (Raw)'!D362)),"DISTRIBUTION","OTHER")))))))))))))</f>
        <v>BTP FX 3.1% AUG26 EUR</v>
      </c>
      <c r="D364" s="6" t="str">
        <f>IF(A364="","",IF(C364="Saldo Iniziale","Balance",IF(C364="CASH DEPOSIT","Deposit",IF(C364="CASH WITHDRAWAL","Withdrawal",IF(C364="STAMP DUTY","Tax",IF(C364="TOBIN TAX","Tax",IF(C364="WITHHOLDING TAX","Tax",IF(C364="DIVIDEND","Dividend",IF(C364="COUPON","Coupon",IF(C364="ACCRUED INT","Accrued Int.",IF(C364="SEC LENDING","Sec. Lending",IF(C364="REDEMPTION","Redemption",IF(C364="DISTRIBUTION","Distribution",IF(ISNUMBER(SEARCH("Rimborso",'Statements (Raw)'!D362)),"Redemption",IF(ISNUMBER(SEARCH("Cedola",'Statements (Raw)'!D362)),"Coupon",IF(ISNUMBER(SEARCH("Incasso Dividendi",'Statements (Raw)'!D362)),"Dividend",IF(ISNUMBER(SEARCH("Provento Etf",'Statements (Raw)'!D362)),"Distribution",IF(ISNUMBER(SEARCH("Rit.provento",'Statements (Raw)'!D362)),"Tax",IF(ISNUMBER(SEARCH("Ratei Pass",'Statements (Raw)'!D362)),"Accrued Int.",IF(ISNUMBER(SEARCH("Interessi Prest",'Statements (Raw)'!D362)),"Sec. Lending",IF('Statements (Raw)'!G362="","Other",IF('Statements (Raw)'!G362&gt;0,"Buy","Sell"))))))))))))))))))))))</f>
        <v>Accrued Int.</v>
      </c>
      <c r="E364" s="6" t="str">
        <f t="shared" si="10"/>
        <v>Income</v>
      </c>
      <c r="F364" s="8" t="str">
        <f>IF(A364="","",IF('Statements (Raw)'!E362="","",'Statements (Raw)'!E362))</f>
        <v/>
      </c>
      <c r="G364" s="6" t="str">
        <f>IF(A364="","",IF('Statements (Raw)'!F362="","",'Statements (Raw)'!F362))</f>
        <v/>
      </c>
      <c r="H364" s="9" t="str">
        <f>IF(A364="","",IF('Statements (Raw)'!G362="","",'Statements (Raw)'!G362))</f>
        <v/>
      </c>
      <c r="I364" s="10">
        <f>IF(A364="","",IF('Statements (Raw)'!H362="","",'Statements (Raw)'!H362))</f>
        <v>-1347.83</v>
      </c>
      <c r="J364" s="10">
        <f>IF(A364="",0,IF('Statements (Raw)'!I362="",0,'Statements (Raw)'!I362))</f>
        <v>0</v>
      </c>
      <c r="K364" s="10">
        <f t="shared" si="11"/>
        <v>-1347.83</v>
      </c>
    </row>
    <row r="365" spans="1:11" x14ac:dyDescent="0.3">
      <c r="A365" s="171">
        <f>IF(OR('Statements (Raw)'!A363="",'Statements (Raw)'!A363&gt;Holdings!$G$3),"",'Statements (Raw)'!A363)</f>
        <v>46055</v>
      </c>
      <c r="B365" s="7">
        <f>IF(A365="","",IF('Statements (Raw)'!B363="","",'Statements (Raw)'!B363))</f>
        <v>46057</v>
      </c>
      <c r="C365" s="6" t="str">
        <f>IF(A365="","",IF('Statements (Raw)'!C363&lt;&gt;"",'Statements (Raw)'!C363,IF(ISNUMBER(SEARCH("Conferimento",'Statements (Raw)'!D363)),"CASH DEPOSIT",IF(ISNUMBER(SEARCH("Prelievo",'Statements (Raw)'!D363)),"CASH WITHDRAWAL",IF(ISNUMBER(SEARCH("Bollo",'Statements (Raw)'!D363)),"STAMP DUTY",IF(ISNUMBER(SEARCH("Tobin Tax",'Statements (Raw)'!D363)),"TOBIN TAX",IF(ISNUMBER(SEARCH("Rit.provento",'Statements (Raw)'!D363)),"WITHHOLDING TAX",IF(ISNUMBER(SEARCH("Incasso Dividendi",'Statements (Raw)'!D363)),"DIVIDEND",IF(ISNUMBER(SEARCH("Cedola",'Statements (Raw)'!D363)),"COUPON",IF(ISNUMBER(SEARCH("Ratei Pass",'Statements (Raw)'!D363)),"ACCRUED INT",IF(ISNUMBER(SEARCH("Interessi Prest",'Statements (Raw)'!D363)),"SEC LENDING",IF(ISNUMBER(SEARCH("Rimborso",'Statements (Raw)'!D363)),"REDEMPTION",IF(ISNUMBER(SEARCH("Provento",'Statements (Raw)'!D363)),"DISTRIBUTION","OTHER")))))))))))))</f>
        <v>WisdomTree Europe Defence UCIT</v>
      </c>
      <c r="D365" s="6" t="str">
        <f>IF(A365="","",IF(C365="Saldo Iniziale","Balance",IF(C365="CASH DEPOSIT","Deposit",IF(C365="CASH WITHDRAWAL","Withdrawal",IF(C365="STAMP DUTY","Tax",IF(C365="TOBIN TAX","Tax",IF(C365="WITHHOLDING TAX","Tax",IF(C365="DIVIDEND","Dividend",IF(C365="COUPON","Coupon",IF(C365="ACCRUED INT","Accrued Int.",IF(C365="SEC LENDING","Sec. Lending",IF(C365="REDEMPTION","Redemption",IF(C365="DISTRIBUTION","Distribution",IF(ISNUMBER(SEARCH("Rimborso",'Statements (Raw)'!D363)),"Redemption",IF(ISNUMBER(SEARCH("Cedola",'Statements (Raw)'!D363)),"Coupon",IF(ISNUMBER(SEARCH("Incasso Dividendi",'Statements (Raw)'!D363)),"Dividend",IF(ISNUMBER(SEARCH("Provento Etf",'Statements (Raw)'!D363)),"Distribution",IF(ISNUMBER(SEARCH("Rit.provento",'Statements (Raw)'!D363)),"Tax",IF(ISNUMBER(SEARCH("Ratei Pass",'Statements (Raw)'!D363)),"Accrued Int.",IF(ISNUMBER(SEARCH("Interessi Prest",'Statements (Raw)'!D363)),"Sec. Lending",IF('Statements (Raw)'!G363="","Other",IF('Statements (Raw)'!G363&gt;0,"Buy","Sell"))))))))))))))))))))))</f>
        <v>Buy</v>
      </c>
      <c r="E365" s="6" t="str">
        <f t="shared" si="10"/>
        <v>ETF/ETC</v>
      </c>
      <c r="F365" s="8">
        <f>IF(A365="","",IF('Statements (Raw)'!E363="","",'Statements (Raw)'!E363))</f>
        <v>33.305</v>
      </c>
      <c r="G365" s="6" t="str">
        <f>IF(A365="","",IF('Statements (Raw)'!F363="","",'Statements (Raw)'!F363))</f>
        <v>EUR</v>
      </c>
      <c r="H365" s="9">
        <f>IF(A365="","",IF('Statements (Raw)'!G363="","",'Statements (Raw)'!G363))</f>
        <v>29</v>
      </c>
      <c r="I365" s="10">
        <f>IF(A365="","",IF('Statements (Raw)'!H363="","",'Statements (Raw)'!H363))</f>
        <v>-965.85</v>
      </c>
      <c r="J365" s="10">
        <f>IF(A365="",0,IF('Statements (Raw)'!I363="",0,'Statements (Raw)'!I363))</f>
        <v>0</v>
      </c>
      <c r="K365" s="10">
        <f t="shared" si="11"/>
        <v>-965.85</v>
      </c>
    </row>
    <row r="366" spans="1:11" x14ac:dyDescent="0.3">
      <c r="A366" s="171">
        <f>IF(OR('Statements (Raw)'!A364="",'Statements (Raw)'!A364&gt;Holdings!$G$3),"",'Statements (Raw)'!A364)</f>
        <v>46055</v>
      </c>
      <c r="B366" s="7">
        <f>IF(A366="","",IF('Statements (Raw)'!B364="","",'Statements (Raw)'!B364))</f>
        <v>46057</v>
      </c>
      <c r="C366" s="6" t="str">
        <f>IF(A366="","",IF('Statements (Raw)'!C364&lt;&gt;"",'Statements (Raw)'!C364,IF(ISNUMBER(SEARCH("Conferimento",'Statements (Raw)'!D364)),"CASH DEPOSIT",IF(ISNUMBER(SEARCH("Prelievo",'Statements (Raw)'!D364)),"CASH WITHDRAWAL",IF(ISNUMBER(SEARCH("Bollo",'Statements (Raw)'!D364)),"STAMP DUTY",IF(ISNUMBER(SEARCH("Tobin Tax",'Statements (Raw)'!D364)),"TOBIN TAX",IF(ISNUMBER(SEARCH("Rit.provento",'Statements (Raw)'!D364)),"WITHHOLDING TAX",IF(ISNUMBER(SEARCH("Incasso Dividendi",'Statements (Raw)'!D364)),"DIVIDEND",IF(ISNUMBER(SEARCH("Cedola",'Statements (Raw)'!D364)),"COUPON",IF(ISNUMBER(SEARCH("Ratei Pass",'Statements (Raw)'!D364)),"ACCRUED INT",IF(ISNUMBER(SEARCH("Interessi Prest",'Statements (Raw)'!D364)),"SEC LENDING",IF(ISNUMBER(SEARCH("Rimborso",'Statements (Raw)'!D364)),"REDEMPTION",IF(ISNUMBER(SEARCH("Provento",'Statements (Raw)'!D364)),"DISTRIBUTION","OTHER")))))))))))))</f>
        <v>ISHARES FTSE MIB UCITS ETF EUR</v>
      </c>
      <c r="D366" s="6" t="str">
        <f>IF(A366="","",IF(C366="Saldo Iniziale","Balance",IF(C366="CASH DEPOSIT","Deposit",IF(C366="CASH WITHDRAWAL","Withdrawal",IF(C366="STAMP DUTY","Tax",IF(C366="TOBIN TAX","Tax",IF(C366="WITHHOLDING TAX","Tax",IF(C366="DIVIDEND","Dividend",IF(C366="COUPON","Coupon",IF(C366="ACCRUED INT","Accrued Int.",IF(C366="SEC LENDING","Sec. Lending",IF(C366="REDEMPTION","Redemption",IF(C366="DISTRIBUTION","Distribution",IF(ISNUMBER(SEARCH("Rimborso",'Statements (Raw)'!D364)),"Redemption",IF(ISNUMBER(SEARCH("Cedola",'Statements (Raw)'!D364)),"Coupon",IF(ISNUMBER(SEARCH("Incasso Dividendi",'Statements (Raw)'!D364)),"Dividend",IF(ISNUMBER(SEARCH("Provento Etf",'Statements (Raw)'!D364)),"Distribution",IF(ISNUMBER(SEARCH("Rit.provento",'Statements (Raw)'!D364)),"Tax",IF(ISNUMBER(SEARCH("Ratei Pass",'Statements (Raw)'!D364)),"Accrued Int.",IF(ISNUMBER(SEARCH("Interessi Prest",'Statements (Raw)'!D364)),"Sec. Lending",IF('Statements (Raw)'!G364="","Other",IF('Statements (Raw)'!G364&gt;0,"Buy","Sell"))))))))))))))))))))))</f>
        <v>Buy</v>
      </c>
      <c r="E366" s="6" t="str">
        <f t="shared" si="10"/>
        <v>ETF/ETC</v>
      </c>
      <c r="F366" s="8">
        <f>IF(A366="","",IF('Statements (Raw)'!E364="","",'Statements (Raw)'!E364))</f>
        <v>223.6</v>
      </c>
      <c r="G366" s="6" t="str">
        <f>IF(A366="","",IF('Statements (Raw)'!F364="","",'Statements (Raw)'!F364))</f>
        <v>EUR</v>
      </c>
      <c r="H366" s="9">
        <f>IF(A366="","",IF('Statements (Raw)'!G364="","",'Statements (Raw)'!G364))</f>
        <v>11</v>
      </c>
      <c r="I366" s="10">
        <f>IF(A366="","",IF('Statements (Raw)'!H364="","",'Statements (Raw)'!H364))</f>
        <v>-2459.6</v>
      </c>
      <c r="J366" s="10">
        <f>IF(A366="",0,IF('Statements (Raw)'!I364="",0,'Statements (Raw)'!I364))</f>
        <v>0</v>
      </c>
      <c r="K366" s="10">
        <f t="shared" si="11"/>
        <v>-2459.6</v>
      </c>
    </row>
    <row r="367" spans="1:11" x14ac:dyDescent="0.3">
      <c r="A367" s="171">
        <f>IF(OR('Statements (Raw)'!A365="",'Statements (Raw)'!A365&gt;Holdings!$G$3),"",'Statements (Raw)'!A365)</f>
        <v>46059</v>
      </c>
      <c r="B367" s="7">
        <f>IF(A367="","",IF('Statements (Raw)'!B365="","",'Statements (Raw)'!B365))</f>
        <v>46063</v>
      </c>
      <c r="C367" s="6" t="str">
        <f>IF(A367="","",IF('Statements (Raw)'!C365&lt;&gt;"",'Statements (Raw)'!C365,IF(ISNUMBER(SEARCH("Conferimento",'Statements (Raw)'!D365)),"CASH DEPOSIT",IF(ISNUMBER(SEARCH("Prelievo",'Statements (Raw)'!D365)),"CASH WITHDRAWAL",IF(ISNUMBER(SEARCH("Bollo",'Statements (Raw)'!D365)),"STAMP DUTY",IF(ISNUMBER(SEARCH("Tobin Tax",'Statements (Raw)'!D365)),"TOBIN TAX",IF(ISNUMBER(SEARCH("Rit.provento",'Statements (Raw)'!D365)),"WITHHOLDING TAX",IF(ISNUMBER(SEARCH("Incasso Dividendi",'Statements (Raw)'!D365)),"DIVIDEND",IF(ISNUMBER(SEARCH("Cedola",'Statements (Raw)'!D365)),"COUPON",IF(ISNUMBER(SEARCH("Ratei Pass",'Statements (Raw)'!D365)),"ACCRUED INT",IF(ISNUMBER(SEARCH("Interessi Prest",'Statements (Raw)'!D365)),"SEC LENDING",IF(ISNUMBER(SEARCH("Rimborso",'Statements (Raw)'!D365)),"REDEMPTION",IF(ISNUMBER(SEARCH("Provento",'Statements (Raw)'!D365)),"DISTRIBUTION","OTHER")))))))))))))</f>
        <v>ASML HOLDING NV</v>
      </c>
      <c r="D367" s="6" t="str">
        <f>IF(A367="","",IF(C367="Saldo Iniziale","Balance",IF(C367="CASH DEPOSIT","Deposit",IF(C367="CASH WITHDRAWAL","Withdrawal",IF(C367="STAMP DUTY","Tax",IF(C367="TOBIN TAX","Tax",IF(C367="WITHHOLDING TAX","Tax",IF(C367="DIVIDEND","Dividend",IF(C367="COUPON","Coupon",IF(C367="ACCRUED INT","Accrued Int.",IF(C367="SEC LENDING","Sec. Lending",IF(C367="REDEMPTION","Redemption",IF(C367="DISTRIBUTION","Distribution",IF(ISNUMBER(SEARCH("Rimborso",'Statements (Raw)'!D365)),"Redemption",IF(ISNUMBER(SEARCH("Cedola",'Statements (Raw)'!D365)),"Coupon",IF(ISNUMBER(SEARCH("Incasso Dividendi",'Statements (Raw)'!D365)),"Dividend",IF(ISNUMBER(SEARCH("Provento Etf",'Statements (Raw)'!D365)),"Distribution",IF(ISNUMBER(SEARCH("Rit.provento",'Statements (Raw)'!D365)),"Tax",IF(ISNUMBER(SEARCH("Ratei Pass",'Statements (Raw)'!D365)),"Accrued Int.",IF(ISNUMBER(SEARCH("Interessi Prest",'Statements (Raw)'!D365)),"Sec. Lending",IF('Statements (Raw)'!G365="","Other",IF('Statements (Raw)'!G365&gt;0,"Buy","Sell"))))))))))))))))))))))</f>
        <v>Sell</v>
      </c>
      <c r="E367" s="6" t="str">
        <f t="shared" si="10"/>
        <v>Stock</v>
      </c>
      <c r="F367" s="8">
        <f>IF(A367="","",IF('Statements (Raw)'!E365="","",'Statements (Raw)'!E365))</f>
        <v>1141.2</v>
      </c>
      <c r="G367" s="6" t="str">
        <f>IF(A367="","",IF('Statements (Raw)'!F365="","",'Statements (Raw)'!F365))</f>
        <v>EUR</v>
      </c>
      <c r="H367" s="9">
        <f>IF(A367="","",IF('Statements (Raw)'!G365="","",'Statements (Raw)'!G365))</f>
        <v>-30</v>
      </c>
      <c r="I367" s="10">
        <f>IF(A367="","",IF('Statements (Raw)'!H365="","",'Statements (Raw)'!H365))</f>
        <v>34236</v>
      </c>
      <c r="J367" s="10">
        <f>IF(A367="",0,IF('Statements (Raw)'!I365="",0,'Statements (Raw)'!I365))</f>
        <v>-9.5</v>
      </c>
      <c r="K367" s="10">
        <f t="shared" si="11"/>
        <v>34226.5</v>
      </c>
    </row>
    <row r="368" spans="1:11" x14ac:dyDescent="0.3">
      <c r="A368" s="171">
        <f>IF(OR('Statements (Raw)'!A366="",'Statements (Raw)'!A366&gt;Holdings!$G$3),"",'Statements (Raw)'!A366)</f>
        <v>46059</v>
      </c>
      <c r="B368" s="7">
        <f>IF(A368="","",IF('Statements (Raw)'!B366="","",'Statements (Raw)'!B366))</f>
        <v>46063</v>
      </c>
      <c r="C368" s="6" t="str">
        <f>IF(A368="","",IF('Statements (Raw)'!C366&lt;&gt;"",'Statements (Raw)'!C366,IF(ISNUMBER(SEARCH("Conferimento",'Statements (Raw)'!D366)),"CASH DEPOSIT",IF(ISNUMBER(SEARCH("Prelievo",'Statements (Raw)'!D366)),"CASH WITHDRAWAL",IF(ISNUMBER(SEARCH("Bollo",'Statements (Raw)'!D366)),"STAMP DUTY",IF(ISNUMBER(SEARCH("Tobin Tax",'Statements (Raw)'!D366)),"TOBIN TAX",IF(ISNUMBER(SEARCH("Rit.provento",'Statements (Raw)'!D366)),"WITHHOLDING TAX",IF(ISNUMBER(SEARCH("Incasso Dividendi",'Statements (Raw)'!D366)),"DIVIDEND",IF(ISNUMBER(SEARCH("Cedola",'Statements (Raw)'!D366)),"COUPON",IF(ISNUMBER(SEARCH("Ratei Pass",'Statements (Raw)'!D366)),"ACCRUED INT",IF(ISNUMBER(SEARCH("Interessi Prest",'Statements (Raw)'!D366)),"SEC LENDING",IF(ISNUMBER(SEARCH("Rimborso",'Statements (Raw)'!D366)),"REDEMPTION",IF(ISNUMBER(SEARCH("Provento",'Statements (Raw)'!D366)),"DISTRIBUTION","OTHER")))))))))))))</f>
        <v>BOT ZC APR26 A EUR</v>
      </c>
      <c r="D368" s="6" t="str">
        <f>IF(A368="","",IF(C368="Saldo Iniziale","Balance",IF(C368="CASH DEPOSIT","Deposit",IF(C368="CASH WITHDRAWAL","Withdrawal",IF(C368="STAMP DUTY","Tax",IF(C368="TOBIN TAX","Tax",IF(C368="WITHHOLDING TAX","Tax",IF(C368="DIVIDEND","Dividend",IF(C368="COUPON","Coupon",IF(C368="ACCRUED INT","Accrued Int.",IF(C368="SEC LENDING","Sec. Lending",IF(C368="REDEMPTION","Redemption",IF(C368="DISTRIBUTION","Distribution",IF(ISNUMBER(SEARCH("Rimborso",'Statements (Raw)'!D366)),"Redemption",IF(ISNUMBER(SEARCH("Cedola",'Statements (Raw)'!D366)),"Coupon",IF(ISNUMBER(SEARCH("Incasso Dividendi",'Statements (Raw)'!D366)),"Dividend",IF(ISNUMBER(SEARCH("Provento Etf",'Statements (Raw)'!D366)),"Distribution",IF(ISNUMBER(SEARCH("Rit.provento",'Statements (Raw)'!D366)),"Tax",IF(ISNUMBER(SEARCH("Ratei Pass",'Statements (Raw)'!D366)),"Accrued Int.",IF(ISNUMBER(SEARCH("Interessi Prest",'Statements (Raw)'!D366)),"Sec. Lending",IF('Statements (Raw)'!G366="","Other",IF('Statements (Raw)'!G366&gt;0,"Buy","Sell"))))))))))))))))))))))</f>
        <v>Buy</v>
      </c>
      <c r="E368" s="6" t="str">
        <f t="shared" si="10"/>
        <v>Bond</v>
      </c>
      <c r="F368" s="8">
        <f>IF(A368="","",IF('Statements (Raw)'!E366="","",'Statements (Raw)'!E366))</f>
        <v>99.656999999999996</v>
      </c>
      <c r="G368" s="6" t="str">
        <f>IF(A368="","",IF('Statements (Raw)'!F366="","",'Statements (Raw)'!F366))</f>
        <v>EUR</v>
      </c>
      <c r="H368" s="9">
        <f>IF(A368="","",IF('Statements (Raw)'!G366="","",'Statements (Raw)'!G366))</f>
        <v>64000</v>
      </c>
      <c r="I368" s="10">
        <f>IF(A368="","",IF('Statements (Raw)'!H366="","",'Statements (Raw)'!H366))</f>
        <v>-63780.480000000003</v>
      </c>
      <c r="J368" s="10">
        <f>IF(A368="",0,IF('Statements (Raw)'!I366="",0,'Statements (Raw)'!I366))</f>
        <v>-5</v>
      </c>
      <c r="K368" s="10">
        <f t="shared" si="11"/>
        <v>-63785.48</v>
      </c>
    </row>
    <row r="369" spans="1:11" x14ac:dyDescent="0.3">
      <c r="A369" s="171">
        <f>IF(OR('Statements (Raw)'!A367="",'Statements (Raw)'!A367&gt;Holdings!$G$3),"",'Statements (Raw)'!A367)</f>
        <v>46059</v>
      </c>
      <c r="B369" s="7">
        <f>IF(A369="","",IF('Statements (Raw)'!B367="","",'Statements (Raw)'!B367))</f>
        <v>46063</v>
      </c>
      <c r="C369" s="6" t="str">
        <f>IF(A369="","",IF('Statements (Raw)'!C367&lt;&gt;"",'Statements (Raw)'!C367,IF(ISNUMBER(SEARCH("Conferimento",'Statements (Raw)'!D367)),"CASH DEPOSIT",IF(ISNUMBER(SEARCH("Prelievo",'Statements (Raw)'!D367)),"CASH WITHDRAWAL",IF(ISNUMBER(SEARCH("Bollo",'Statements (Raw)'!D367)),"STAMP DUTY",IF(ISNUMBER(SEARCH("Tobin Tax",'Statements (Raw)'!D367)),"TOBIN TAX",IF(ISNUMBER(SEARCH("Rit.provento",'Statements (Raw)'!D367)),"WITHHOLDING TAX",IF(ISNUMBER(SEARCH("Incasso Dividendi",'Statements (Raw)'!D367)),"DIVIDEND",IF(ISNUMBER(SEARCH("Cedola",'Statements (Raw)'!D367)),"COUPON",IF(ISNUMBER(SEARCH("Ratei Pass",'Statements (Raw)'!D367)),"ACCRUED INT",IF(ISNUMBER(SEARCH("Interessi Prest",'Statements (Raw)'!D367)),"SEC LENDING",IF(ISNUMBER(SEARCH("Rimborso",'Statements (Raw)'!D367)),"REDEMPTION",IF(ISNUMBER(SEARCH("Provento",'Statements (Raw)'!D367)),"DISTRIBUTION","OTHER")))))))))))))</f>
        <v>BOT ZC APR26 A EUR</v>
      </c>
      <c r="D369" s="6" t="str">
        <f>IF(A369="","",IF(C369="Saldo Iniziale","Balance",IF(C369="CASH DEPOSIT","Deposit",IF(C369="CASH WITHDRAWAL","Withdrawal",IF(C369="STAMP DUTY","Tax",IF(C369="TOBIN TAX","Tax",IF(C369="WITHHOLDING TAX","Tax",IF(C369="DIVIDEND","Dividend",IF(C369="COUPON","Coupon",IF(C369="ACCRUED INT","Accrued Int.",IF(C369="SEC LENDING","Sec. Lending",IF(C369="REDEMPTION","Redemption",IF(C369="DISTRIBUTION","Distribution",IF(ISNUMBER(SEARCH("Rimborso",'Statements (Raw)'!D367)),"Redemption",IF(ISNUMBER(SEARCH("Cedola",'Statements (Raw)'!D367)),"Coupon",IF(ISNUMBER(SEARCH("Incasso Dividendi",'Statements (Raw)'!D367)),"Dividend",IF(ISNUMBER(SEARCH("Provento Etf",'Statements (Raw)'!D367)),"Distribution",IF(ISNUMBER(SEARCH("Rit.provento",'Statements (Raw)'!D367)),"Tax",IF(ISNUMBER(SEARCH("Ratei Pass",'Statements (Raw)'!D367)),"Accrued Int.",IF(ISNUMBER(SEARCH("Interessi Prest",'Statements (Raw)'!D367)),"Sec. Lending",IF('Statements (Raw)'!G367="","Other",IF('Statements (Raw)'!G367&gt;0,"Buy","Sell"))))))))))))))))))))))</f>
        <v>Buy</v>
      </c>
      <c r="E369" s="6" t="str">
        <f t="shared" si="10"/>
        <v>Bond</v>
      </c>
      <c r="F369" s="8">
        <f>IF(A369="","",IF('Statements (Raw)'!E367="","",'Statements (Raw)'!E367))</f>
        <v>99.656999999999996</v>
      </c>
      <c r="G369" s="6" t="str">
        <f>IF(A369="","",IF('Statements (Raw)'!F367="","",'Statements (Raw)'!F367))</f>
        <v>EUR</v>
      </c>
      <c r="H369" s="9">
        <f>IF(A369="","",IF('Statements (Raw)'!G367="","",'Statements (Raw)'!G367))</f>
        <v>36000</v>
      </c>
      <c r="I369" s="10">
        <f>IF(A369="","",IF('Statements (Raw)'!H367="","",'Statements (Raw)'!H367))</f>
        <v>-35876.519999999997</v>
      </c>
      <c r="J369" s="10">
        <f>IF(A369="",0,IF('Statements (Raw)'!I367="",0,'Statements (Raw)'!I367))</f>
        <v>0</v>
      </c>
      <c r="K369" s="10">
        <f t="shared" si="11"/>
        <v>-35876.519999999997</v>
      </c>
    </row>
    <row r="370" spans="1:11" x14ac:dyDescent="0.3">
      <c r="A370" s="171">
        <f>IF(OR('Statements (Raw)'!A368="",'Statements (Raw)'!A368&gt;Holdings!$G$3),"",'Statements (Raw)'!A368)</f>
        <v>46059</v>
      </c>
      <c r="B370" s="7">
        <f>IF(A370="","",IF('Statements (Raw)'!B368="","",'Statements (Raw)'!B368))</f>
        <v>46063</v>
      </c>
      <c r="C370" s="6" t="str">
        <f>IF(A370="","",IF('Statements (Raw)'!C368&lt;&gt;"",'Statements (Raw)'!C368,IF(ISNUMBER(SEARCH("Conferimento",'Statements (Raw)'!D368)),"CASH DEPOSIT",IF(ISNUMBER(SEARCH("Prelievo",'Statements (Raw)'!D368)),"CASH WITHDRAWAL",IF(ISNUMBER(SEARCH("Bollo",'Statements (Raw)'!D368)),"STAMP DUTY",IF(ISNUMBER(SEARCH("Tobin Tax",'Statements (Raw)'!D368)),"TOBIN TAX",IF(ISNUMBER(SEARCH("Rit.provento",'Statements (Raw)'!D368)),"WITHHOLDING TAX",IF(ISNUMBER(SEARCH("Incasso Dividendi",'Statements (Raw)'!D368)),"DIVIDEND",IF(ISNUMBER(SEARCH("Cedola",'Statements (Raw)'!D368)),"COUPON",IF(ISNUMBER(SEARCH("Ratei Pass",'Statements (Raw)'!D368)),"ACCRUED INT",IF(ISNUMBER(SEARCH("Interessi Prest",'Statements (Raw)'!D368)),"SEC LENDING",IF(ISNUMBER(SEARCH("Rimborso",'Statements (Raw)'!D368)),"REDEMPTION",IF(ISNUMBER(SEARCH("Provento",'Statements (Raw)'!D368)),"DISTRIBUTION","OTHER")))))))))))))</f>
        <v>BOT ZC MAR26 A EUR</v>
      </c>
      <c r="D370" s="6" t="str">
        <f>IF(A370="","",IF(C370="Saldo Iniziale","Balance",IF(C370="CASH DEPOSIT","Deposit",IF(C370="CASH WITHDRAWAL","Withdrawal",IF(C370="STAMP DUTY","Tax",IF(C370="TOBIN TAX","Tax",IF(C370="WITHHOLDING TAX","Tax",IF(C370="DIVIDEND","Dividend",IF(C370="COUPON","Coupon",IF(C370="ACCRUED INT","Accrued Int.",IF(C370="SEC LENDING","Sec. Lending",IF(C370="REDEMPTION","Redemption",IF(C370="DISTRIBUTION","Distribution",IF(ISNUMBER(SEARCH("Rimborso",'Statements (Raw)'!D368)),"Redemption",IF(ISNUMBER(SEARCH("Cedola",'Statements (Raw)'!D368)),"Coupon",IF(ISNUMBER(SEARCH("Incasso Dividendi",'Statements (Raw)'!D368)),"Dividend",IF(ISNUMBER(SEARCH("Provento Etf",'Statements (Raw)'!D368)),"Distribution",IF(ISNUMBER(SEARCH("Rit.provento",'Statements (Raw)'!D368)),"Tax",IF(ISNUMBER(SEARCH("Ratei Pass",'Statements (Raw)'!D368)),"Accrued Int.",IF(ISNUMBER(SEARCH("Interessi Prest",'Statements (Raw)'!D368)),"Sec. Lending",IF('Statements (Raw)'!G368="","Other",IF('Statements (Raw)'!G368&gt;0,"Buy","Sell"))))))))))))))))))))))</f>
        <v>Buy</v>
      </c>
      <c r="E370" s="6" t="str">
        <f t="shared" si="10"/>
        <v>Bond</v>
      </c>
      <c r="F370" s="8">
        <f>IF(A370="","",IF('Statements (Raw)'!E368="","",'Statements (Raw)'!E368))</f>
        <v>99.828999999999994</v>
      </c>
      <c r="G370" s="6" t="str">
        <f>IF(A370="","",IF('Statements (Raw)'!F368="","",'Statements (Raw)'!F368))</f>
        <v>EUR</v>
      </c>
      <c r="H370" s="9">
        <f>IF(A370="","",IF('Statements (Raw)'!G368="","",'Statements (Raw)'!G368))</f>
        <v>5000</v>
      </c>
      <c r="I370" s="10">
        <f>IF(A370="","",IF('Statements (Raw)'!H368="","",'Statements (Raw)'!H368))</f>
        <v>-4991.45</v>
      </c>
      <c r="J370" s="10">
        <f>IF(A370="",0,IF('Statements (Raw)'!I368="",0,'Statements (Raw)'!I368))</f>
        <v>-5</v>
      </c>
      <c r="K370" s="10">
        <f t="shared" si="11"/>
        <v>-4996.45</v>
      </c>
    </row>
    <row r="371" spans="1:11" x14ac:dyDescent="0.3">
      <c r="A371" s="171">
        <f>IF(OR('Statements (Raw)'!A369="",'Statements (Raw)'!A369&gt;Holdings!$G$3),"",'Statements (Raw)'!A369)</f>
        <v>46059</v>
      </c>
      <c r="B371" s="7">
        <f>IF(A371="","",IF('Statements (Raw)'!B369="","",'Statements (Raw)'!B369))</f>
        <v>46063</v>
      </c>
      <c r="C371" s="6" t="str">
        <f>IF(A371="","",IF('Statements (Raw)'!C369&lt;&gt;"",'Statements (Raw)'!C369,IF(ISNUMBER(SEARCH("Conferimento",'Statements (Raw)'!D369)),"CASH DEPOSIT",IF(ISNUMBER(SEARCH("Prelievo",'Statements (Raw)'!D369)),"CASH WITHDRAWAL",IF(ISNUMBER(SEARCH("Bollo",'Statements (Raw)'!D369)),"STAMP DUTY",IF(ISNUMBER(SEARCH("Tobin Tax",'Statements (Raw)'!D369)),"TOBIN TAX",IF(ISNUMBER(SEARCH("Rit.provento",'Statements (Raw)'!D369)),"WITHHOLDING TAX",IF(ISNUMBER(SEARCH("Incasso Dividendi",'Statements (Raw)'!D369)),"DIVIDEND",IF(ISNUMBER(SEARCH("Cedola",'Statements (Raw)'!D369)),"COUPON",IF(ISNUMBER(SEARCH("Ratei Pass",'Statements (Raw)'!D369)),"ACCRUED INT",IF(ISNUMBER(SEARCH("Interessi Prest",'Statements (Raw)'!D369)),"SEC LENDING",IF(ISNUMBER(SEARCH("Rimborso",'Statements (Raw)'!D369)),"REDEMPTION",IF(ISNUMBER(SEARCH("Provento",'Statements (Raw)'!D369)),"DISTRIBUTION","OTHER")))))))))))))</f>
        <v>BOT ZC MAR26 A EUR</v>
      </c>
      <c r="D371" s="6" t="str">
        <f>IF(A371="","",IF(C371="Saldo Iniziale","Balance",IF(C371="CASH DEPOSIT","Deposit",IF(C371="CASH WITHDRAWAL","Withdrawal",IF(C371="STAMP DUTY","Tax",IF(C371="TOBIN TAX","Tax",IF(C371="WITHHOLDING TAX","Tax",IF(C371="DIVIDEND","Dividend",IF(C371="COUPON","Coupon",IF(C371="ACCRUED INT","Accrued Int.",IF(C371="SEC LENDING","Sec. Lending",IF(C371="REDEMPTION","Redemption",IF(C371="DISTRIBUTION","Distribution",IF(ISNUMBER(SEARCH("Rimborso",'Statements (Raw)'!D369)),"Redemption",IF(ISNUMBER(SEARCH("Cedola",'Statements (Raw)'!D369)),"Coupon",IF(ISNUMBER(SEARCH("Incasso Dividendi",'Statements (Raw)'!D369)),"Dividend",IF(ISNUMBER(SEARCH("Provento Etf",'Statements (Raw)'!D369)),"Distribution",IF(ISNUMBER(SEARCH("Rit.provento",'Statements (Raw)'!D369)),"Tax",IF(ISNUMBER(SEARCH("Ratei Pass",'Statements (Raw)'!D369)),"Accrued Int.",IF(ISNUMBER(SEARCH("Interessi Prest",'Statements (Raw)'!D369)),"Sec. Lending",IF('Statements (Raw)'!G369="","Other",IF('Statements (Raw)'!G369&gt;0,"Buy","Sell"))))))))))))))))))))))</f>
        <v>Buy</v>
      </c>
      <c r="E371" s="6" t="str">
        <f t="shared" si="10"/>
        <v>Bond</v>
      </c>
      <c r="F371" s="8">
        <f>IF(A371="","",IF('Statements (Raw)'!E369="","",'Statements (Raw)'!E369))</f>
        <v>99.828999999999994</v>
      </c>
      <c r="G371" s="6" t="str">
        <f>IF(A371="","",IF('Statements (Raw)'!F369="","",'Statements (Raw)'!F369))</f>
        <v>EUR</v>
      </c>
      <c r="H371" s="9">
        <f>IF(A371="","",IF('Statements (Raw)'!G369="","",'Statements (Raw)'!G369))</f>
        <v>5000</v>
      </c>
      <c r="I371" s="10">
        <f>IF(A371="","",IF('Statements (Raw)'!H369="","",'Statements (Raw)'!H369))</f>
        <v>-4991.45</v>
      </c>
      <c r="J371" s="10">
        <f>IF(A371="",0,IF('Statements (Raw)'!I369="",0,'Statements (Raw)'!I369))</f>
        <v>0</v>
      </c>
      <c r="K371" s="10">
        <f t="shared" si="11"/>
        <v>-4991.45</v>
      </c>
    </row>
    <row r="372" spans="1:11" x14ac:dyDescent="0.3">
      <c r="A372" s="171">
        <f>IF(OR('Statements (Raw)'!A370="",'Statements (Raw)'!A370&gt;Holdings!$G$3),"",'Statements (Raw)'!A370)</f>
        <v>46059</v>
      </c>
      <c r="B372" s="7">
        <f>IF(A372="","",IF('Statements (Raw)'!B370="","",'Statements (Raw)'!B370))</f>
        <v>46063</v>
      </c>
      <c r="C372" s="6" t="str">
        <f>IF(A372="","",IF('Statements (Raw)'!C370&lt;&gt;"",'Statements (Raw)'!C370,IF(ISNUMBER(SEARCH("Conferimento",'Statements (Raw)'!D370)),"CASH DEPOSIT",IF(ISNUMBER(SEARCH("Prelievo",'Statements (Raw)'!D370)),"CASH WITHDRAWAL",IF(ISNUMBER(SEARCH("Bollo",'Statements (Raw)'!D370)),"STAMP DUTY",IF(ISNUMBER(SEARCH("Tobin Tax",'Statements (Raw)'!D370)),"TOBIN TAX",IF(ISNUMBER(SEARCH("Rit.provento",'Statements (Raw)'!D370)),"WITHHOLDING TAX",IF(ISNUMBER(SEARCH("Incasso Dividendi",'Statements (Raw)'!D370)),"DIVIDEND",IF(ISNUMBER(SEARCH("Cedola",'Statements (Raw)'!D370)),"COUPON",IF(ISNUMBER(SEARCH("Ratei Pass",'Statements (Raw)'!D370)),"ACCRUED INT",IF(ISNUMBER(SEARCH("Interessi Prest",'Statements (Raw)'!D370)),"SEC LENDING",IF(ISNUMBER(SEARCH("Rimborso",'Statements (Raw)'!D370)),"REDEMPTION",IF(ISNUMBER(SEARCH("Provento",'Statements (Raw)'!D370)),"DISTRIBUTION","OTHER")))))))))))))</f>
        <v>BOT ZC MAR26 A EUR</v>
      </c>
      <c r="D372" s="6" t="str">
        <f>IF(A372="","",IF(C372="Saldo Iniziale","Balance",IF(C372="CASH DEPOSIT","Deposit",IF(C372="CASH WITHDRAWAL","Withdrawal",IF(C372="STAMP DUTY","Tax",IF(C372="TOBIN TAX","Tax",IF(C372="WITHHOLDING TAX","Tax",IF(C372="DIVIDEND","Dividend",IF(C372="COUPON","Coupon",IF(C372="ACCRUED INT","Accrued Int.",IF(C372="SEC LENDING","Sec. Lending",IF(C372="REDEMPTION","Redemption",IF(C372="DISTRIBUTION","Distribution",IF(ISNUMBER(SEARCH("Rimborso",'Statements (Raw)'!D370)),"Redemption",IF(ISNUMBER(SEARCH("Cedola",'Statements (Raw)'!D370)),"Coupon",IF(ISNUMBER(SEARCH("Incasso Dividendi",'Statements (Raw)'!D370)),"Dividend",IF(ISNUMBER(SEARCH("Provento Etf",'Statements (Raw)'!D370)),"Distribution",IF(ISNUMBER(SEARCH("Rit.provento",'Statements (Raw)'!D370)),"Tax",IF(ISNUMBER(SEARCH("Ratei Pass",'Statements (Raw)'!D370)),"Accrued Int.",IF(ISNUMBER(SEARCH("Interessi Prest",'Statements (Raw)'!D370)),"Sec. Lending",IF('Statements (Raw)'!G370="","Other",IF('Statements (Raw)'!G370&gt;0,"Buy","Sell"))))))))))))))))))))))</f>
        <v>Buy</v>
      </c>
      <c r="E372" s="6" t="str">
        <f t="shared" si="10"/>
        <v>Bond</v>
      </c>
      <c r="F372" s="8">
        <f>IF(A372="","",IF('Statements (Raw)'!E370="","",'Statements (Raw)'!E370))</f>
        <v>99.828999999999994</v>
      </c>
      <c r="G372" s="6" t="str">
        <f>IF(A372="","",IF('Statements (Raw)'!F370="","",'Statements (Raw)'!F370))</f>
        <v>EUR</v>
      </c>
      <c r="H372" s="9">
        <f>IF(A372="","",IF('Statements (Raw)'!G370="","",'Statements (Raw)'!G370))</f>
        <v>90000</v>
      </c>
      <c r="I372" s="10">
        <f>IF(A372="","",IF('Statements (Raw)'!H370="","",'Statements (Raw)'!H370))</f>
        <v>-89846.1</v>
      </c>
      <c r="J372" s="10">
        <f>IF(A372="",0,IF('Statements (Raw)'!I370="",0,'Statements (Raw)'!I370))</f>
        <v>0</v>
      </c>
      <c r="K372" s="10">
        <f t="shared" si="11"/>
        <v>-89846.1</v>
      </c>
    </row>
    <row r="373" spans="1:11" x14ac:dyDescent="0.3">
      <c r="A373" s="171">
        <f>IF(OR('Statements (Raw)'!A371="",'Statements (Raw)'!A371&gt;Holdings!$G$3),"",'Statements (Raw)'!A371)</f>
        <v>46059</v>
      </c>
      <c r="B373" s="7">
        <f>IF(A373="","",IF('Statements (Raw)'!B371="","",'Statements (Raw)'!B371))</f>
        <v>46063</v>
      </c>
      <c r="C373" s="6" t="str">
        <f>IF(A373="","",IF('Statements (Raw)'!C371&lt;&gt;"",'Statements (Raw)'!C371,IF(ISNUMBER(SEARCH("Conferimento",'Statements (Raw)'!D371)),"CASH DEPOSIT",IF(ISNUMBER(SEARCH("Prelievo",'Statements (Raw)'!D371)),"CASH WITHDRAWAL",IF(ISNUMBER(SEARCH("Bollo",'Statements (Raw)'!D371)),"STAMP DUTY",IF(ISNUMBER(SEARCH("Tobin Tax",'Statements (Raw)'!D371)),"TOBIN TAX",IF(ISNUMBER(SEARCH("Rit.provento",'Statements (Raw)'!D371)),"WITHHOLDING TAX",IF(ISNUMBER(SEARCH("Incasso Dividendi",'Statements (Raw)'!D371)),"DIVIDEND",IF(ISNUMBER(SEARCH("Cedola",'Statements (Raw)'!D371)),"COUPON",IF(ISNUMBER(SEARCH("Ratei Pass",'Statements (Raw)'!D371)),"ACCRUED INT",IF(ISNUMBER(SEARCH("Interessi Prest",'Statements (Raw)'!D371)),"SEC LENDING",IF(ISNUMBER(SEARCH("Rimborso",'Statements (Raw)'!D371)),"REDEMPTION",IF(ISNUMBER(SEARCH("Provento",'Statements (Raw)'!D371)),"DISTRIBUTION","OTHER")))))))))))))</f>
        <v>MONCLER</v>
      </c>
      <c r="D373" s="6" t="str">
        <f>IF(A373="","",IF(C373="Saldo Iniziale","Balance",IF(C373="CASH DEPOSIT","Deposit",IF(C373="CASH WITHDRAWAL","Withdrawal",IF(C373="STAMP DUTY","Tax",IF(C373="TOBIN TAX","Tax",IF(C373="WITHHOLDING TAX","Tax",IF(C373="DIVIDEND","Dividend",IF(C373="COUPON","Coupon",IF(C373="ACCRUED INT","Accrued Int.",IF(C373="SEC LENDING","Sec. Lending",IF(C373="REDEMPTION","Redemption",IF(C373="DISTRIBUTION","Distribution",IF(ISNUMBER(SEARCH("Rimborso",'Statements (Raw)'!D371)),"Redemption",IF(ISNUMBER(SEARCH("Cedola",'Statements (Raw)'!D371)),"Coupon",IF(ISNUMBER(SEARCH("Incasso Dividendi",'Statements (Raw)'!D371)),"Dividend",IF(ISNUMBER(SEARCH("Provento Etf",'Statements (Raw)'!D371)),"Distribution",IF(ISNUMBER(SEARCH("Rit.provento",'Statements (Raw)'!D371)),"Tax",IF(ISNUMBER(SEARCH("Ratei Pass",'Statements (Raw)'!D371)),"Accrued Int.",IF(ISNUMBER(SEARCH("Interessi Prest",'Statements (Raw)'!D371)),"Sec. Lending",IF('Statements (Raw)'!G371="","Other",IF('Statements (Raw)'!G371&gt;0,"Buy","Sell"))))))))))))))))))))))</f>
        <v>Buy</v>
      </c>
      <c r="E373" s="6" t="str">
        <f t="shared" si="10"/>
        <v>Stock</v>
      </c>
      <c r="F373" s="8">
        <f>IF(A373="","",IF('Statements (Raw)'!E371="","",'Statements (Raw)'!E371))</f>
        <v>47.76</v>
      </c>
      <c r="G373" s="6" t="str">
        <f>IF(A373="","",IF('Statements (Raw)'!F371="","",'Statements (Raw)'!F371))</f>
        <v>EUR</v>
      </c>
      <c r="H373" s="9">
        <f>IF(A373="","",IF('Statements (Raw)'!G371="","",'Statements (Raw)'!G371))</f>
        <v>42</v>
      </c>
      <c r="I373" s="10">
        <f>IF(A373="","",IF('Statements (Raw)'!H371="","",'Statements (Raw)'!H371))</f>
        <v>-2005.92</v>
      </c>
      <c r="J373" s="10">
        <f>IF(A373="",0,IF('Statements (Raw)'!I371="",0,'Statements (Raw)'!I371))</f>
        <v>-5</v>
      </c>
      <c r="K373" s="10">
        <f t="shared" si="11"/>
        <v>-2010.92</v>
      </c>
    </row>
    <row r="374" spans="1:11" x14ac:dyDescent="0.3">
      <c r="A374" s="171">
        <f>IF(OR('Statements (Raw)'!A372="",'Statements (Raw)'!A372&gt;Holdings!$G$3),"",'Statements (Raw)'!A372)</f>
        <v>46059</v>
      </c>
      <c r="B374" s="7">
        <f>IF(A374="","",IF('Statements (Raw)'!B372="","",'Statements (Raw)'!B372))</f>
        <v>46063</v>
      </c>
      <c r="C374" s="6" t="str">
        <f>IF(A374="","",IF('Statements (Raw)'!C372&lt;&gt;"",'Statements (Raw)'!C372,IF(ISNUMBER(SEARCH("Conferimento",'Statements (Raw)'!D372)),"CASH DEPOSIT",IF(ISNUMBER(SEARCH("Prelievo",'Statements (Raw)'!D372)),"CASH WITHDRAWAL",IF(ISNUMBER(SEARCH("Bollo",'Statements (Raw)'!D372)),"STAMP DUTY",IF(ISNUMBER(SEARCH("Tobin Tax",'Statements (Raw)'!D372)),"TOBIN TAX",IF(ISNUMBER(SEARCH("Rit.provento",'Statements (Raw)'!D372)),"WITHHOLDING TAX",IF(ISNUMBER(SEARCH("Incasso Dividendi",'Statements (Raw)'!D372)),"DIVIDEND",IF(ISNUMBER(SEARCH("Cedola",'Statements (Raw)'!D372)),"COUPON",IF(ISNUMBER(SEARCH("Ratei Pass",'Statements (Raw)'!D372)),"ACCRUED INT",IF(ISNUMBER(SEARCH("Interessi Prest",'Statements (Raw)'!D372)),"SEC LENDING",IF(ISNUMBER(SEARCH("Rimborso",'Statements (Raw)'!D372)),"REDEMPTION",IF(ISNUMBER(SEARCH("Provento",'Statements (Raw)'!D372)),"DISTRIBUTION","OTHER")))))))))))))</f>
        <v>MONCLER</v>
      </c>
      <c r="D374" s="6" t="str">
        <f>IF(A374="","",IF(C374="Saldo Iniziale","Balance",IF(C374="CASH DEPOSIT","Deposit",IF(C374="CASH WITHDRAWAL","Withdrawal",IF(C374="STAMP DUTY","Tax",IF(C374="TOBIN TAX","Tax",IF(C374="WITHHOLDING TAX","Tax",IF(C374="DIVIDEND","Dividend",IF(C374="COUPON","Coupon",IF(C374="ACCRUED INT","Accrued Int.",IF(C374="SEC LENDING","Sec. Lending",IF(C374="REDEMPTION","Redemption",IF(C374="DISTRIBUTION","Distribution",IF(ISNUMBER(SEARCH("Rimborso",'Statements (Raw)'!D372)),"Redemption",IF(ISNUMBER(SEARCH("Cedola",'Statements (Raw)'!D372)),"Coupon",IF(ISNUMBER(SEARCH("Incasso Dividendi",'Statements (Raw)'!D372)),"Dividend",IF(ISNUMBER(SEARCH("Provento Etf",'Statements (Raw)'!D372)),"Distribution",IF(ISNUMBER(SEARCH("Rit.provento",'Statements (Raw)'!D372)),"Tax",IF(ISNUMBER(SEARCH("Ratei Pass",'Statements (Raw)'!D372)),"Accrued Int.",IF(ISNUMBER(SEARCH("Interessi Prest",'Statements (Raw)'!D372)),"Sec. Lending",IF('Statements (Raw)'!G372="","Other",IF('Statements (Raw)'!G372&gt;0,"Buy","Sell"))))))))))))))))))))))</f>
        <v>Buy</v>
      </c>
      <c r="E374" s="6" t="str">
        <f t="shared" si="10"/>
        <v>Stock</v>
      </c>
      <c r="F374" s="8">
        <f>IF(A374="","",IF('Statements (Raw)'!E372="","",'Statements (Raw)'!E372))</f>
        <v>47.76</v>
      </c>
      <c r="G374" s="6" t="str">
        <f>IF(A374="","",IF('Statements (Raw)'!F372="","",'Statements (Raw)'!F372))</f>
        <v>EUR</v>
      </c>
      <c r="H374" s="9">
        <f>IF(A374="","",IF('Statements (Raw)'!G372="","",'Statements (Raw)'!G372))</f>
        <v>483</v>
      </c>
      <c r="I374" s="10">
        <f>IF(A374="","",IF('Statements (Raw)'!H372="","",'Statements (Raw)'!H372))</f>
        <v>-23068.080000000002</v>
      </c>
      <c r="J374" s="10">
        <f>IF(A374="",0,IF('Statements (Raw)'!I372="",0,'Statements (Raw)'!I372))</f>
        <v>0</v>
      </c>
      <c r="K374" s="10">
        <f t="shared" si="11"/>
        <v>-23068.080000000002</v>
      </c>
    </row>
    <row r="375" spans="1:11" x14ac:dyDescent="0.3">
      <c r="A375" s="171">
        <f>IF(OR('Statements (Raw)'!A373="",'Statements (Raw)'!A373&gt;Holdings!$G$3),"",'Statements (Raw)'!A373)</f>
        <v>46059</v>
      </c>
      <c r="B375" s="7">
        <f>IF(A375="","",IF('Statements (Raw)'!B373="","",'Statements (Raw)'!B373))</f>
        <v>46063</v>
      </c>
      <c r="C375" s="6" t="str">
        <f>IF(A375="","",IF('Statements (Raw)'!C373&lt;&gt;"",'Statements (Raw)'!C373,IF(ISNUMBER(SEARCH("Conferimento",'Statements (Raw)'!D373)),"CASH DEPOSIT",IF(ISNUMBER(SEARCH("Prelievo",'Statements (Raw)'!D373)),"CASH WITHDRAWAL",IF(ISNUMBER(SEARCH("Bollo",'Statements (Raw)'!D373)),"STAMP DUTY",IF(ISNUMBER(SEARCH("Tobin Tax",'Statements (Raw)'!D373)),"TOBIN TAX",IF(ISNUMBER(SEARCH("Rit.provento",'Statements (Raw)'!D373)),"WITHHOLDING TAX",IF(ISNUMBER(SEARCH("Incasso Dividendi",'Statements (Raw)'!D373)),"DIVIDEND",IF(ISNUMBER(SEARCH("Cedola",'Statements (Raw)'!D373)),"COUPON",IF(ISNUMBER(SEARCH("Ratei Pass",'Statements (Raw)'!D373)),"ACCRUED INT",IF(ISNUMBER(SEARCH("Interessi Prest",'Statements (Raw)'!D373)),"SEC LENDING",IF(ISNUMBER(SEARCH("Rimborso",'Statements (Raw)'!D373)),"REDEMPTION",IF(ISNUMBER(SEARCH("Provento",'Statements (Raw)'!D373)),"DISTRIBUTION","OTHER")))))))))))))</f>
        <v>MONCLER</v>
      </c>
      <c r="D375" s="6" t="str">
        <f>IF(A375="","",IF(C375="Saldo Iniziale","Balance",IF(C375="CASH DEPOSIT","Deposit",IF(C375="CASH WITHDRAWAL","Withdrawal",IF(C375="STAMP DUTY","Tax",IF(C375="TOBIN TAX","Tax",IF(C375="WITHHOLDING TAX","Tax",IF(C375="DIVIDEND","Dividend",IF(C375="COUPON","Coupon",IF(C375="ACCRUED INT","Accrued Int.",IF(C375="SEC LENDING","Sec. Lending",IF(C375="REDEMPTION","Redemption",IF(C375="DISTRIBUTION","Distribution",IF(ISNUMBER(SEARCH("Rimborso",'Statements (Raw)'!D373)),"Redemption",IF(ISNUMBER(SEARCH("Cedola",'Statements (Raw)'!D373)),"Coupon",IF(ISNUMBER(SEARCH("Incasso Dividendi",'Statements (Raw)'!D373)),"Dividend",IF(ISNUMBER(SEARCH("Provento Etf",'Statements (Raw)'!D373)),"Distribution",IF(ISNUMBER(SEARCH("Rit.provento",'Statements (Raw)'!D373)),"Tax",IF(ISNUMBER(SEARCH("Ratei Pass",'Statements (Raw)'!D373)),"Accrued Int.",IF(ISNUMBER(SEARCH("Interessi Prest",'Statements (Raw)'!D373)),"Sec. Lending",IF('Statements (Raw)'!G373="","Other",IF('Statements (Raw)'!G373&gt;0,"Buy","Sell"))))))))))))))))))))))</f>
        <v>Buy</v>
      </c>
      <c r="E375" s="6" t="str">
        <f t="shared" si="10"/>
        <v>Stock</v>
      </c>
      <c r="F375" s="8">
        <f>IF(A375="","",IF('Statements (Raw)'!E373="","",'Statements (Raw)'!E373))</f>
        <v>47.76</v>
      </c>
      <c r="G375" s="6" t="str">
        <f>IF(A375="","",IF('Statements (Raw)'!F373="","",'Statements (Raw)'!F373))</f>
        <v>EUR</v>
      </c>
      <c r="H375" s="9">
        <f>IF(A375="","",IF('Statements (Raw)'!G373="","",'Statements (Raw)'!G373))</f>
        <v>475</v>
      </c>
      <c r="I375" s="10">
        <f>IF(A375="","",IF('Statements (Raw)'!H373="","",'Statements (Raw)'!H373))</f>
        <v>-22686</v>
      </c>
      <c r="J375" s="10">
        <f>IF(A375="",0,IF('Statements (Raw)'!I373="",0,'Statements (Raw)'!I373))</f>
        <v>0</v>
      </c>
      <c r="K375" s="10">
        <f t="shared" si="11"/>
        <v>-22686</v>
      </c>
    </row>
    <row r="376" spans="1:11" x14ac:dyDescent="0.3">
      <c r="A376" s="171">
        <f>IF(OR('Statements (Raw)'!A374="",'Statements (Raw)'!A374&gt;Holdings!$G$3),"",'Statements (Raw)'!A374)</f>
        <v>46059</v>
      </c>
      <c r="B376" s="7">
        <f>IF(A376="","",IF('Statements (Raw)'!B374="","",'Statements (Raw)'!B374))</f>
        <v>46063</v>
      </c>
      <c r="C376" s="6" t="str">
        <f>IF(A376="","",IF('Statements (Raw)'!C374&lt;&gt;"",'Statements (Raw)'!C374,IF(ISNUMBER(SEARCH("Conferimento",'Statements (Raw)'!D374)),"CASH DEPOSIT",IF(ISNUMBER(SEARCH("Prelievo",'Statements (Raw)'!D374)),"CASH WITHDRAWAL",IF(ISNUMBER(SEARCH("Bollo",'Statements (Raw)'!D374)),"STAMP DUTY",IF(ISNUMBER(SEARCH("Tobin Tax",'Statements (Raw)'!D374)),"TOBIN TAX",IF(ISNUMBER(SEARCH("Rit.provento",'Statements (Raw)'!D374)),"WITHHOLDING TAX",IF(ISNUMBER(SEARCH("Incasso Dividendi",'Statements (Raw)'!D374)),"DIVIDEND",IF(ISNUMBER(SEARCH("Cedola",'Statements (Raw)'!D374)),"COUPON",IF(ISNUMBER(SEARCH("Ratei Pass",'Statements (Raw)'!D374)),"ACCRUED INT",IF(ISNUMBER(SEARCH("Interessi Prest",'Statements (Raw)'!D374)),"SEC LENDING",IF(ISNUMBER(SEARCH("Rimborso",'Statements (Raw)'!D374)),"REDEMPTION",IF(ISNUMBER(SEARCH("Provento",'Statements (Raw)'!D374)),"DISTRIBUTION","OTHER")))))))))))))</f>
        <v>TOBIN TAX</v>
      </c>
      <c r="D376" s="6" t="str">
        <f>IF(A376="","",IF(C376="Saldo Iniziale","Balance",IF(C376="CASH DEPOSIT","Deposit",IF(C376="CASH WITHDRAWAL","Withdrawal",IF(C376="STAMP DUTY","Tax",IF(C376="TOBIN TAX","Tax",IF(C376="WITHHOLDING TAX","Tax",IF(C376="DIVIDEND","Dividend",IF(C376="COUPON","Coupon",IF(C376="ACCRUED INT","Accrued Int.",IF(C376="SEC LENDING","Sec. Lending",IF(C376="REDEMPTION","Redemption",IF(C376="DISTRIBUTION","Distribution",IF(ISNUMBER(SEARCH("Rimborso",'Statements (Raw)'!D374)),"Redemption",IF(ISNUMBER(SEARCH("Cedola",'Statements (Raw)'!D374)),"Coupon",IF(ISNUMBER(SEARCH("Incasso Dividendi",'Statements (Raw)'!D374)),"Dividend",IF(ISNUMBER(SEARCH("Provento Etf",'Statements (Raw)'!D374)),"Distribution",IF(ISNUMBER(SEARCH("Rit.provento",'Statements (Raw)'!D374)),"Tax",IF(ISNUMBER(SEARCH("Ratei Pass",'Statements (Raw)'!D374)),"Accrued Int.",IF(ISNUMBER(SEARCH("Interessi Prest",'Statements (Raw)'!D374)),"Sec. Lending",IF('Statements (Raw)'!G374="","Other",IF('Statements (Raw)'!G374&gt;0,"Buy","Sell"))))))))))))))))))))))</f>
        <v>Tax</v>
      </c>
      <c r="E376" s="6" t="str">
        <f t="shared" si="10"/>
        <v>Tax/Fee</v>
      </c>
      <c r="F376" s="8" t="str">
        <f>IF(A376="","",IF('Statements (Raw)'!E374="","",'Statements (Raw)'!E374))</f>
        <v/>
      </c>
      <c r="G376" s="6" t="str">
        <f>IF(A376="","",IF('Statements (Raw)'!F374="","",'Statements (Raw)'!F374))</f>
        <v/>
      </c>
      <c r="H376" s="9" t="str">
        <f>IF(A376="","",IF('Statements (Raw)'!G374="","",'Statements (Raw)'!G374))</f>
        <v/>
      </c>
      <c r="I376" s="10">
        <f>IF(A376="","",IF('Statements (Raw)'!H374="","",'Statements (Raw)'!H374))</f>
        <v>-95.52</v>
      </c>
      <c r="J376" s="10">
        <f>IF(A376="",0,IF('Statements (Raw)'!I374="",0,'Statements (Raw)'!I374))</f>
        <v>0</v>
      </c>
      <c r="K376" s="10">
        <f t="shared" si="11"/>
        <v>-95.52</v>
      </c>
    </row>
    <row r="377" spans="1:11" x14ac:dyDescent="0.3">
      <c r="A377" s="171">
        <f>IF(OR('Statements (Raw)'!A375="",'Statements (Raw)'!A375&gt;Holdings!$G$3),"",'Statements (Raw)'!A375)</f>
        <v>46062</v>
      </c>
      <c r="B377" s="7">
        <f>IF(A377="","",IF('Statements (Raw)'!B375="","",'Statements (Raw)'!B375))</f>
        <v>46064</v>
      </c>
      <c r="C377" s="6" t="str">
        <f>IF(A377="","",IF('Statements (Raw)'!C375&lt;&gt;"",'Statements (Raw)'!C375,IF(ISNUMBER(SEARCH("Conferimento",'Statements (Raw)'!D375)),"CASH DEPOSIT",IF(ISNUMBER(SEARCH("Prelievo",'Statements (Raw)'!D375)),"CASH WITHDRAWAL",IF(ISNUMBER(SEARCH("Bollo",'Statements (Raw)'!D375)),"STAMP DUTY",IF(ISNUMBER(SEARCH("Tobin Tax",'Statements (Raw)'!D375)),"TOBIN TAX",IF(ISNUMBER(SEARCH("Rit.provento",'Statements (Raw)'!D375)),"WITHHOLDING TAX",IF(ISNUMBER(SEARCH("Incasso Dividendi",'Statements (Raw)'!D375)),"DIVIDEND",IF(ISNUMBER(SEARCH("Cedola",'Statements (Raw)'!D375)),"COUPON",IF(ISNUMBER(SEARCH("Ratei Pass",'Statements (Raw)'!D375)),"ACCRUED INT",IF(ISNUMBER(SEARCH("Interessi Prest",'Statements (Raw)'!D375)),"SEC LENDING",IF(ISNUMBER(SEARCH("Rimborso",'Statements (Raw)'!D375)),"REDEMPTION",IF(ISNUMBER(SEARCH("Provento",'Statements (Raw)'!D375)),"DISTRIBUTION","OTHER")))))))))))))</f>
        <v>WisdomTree Europe Defence UCIT</v>
      </c>
      <c r="D377" s="6" t="str">
        <f>IF(A377="","",IF(C377="Saldo Iniziale","Balance",IF(C377="CASH DEPOSIT","Deposit",IF(C377="CASH WITHDRAWAL","Withdrawal",IF(C377="STAMP DUTY","Tax",IF(C377="TOBIN TAX","Tax",IF(C377="WITHHOLDING TAX","Tax",IF(C377="DIVIDEND","Dividend",IF(C377="COUPON","Coupon",IF(C377="ACCRUED INT","Accrued Int.",IF(C377="SEC LENDING","Sec. Lending",IF(C377="REDEMPTION","Redemption",IF(C377="DISTRIBUTION","Distribution",IF(ISNUMBER(SEARCH("Rimborso",'Statements (Raw)'!D375)),"Redemption",IF(ISNUMBER(SEARCH("Cedola",'Statements (Raw)'!D375)),"Coupon",IF(ISNUMBER(SEARCH("Incasso Dividendi",'Statements (Raw)'!D375)),"Dividend",IF(ISNUMBER(SEARCH("Provento Etf",'Statements (Raw)'!D375)),"Distribution",IF(ISNUMBER(SEARCH("Rit.provento",'Statements (Raw)'!D375)),"Tax",IF(ISNUMBER(SEARCH("Ratei Pass",'Statements (Raw)'!D375)),"Accrued Int.",IF(ISNUMBER(SEARCH("Interessi Prest",'Statements (Raw)'!D375)),"Sec. Lending",IF('Statements (Raw)'!G375="","Other",IF('Statements (Raw)'!G375&gt;0,"Buy","Sell"))))))))))))))))))))))</f>
        <v>Buy</v>
      </c>
      <c r="E377" s="6" t="str">
        <f t="shared" si="10"/>
        <v>ETF/ETC</v>
      </c>
      <c r="F377" s="8">
        <f>IF(A377="","",IF('Statements (Raw)'!E375="","",'Statements (Raw)'!E375))</f>
        <v>33.615000000000002</v>
      </c>
      <c r="G377" s="6" t="str">
        <f>IF(A377="","",IF('Statements (Raw)'!F375="","",'Statements (Raw)'!F375))</f>
        <v>EUR</v>
      </c>
      <c r="H377" s="9">
        <f>IF(A377="","",IF('Statements (Raw)'!G375="","",'Statements (Raw)'!G375))</f>
        <v>29</v>
      </c>
      <c r="I377" s="10">
        <f>IF(A377="","",IF('Statements (Raw)'!H375="","",'Statements (Raw)'!H375))</f>
        <v>-974.84</v>
      </c>
      <c r="J377" s="10">
        <f>IF(A377="",0,IF('Statements (Raw)'!I375="",0,'Statements (Raw)'!I375))</f>
        <v>0</v>
      </c>
      <c r="K377" s="10">
        <f t="shared" si="11"/>
        <v>-974.84</v>
      </c>
    </row>
    <row r="378" spans="1:11" x14ac:dyDescent="0.3">
      <c r="A378" s="171">
        <f>IF(OR('Statements (Raw)'!A376="",'Statements (Raw)'!A376&gt;Holdings!$G$3),"",'Statements (Raw)'!A376)</f>
        <v>46062</v>
      </c>
      <c r="B378" s="7">
        <f>IF(A378="","",IF('Statements (Raw)'!B376="","",'Statements (Raw)'!B376))</f>
        <v>46064</v>
      </c>
      <c r="C378" s="6" t="str">
        <f>IF(A378="","",IF('Statements (Raw)'!C376&lt;&gt;"",'Statements (Raw)'!C376,IF(ISNUMBER(SEARCH("Conferimento",'Statements (Raw)'!D376)),"CASH DEPOSIT",IF(ISNUMBER(SEARCH("Prelievo",'Statements (Raw)'!D376)),"CASH WITHDRAWAL",IF(ISNUMBER(SEARCH("Bollo",'Statements (Raw)'!D376)),"STAMP DUTY",IF(ISNUMBER(SEARCH("Tobin Tax",'Statements (Raw)'!D376)),"TOBIN TAX",IF(ISNUMBER(SEARCH("Rit.provento",'Statements (Raw)'!D376)),"WITHHOLDING TAX",IF(ISNUMBER(SEARCH("Incasso Dividendi",'Statements (Raw)'!D376)),"DIVIDEND",IF(ISNUMBER(SEARCH("Cedola",'Statements (Raw)'!D376)),"COUPON",IF(ISNUMBER(SEARCH("Ratei Pass",'Statements (Raw)'!D376)),"ACCRUED INT",IF(ISNUMBER(SEARCH("Interessi Prest",'Statements (Raw)'!D376)),"SEC LENDING",IF(ISNUMBER(SEARCH("Rimborso",'Statements (Raw)'!D376)),"REDEMPTION",IF(ISNUMBER(SEARCH("Provento",'Statements (Raw)'!D376)),"DISTRIBUTION","OTHER")))))))))))))</f>
        <v>ISHARES FTSE MIB UCITS ETF EUR</v>
      </c>
      <c r="D378" s="6" t="str">
        <f>IF(A378="","",IF(C378="Saldo Iniziale","Balance",IF(C378="CASH DEPOSIT","Deposit",IF(C378="CASH WITHDRAWAL","Withdrawal",IF(C378="STAMP DUTY","Tax",IF(C378="TOBIN TAX","Tax",IF(C378="WITHHOLDING TAX","Tax",IF(C378="DIVIDEND","Dividend",IF(C378="COUPON","Coupon",IF(C378="ACCRUED INT","Accrued Int.",IF(C378="SEC LENDING","Sec. Lending",IF(C378="REDEMPTION","Redemption",IF(C378="DISTRIBUTION","Distribution",IF(ISNUMBER(SEARCH("Rimborso",'Statements (Raw)'!D376)),"Redemption",IF(ISNUMBER(SEARCH("Cedola",'Statements (Raw)'!D376)),"Coupon",IF(ISNUMBER(SEARCH("Incasso Dividendi",'Statements (Raw)'!D376)),"Dividend",IF(ISNUMBER(SEARCH("Provento Etf",'Statements (Raw)'!D376)),"Distribution",IF(ISNUMBER(SEARCH("Rit.provento",'Statements (Raw)'!D376)),"Tax",IF(ISNUMBER(SEARCH("Ratei Pass",'Statements (Raw)'!D376)),"Accrued Int.",IF(ISNUMBER(SEARCH("Interessi Prest",'Statements (Raw)'!D376)),"Sec. Lending",IF('Statements (Raw)'!G376="","Other",IF('Statements (Raw)'!G376&gt;0,"Buy","Sell"))))))))))))))))))))))</f>
        <v>Buy</v>
      </c>
      <c r="E378" s="6" t="str">
        <f t="shared" si="10"/>
        <v>ETF/ETC</v>
      </c>
      <c r="F378" s="8">
        <f>IF(A378="","",IF('Statements (Raw)'!E376="","",'Statements (Raw)'!E376))</f>
        <v>227.5</v>
      </c>
      <c r="G378" s="6" t="str">
        <f>IF(A378="","",IF('Statements (Raw)'!F376="","",'Statements (Raw)'!F376))</f>
        <v>EUR</v>
      </c>
      <c r="H378" s="9">
        <f>IF(A378="","",IF('Statements (Raw)'!G376="","",'Statements (Raw)'!G376))</f>
        <v>10</v>
      </c>
      <c r="I378" s="10">
        <f>IF(A378="","",IF('Statements (Raw)'!H376="","",'Statements (Raw)'!H376))</f>
        <v>-2275</v>
      </c>
      <c r="J378" s="10">
        <f>IF(A378="",0,IF('Statements (Raw)'!I376="",0,'Statements (Raw)'!I376))</f>
        <v>0</v>
      </c>
      <c r="K378" s="10">
        <f t="shared" si="11"/>
        <v>-2275</v>
      </c>
    </row>
    <row r="379" spans="1:11" x14ac:dyDescent="0.3">
      <c r="A379" s="171">
        <f>IF(OR('Statements (Raw)'!A377="",'Statements (Raw)'!A377&gt;Holdings!$G$3),"",'Statements (Raw)'!A377)</f>
        <v>46069</v>
      </c>
      <c r="B379" s="7">
        <f>IF(A379="","",IF('Statements (Raw)'!B377="","",'Statements (Raw)'!B377))</f>
        <v>46071</v>
      </c>
      <c r="C379" s="6" t="str">
        <f>IF(A379="","",IF('Statements (Raw)'!C377&lt;&gt;"",'Statements (Raw)'!C377,IF(ISNUMBER(SEARCH("Conferimento",'Statements (Raw)'!D377)),"CASH DEPOSIT",IF(ISNUMBER(SEARCH("Prelievo",'Statements (Raw)'!D377)),"CASH WITHDRAWAL",IF(ISNUMBER(SEARCH("Bollo",'Statements (Raw)'!D377)),"STAMP DUTY",IF(ISNUMBER(SEARCH("Tobin Tax",'Statements (Raw)'!D377)),"TOBIN TAX",IF(ISNUMBER(SEARCH("Rit.provento",'Statements (Raw)'!D377)),"WITHHOLDING TAX",IF(ISNUMBER(SEARCH("Incasso Dividendi",'Statements (Raw)'!D377)),"DIVIDEND",IF(ISNUMBER(SEARCH("Cedola",'Statements (Raw)'!D377)),"COUPON",IF(ISNUMBER(SEARCH("Ratei Pass",'Statements (Raw)'!D377)),"ACCRUED INT",IF(ISNUMBER(SEARCH("Interessi Prest",'Statements (Raw)'!D377)),"SEC LENDING",IF(ISNUMBER(SEARCH("Rimborso",'Statements (Raw)'!D377)),"REDEMPTION",IF(ISNUMBER(SEARCH("Provento",'Statements (Raw)'!D377)),"DISTRIBUTION","OTHER")))))))))))))</f>
        <v>TRIGANO SA</v>
      </c>
      <c r="D379" s="6" t="str">
        <f>IF(A379="","",IF(C379="Saldo Iniziale","Balance",IF(C379="CASH DEPOSIT","Deposit",IF(C379="CASH WITHDRAWAL","Withdrawal",IF(C379="STAMP DUTY","Tax",IF(C379="TOBIN TAX","Tax",IF(C379="WITHHOLDING TAX","Tax",IF(C379="DIVIDEND","Dividend",IF(C379="COUPON","Coupon",IF(C379="ACCRUED INT","Accrued Int.",IF(C379="SEC LENDING","Sec. Lending",IF(C379="REDEMPTION","Redemption",IF(C379="DISTRIBUTION","Distribution",IF(ISNUMBER(SEARCH("Rimborso",'Statements (Raw)'!D377)),"Redemption",IF(ISNUMBER(SEARCH("Cedola",'Statements (Raw)'!D377)),"Coupon",IF(ISNUMBER(SEARCH("Incasso Dividendi",'Statements (Raw)'!D377)),"Dividend",IF(ISNUMBER(SEARCH("Provento Etf",'Statements (Raw)'!D377)),"Distribution",IF(ISNUMBER(SEARCH("Rit.provento",'Statements (Raw)'!D377)),"Tax",IF(ISNUMBER(SEARCH("Ratei Pass",'Statements (Raw)'!D377)),"Accrued Int.",IF(ISNUMBER(SEARCH("Interessi Prest",'Statements (Raw)'!D377)),"Sec. Lending",IF('Statements (Raw)'!G377="","Other",IF('Statements (Raw)'!G377&gt;0,"Buy","Sell"))))))))))))))))))))))</f>
        <v>Buy</v>
      </c>
      <c r="E379" s="6" t="str">
        <f t="shared" si="10"/>
        <v>Stock</v>
      </c>
      <c r="F379" s="8">
        <f>IF(A379="","",IF('Statements (Raw)'!E377="","",'Statements (Raw)'!E377))</f>
        <v>170.6</v>
      </c>
      <c r="G379" s="6" t="str">
        <f>IF(A379="","",IF('Statements (Raw)'!F377="","",'Statements (Raw)'!F377))</f>
        <v>EUR</v>
      </c>
      <c r="H379" s="9">
        <f>IF(A379="","",IF('Statements (Raw)'!G377="","",'Statements (Raw)'!G377))</f>
        <v>39</v>
      </c>
      <c r="I379" s="10">
        <f>IF(A379="","",IF('Statements (Raw)'!H377="","",'Statements (Raw)'!H377))</f>
        <v>-6653.4</v>
      </c>
      <c r="J379" s="10">
        <f>IF(A379="",0,IF('Statements (Raw)'!I377="",0,'Statements (Raw)'!I377))</f>
        <v>-9.5</v>
      </c>
      <c r="K379" s="10">
        <f t="shared" si="11"/>
        <v>-6662.9</v>
      </c>
    </row>
    <row r="380" spans="1:11" x14ac:dyDescent="0.3">
      <c r="A380" s="171">
        <f>IF(OR('Statements (Raw)'!A378="",'Statements (Raw)'!A378&gt;Holdings!$G$3),"",'Statements (Raw)'!A378)</f>
        <v>46069</v>
      </c>
      <c r="B380" s="7">
        <f>IF(A380="","",IF('Statements (Raw)'!B378="","",'Statements (Raw)'!B378))</f>
        <v>46071</v>
      </c>
      <c r="C380" s="6" t="str">
        <f>IF(A380="","",IF('Statements (Raw)'!C378&lt;&gt;"",'Statements (Raw)'!C378,IF(ISNUMBER(SEARCH("Conferimento",'Statements (Raw)'!D378)),"CASH DEPOSIT",IF(ISNUMBER(SEARCH("Prelievo",'Statements (Raw)'!D378)),"CASH WITHDRAWAL",IF(ISNUMBER(SEARCH("Bollo",'Statements (Raw)'!D378)),"STAMP DUTY",IF(ISNUMBER(SEARCH("Tobin Tax",'Statements (Raw)'!D378)),"TOBIN TAX",IF(ISNUMBER(SEARCH("Rit.provento",'Statements (Raw)'!D378)),"WITHHOLDING TAX",IF(ISNUMBER(SEARCH("Incasso Dividendi",'Statements (Raw)'!D378)),"DIVIDEND",IF(ISNUMBER(SEARCH("Cedola",'Statements (Raw)'!D378)),"COUPON",IF(ISNUMBER(SEARCH("Ratei Pass",'Statements (Raw)'!D378)),"ACCRUED INT",IF(ISNUMBER(SEARCH("Interessi Prest",'Statements (Raw)'!D378)),"SEC LENDING",IF(ISNUMBER(SEARCH("Rimborso",'Statements (Raw)'!D378)),"REDEMPTION",IF(ISNUMBER(SEARCH("Provento",'Statements (Raw)'!D378)),"DISTRIBUTION","OTHER")))))))))))))</f>
        <v>TRIGANO SA</v>
      </c>
      <c r="D380" s="6" t="str">
        <f>IF(A380="","",IF(C380="Saldo Iniziale","Balance",IF(C380="CASH DEPOSIT","Deposit",IF(C380="CASH WITHDRAWAL","Withdrawal",IF(C380="STAMP DUTY","Tax",IF(C380="TOBIN TAX","Tax",IF(C380="WITHHOLDING TAX","Tax",IF(C380="DIVIDEND","Dividend",IF(C380="COUPON","Coupon",IF(C380="ACCRUED INT","Accrued Int.",IF(C380="SEC LENDING","Sec. Lending",IF(C380="REDEMPTION","Redemption",IF(C380="DISTRIBUTION","Distribution",IF(ISNUMBER(SEARCH("Rimborso",'Statements (Raw)'!D378)),"Redemption",IF(ISNUMBER(SEARCH("Cedola",'Statements (Raw)'!D378)),"Coupon",IF(ISNUMBER(SEARCH("Incasso Dividendi",'Statements (Raw)'!D378)),"Dividend",IF(ISNUMBER(SEARCH("Provento Etf",'Statements (Raw)'!D378)),"Distribution",IF(ISNUMBER(SEARCH("Rit.provento",'Statements (Raw)'!D378)),"Tax",IF(ISNUMBER(SEARCH("Ratei Pass",'Statements (Raw)'!D378)),"Accrued Int.",IF(ISNUMBER(SEARCH("Interessi Prest",'Statements (Raw)'!D378)),"Sec. Lending",IF('Statements (Raw)'!G378="","Other",IF('Statements (Raw)'!G378&gt;0,"Buy","Sell"))))))))))))))))))))))</f>
        <v>Buy</v>
      </c>
      <c r="E380" s="6" t="str">
        <f t="shared" si="10"/>
        <v>Stock</v>
      </c>
      <c r="F380" s="8">
        <f>IF(A380="","",IF('Statements (Raw)'!E378="","",'Statements (Raw)'!E378))</f>
        <v>170.6</v>
      </c>
      <c r="G380" s="6" t="str">
        <f>IF(A380="","",IF('Statements (Raw)'!F378="","",'Statements (Raw)'!F378))</f>
        <v>EUR</v>
      </c>
      <c r="H380" s="9">
        <f>IF(A380="","",IF('Statements (Raw)'!G378="","",'Statements (Raw)'!G378))</f>
        <v>61</v>
      </c>
      <c r="I380" s="10">
        <f>IF(A380="","",IF('Statements (Raw)'!H378="","",'Statements (Raw)'!H378))</f>
        <v>-10406.6</v>
      </c>
      <c r="J380" s="10">
        <f>IF(A380="",0,IF('Statements (Raw)'!I378="",0,'Statements (Raw)'!I378))</f>
        <v>0</v>
      </c>
      <c r="K380" s="10">
        <f t="shared" si="11"/>
        <v>-10406.6</v>
      </c>
    </row>
    <row r="381" spans="1:11" x14ac:dyDescent="0.3">
      <c r="A381" s="171">
        <f>IF(OR('Statements (Raw)'!A379="",'Statements (Raw)'!A379&gt;Holdings!$G$3),"",'Statements (Raw)'!A379)</f>
        <v>46069</v>
      </c>
      <c r="B381" s="7">
        <f>IF(A381="","",IF('Statements (Raw)'!B379="","",'Statements (Raw)'!B379))</f>
        <v>46071</v>
      </c>
      <c r="C381" s="6" t="str">
        <f>IF(A381="","",IF('Statements (Raw)'!C379&lt;&gt;"",'Statements (Raw)'!C379,IF(ISNUMBER(SEARCH("Conferimento",'Statements (Raw)'!D379)),"CASH DEPOSIT",IF(ISNUMBER(SEARCH("Prelievo",'Statements (Raw)'!D379)),"CASH WITHDRAWAL",IF(ISNUMBER(SEARCH("Bollo",'Statements (Raw)'!D379)),"STAMP DUTY",IF(ISNUMBER(SEARCH("Tobin Tax",'Statements (Raw)'!D379)),"TOBIN TAX",IF(ISNUMBER(SEARCH("Rit.provento",'Statements (Raw)'!D379)),"WITHHOLDING TAX",IF(ISNUMBER(SEARCH("Incasso Dividendi",'Statements (Raw)'!D379)),"DIVIDEND",IF(ISNUMBER(SEARCH("Cedola",'Statements (Raw)'!D379)),"COUPON",IF(ISNUMBER(SEARCH("Ratei Pass",'Statements (Raw)'!D379)),"ACCRUED INT",IF(ISNUMBER(SEARCH("Interessi Prest",'Statements (Raw)'!D379)),"SEC LENDING",IF(ISNUMBER(SEARCH("Rimborso",'Statements (Raw)'!D379)),"REDEMPTION",IF(ISNUMBER(SEARCH("Provento",'Statements (Raw)'!D379)),"DISTRIBUTION","OTHER")))))))))))))</f>
        <v>WisdomTree Europe Defence UCIT</v>
      </c>
      <c r="D381" s="6" t="str">
        <f>IF(A381="","",IF(C381="Saldo Iniziale","Balance",IF(C381="CASH DEPOSIT","Deposit",IF(C381="CASH WITHDRAWAL","Withdrawal",IF(C381="STAMP DUTY","Tax",IF(C381="TOBIN TAX","Tax",IF(C381="WITHHOLDING TAX","Tax",IF(C381="DIVIDEND","Dividend",IF(C381="COUPON","Coupon",IF(C381="ACCRUED INT","Accrued Int.",IF(C381="SEC LENDING","Sec. Lending",IF(C381="REDEMPTION","Redemption",IF(C381="DISTRIBUTION","Distribution",IF(ISNUMBER(SEARCH("Rimborso",'Statements (Raw)'!D379)),"Redemption",IF(ISNUMBER(SEARCH("Cedola",'Statements (Raw)'!D379)),"Coupon",IF(ISNUMBER(SEARCH("Incasso Dividendi",'Statements (Raw)'!D379)),"Dividend",IF(ISNUMBER(SEARCH("Provento Etf",'Statements (Raw)'!D379)),"Distribution",IF(ISNUMBER(SEARCH("Rit.provento",'Statements (Raw)'!D379)),"Tax",IF(ISNUMBER(SEARCH("Ratei Pass",'Statements (Raw)'!D379)),"Accrued Int.",IF(ISNUMBER(SEARCH("Interessi Prest",'Statements (Raw)'!D379)),"Sec. Lending",IF('Statements (Raw)'!G379="","Other",IF('Statements (Raw)'!G379&gt;0,"Buy","Sell"))))))))))))))))))))))</f>
        <v>Buy</v>
      </c>
      <c r="E381" s="6" t="str">
        <f t="shared" si="10"/>
        <v>ETF/ETC</v>
      </c>
      <c r="F381" s="8">
        <f>IF(A381="","",IF('Statements (Raw)'!E379="","",'Statements (Raw)'!E379))</f>
        <v>33.914999999999999</v>
      </c>
      <c r="G381" s="6" t="str">
        <f>IF(A381="","",IF('Statements (Raw)'!F379="","",'Statements (Raw)'!F379))</f>
        <v>EUR</v>
      </c>
      <c r="H381" s="9">
        <f>IF(A381="","",IF('Statements (Raw)'!G379="","",'Statements (Raw)'!G379))</f>
        <v>29</v>
      </c>
      <c r="I381" s="10">
        <f>IF(A381="","",IF('Statements (Raw)'!H379="","",'Statements (Raw)'!H379))</f>
        <v>-983.54</v>
      </c>
      <c r="J381" s="10">
        <f>IF(A381="",0,IF('Statements (Raw)'!I379="",0,'Statements (Raw)'!I379))</f>
        <v>0</v>
      </c>
      <c r="K381" s="10">
        <f t="shared" si="11"/>
        <v>-983.54</v>
      </c>
    </row>
    <row r="382" spans="1:11" x14ac:dyDescent="0.3">
      <c r="A382" s="171">
        <f>IF(OR('Statements (Raw)'!A380="",'Statements (Raw)'!A380&gt;Holdings!$G$3),"",'Statements (Raw)'!A380)</f>
        <v>46069</v>
      </c>
      <c r="B382" s="7">
        <f>IF(A382="","",IF('Statements (Raw)'!B380="","",'Statements (Raw)'!B380))</f>
        <v>46071</v>
      </c>
      <c r="C382" s="6" t="str">
        <f>IF(A382="","",IF('Statements (Raw)'!C380&lt;&gt;"",'Statements (Raw)'!C380,IF(ISNUMBER(SEARCH("Conferimento",'Statements (Raw)'!D380)),"CASH DEPOSIT",IF(ISNUMBER(SEARCH("Prelievo",'Statements (Raw)'!D380)),"CASH WITHDRAWAL",IF(ISNUMBER(SEARCH("Bollo",'Statements (Raw)'!D380)),"STAMP DUTY",IF(ISNUMBER(SEARCH("Tobin Tax",'Statements (Raw)'!D380)),"TOBIN TAX",IF(ISNUMBER(SEARCH("Rit.provento",'Statements (Raw)'!D380)),"WITHHOLDING TAX",IF(ISNUMBER(SEARCH("Incasso Dividendi",'Statements (Raw)'!D380)),"DIVIDEND",IF(ISNUMBER(SEARCH("Cedola",'Statements (Raw)'!D380)),"COUPON",IF(ISNUMBER(SEARCH("Ratei Pass",'Statements (Raw)'!D380)),"ACCRUED INT",IF(ISNUMBER(SEARCH("Interessi Prest",'Statements (Raw)'!D380)),"SEC LENDING",IF(ISNUMBER(SEARCH("Rimborso",'Statements (Raw)'!D380)),"REDEMPTION",IF(ISNUMBER(SEARCH("Provento",'Statements (Raw)'!D380)),"DISTRIBUTION","OTHER")))))))))))))</f>
        <v>ISHARES FTSE MIB UCITS ETF EUR</v>
      </c>
      <c r="D382" s="6" t="str">
        <f>IF(A382="","",IF(C382="Saldo Iniziale","Balance",IF(C382="CASH DEPOSIT","Deposit",IF(C382="CASH WITHDRAWAL","Withdrawal",IF(C382="STAMP DUTY","Tax",IF(C382="TOBIN TAX","Tax",IF(C382="WITHHOLDING TAX","Tax",IF(C382="DIVIDEND","Dividend",IF(C382="COUPON","Coupon",IF(C382="ACCRUED INT","Accrued Int.",IF(C382="SEC LENDING","Sec. Lending",IF(C382="REDEMPTION","Redemption",IF(C382="DISTRIBUTION","Distribution",IF(ISNUMBER(SEARCH("Rimborso",'Statements (Raw)'!D380)),"Redemption",IF(ISNUMBER(SEARCH("Cedola",'Statements (Raw)'!D380)),"Coupon",IF(ISNUMBER(SEARCH("Incasso Dividendi",'Statements (Raw)'!D380)),"Dividend",IF(ISNUMBER(SEARCH("Provento Etf",'Statements (Raw)'!D380)),"Distribution",IF(ISNUMBER(SEARCH("Rit.provento",'Statements (Raw)'!D380)),"Tax",IF(ISNUMBER(SEARCH("Ratei Pass",'Statements (Raw)'!D380)),"Accrued Int.",IF(ISNUMBER(SEARCH("Interessi Prest",'Statements (Raw)'!D380)),"Sec. Lending",IF('Statements (Raw)'!G380="","Other",IF('Statements (Raw)'!G380&gt;0,"Buy","Sell"))))))))))))))))))))))</f>
        <v>Buy</v>
      </c>
      <c r="E382" s="6" t="str">
        <f t="shared" si="10"/>
        <v>ETF/ETC</v>
      </c>
      <c r="F382" s="8">
        <f>IF(A382="","",IF('Statements (Raw)'!E380="","",'Statements (Raw)'!E380))</f>
        <v>220.9</v>
      </c>
      <c r="G382" s="6" t="str">
        <f>IF(A382="","",IF('Statements (Raw)'!F380="","",'Statements (Raw)'!F380))</f>
        <v>EUR</v>
      </c>
      <c r="H382" s="9">
        <f>IF(A382="","",IF('Statements (Raw)'!G380="","",'Statements (Raw)'!G380))</f>
        <v>11</v>
      </c>
      <c r="I382" s="10">
        <f>IF(A382="","",IF('Statements (Raw)'!H380="","",'Statements (Raw)'!H380))</f>
        <v>-2429.9</v>
      </c>
      <c r="J382" s="10">
        <f>IF(A382="",0,IF('Statements (Raw)'!I380="",0,'Statements (Raw)'!I380))</f>
        <v>0</v>
      </c>
      <c r="K382" s="10">
        <f t="shared" si="11"/>
        <v>-2429.9</v>
      </c>
    </row>
    <row r="383" spans="1:11" x14ac:dyDescent="0.3">
      <c r="A383" s="171">
        <f>IF(OR('Statements (Raw)'!A381="",'Statements (Raw)'!A381&gt;Holdings!$G$3),"",'Statements (Raw)'!A381)</f>
        <v>46069</v>
      </c>
      <c r="B383" s="7">
        <f>IF(A383="","",IF('Statements (Raw)'!B381="","",'Statements (Raw)'!B381))</f>
        <v>46071</v>
      </c>
      <c r="C383" s="6" t="str">
        <f>IF(A383="","",IF('Statements (Raw)'!C381&lt;&gt;"",'Statements (Raw)'!C381,IF(ISNUMBER(SEARCH("Conferimento",'Statements (Raw)'!D381)),"CASH DEPOSIT",IF(ISNUMBER(SEARCH("Prelievo",'Statements (Raw)'!D381)),"CASH WITHDRAWAL",IF(ISNUMBER(SEARCH("Bollo",'Statements (Raw)'!D381)),"STAMP DUTY",IF(ISNUMBER(SEARCH("Tobin Tax",'Statements (Raw)'!D381)),"TOBIN TAX",IF(ISNUMBER(SEARCH("Rit.provento",'Statements (Raw)'!D381)),"WITHHOLDING TAX",IF(ISNUMBER(SEARCH("Incasso Dividendi",'Statements (Raw)'!D381)),"DIVIDEND",IF(ISNUMBER(SEARCH("Cedola",'Statements (Raw)'!D381)),"COUPON",IF(ISNUMBER(SEARCH("Ratei Pass",'Statements (Raw)'!D381)),"ACCRUED INT",IF(ISNUMBER(SEARCH("Interessi Prest",'Statements (Raw)'!D381)),"SEC LENDING",IF(ISNUMBER(SEARCH("Rimborso",'Statements (Raw)'!D381)),"REDEMPTION",IF(ISNUMBER(SEARCH("Provento",'Statements (Raw)'!D381)),"DISTRIBUTION","OTHER")))))))))))))</f>
        <v>TOBIN TAX</v>
      </c>
      <c r="D383" s="6" t="str">
        <f>IF(A383="","",IF(C383="Saldo Iniziale","Balance",IF(C383="CASH DEPOSIT","Deposit",IF(C383="CASH WITHDRAWAL","Withdrawal",IF(C383="STAMP DUTY","Tax",IF(C383="TOBIN TAX","Tax",IF(C383="WITHHOLDING TAX","Tax",IF(C383="DIVIDEND","Dividend",IF(C383="COUPON","Coupon",IF(C383="ACCRUED INT","Accrued Int.",IF(C383="SEC LENDING","Sec. Lending",IF(C383="REDEMPTION","Redemption",IF(C383="DISTRIBUTION","Distribution",IF(ISNUMBER(SEARCH("Rimborso",'Statements (Raw)'!D381)),"Redemption",IF(ISNUMBER(SEARCH("Cedola",'Statements (Raw)'!D381)),"Coupon",IF(ISNUMBER(SEARCH("Incasso Dividendi",'Statements (Raw)'!D381)),"Dividend",IF(ISNUMBER(SEARCH("Provento Etf",'Statements (Raw)'!D381)),"Distribution",IF(ISNUMBER(SEARCH("Rit.provento",'Statements (Raw)'!D381)),"Tax",IF(ISNUMBER(SEARCH("Ratei Pass",'Statements (Raw)'!D381)),"Accrued Int.",IF(ISNUMBER(SEARCH("Interessi Prest",'Statements (Raw)'!D381)),"Sec. Lending",IF('Statements (Raw)'!G381="","Other",IF('Statements (Raw)'!G381&gt;0,"Buy","Sell"))))))))))))))))))))))</f>
        <v>Tax</v>
      </c>
      <c r="E383" s="6" t="str">
        <f t="shared" si="10"/>
        <v>Tax/Fee</v>
      </c>
      <c r="F383" s="8" t="str">
        <f>IF(A383="","",IF('Statements (Raw)'!E381="","",'Statements (Raw)'!E381))</f>
        <v/>
      </c>
      <c r="G383" s="6" t="str">
        <f>IF(A383="","",IF('Statements (Raw)'!F381="","",'Statements (Raw)'!F381))</f>
        <v/>
      </c>
      <c r="H383" s="9" t="str">
        <f>IF(A383="","",IF('Statements (Raw)'!G381="","",'Statements (Raw)'!G381))</f>
        <v/>
      </c>
      <c r="I383" s="10">
        <f>IF(A383="","",IF('Statements (Raw)'!H381="","",'Statements (Raw)'!H381))</f>
        <v>-68.239999999999995</v>
      </c>
      <c r="J383" s="10">
        <f>IF(A383="",0,IF('Statements (Raw)'!I381="",0,'Statements (Raw)'!I381))</f>
        <v>0</v>
      </c>
      <c r="K383" s="10">
        <f t="shared" si="11"/>
        <v>-68.239999999999995</v>
      </c>
    </row>
    <row r="384" spans="1:11" x14ac:dyDescent="0.3">
      <c r="A384" s="171">
        <f>IF(OR('Statements (Raw)'!A382="",'Statements (Raw)'!A382&gt;Holdings!$G$3),"",'Statements (Raw)'!A382)</f>
        <v>46071</v>
      </c>
      <c r="B384" s="7">
        <f>IF(A384="","",IF('Statements (Raw)'!B382="","",'Statements (Raw)'!B382))</f>
        <v>46073</v>
      </c>
      <c r="C384" s="6" t="str">
        <f>IF(A384="","",IF('Statements (Raw)'!C382&lt;&gt;"",'Statements (Raw)'!C382,IF(ISNUMBER(SEARCH("Conferimento",'Statements (Raw)'!D382)),"CASH DEPOSIT",IF(ISNUMBER(SEARCH("Prelievo",'Statements (Raw)'!D382)),"CASH WITHDRAWAL",IF(ISNUMBER(SEARCH("Bollo",'Statements (Raw)'!D382)),"STAMP DUTY",IF(ISNUMBER(SEARCH("Tobin Tax",'Statements (Raw)'!D382)),"TOBIN TAX",IF(ISNUMBER(SEARCH("Rit.provento",'Statements (Raw)'!D382)),"WITHHOLDING TAX",IF(ISNUMBER(SEARCH("Incasso Dividendi",'Statements (Raw)'!D382)),"DIVIDEND",IF(ISNUMBER(SEARCH("Cedola",'Statements (Raw)'!D382)),"COUPON",IF(ISNUMBER(SEARCH("Ratei Pass",'Statements (Raw)'!D382)),"ACCRUED INT",IF(ISNUMBER(SEARCH("Interessi Prest",'Statements (Raw)'!D382)),"SEC LENDING",IF(ISNUMBER(SEARCH("Rimborso",'Statements (Raw)'!D382)),"REDEMPTION",IF(ISNUMBER(SEARCH("Provento",'Statements (Raw)'!D382)),"DISTRIBUTION","OTHER")))))))))))))</f>
        <v>MEDIOBANCA</v>
      </c>
      <c r="D384" s="6" t="str">
        <f>IF(A384="","",IF(C384="Saldo Iniziale","Balance",IF(C384="CASH DEPOSIT","Deposit",IF(C384="CASH WITHDRAWAL","Withdrawal",IF(C384="STAMP DUTY","Tax",IF(C384="TOBIN TAX","Tax",IF(C384="WITHHOLDING TAX","Tax",IF(C384="DIVIDEND","Dividend",IF(C384="COUPON","Coupon",IF(C384="ACCRUED INT","Accrued Int.",IF(C384="SEC LENDING","Sec. Lending",IF(C384="REDEMPTION","Redemption",IF(C384="DISTRIBUTION","Distribution",IF(ISNUMBER(SEARCH("Rimborso",'Statements (Raw)'!D382)),"Redemption",IF(ISNUMBER(SEARCH("Cedola",'Statements (Raw)'!D382)),"Coupon",IF(ISNUMBER(SEARCH("Incasso Dividendi",'Statements (Raw)'!D382)),"Dividend",IF(ISNUMBER(SEARCH("Provento Etf",'Statements (Raw)'!D382)),"Distribution",IF(ISNUMBER(SEARCH("Rit.provento",'Statements (Raw)'!D382)),"Tax",IF(ISNUMBER(SEARCH("Ratei Pass",'Statements (Raw)'!D382)),"Accrued Int.",IF(ISNUMBER(SEARCH("Interessi Prest",'Statements (Raw)'!D382)),"Sec. Lending",IF('Statements (Raw)'!G382="","Other",IF('Statements (Raw)'!G382&gt;0,"Buy","Sell"))))))))))))))))))))))</f>
        <v>Sell</v>
      </c>
      <c r="E384" s="6" t="str">
        <f t="shared" si="10"/>
        <v>Stock</v>
      </c>
      <c r="F384" s="8">
        <f>IF(A384="","",IF('Statements (Raw)'!E382="","",'Statements (Raw)'!E382))</f>
        <v>19.16</v>
      </c>
      <c r="G384" s="6" t="str">
        <f>IF(A384="","",IF('Statements (Raw)'!F382="","",'Statements (Raw)'!F382))</f>
        <v>EUR</v>
      </c>
      <c r="H384" s="9">
        <f>IF(A384="","",IF('Statements (Raw)'!G382="","",'Statements (Raw)'!G382))</f>
        <v>-150</v>
      </c>
      <c r="I384" s="10">
        <f>IF(A384="","",IF('Statements (Raw)'!H382="","",'Statements (Raw)'!H382))</f>
        <v>2874</v>
      </c>
      <c r="J384" s="10">
        <f>IF(A384="",0,IF('Statements (Raw)'!I382="",0,'Statements (Raw)'!I382))</f>
        <v>-5</v>
      </c>
      <c r="K384" s="10">
        <f t="shared" si="11"/>
        <v>2869</v>
      </c>
    </row>
    <row r="385" spans="1:11" x14ac:dyDescent="0.3">
      <c r="A385" s="171">
        <f>IF(OR('Statements (Raw)'!A383="",'Statements (Raw)'!A383&gt;Holdings!$G$3),"",'Statements (Raw)'!A383)</f>
        <v>46071</v>
      </c>
      <c r="B385" s="7">
        <f>IF(A385="","",IF('Statements (Raw)'!B383="","",'Statements (Raw)'!B383))</f>
        <v>46073</v>
      </c>
      <c r="C385" s="6" t="str">
        <f>IF(A385="","",IF('Statements (Raw)'!C383&lt;&gt;"",'Statements (Raw)'!C383,IF(ISNUMBER(SEARCH("Conferimento",'Statements (Raw)'!D383)),"CASH DEPOSIT",IF(ISNUMBER(SEARCH("Prelievo",'Statements (Raw)'!D383)),"CASH WITHDRAWAL",IF(ISNUMBER(SEARCH("Bollo",'Statements (Raw)'!D383)),"STAMP DUTY",IF(ISNUMBER(SEARCH("Tobin Tax",'Statements (Raw)'!D383)),"TOBIN TAX",IF(ISNUMBER(SEARCH("Rit.provento",'Statements (Raw)'!D383)),"WITHHOLDING TAX",IF(ISNUMBER(SEARCH("Incasso Dividendi",'Statements (Raw)'!D383)),"DIVIDEND",IF(ISNUMBER(SEARCH("Cedola",'Statements (Raw)'!D383)),"COUPON",IF(ISNUMBER(SEARCH("Ratei Pass",'Statements (Raw)'!D383)),"ACCRUED INT",IF(ISNUMBER(SEARCH("Interessi Prest",'Statements (Raw)'!D383)),"SEC LENDING",IF(ISNUMBER(SEARCH("Rimborso",'Statements (Raw)'!D383)),"REDEMPTION",IF(ISNUMBER(SEARCH("Provento",'Statements (Raw)'!D383)),"DISTRIBUTION","OTHER")))))))))))))</f>
        <v>MEDIOBANCA</v>
      </c>
      <c r="D385" s="6" t="str">
        <f>IF(A385="","",IF(C385="Saldo Iniziale","Balance",IF(C385="CASH DEPOSIT","Deposit",IF(C385="CASH WITHDRAWAL","Withdrawal",IF(C385="STAMP DUTY","Tax",IF(C385="TOBIN TAX","Tax",IF(C385="WITHHOLDING TAX","Tax",IF(C385="DIVIDEND","Dividend",IF(C385="COUPON","Coupon",IF(C385="ACCRUED INT","Accrued Int.",IF(C385="SEC LENDING","Sec. Lending",IF(C385="REDEMPTION","Redemption",IF(C385="DISTRIBUTION","Distribution",IF(ISNUMBER(SEARCH("Rimborso",'Statements (Raw)'!D383)),"Redemption",IF(ISNUMBER(SEARCH("Cedola",'Statements (Raw)'!D383)),"Coupon",IF(ISNUMBER(SEARCH("Incasso Dividendi",'Statements (Raw)'!D383)),"Dividend",IF(ISNUMBER(SEARCH("Provento Etf",'Statements (Raw)'!D383)),"Distribution",IF(ISNUMBER(SEARCH("Rit.provento",'Statements (Raw)'!D383)),"Tax",IF(ISNUMBER(SEARCH("Ratei Pass",'Statements (Raw)'!D383)),"Accrued Int.",IF(ISNUMBER(SEARCH("Interessi Prest",'Statements (Raw)'!D383)),"Sec. Lending",IF('Statements (Raw)'!G383="","Other",IF('Statements (Raw)'!G383&gt;0,"Buy","Sell"))))))))))))))))))))))</f>
        <v>Sell</v>
      </c>
      <c r="E385" s="6" t="str">
        <f t="shared" si="10"/>
        <v>Stock</v>
      </c>
      <c r="F385" s="8">
        <f>IF(A385="","",IF('Statements (Raw)'!E383="","",'Statements (Raw)'!E383))</f>
        <v>19.16</v>
      </c>
      <c r="G385" s="6" t="str">
        <f>IF(A385="","",IF('Statements (Raw)'!F383="","",'Statements (Raw)'!F383))</f>
        <v>EUR</v>
      </c>
      <c r="H385" s="9">
        <f>IF(A385="","",IF('Statements (Raw)'!G383="","",'Statements (Raw)'!G383))</f>
        <v>-111</v>
      </c>
      <c r="I385" s="10">
        <f>IF(A385="","",IF('Statements (Raw)'!H383="","",'Statements (Raw)'!H383))</f>
        <v>2126.7600000000002</v>
      </c>
      <c r="J385" s="10">
        <f>IF(A385="",0,IF('Statements (Raw)'!I383="",0,'Statements (Raw)'!I383))</f>
        <v>0</v>
      </c>
      <c r="K385" s="10">
        <f t="shared" si="11"/>
        <v>2126.7600000000002</v>
      </c>
    </row>
    <row r="386" spans="1:11" x14ac:dyDescent="0.3">
      <c r="A386" s="171">
        <f>IF(OR('Statements (Raw)'!A384="",'Statements (Raw)'!A384&gt;Holdings!$G$3),"",'Statements (Raw)'!A384)</f>
        <v>46071</v>
      </c>
      <c r="B386" s="7">
        <f>IF(A386="","",IF('Statements (Raw)'!B384="","",'Statements (Raw)'!B384))</f>
        <v>46073</v>
      </c>
      <c r="C386" s="6" t="str">
        <f>IF(A386="","",IF('Statements (Raw)'!C384&lt;&gt;"",'Statements (Raw)'!C384,IF(ISNUMBER(SEARCH("Conferimento",'Statements (Raw)'!D384)),"CASH DEPOSIT",IF(ISNUMBER(SEARCH("Prelievo",'Statements (Raw)'!D384)),"CASH WITHDRAWAL",IF(ISNUMBER(SEARCH("Bollo",'Statements (Raw)'!D384)),"STAMP DUTY",IF(ISNUMBER(SEARCH("Tobin Tax",'Statements (Raw)'!D384)),"TOBIN TAX",IF(ISNUMBER(SEARCH("Rit.provento",'Statements (Raw)'!D384)),"WITHHOLDING TAX",IF(ISNUMBER(SEARCH("Incasso Dividendi",'Statements (Raw)'!D384)),"DIVIDEND",IF(ISNUMBER(SEARCH("Cedola",'Statements (Raw)'!D384)),"COUPON",IF(ISNUMBER(SEARCH("Ratei Pass",'Statements (Raw)'!D384)),"ACCRUED INT",IF(ISNUMBER(SEARCH("Interessi Prest",'Statements (Raw)'!D384)),"SEC LENDING",IF(ISNUMBER(SEARCH("Rimborso",'Statements (Raw)'!D384)),"REDEMPTION",IF(ISNUMBER(SEARCH("Provento",'Statements (Raw)'!D384)),"DISTRIBUTION","OTHER")))))))))))))</f>
        <v>MEDIOBANCA</v>
      </c>
      <c r="D386" s="6" t="str">
        <f>IF(A386="","",IF(C386="Saldo Iniziale","Balance",IF(C386="CASH DEPOSIT","Deposit",IF(C386="CASH WITHDRAWAL","Withdrawal",IF(C386="STAMP DUTY","Tax",IF(C386="TOBIN TAX","Tax",IF(C386="WITHHOLDING TAX","Tax",IF(C386="DIVIDEND","Dividend",IF(C386="COUPON","Coupon",IF(C386="ACCRUED INT","Accrued Int.",IF(C386="SEC LENDING","Sec. Lending",IF(C386="REDEMPTION","Redemption",IF(C386="DISTRIBUTION","Distribution",IF(ISNUMBER(SEARCH("Rimborso",'Statements (Raw)'!D384)),"Redemption",IF(ISNUMBER(SEARCH("Cedola",'Statements (Raw)'!D384)),"Coupon",IF(ISNUMBER(SEARCH("Incasso Dividendi",'Statements (Raw)'!D384)),"Dividend",IF(ISNUMBER(SEARCH("Provento Etf",'Statements (Raw)'!D384)),"Distribution",IF(ISNUMBER(SEARCH("Rit.provento",'Statements (Raw)'!D384)),"Tax",IF(ISNUMBER(SEARCH("Ratei Pass",'Statements (Raw)'!D384)),"Accrued Int.",IF(ISNUMBER(SEARCH("Interessi Prest",'Statements (Raw)'!D384)),"Sec. Lending",IF('Statements (Raw)'!G384="","Other",IF('Statements (Raw)'!G384&gt;0,"Buy","Sell"))))))))))))))))))))))</f>
        <v>Sell</v>
      </c>
      <c r="E386" s="6" t="str">
        <f t="shared" si="10"/>
        <v>Stock</v>
      </c>
      <c r="F386" s="8">
        <f>IF(A386="","",IF('Statements (Raw)'!E384="","",'Statements (Raw)'!E384))</f>
        <v>19.155000000000001</v>
      </c>
      <c r="G386" s="6" t="str">
        <f>IF(A386="","",IF('Statements (Raw)'!F384="","",'Statements (Raw)'!F384))</f>
        <v>EUR</v>
      </c>
      <c r="H386" s="9">
        <f>IF(A386="","",IF('Statements (Raw)'!G384="","",'Statements (Raw)'!G384))</f>
        <v>-12</v>
      </c>
      <c r="I386" s="10">
        <f>IF(A386="","",IF('Statements (Raw)'!H384="","",'Statements (Raw)'!H384))</f>
        <v>229.86</v>
      </c>
      <c r="J386" s="10">
        <f>IF(A386="",0,IF('Statements (Raw)'!I384="",0,'Statements (Raw)'!I384))</f>
        <v>0</v>
      </c>
      <c r="K386" s="10">
        <f t="shared" si="11"/>
        <v>229.86</v>
      </c>
    </row>
    <row r="387" spans="1:11" x14ac:dyDescent="0.3">
      <c r="A387" s="171">
        <f>IF(OR('Statements (Raw)'!A385="",'Statements (Raw)'!A385&gt;Holdings!$G$3),"",'Statements (Raw)'!A385)</f>
        <v>46071</v>
      </c>
      <c r="B387" s="7">
        <f>IF(A387="","",IF('Statements (Raw)'!B385="","",'Statements (Raw)'!B385))</f>
        <v>46073</v>
      </c>
      <c r="C387" s="6" t="str">
        <f>IF(A387="","",IF('Statements (Raw)'!C385&lt;&gt;"",'Statements (Raw)'!C385,IF(ISNUMBER(SEARCH("Conferimento",'Statements (Raw)'!D385)),"CASH DEPOSIT",IF(ISNUMBER(SEARCH("Prelievo",'Statements (Raw)'!D385)),"CASH WITHDRAWAL",IF(ISNUMBER(SEARCH("Bollo",'Statements (Raw)'!D385)),"STAMP DUTY",IF(ISNUMBER(SEARCH("Tobin Tax",'Statements (Raw)'!D385)),"TOBIN TAX",IF(ISNUMBER(SEARCH("Rit.provento",'Statements (Raw)'!D385)),"WITHHOLDING TAX",IF(ISNUMBER(SEARCH("Incasso Dividendi",'Statements (Raw)'!D385)),"DIVIDEND",IF(ISNUMBER(SEARCH("Cedola",'Statements (Raw)'!D385)),"COUPON",IF(ISNUMBER(SEARCH("Ratei Pass",'Statements (Raw)'!D385)),"ACCRUED INT",IF(ISNUMBER(SEARCH("Interessi Prest",'Statements (Raw)'!D385)),"SEC LENDING",IF(ISNUMBER(SEARCH("Rimborso",'Statements (Raw)'!D385)),"REDEMPTION",IF(ISNUMBER(SEARCH("Provento",'Statements (Raw)'!D385)),"DISTRIBUTION","OTHER")))))))))))))</f>
        <v>MEDIOBANCA</v>
      </c>
      <c r="D387" s="6" t="str">
        <f>IF(A387="","",IF(C387="Saldo Iniziale","Balance",IF(C387="CASH DEPOSIT","Deposit",IF(C387="CASH WITHDRAWAL","Withdrawal",IF(C387="STAMP DUTY","Tax",IF(C387="TOBIN TAX","Tax",IF(C387="WITHHOLDING TAX","Tax",IF(C387="DIVIDEND","Dividend",IF(C387="COUPON","Coupon",IF(C387="ACCRUED INT","Accrued Int.",IF(C387="SEC LENDING","Sec. Lending",IF(C387="REDEMPTION","Redemption",IF(C387="DISTRIBUTION","Distribution",IF(ISNUMBER(SEARCH("Rimborso",'Statements (Raw)'!D385)),"Redemption",IF(ISNUMBER(SEARCH("Cedola",'Statements (Raw)'!D385)),"Coupon",IF(ISNUMBER(SEARCH("Incasso Dividendi",'Statements (Raw)'!D385)),"Dividend",IF(ISNUMBER(SEARCH("Provento Etf",'Statements (Raw)'!D385)),"Distribution",IF(ISNUMBER(SEARCH("Rit.provento",'Statements (Raw)'!D385)),"Tax",IF(ISNUMBER(SEARCH("Ratei Pass",'Statements (Raw)'!D385)),"Accrued Int.",IF(ISNUMBER(SEARCH("Interessi Prest",'Statements (Raw)'!D385)),"Sec. Lending",IF('Statements (Raw)'!G385="","Other",IF('Statements (Raw)'!G385&gt;0,"Buy","Sell"))))))))))))))))))))))</f>
        <v>Sell</v>
      </c>
      <c r="E387" s="6" t="str">
        <f t="shared" si="10"/>
        <v>Stock</v>
      </c>
      <c r="F387" s="8">
        <f>IF(A387="","",IF('Statements (Raw)'!E385="","",'Statements (Raw)'!E385))</f>
        <v>19.155000000000001</v>
      </c>
      <c r="G387" s="6" t="str">
        <f>IF(A387="","",IF('Statements (Raw)'!F385="","",'Statements (Raw)'!F385))</f>
        <v>EUR</v>
      </c>
      <c r="H387" s="9">
        <f>IF(A387="","",IF('Statements (Raw)'!G385="","",'Statements (Raw)'!G385))</f>
        <v>-727</v>
      </c>
      <c r="I387" s="10">
        <f>IF(A387="","",IF('Statements (Raw)'!H385="","",'Statements (Raw)'!H385))</f>
        <v>13925.69</v>
      </c>
      <c r="J387" s="10">
        <f>IF(A387="",0,IF('Statements (Raw)'!I385="",0,'Statements (Raw)'!I385))</f>
        <v>0</v>
      </c>
      <c r="K387" s="10">
        <f t="shared" si="11"/>
        <v>13925.69</v>
      </c>
    </row>
    <row r="388" spans="1:11" x14ac:dyDescent="0.3">
      <c r="A388" s="171">
        <f>IF(OR('Statements (Raw)'!A386="",'Statements (Raw)'!A386&gt;Holdings!$G$3),"",'Statements (Raw)'!A386)</f>
        <v>46072</v>
      </c>
      <c r="B388" s="7">
        <f>IF(A388="","",IF('Statements (Raw)'!B386="","",'Statements (Raw)'!B386))</f>
        <v>46076</v>
      </c>
      <c r="C388" s="6" t="str">
        <f>IF(A388="","",IF('Statements (Raw)'!C386&lt;&gt;"",'Statements (Raw)'!C386,IF(ISNUMBER(SEARCH("Conferimento",'Statements (Raw)'!D386)),"CASH DEPOSIT",IF(ISNUMBER(SEARCH("Prelievo",'Statements (Raw)'!D386)),"CASH WITHDRAWAL",IF(ISNUMBER(SEARCH("Bollo",'Statements (Raw)'!D386)),"STAMP DUTY",IF(ISNUMBER(SEARCH("Tobin Tax",'Statements (Raw)'!D386)),"TOBIN TAX",IF(ISNUMBER(SEARCH("Rit.provento",'Statements (Raw)'!D386)),"WITHHOLDING TAX",IF(ISNUMBER(SEARCH("Incasso Dividendi",'Statements (Raw)'!D386)),"DIVIDEND",IF(ISNUMBER(SEARCH("Cedola",'Statements (Raw)'!D386)),"COUPON",IF(ISNUMBER(SEARCH("Ratei Pass",'Statements (Raw)'!D386)),"ACCRUED INT",IF(ISNUMBER(SEARCH("Interessi Prest",'Statements (Raw)'!D386)),"SEC LENDING",IF(ISNUMBER(SEARCH("Rimborso",'Statements (Raw)'!D386)),"REDEMPTION",IF(ISNUMBER(SEARCH("Provento",'Statements (Raw)'!D386)),"DISTRIBUTION","OTHER")))))))))))))</f>
        <v>INTERPUMP GROUP</v>
      </c>
      <c r="D388" s="6" t="str">
        <f>IF(A388="","",IF(C388="Saldo Iniziale","Balance",IF(C388="CASH DEPOSIT","Deposit",IF(C388="CASH WITHDRAWAL","Withdrawal",IF(C388="STAMP DUTY","Tax",IF(C388="TOBIN TAX","Tax",IF(C388="WITHHOLDING TAX","Tax",IF(C388="DIVIDEND","Dividend",IF(C388="COUPON","Coupon",IF(C388="ACCRUED INT","Accrued Int.",IF(C388="SEC LENDING","Sec. Lending",IF(C388="REDEMPTION","Redemption",IF(C388="DISTRIBUTION","Distribution",IF(ISNUMBER(SEARCH("Rimborso",'Statements (Raw)'!D386)),"Redemption",IF(ISNUMBER(SEARCH("Cedola",'Statements (Raw)'!D386)),"Coupon",IF(ISNUMBER(SEARCH("Incasso Dividendi",'Statements (Raw)'!D386)),"Dividend",IF(ISNUMBER(SEARCH("Provento Etf",'Statements (Raw)'!D386)),"Distribution",IF(ISNUMBER(SEARCH("Rit.provento",'Statements (Raw)'!D386)),"Tax",IF(ISNUMBER(SEARCH("Ratei Pass",'Statements (Raw)'!D386)),"Accrued Int.",IF(ISNUMBER(SEARCH("Interessi Prest",'Statements (Raw)'!D386)),"Sec. Lending",IF('Statements (Raw)'!G386="","Other",IF('Statements (Raw)'!G386&gt;0,"Buy","Sell"))))))))))))))))))))))</f>
        <v>Buy</v>
      </c>
      <c r="E388" s="6" t="str">
        <f t="shared" si="10"/>
        <v>Stock</v>
      </c>
      <c r="F388" s="8">
        <f>IF(A388="","",IF('Statements (Raw)'!E386="","",'Statements (Raw)'!E386))</f>
        <v>39.04</v>
      </c>
      <c r="G388" s="6" t="str">
        <f>IF(A388="","",IF('Statements (Raw)'!F386="","",'Statements (Raw)'!F386))</f>
        <v>EUR</v>
      </c>
      <c r="H388" s="9">
        <f>IF(A388="","",IF('Statements (Raw)'!G386="","",'Statements (Raw)'!G386))</f>
        <v>270</v>
      </c>
      <c r="I388" s="10">
        <f>IF(A388="","",IF('Statements (Raw)'!H386="","",'Statements (Raw)'!H386))</f>
        <v>-10540.8</v>
      </c>
      <c r="J388" s="10">
        <f>IF(A388="",0,IF('Statements (Raw)'!I386="",0,'Statements (Raw)'!I386))</f>
        <v>-5</v>
      </c>
      <c r="K388" s="10">
        <f t="shared" si="11"/>
        <v>-10545.8</v>
      </c>
    </row>
    <row r="389" spans="1:11" x14ac:dyDescent="0.3">
      <c r="A389" s="171">
        <f>IF(OR('Statements (Raw)'!A387="",'Statements (Raw)'!A387&gt;Holdings!$G$3),"",'Statements (Raw)'!A387)</f>
        <v>46072</v>
      </c>
      <c r="B389" s="7">
        <f>IF(A389="","",IF('Statements (Raw)'!B387="","",'Statements (Raw)'!B387))</f>
        <v>46076</v>
      </c>
      <c r="C389" s="6" t="str">
        <f>IF(A389="","",IF('Statements (Raw)'!C387&lt;&gt;"",'Statements (Raw)'!C387,IF(ISNUMBER(SEARCH("Conferimento",'Statements (Raw)'!D387)),"CASH DEPOSIT",IF(ISNUMBER(SEARCH("Prelievo",'Statements (Raw)'!D387)),"CASH WITHDRAWAL",IF(ISNUMBER(SEARCH("Bollo",'Statements (Raw)'!D387)),"STAMP DUTY",IF(ISNUMBER(SEARCH("Tobin Tax",'Statements (Raw)'!D387)),"TOBIN TAX",IF(ISNUMBER(SEARCH("Rit.provento",'Statements (Raw)'!D387)),"WITHHOLDING TAX",IF(ISNUMBER(SEARCH("Incasso Dividendi",'Statements (Raw)'!D387)),"DIVIDEND",IF(ISNUMBER(SEARCH("Cedola",'Statements (Raw)'!D387)),"COUPON",IF(ISNUMBER(SEARCH("Ratei Pass",'Statements (Raw)'!D387)),"ACCRUED INT",IF(ISNUMBER(SEARCH("Interessi Prest",'Statements (Raw)'!D387)),"SEC LENDING",IF(ISNUMBER(SEARCH("Rimborso",'Statements (Raw)'!D387)),"REDEMPTION",IF(ISNUMBER(SEARCH("Provento",'Statements (Raw)'!D387)),"DISTRIBUTION","OTHER")))))))))))))</f>
        <v>INTERPUMP GROUP</v>
      </c>
      <c r="D389" s="6" t="str">
        <f>IF(A389="","",IF(C389="Saldo Iniziale","Balance",IF(C389="CASH DEPOSIT","Deposit",IF(C389="CASH WITHDRAWAL","Withdrawal",IF(C389="STAMP DUTY","Tax",IF(C389="TOBIN TAX","Tax",IF(C389="WITHHOLDING TAX","Tax",IF(C389="DIVIDEND","Dividend",IF(C389="COUPON","Coupon",IF(C389="ACCRUED INT","Accrued Int.",IF(C389="SEC LENDING","Sec. Lending",IF(C389="REDEMPTION","Redemption",IF(C389="DISTRIBUTION","Distribution",IF(ISNUMBER(SEARCH("Rimborso",'Statements (Raw)'!D387)),"Redemption",IF(ISNUMBER(SEARCH("Cedola",'Statements (Raw)'!D387)),"Coupon",IF(ISNUMBER(SEARCH("Incasso Dividendi",'Statements (Raw)'!D387)),"Dividend",IF(ISNUMBER(SEARCH("Provento Etf",'Statements (Raw)'!D387)),"Distribution",IF(ISNUMBER(SEARCH("Rit.provento",'Statements (Raw)'!D387)),"Tax",IF(ISNUMBER(SEARCH("Ratei Pass",'Statements (Raw)'!D387)),"Accrued Int.",IF(ISNUMBER(SEARCH("Interessi Prest",'Statements (Raw)'!D387)),"Sec. Lending",IF('Statements (Raw)'!G387="","Other",IF('Statements (Raw)'!G387&gt;0,"Buy","Sell"))))))))))))))))))))))</f>
        <v>Buy</v>
      </c>
      <c r="E389" s="6" t="str">
        <f t="shared" ref="E389:E452" si="12">IF(D389="","",IF(OR(D389="Balance",D389="Deposit",D389="Withdrawal"),"Cash",IF(D389="Tax","Tax/Fee",IF(OR(D389="Dividend",D389="Coupon",D389="Distribution",D389="Sec. Lending",D389="Accrued Int."),"Income",IF(D389="Redemption","Bond",IF(OR(D389="Buy",D389="Sell"),IF(OR(ISNUMBER(SEARCH("BOT ",C389)),ISNUMBER(SEARCH("BTP ",C389)),ISNUMBER(SEARCH("CARRARO",C389))),"Bond",IF(OR(ISNUMBER(SEARCH("isdom",C389)),ISNUMBER(SEARCH("ISHARES",C389)),ISNUMBER(SEARCH("iShares",C389))),"ETF/ETC",IF(OR(ISNUMBER(SEARCH("Bitwise",C389)),ISNUMBER(SEARCH("BITWISE",C389))),"Crypto ETP","Stock"))),"Other"))))))</f>
        <v>Stock</v>
      </c>
      <c r="F389" s="8">
        <f>IF(A389="","",IF('Statements (Raw)'!E387="","",'Statements (Raw)'!E387))</f>
        <v>39.04</v>
      </c>
      <c r="G389" s="6" t="str">
        <f>IF(A389="","",IF('Statements (Raw)'!F387="","",'Statements (Raw)'!F387))</f>
        <v>EUR</v>
      </c>
      <c r="H389" s="9">
        <f>IF(A389="","",IF('Statements (Raw)'!G387="","",'Statements (Raw)'!G387))</f>
        <v>207</v>
      </c>
      <c r="I389" s="10">
        <f>IF(A389="","",IF('Statements (Raw)'!H387="","",'Statements (Raw)'!H387))</f>
        <v>-8081.28</v>
      </c>
      <c r="J389" s="10">
        <f>IF(A389="",0,IF('Statements (Raw)'!I387="",0,'Statements (Raw)'!I387))</f>
        <v>0</v>
      </c>
      <c r="K389" s="10">
        <f t="shared" ref="K389:K452" si="13">IF(I389="","",I389+J389)</f>
        <v>-8081.28</v>
      </c>
    </row>
    <row r="390" spans="1:11" x14ac:dyDescent="0.3">
      <c r="A390" s="171">
        <f>IF(OR('Statements (Raw)'!A388="",'Statements (Raw)'!A388&gt;Holdings!$G$3),"",'Statements (Raw)'!A388)</f>
        <v>46072</v>
      </c>
      <c r="B390" s="7">
        <f>IF(A390="","",IF('Statements (Raw)'!B388="","",'Statements (Raw)'!B388))</f>
        <v>46076</v>
      </c>
      <c r="C390" s="6" t="str">
        <f>IF(A390="","",IF('Statements (Raw)'!C388&lt;&gt;"",'Statements (Raw)'!C388,IF(ISNUMBER(SEARCH("Conferimento",'Statements (Raw)'!D388)),"CASH DEPOSIT",IF(ISNUMBER(SEARCH("Prelievo",'Statements (Raw)'!D388)),"CASH WITHDRAWAL",IF(ISNUMBER(SEARCH("Bollo",'Statements (Raw)'!D388)),"STAMP DUTY",IF(ISNUMBER(SEARCH("Tobin Tax",'Statements (Raw)'!D388)),"TOBIN TAX",IF(ISNUMBER(SEARCH("Rit.provento",'Statements (Raw)'!D388)),"WITHHOLDING TAX",IF(ISNUMBER(SEARCH("Incasso Dividendi",'Statements (Raw)'!D388)),"DIVIDEND",IF(ISNUMBER(SEARCH("Cedola",'Statements (Raw)'!D388)),"COUPON",IF(ISNUMBER(SEARCH("Ratei Pass",'Statements (Raw)'!D388)),"ACCRUED INT",IF(ISNUMBER(SEARCH("Interessi Prest",'Statements (Raw)'!D388)),"SEC LENDING",IF(ISNUMBER(SEARCH("Rimborso",'Statements (Raw)'!D388)),"REDEMPTION",IF(ISNUMBER(SEARCH("Provento",'Statements (Raw)'!D388)),"DISTRIBUTION","OTHER")))))))))))))</f>
        <v>INTERPUMP GROUP</v>
      </c>
      <c r="D390" s="6" t="str">
        <f>IF(A390="","",IF(C390="Saldo Iniziale","Balance",IF(C390="CASH DEPOSIT","Deposit",IF(C390="CASH WITHDRAWAL","Withdrawal",IF(C390="STAMP DUTY","Tax",IF(C390="TOBIN TAX","Tax",IF(C390="WITHHOLDING TAX","Tax",IF(C390="DIVIDEND","Dividend",IF(C390="COUPON","Coupon",IF(C390="ACCRUED INT","Accrued Int.",IF(C390="SEC LENDING","Sec. Lending",IF(C390="REDEMPTION","Redemption",IF(C390="DISTRIBUTION","Distribution",IF(ISNUMBER(SEARCH("Rimborso",'Statements (Raw)'!D388)),"Redemption",IF(ISNUMBER(SEARCH("Cedola",'Statements (Raw)'!D388)),"Coupon",IF(ISNUMBER(SEARCH("Incasso Dividendi",'Statements (Raw)'!D388)),"Dividend",IF(ISNUMBER(SEARCH("Provento Etf",'Statements (Raw)'!D388)),"Distribution",IF(ISNUMBER(SEARCH("Rit.provento",'Statements (Raw)'!D388)),"Tax",IF(ISNUMBER(SEARCH("Ratei Pass",'Statements (Raw)'!D388)),"Accrued Int.",IF(ISNUMBER(SEARCH("Interessi Prest",'Statements (Raw)'!D388)),"Sec. Lending",IF('Statements (Raw)'!G388="","Other",IF('Statements (Raw)'!G388&gt;0,"Buy","Sell"))))))))))))))))))))))</f>
        <v>Buy</v>
      </c>
      <c r="E390" s="6" t="str">
        <f t="shared" si="12"/>
        <v>Stock</v>
      </c>
      <c r="F390" s="8">
        <f>IF(A390="","",IF('Statements (Raw)'!E388="","",'Statements (Raw)'!E388))</f>
        <v>39.04</v>
      </c>
      <c r="G390" s="6" t="str">
        <f>IF(A390="","",IF('Statements (Raw)'!F388="","",'Statements (Raw)'!F388))</f>
        <v>EUR</v>
      </c>
      <c r="H390" s="9">
        <f>IF(A390="","",IF('Statements (Raw)'!G388="","",'Statements (Raw)'!G388))</f>
        <v>523</v>
      </c>
      <c r="I390" s="10">
        <f>IF(A390="","",IF('Statements (Raw)'!H388="","",'Statements (Raw)'!H388))</f>
        <v>-20417.919999999998</v>
      </c>
      <c r="J390" s="10">
        <f>IF(A390="",0,IF('Statements (Raw)'!I388="",0,'Statements (Raw)'!I388))</f>
        <v>0</v>
      </c>
      <c r="K390" s="10">
        <f t="shared" si="13"/>
        <v>-20417.919999999998</v>
      </c>
    </row>
    <row r="391" spans="1:11" x14ac:dyDescent="0.3">
      <c r="A391" s="171">
        <f>IF(OR('Statements (Raw)'!A389="",'Statements (Raw)'!A389&gt;Holdings!$G$3),"",'Statements (Raw)'!A389)</f>
        <v>46072</v>
      </c>
      <c r="B391" s="7">
        <f>IF(A391="","",IF('Statements (Raw)'!B389="","",'Statements (Raw)'!B389))</f>
        <v>46076</v>
      </c>
      <c r="C391" s="6" t="str">
        <f>IF(A391="","",IF('Statements (Raw)'!C389&lt;&gt;"",'Statements (Raw)'!C389,IF(ISNUMBER(SEARCH("Conferimento",'Statements (Raw)'!D389)),"CASH DEPOSIT",IF(ISNUMBER(SEARCH("Prelievo",'Statements (Raw)'!D389)),"CASH WITHDRAWAL",IF(ISNUMBER(SEARCH("Bollo",'Statements (Raw)'!D389)),"STAMP DUTY",IF(ISNUMBER(SEARCH("Tobin Tax",'Statements (Raw)'!D389)),"TOBIN TAX",IF(ISNUMBER(SEARCH("Rit.provento",'Statements (Raw)'!D389)),"WITHHOLDING TAX",IF(ISNUMBER(SEARCH("Incasso Dividendi",'Statements (Raw)'!D389)),"DIVIDEND",IF(ISNUMBER(SEARCH("Cedola",'Statements (Raw)'!D389)),"COUPON",IF(ISNUMBER(SEARCH("Ratei Pass",'Statements (Raw)'!D389)),"ACCRUED INT",IF(ISNUMBER(SEARCH("Interessi Prest",'Statements (Raw)'!D389)),"SEC LENDING",IF(ISNUMBER(SEARCH("Rimborso",'Statements (Raw)'!D389)),"REDEMPTION",IF(ISNUMBER(SEARCH("Provento",'Statements (Raw)'!D389)),"DISTRIBUTION","OTHER")))))))))))))</f>
        <v>TOBIN TAX</v>
      </c>
      <c r="D391" s="6" t="str">
        <f>IF(A391="","",IF(C391="Saldo Iniziale","Balance",IF(C391="CASH DEPOSIT","Deposit",IF(C391="CASH WITHDRAWAL","Withdrawal",IF(C391="STAMP DUTY","Tax",IF(C391="TOBIN TAX","Tax",IF(C391="WITHHOLDING TAX","Tax",IF(C391="DIVIDEND","Dividend",IF(C391="COUPON","Coupon",IF(C391="ACCRUED INT","Accrued Int.",IF(C391="SEC LENDING","Sec. Lending",IF(C391="REDEMPTION","Redemption",IF(C391="DISTRIBUTION","Distribution",IF(ISNUMBER(SEARCH("Rimborso",'Statements (Raw)'!D389)),"Redemption",IF(ISNUMBER(SEARCH("Cedola",'Statements (Raw)'!D389)),"Coupon",IF(ISNUMBER(SEARCH("Incasso Dividendi",'Statements (Raw)'!D389)),"Dividend",IF(ISNUMBER(SEARCH("Provento Etf",'Statements (Raw)'!D389)),"Distribution",IF(ISNUMBER(SEARCH("Rit.provento",'Statements (Raw)'!D389)),"Tax",IF(ISNUMBER(SEARCH("Ratei Pass",'Statements (Raw)'!D389)),"Accrued Int.",IF(ISNUMBER(SEARCH("Interessi Prest",'Statements (Raw)'!D389)),"Sec. Lending",IF('Statements (Raw)'!G389="","Other",IF('Statements (Raw)'!G389&gt;0,"Buy","Sell"))))))))))))))))))))))</f>
        <v>Tax</v>
      </c>
      <c r="E391" s="6" t="str">
        <f t="shared" si="12"/>
        <v>Tax/Fee</v>
      </c>
      <c r="F391" s="8" t="str">
        <f>IF(A391="","",IF('Statements (Raw)'!E389="","",'Statements (Raw)'!E389))</f>
        <v/>
      </c>
      <c r="G391" s="6" t="str">
        <f>IF(A391="","",IF('Statements (Raw)'!F389="","",'Statements (Raw)'!F389))</f>
        <v/>
      </c>
      <c r="H391" s="9" t="str">
        <f>IF(A391="","",IF('Statements (Raw)'!G389="","",'Statements (Raw)'!G389))</f>
        <v/>
      </c>
      <c r="I391" s="10">
        <f>IF(A391="","",IF('Statements (Raw)'!H389="","",'Statements (Raw)'!H389))</f>
        <v>-78.08</v>
      </c>
      <c r="J391" s="10">
        <f>IF(A391="",0,IF('Statements (Raw)'!I389="",0,'Statements (Raw)'!I389))</f>
        <v>0</v>
      </c>
      <c r="K391" s="10">
        <f t="shared" si="13"/>
        <v>-78.08</v>
      </c>
    </row>
    <row r="392" spans="1:11" x14ac:dyDescent="0.3">
      <c r="A392" s="171">
        <f>IF(OR('Statements (Raw)'!A390="",'Statements (Raw)'!A390&gt;Holdings!$G$3),"",'Statements (Raw)'!A390)</f>
        <v>46076</v>
      </c>
      <c r="B392" s="7">
        <f>IF(A392="","",IF('Statements (Raw)'!B390="","",'Statements (Raw)'!B390))</f>
        <v>46078</v>
      </c>
      <c r="C392" s="6" t="str">
        <f>IF(A392="","",IF('Statements (Raw)'!C390&lt;&gt;"",'Statements (Raw)'!C390,IF(ISNUMBER(SEARCH("Conferimento",'Statements (Raw)'!D390)),"CASH DEPOSIT",IF(ISNUMBER(SEARCH("Prelievo",'Statements (Raw)'!D390)),"CASH WITHDRAWAL",IF(ISNUMBER(SEARCH("Bollo",'Statements (Raw)'!D390)),"STAMP DUTY",IF(ISNUMBER(SEARCH("Tobin Tax",'Statements (Raw)'!D390)),"TOBIN TAX",IF(ISNUMBER(SEARCH("Rit.provento",'Statements (Raw)'!D390)),"WITHHOLDING TAX",IF(ISNUMBER(SEARCH("Incasso Dividendi",'Statements (Raw)'!D390)),"DIVIDEND",IF(ISNUMBER(SEARCH("Cedola",'Statements (Raw)'!D390)),"COUPON",IF(ISNUMBER(SEARCH("Ratei Pass",'Statements (Raw)'!D390)),"ACCRUED INT",IF(ISNUMBER(SEARCH("Interessi Prest",'Statements (Raw)'!D390)),"SEC LENDING",IF(ISNUMBER(SEARCH("Rimborso",'Statements (Raw)'!D390)),"REDEMPTION",IF(ISNUMBER(SEARCH("Provento",'Statements (Raw)'!D390)),"DISTRIBUTION","OTHER")))))))))))))</f>
        <v>WisdomTree Europe Defence UCIT</v>
      </c>
      <c r="D392" s="6" t="str">
        <f>IF(A392="","",IF(C392="Saldo Iniziale","Balance",IF(C392="CASH DEPOSIT","Deposit",IF(C392="CASH WITHDRAWAL","Withdrawal",IF(C392="STAMP DUTY","Tax",IF(C392="TOBIN TAX","Tax",IF(C392="WITHHOLDING TAX","Tax",IF(C392="DIVIDEND","Dividend",IF(C392="COUPON","Coupon",IF(C392="ACCRUED INT","Accrued Int.",IF(C392="SEC LENDING","Sec. Lending",IF(C392="REDEMPTION","Redemption",IF(C392="DISTRIBUTION","Distribution",IF(ISNUMBER(SEARCH("Rimborso",'Statements (Raw)'!D390)),"Redemption",IF(ISNUMBER(SEARCH("Cedola",'Statements (Raw)'!D390)),"Coupon",IF(ISNUMBER(SEARCH("Incasso Dividendi",'Statements (Raw)'!D390)),"Dividend",IF(ISNUMBER(SEARCH("Provento Etf",'Statements (Raw)'!D390)),"Distribution",IF(ISNUMBER(SEARCH("Rit.provento",'Statements (Raw)'!D390)),"Tax",IF(ISNUMBER(SEARCH("Ratei Pass",'Statements (Raw)'!D390)),"Accrued Int.",IF(ISNUMBER(SEARCH("Interessi Prest",'Statements (Raw)'!D390)),"Sec. Lending",IF('Statements (Raw)'!G390="","Other",IF('Statements (Raw)'!G390&gt;0,"Buy","Sell"))))))))))))))))))))))</f>
        <v>Buy</v>
      </c>
      <c r="E392" s="6" t="str">
        <f t="shared" si="12"/>
        <v>ETF/ETC</v>
      </c>
      <c r="F392" s="8">
        <f>IF(A392="","",IF('Statements (Raw)'!E390="","",'Statements (Raw)'!E390))</f>
        <v>34.56</v>
      </c>
      <c r="G392" s="6" t="str">
        <f>IF(A392="","",IF('Statements (Raw)'!F390="","",'Statements (Raw)'!F390))</f>
        <v>EUR</v>
      </c>
      <c r="H392" s="9">
        <f>IF(A392="","",IF('Statements (Raw)'!G390="","",'Statements (Raw)'!G390))</f>
        <v>28</v>
      </c>
      <c r="I392" s="10">
        <f>IF(A392="","",IF('Statements (Raw)'!H390="","",'Statements (Raw)'!H390))</f>
        <v>-967.68</v>
      </c>
      <c r="J392" s="10">
        <f>IF(A392="",0,IF('Statements (Raw)'!I390="",0,'Statements (Raw)'!I390))</f>
        <v>0</v>
      </c>
      <c r="K392" s="10">
        <f t="shared" si="13"/>
        <v>-967.68</v>
      </c>
    </row>
    <row r="393" spans="1:11" x14ac:dyDescent="0.3">
      <c r="A393" s="171">
        <f>IF(OR('Statements (Raw)'!A391="",'Statements (Raw)'!A391&gt;Holdings!$G$3),"",'Statements (Raw)'!A391)</f>
        <v>46076</v>
      </c>
      <c r="B393" s="7">
        <f>IF(A393="","",IF('Statements (Raw)'!B391="","",'Statements (Raw)'!B391))</f>
        <v>46078</v>
      </c>
      <c r="C393" s="6" t="str">
        <f>IF(A393="","",IF('Statements (Raw)'!C391&lt;&gt;"",'Statements (Raw)'!C391,IF(ISNUMBER(SEARCH("Conferimento",'Statements (Raw)'!D391)),"CASH DEPOSIT",IF(ISNUMBER(SEARCH("Prelievo",'Statements (Raw)'!D391)),"CASH WITHDRAWAL",IF(ISNUMBER(SEARCH("Bollo",'Statements (Raw)'!D391)),"STAMP DUTY",IF(ISNUMBER(SEARCH("Tobin Tax",'Statements (Raw)'!D391)),"TOBIN TAX",IF(ISNUMBER(SEARCH("Rit.provento",'Statements (Raw)'!D391)),"WITHHOLDING TAX",IF(ISNUMBER(SEARCH("Incasso Dividendi",'Statements (Raw)'!D391)),"DIVIDEND",IF(ISNUMBER(SEARCH("Cedola",'Statements (Raw)'!D391)),"COUPON",IF(ISNUMBER(SEARCH("Ratei Pass",'Statements (Raw)'!D391)),"ACCRUED INT",IF(ISNUMBER(SEARCH("Interessi Prest",'Statements (Raw)'!D391)),"SEC LENDING",IF(ISNUMBER(SEARCH("Rimborso",'Statements (Raw)'!D391)),"REDEMPTION",IF(ISNUMBER(SEARCH("Provento",'Statements (Raw)'!D391)),"DISTRIBUTION","OTHER")))))))))))))</f>
        <v>ISHARES FTSE MIB UCITS ETF EUR</v>
      </c>
      <c r="D393" s="6" t="str">
        <f>IF(A393="","",IF(C393="Saldo Iniziale","Balance",IF(C393="CASH DEPOSIT","Deposit",IF(C393="CASH WITHDRAWAL","Withdrawal",IF(C393="STAMP DUTY","Tax",IF(C393="TOBIN TAX","Tax",IF(C393="WITHHOLDING TAX","Tax",IF(C393="DIVIDEND","Dividend",IF(C393="COUPON","Coupon",IF(C393="ACCRUED INT","Accrued Int.",IF(C393="SEC LENDING","Sec. Lending",IF(C393="REDEMPTION","Redemption",IF(C393="DISTRIBUTION","Distribution",IF(ISNUMBER(SEARCH("Rimborso",'Statements (Raw)'!D391)),"Redemption",IF(ISNUMBER(SEARCH("Cedola",'Statements (Raw)'!D391)),"Coupon",IF(ISNUMBER(SEARCH("Incasso Dividendi",'Statements (Raw)'!D391)),"Dividend",IF(ISNUMBER(SEARCH("Provento Etf",'Statements (Raw)'!D391)),"Distribution",IF(ISNUMBER(SEARCH("Rit.provento",'Statements (Raw)'!D391)),"Tax",IF(ISNUMBER(SEARCH("Ratei Pass",'Statements (Raw)'!D391)),"Accrued Int.",IF(ISNUMBER(SEARCH("Interessi Prest",'Statements (Raw)'!D391)),"Sec. Lending",IF('Statements (Raw)'!G391="","Other",IF('Statements (Raw)'!G391&gt;0,"Buy","Sell"))))))))))))))))))))))</f>
        <v>Buy</v>
      </c>
      <c r="E393" s="6" t="str">
        <f t="shared" si="12"/>
        <v>ETF/ETC</v>
      </c>
      <c r="F393" s="8">
        <f>IF(A393="","",IF('Statements (Raw)'!E391="","",'Statements (Raw)'!E391))</f>
        <v>227</v>
      </c>
      <c r="G393" s="6" t="str">
        <f>IF(A393="","",IF('Statements (Raw)'!F391="","",'Statements (Raw)'!F391))</f>
        <v>EUR</v>
      </c>
      <c r="H393" s="9">
        <f>IF(A393="","",IF('Statements (Raw)'!G391="","",'Statements (Raw)'!G391))</f>
        <v>10</v>
      </c>
      <c r="I393" s="10">
        <f>IF(A393="","",IF('Statements (Raw)'!H391="","",'Statements (Raw)'!H391))</f>
        <v>-2270</v>
      </c>
      <c r="J393" s="10">
        <f>IF(A393="",0,IF('Statements (Raw)'!I391="",0,'Statements (Raw)'!I391))</f>
        <v>0</v>
      </c>
      <c r="K393" s="10">
        <f t="shared" si="13"/>
        <v>-2270</v>
      </c>
    </row>
    <row r="394" spans="1:11" x14ac:dyDescent="0.3">
      <c r="A394" s="171">
        <f>IF(OR('Statements (Raw)'!A392="",'Statements (Raw)'!A392&gt;Holdings!$G$3),"",'Statements (Raw)'!A392)</f>
        <v>46078</v>
      </c>
      <c r="B394" s="7">
        <f>IF(A394="","",IF('Statements (Raw)'!B392="","",'Statements (Raw)'!B392))</f>
        <v>46080</v>
      </c>
      <c r="C394" s="6" t="str">
        <f>IF(A394="","",IF('Statements (Raw)'!C392&lt;&gt;"",'Statements (Raw)'!C392,IF(ISNUMBER(SEARCH("Conferimento",'Statements (Raw)'!D392)),"CASH DEPOSIT",IF(ISNUMBER(SEARCH("Prelievo",'Statements (Raw)'!D392)),"CASH WITHDRAWAL",IF(ISNUMBER(SEARCH("Bollo",'Statements (Raw)'!D392)),"STAMP DUTY",IF(ISNUMBER(SEARCH("Tobin Tax",'Statements (Raw)'!D392)),"TOBIN TAX",IF(ISNUMBER(SEARCH("Rit.provento",'Statements (Raw)'!D392)),"WITHHOLDING TAX",IF(ISNUMBER(SEARCH("Incasso Dividendi",'Statements (Raw)'!D392)),"DIVIDEND",IF(ISNUMBER(SEARCH("Cedola",'Statements (Raw)'!D392)),"COUPON",IF(ISNUMBER(SEARCH("Ratei Pass",'Statements (Raw)'!D392)),"ACCRUED INT",IF(ISNUMBER(SEARCH("Interessi Prest",'Statements (Raw)'!D392)),"SEC LENDING",IF(ISNUMBER(SEARCH("Rimborso",'Statements (Raw)'!D392)),"REDEMPTION",IF(ISNUMBER(SEARCH("Provento",'Statements (Raw)'!D392)),"DISTRIBUTION","OTHER")))))))))))))</f>
        <v>Bitwise Physical Bitcoin ETP</v>
      </c>
      <c r="D394" s="6" t="str">
        <f>IF(A394="","",IF(C394="Saldo Iniziale","Balance",IF(C394="CASH DEPOSIT","Deposit",IF(C394="CASH WITHDRAWAL","Withdrawal",IF(C394="STAMP DUTY","Tax",IF(C394="TOBIN TAX","Tax",IF(C394="WITHHOLDING TAX","Tax",IF(C394="DIVIDEND","Dividend",IF(C394="COUPON","Coupon",IF(C394="ACCRUED INT","Accrued Int.",IF(C394="SEC LENDING","Sec. Lending",IF(C394="REDEMPTION","Redemption",IF(C394="DISTRIBUTION","Distribution",IF(ISNUMBER(SEARCH("Rimborso",'Statements (Raw)'!D392)),"Redemption",IF(ISNUMBER(SEARCH("Cedola",'Statements (Raw)'!D392)),"Coupon",IF(ISNUMBER(SEARCH("Incasso Dividendi",'Statements (Raw)'!D392)),"Dividend",IF(ISNUMBER(SEARCH("Provento Etf",'Statements (Raw)'!D392)),"Distribution",IF(ISNUMBER(SEARCH("Rit.provento",'Statements (Raw)'!D392)),"Tax",IF(ISNUMBER(SEARCH("Ratei Pass",'Statements (Raw)'!D392)),"Accrued Int.",IF(ISNUMBER(SEARCH("Interessi Prest",'Statements (Raw)'!D392)),"Sec. Lending",IF('Statements (Raw)'!G392="","Other",IF('Statements (Raw)'!G392&gt;0,"Buy","Sell"))))))))))))))))))))))</f>
        <v>Buy</v>
      </c>
      <c r="E394" s="6" t="str">
        <f t="shared" si="12"/>
        <v>Crypto ETP</v>
      </c>
      <c r="F394" s="8">
        <f>IF(A394="","",IF('Statements (Raw)'!E392="","",'Statements (Raw)'!E392))</f>
        <v>50.195</v>
      </c>
      <c r="G394" s="6" t="str">
        <f>IF(A394="","",IF('Statements (Raw)'!F392="","",'Statements (Raw)'!F392))</f>
        <v>EUR</v>
      </c>
      <c r="H394" s="9">
        <f>IF(A394="","",IF('Statements (Raw)'!G392="","",'Statements (Raw)'!G392))</f>
        <v>87</v>
      </c>
      <c r="I394" s="10">
        <f>IF(A394="","",IF('Statements (Raw)'!H392="","",'Statements (Raw)'!H392))</f>
        <v>-4366.97</v>
      </c>
      <c r="J394" s="10">
        <f>IF(A394="",0,IF('Statements (Raw)'!I392="",0,'Statements (Raw)'!I392))</f>
        <v>0</v>
      </c>
      <c r="K394" s="10">
        <f t="shared" si="13"/>
        <v>-4366.97</v>
      </c>
    </row>
    <row r="395" spans="1:11" x14ac:dyDescent="0.3">
      <c r="A395" s="171">
        <f>IF(OR('Statements (Raw)'!A393="",'Statements (Raw)'!A393&gt;Holdings!$G$3),"",'Statements (Raw)'!A393)</f>
        <v>46078</v>
      </c>
      <c r="B395" s="7">
        <f>IF(A395="","",IF('Statements (Raw)'!B393="","",'Statements (Raw)'!B393))</f>
        <v>46080</v>
      </c>
      <c r="C395" s="6" t="str">
        <f>IF(A395="","",IF('Statements (Raw)'!C393&lt;&gt;"",'Statements (Raw)'!C393,IF(ISNUMBER(SEARCH("Conferimento",'Statements (Raw)'!D393)),"CASH DEPOSIT",IF(ISNUMBER(SEARCH("Prelievo",'Statements (Raw)'!D393)),"CASH WITHDRAWAL",IF(ISNUMBER(SEARCH("Bollo",'Statements (Raw)'!D393)),"STAMP DUTY",IF(ISNUMBER(SEARCH("Tobin Tax",'Statements (Raw)'!D393)),"TOBIN TAX",IF(ISNUMBER(SEARCH("Rit.provento",'Statements (Raw)'!D393)),"WITHHOLDING TAX",IF(ISNUMBER(SEARCH("Incasso Dividendi",'Statements (Raw)'!D393)),"DIVIDEND",IF(ISNUMBER(SEARCH("Cedola",'Statements (Raw)'!D393)),"COUPON",IF(ISNUMBER(SEARCH("Ratei Pass",'Statements (Raw)'!D393)),"ACCRUED INT",IF(ISNUMBER(SEARCH("Interessi Prest",'Statements (Raw)'!D393)),"SEC LENDING",IF(ISNUMBER(SEARCH("Rimborso",'Statements (Raw)'!D393)),"REDEMPTION",IF(ISNUMBER(SEARCH("Provento",'Statements (Raw)'!D393)),"DISTRIBUTION","OTHER")))))))))))))</f>
        <v>Bitwise Physical Bitcoin ETP</v>
      </c>
      <c r="D395" s="6" t="str">
        <f>IF(A395="","",IF(C395="Saldo Iniziale","Balance",IF(C395="CASH DEPOSIT","Deposit",IF(C395="CASH WITHDRAWAL","Withdrawal",IF(C395="STAMP DUTY","Tax",IF(C395="TOBIN TAX","Tax",IF(C395="WITHHOLDING TAX","Tax",IF(C395="DIVIDEND","Dividend",IF(C395="COUPON","Coupon",IF(C395="ACCRUED INT","Accrued Int.",IF(C395="SEC LENDING","Sec. Lending",IF(C395="REDEMPTION","Redemption",IF(C395="DISTRIBUTION","Distribution",IF(ISNUMBER(SEARCH("Rimborso",'Statements (Raw)'!D393)),"Redemption",IF(ISNUMBER(SEARCH("Cedola",'Statements (Raw)'!D393)),"Coupon",IF(ISNUMBER(SEARCH("Incasso Dividendi",'Statements (Raw)'!D393)),"Dividend",IF(ISNUMBER(SEARCH("Provento Etf",'Statements (Raw)'!D393)),"Distribution",IF(ISNUMBER(SEARCH("Rit.provento",'Statements (Raw)'!D393)),"Tax",IF(ISNUMBER(SEARCH("Ratei Pass",'Statements (Raw)'!D393)),"Accrued Int.",IF(ISNUMBER(SEARCH("Interessi Prest",'Statements (Raw)'!D393)),"Sec. Lending",IF('Statements (Raw)'!G393="","Other",IF('Statements (Raw)'!G393&gt;0,"Buy","Sell"))))))))))))))))))))))</f>
        <v>Buy</v>
      </c>
      <c r="E395" s="6" t="str">
        <f t="shared" si="12"/>
        <v>Crypto ETP</v>
      </c>
      <c r="F395" s="8">
        <f>IF(A395="","",IF('Statements (Raw)'!E393="","",'Statements (Raw)'!E393))</f>
        <v>50.2</v>
      </c>
      <c r="G395" s="6" t="str">
        <f>IF(A395="","",IF('Statements (Raw)'!F393="","",'Statements (Raw)'!F393))</f>
        <v>EUR</v>
      </c>
      <c r="H395" s="9">
        <f>IF(A395="","",IF('Statements (Raw)'!G393="","",'Statements (Raw)'!G393))</f>
        <v>80</v>
      </c>
      <c r="I395" s="10">
        <f>IF(A395="","",IF('Statements (Raw)'!H393="","",'Statements (Raw)'!H393))</f>
        <v>-4016</v>
      </c>
      <c r="J395" s="10">
        <f>IF(A395="",0,IF('Statements (Raw)'!I393="",0,'Statements (Raw)'!I393))</f>
        <v>0</v>
      </c>
      <c r="K395" s="10">
        <f t="shared" si="13"/>
        <v>-4016</v>
      </c>
    </row>
    <row r="396" spans="1:11" x14ac:dyDescent="0.3">
      <c r="A396" s="171">
        <f>IF(OR('Statements (Raw)'!A394="",'Statements (Raw)'!A394&gt;Holdings!$G$3),"",'Statements (Raw)'!A394)</f>
        <v>46078</v>
      </c>
      <c r="B396" s="7">
        <f>IF(A396="","",IF('Statements (Raw)'!B394="","",'Statements (Raw)'!B394))</f>
        <v>46080</v>
      </c>
      <c r="C396" s="6" t="str">
        <f>IF(A396="","",IF('Statements (Raw)'!C394&lt;&gt;"",'Statements (Raw)'!C394,IF(ISNUMBER(SEARCH("Conferimento",'Statements (Raw)'!D394)),"CASH DEPOSIT",IF(ISNUMBER(SEARCH("Prelievo",'Statements (Raw)'!D394)),"CASH WITHDRAWAL",IF(ISNUMBER(SEARCH("Bollo",'Statements (Raw)'!D394)),"STAMP DUTY",IF(ISNUMBER(SEARCH("Tobin Tax",'Statements (Raw)'!D394)),"TOBIN TAX",IF(ISNUMBER(SEARCH("Rit.provento",'Statements (Raw)'!D394)),"WITHHOLDING TAX",IF(ISNUMBER(SEARCH("Incasso Dividendi",'Statements (Raw)'!D394)),"DIVIDEND",IF(ISNUMBER(SEARCH("Cedola",'Statements (Raw)'!D394)),"COUPON",IF(ISNUMBER(SEARCH("Ratei Pass",'Statements (Raw)'!D394)),"ACCRUED INT",IF(ISNUMBER(SEARCH("Interessi Prest",'Statements (Raw)'!D394)),"SEC LENDING",IF(ISNUMBER(SEARCH("Rimborso",'Statements (Raw)'!D394)),"REDEMPTION",IF(ISNUMBER(SEARCH("Provento",'Statements (Raw)'!D394)),"DISTRIBUTION","OTHER")))))))))))))</f>
        <v>Bitwise Ethereum Staking ETP</v>
      </c>
      <c r="D396" s="6" t="str">
        <f>IF(A396="","",IF(C396="Saldo Iniziale","Balance",IF(C396="CASH DEPOSIT","Deposit",IF(C396="CASH WITHDRAWAL","Withdrawal",IF(C396="STAMP DUTY","Tax",IF(C396="TOBIN TAX","Tax",IF(C396="WITHHOLDING TAX","Tax",IF(C396="DIVIDEND","Dividend",IF(C396="COUPON","Coupon",IF(C396="ACCRUED INT","Accrued Int.",IF(C396="SEC LENDING","Sec. Lending",IF(C396="REDEMPTION","Redemption",IF(C396="DISTRIBUTION","Distribution",IF(ISNUMBER(SEARCH("Rimborso",'Statements (Raw)'!D394)),"Redemption",IF(ISNUMBER(SEARCH("Cedola",'Statements (Raw)'!D394)),"Coupon",IF(ISNUMBER(SEARCH("Incasso Dividendi",'Statements (Raw)'!D394)),"Dividend",IF(ISNUMBER(SEARCH("Provento Etf",'Statements (Raw)'!D394)),"Distribution",IF(ISNUMBER(SEARCH("Rit.provento",'Statements (Raw)'!D394)),"Tax",IF(ISNUMBER(SEARCH("Ratei Pass",'Statements (Raw)'!D394)),"Accrued Int.",IF(ISNUMBER(SEARCH("Interessi Prest",'Statements (Raw)'!D394)),"Sec. Lending",IF('Statements (Raw)'!G394="","Other",IF('Statements (Raw)'!G394&gt;0,"Buy","Sell"))))))))))))))))))))))</f>
        <v>Buy</v>
      </c>
      <c r="E396" s="6" t="str">
        <f t="shared" si="12"/>
        <v>Crypto ETP</v>
      </c>
      <c r="F396" s="8">
        <f>IF(A396="","",IF('Statements (Raw)'!E394="","",'Statements (Raw)'!E394))</f>
        <v>3.4314</v>
      </c>
      <c r="G396" s="6" t="str">
        <f>IF(A396="","",IF('Statements (Raw)'!F394="","",'Statements (Raw)'!F394))</f>
        <v>EUR</v>
      </c>
      <c r="H396" s="9">
        <f>IF(A396="","",IF('Statements (Raw)'!G394="","",'Statements (Raw)'!G394))</f>
        <v>1340</v>
      </c>
      <c r="I396" s="10">
        <f>IF(A396="","",IF('Statements (Raw)'!H394="","",'Statements (Raw)'!H394))</f>
        <v>-4598.08</v>
      </c>
      <c r="J396" s="10">
        <f>IF(A396="",0,IF('Statements (Raw)'!I394="",0,'Statements (Raw)'!I394))</f>
        <v>0</v>
      </c>
      <c r="K396" s="10">
        <f t="shared" si="13"/>
        <v>-4598.08</v>
      </c>
    </row>
    <row r="397" spans="1:11" x14ac:dyDescent="0.3">
      <c r="A397" s="171">
        <f>IF(OR('Statements (Raw)'!A395="",'Statements (Raw)'!A395&gt;Holdings!$G$3),"",'Statements (Raw)'!A395)</f>
        <v>46078</v>
      </c>
      <c r="B397" s="7">
        <f>IF(A397="","",IF('Statements (Raw)'!B395="","",'Statements (Raw)'!B395))</f>
        <v>46080</v>
      </c>
      <c r="C397" s="6" t="str">
        <f>IF(A397="","",IF('Statements (Raw)'!C395&lt;&gt;"",'Statements (Raw)'!C395,IF(ISNUMBER(SEARCH("Conferimento",'Statements (Raw)'!D395)),"CASH DEPOSIT",IF(ISNUMBER(SEARCH("Prelievo",'Statements (Raw)'!D395)),"CASH WITHDRAWAL",IF(ISNUMBER(SEARCH("Bollo",'Statements (Raw)'!D395)),"STAMP DUTY",IF(ISNUMBER(SEARCH("Tobin Tax",'Statements (Raw)'!D395)),"TOBIN TAX",IF(ISNUMBER(SEARCH("Rit.provento",'Statements (Raw)'!D395)),"WITHHOLDING TAX",IF(ISNUMBER(SEARCH("Incasso Dividendi",'Statements (Raw)'!D395)),"DIVIDEND",IF(ISNUMBER(SEARCH("Cedola",'Statements (Raw)'!D395)),"COUPON",IF(ISNUMBER(SEARCH("Ratei Pass",'Statements (Raw)'!D395)),"ACCRUED INT",IF(ISNUMBER(SEARCH("Interessi Prest",'Statements (Raw)'!D395)),"SEC LENDING",IF(ISNUMBER(SEARCH("Rimborso",'Statements (Raw)'!D395)),"REDEMPTION",IF(ISNUMBER(SEARCH("Provento",'Statements (Raw)'!D395)),"DISTRIBUTION","OTHER")))))))))))))</f>
        <v>BITWISE solana staking ETP</v>
      </c>
      <c r="D397" s="6" t="str">
        <f>IF(A397="","",IF(C397="Saldo Iniziale","Balance",IF(C397="CASH DEPOSIT","Deposit",IF(C397="CASH WITHDRAWAL","Withdrawal",IF(C397="STAMP DUTY","Tax",IF(C397="TOBIN TAX","Tax",IF(C397="WITHHOLDING TAX","Tax",IF(C397="DIVIDEND","Dividend",IF(C397="COUPON","Coupon",IF(C397="ACCRUED INT","Accrued Int.",IF(C397="SEC LENDING","Sec. Lending",IF(C397="REDEMPTION","Redemption",IF(C397="DISTRIBUTION","Distribution",IF(ISNUMBER(SEARCH("Rimborso",'Statements (Raw)'!D395)),"Redemption",IF(ISNUMBER(SEARCH("Cedola",'Statements (Raw)'!D395)),"Coupon",IF(ISNUMBER(SEARCH("Incasso Dividendi",'Statements (Raw)'!D395)),"Dividend",IF(ISNUMBER(SEARCH("Provento Etf",'Statements (Raw)'!D395)),"Distribution",IF(ISNUMBER(SEARCH("Rit.provento",'Statements (Raw)'!D395)),"Tax",IF(ISNUMBER(SEARCH("Ratei Pass",'Statements (Raw)'!D395)),"Accrued Int.",IF(ISNUMBER(SEARCH("Interessi Prest",'Statements (Raw)'!D395)),"Sec. Lending",IF('Statements (Raw)'!G395="","Other",IF('Statements (Raw)'!G395&gt;0,"Buy","Sell"))))))))))))))))))))))</f>
        <v>Buy</v>
      </c>
      <c r="E397" s="6" t="str">
        <f t="shared" si="12"/>
        <v>Crypto ETP</v>
      </c>
      <c r="F397" s="8">
        <f>IF(A397="","",IF('Statements (Raw)'!E395="","",'Statements (Raw)'!E395))</f>
        <v>3.7218</v>
      </c>
      <c r="G397" s="6" t="str">
        <f>IF(A397="","",IF('Statements (Raw)'!F395="","",'Statements (Raw)'!F395))</f>
        <v>EUR</v>
      </c>
      <c r="H397" s="9">
        <f>IF(A397="","",IF('Statements (Raw)'!G395="","",'Statements (Raw)'!G395))</f>
        <v>400</v>
      </c>
      <c r="I397" s="10">
        <f>IF(A397="","",IF('Statements (Raw)'!H395="","",'Statements (Raw)'!H395))</f>
        <v>-1488.72</v>
      </c>
      <c r="J397" s="10">
        <f>IF(A397="",0,IF('Statements (Raw)'!I395="",0,'Statements (Raw)'!I395))</f>
        <v>-9.5</v>
      </c>
      <c r="K397" s="10">
        <f t="shared" si="13"/>
        <v>-1498.22</v>
      </c>
    </row>
    <row r="398" spans="1:11" x14ac:dyDescent="0.3">
      <c r="A398" s="171">
        <f>IF(OR('Statements (Raw)'!A396="",'Statements (Raw)'!A396&gt;Holdings!$G$3),"",'Statements (Raw)'!A396)</f>
        <v>46078</v>
      </c>
      <c r="B398" s="7">
        <f>IF(A398="","",IF('Statements (Raw)'!B396="","",'Statements (Raw)'!B396))</f>
        <v>46080</v>
      </c>
      <c r="C398" s="6" t="str">
        <f>IF(A398="","",IF('Statements (Raw)'!C396&lt;&gt;"",'Statements (Raw)'!C396,IF(ISNUMBER(SEARCH("Conferimento",'Statements (Raw)'!D396)),"CASH DEPOSIT",IF(ISNUMBER(SEARCH("Prelievo",'Statements (Raw)'!D396)),"CASH WITHDRAWAL",IF(ISNUMBER(SEARCH("Bollo",'Statements (Raw)'!D396)),"STAMP DUTY",IF(ISNUMBER(SEARCH("Tobin Tax",'Statements (Raw)'!D396)),"TOBIN TAX",IF(ISNUMBER(SEARCH("Rit.provento",'Statements (Raw)'!D396)),"WITHHOLDING TAX",IF(ISNUMBER(SEARCH("Incasso Dividendi",'Statements (Raw)'!D396)),"DIVIDEND",IF(ISNUMBER(SEARCH("Cedola",'Statements (Raw)'!D396)),"COUPON",IF(ISNUMBER(SEARCH("Ratei Pass",'Statements (Raw)'!D396)),"ACCRUED INT",IF(ISNUMBER(SEARCH("Interessi Prest",'Statements (Raw)'!D396)),"SEC LENDING",IF(ISNUMBER(SEARCH("Rimborso",'Statements (Raw)'!D396)),"REDEMPTION",IF(ISNUMBER(SEARCH("Provento",'Statements (Raw)'!D396)),"DISTRIBUTION","OTHER")))))))))))))</f>
        <v>BITWISE solana staking ETP</v>
      </c>
      <c r="D398" s="6" t="str">
        <f>IF(A398="","",IF(C398="Saldo Iniziale","Balance",IF(C398="CASH DEPOSIT","Deposit",IF(C398="CASH WITHDRAWAL","Withdrawal",IF(C398="STAMP DUTY","Tax",IF(C398="TOBIN TAX","Tax",IF(C398="WITHHOLDING TAX","Tax",IF(C398="DIVIDEND","Dividend",IF(C398="COUPON","Coupon",IF(C398="ACCRUED INT","Accrued Int.",IF(C398="SEC LENDING","Sec. Lending",IF(C398="REDEMPTION","Redemption",IF(C398="DISTRIBUTION","Distribution",IF(ISNUMBER(SEARCH("Rimborso",'Statements (Raw)'!D396)),"Redemption",IF(ISNUMBER(SEARCH("Cedola",'Statements (Raw)'!D396)),"Coupon",IF(ISNUMBER(SEARCH("Incasso Dividendi",'Statements (Raw)'!D396)),"Dividend",IF(ISNUMBER(SEARCH("Provento Etf",'Statements (Raw)'!D396)),"Distribution",IF(ISNUMBER(SEARCH("Rit.provento",'Statements (Raw)'!D396)),"Tax",IF(ISNUMBER(SEARCH("Ratei Pass",'Statements (Raw)'!D396)),"Accrued Int.",IF(ISNUMBER(SEARCH("Interessi Prest",'Statements (Raw)'!D396)),"Sec. Lending",IF('Statements (Raw)'!G396="","Other",IF('Statements (Raw)'!G396&gt;0,"Buy","Sell"))))))))))))))))))))))</f>
        <v>Buy</v>
      </c>
      <c r="E398" s="6" t="str">
        <f t="shared" si="12"/>
        <v>Crypto ETP</v>
      </c>
      <c r="F398" s="8">
        <f>IF(A398="","",IF('Statements (Raw)'!E396="","",'Statements (Raw)'!E396))</f>
        <v>3.722</v>
      </c>
      <c r="G398" s="6" t="str">
        <f>IF(A398="","",IF('Statements (Raw)'!F396="","",'Statements (Raw)'!F396))</f>
        <v>EUR</v>
      </c>
      <c r="H398" s="9">
        <f>IF(A398="","",IF('Statements (Raw)'!G396="","",'Statements (Raw)'!G396))</f>
        <v>800</v>
      </c>
      <c r="I398" s="10">
        <f>IF(A398="","",IF('Statements (Raw)'!H396="","",'Statements (Raw)'!H396))</f>
        <v>-2977.6</v>
      </c>
      <c r="J398" s="10">
        <f>IF(A398="",0,IF('Statements (Raw)'!I396="",0,'Statements (Raw)'!I396))</f>
        <v>0</v>
      </c>
      <c r="K398" s="10">
        <f t="shared" si="13"/>
        <v>-2977.6</v>
      </c>
    </row>
    <row r="399" spans="1:11" x14ac:dyDescent="0.3">
      <c r="A399" s="171">
        <f>IF(OR('Statements (Raw)'!A397="",'Statements (Raw)'!A397&gt;Holdings!$G$3),"",'Statements (Raw)'!A397)</f>
        <v>46078</v>
      </c>
      <c r="B399" s="7">
        <f>IF(A399="","",IF('Statements (Raw)'!B397="","",'Statements (Raw)'!B397))</f>
        <v>46080</v>
      </c>
      <c r="C399" s="6" t="str">
        <f>IF(A399="","",IF('Statements (Raw)'!C397&lt;&gt;"",'Statements (Raw)'!C397,IF(ISNUMBER(SEARCH("Conferimento",'Statements (Raw)'!D397)),"CASH DEPOSIT",IF(ISNUMBER(SEARCH("Prelievo",'Statements (Raw)'!D397)),"CASH WITHDRAWAL",IF(ISNUMBER(SEARCH("Bollo",'Statements (Raw)'!D397)),"STAMP DUTY",IF(ISNUMBER(SEARCH("Tobin Tax",'Statements (Raw)'!D397)),"TOBIN TAX",IF(ISNUMBER(SEARCH("Rit.provento",'Statements (Raw)'!D397)),"WITHHOLDING TAX",IF(ISNUMBER(SEARCH("Incasso Dividendi",'Statements (Raw)'!D397)),"DIVIDEND",IF(ISNUMBER(SEARCH("Cedola",'Statements (Raw)'!D397)),"COUPON",IF(ISNUMBER(SEARCH("Ratei Pass",'Statements (Raw)'!D397)),"ACCRUED INT",IF(ISNUMBER(SEARCH("Interessi Prest",'Statements (Raw)'!D397)),"SEC LENDING",IF(ISNUMBER(SEARCH("Rimborso",'Statements (Raw)'!D397)),"REDEMPTION",IF(ISNUMBER(SEARCH("Provento",'Statements (Raw)'!D397)),"DISTRIBUTION","OTHER")))))))))))))</f>
        <v>Bitwise Physical Bitcoin ETP</v>
      </c>
      <c r="D399" s="6" t="str">
        <f>IF(A399="","",IF(C399="Saldo Iniziale","Balance",IF(C399="CASH DEPOSIT","Deposit",IF(C399="CASH WITHDRAWAL","Withdrawal",IF(C399="STAMP DUTY","Tax",IF(C399="TOBIN TAX","Tax",IF(C399="WITHHOLDING TAX","Tax",IF(C399="DIVIDEND","Dividend",IF(C399="COUPON","Coupon",IF(C399="ACCRUED INT","Accrued Int.",IF(C399="SEC LENDING","Sec. Lending",IF(C399="REDEMPTION","Redemption",IF(C399="DISTRIBUTION","Distribution",IF(ISNUMBER(SEARCH("Rimborso",'Statements (Raw)'!D397)),"Redemption",IF(ISNUMBER(SEARCH("Cedola",'Statements (Raw)'!D397)),"Coupon",IF(ISNUMBER(SEARCH("Incasso Dividendi",'Statements (Raw)'!D397)),"Dividend",IF(ISNUMBER(SEARCH("Provento Etf",'Statements (Raw)'!D397)),"Distribution",IF(ISNUMBER(SEARCH("Rit.provento",'Statements (Raw)'!D397)),"Tax",IF(ISNUMBER(SEARCH("Ratei Pass",'Statements (Raw)'!D397)),"Accrued Int.",IF(ISNUMBER(SEARCH("Interessi Prest",'Statements (Raw)'!D397)),"Sec. Lending",IF('Statements (Raw)'!G397="","Other",IF('Statements (Raw)'!G397&gt;0,"Buy","Sell"))))))))))))))))))))))</f>
        <v>Buy</v>
      </c>
      <c r="E399" s="6" t="str">
        <f t="shared" si="12"/>
        <v>Crypto ETP</v>
      </c>
      <c r="F399" s="8">
        <f>IF(A399="","",IF('Statements (Raw)'!E397="","",'Statements (Raw)'!E397))</f>
        <v>50.12</v>
      </c>
      <c r="G399" s="6" t="str">
        <f>IF(A399="","",IF('Statements (Raw)'!F397="","",'Statements (Raw)'!F397))</f>
        <v>EUR</v>
      </c>
      <c r="H399" s="9">
        <f>IF(A399="","",IF('Statements (Raw)'!G397="","",'Statements (Raw)'!G397))</f>
        <v>200</v>
      </c>
      <c r="I399" s="10">
        <f>IF(A399="","",IF('Statements (Raw)'!H397="","",'Statements (Raw)'!H397))</f>
        <v>-10024</v>
      </c>
      <c r="J399" s="10">
        <f>IF(A399="",0,IF('Statements (Raw)'!I397="",0,'Statements (Raw)'!I397))</f>
        <v>0</v>
      </c>
      <c r="K399" s="10">
        <f t="shared" si="13"/>
        <v>-10024</v>
      </c>
    </row>
    <row r="400" spans="1:11" x14ac:dyDescent="0.3">
      <c r="A400" s="171">
        <f>IF(OR('Statements (Raw)'!A398="",'Statements (Raw)'!A398&gt;Holdings!$G$3),"",'Statements (Raw)'!A398)</f>
        <v>46078</v>
      </c>
      <c r="B400" s="7">
        <f>IF(A400="","",IF('Statements (Raw)'!B398="","",'Statements (Raw)'!B398))</f>
        <v>46081</v>
      </c>
      <c r="C400" s="6" t="str">
        <f>IF(A400="","",IF('Statements (Raw)'!C398&lt;&gt;"",'Statements (Raw)'!C398,IF(ISNUMBER(SEARCH("Conferimento",'Statements (Raw)'!D398)),"CASH DEPOSIT",IF(ISNUMBER(SEARCH("Prelievo",'Statements (Raw)'!D398)),"CASH WITHDRAWAL",IF(ISNUMBER(SEARCH("Bollo",'Statements (Raw)'!D398)),"STAMP DUTY",IF(ISNUMBER(SEARCH("Tobin Tax",'Statements (Raw)'!D398)),"TOBIN TAX",IF(ISNUMBER(SEARCH("Rit.provento",'Statements (Raw)'!D398)),"WITHHOLDING TAX",IF(ISNUMBER(SEARCH("Incasso Dividendi",'Statements (Raw)'!D398)),"DIVIDEND",IF(ISNUMBER(SEARCH("Cedola",'Statements (Raw)'!D398)),"COUPON",IF(ISNUMBER(SEARCH("Ratei Pass",'Statements (Raw)'!D398)),"ACCRUED INT",IF(ISNUMBER(SEARCH("Interessi Prest",'Statements (Raw)'!D398)),"SEC LENDING",IF(ISNUMBER(SEARCH("Rimborso",'Statements (Raw)'!D398)),"REDEMPTION",IF(ISNUMBER(SEARCH("Provento",'Statements (Raw)'!D398)),"DISTRIBUTION","OTHER")))))))))))))</f>
        <v>BTP FX 3.1% AUG26 EUR</v>
      </c>
      <c r="D400" s="6" t="str">
        <f>IF(A400="","",IF(C400="Saldo Iniziale","Balance",IF(C400="CASH DEPOSIT","Deposit",IF(C400="CASH WITHDRAWAL","Withdrawal",IF(C400="STAMP DUTY","Tax",IF(C400="TOBIN TAX","Tax",IF(C400="WITHHOLDING TAX","Tax",IF(C400="DIVIDEND","Dividend",IF(C400="COUPON","Coupon",IF(C400="ACCRUED INT","Accrued Int.",IF(C400="SEC LENDING","Sec. Lending",IF(C400="REDEMPTION","Redemption",IF(C400="DISTRIBUTION","Distribution",IF(ISNUMBER(SEARCH("Rimborso",'Statements (Raw)'!D398)),"Redemption",IF(ISNUMBER(SEARCH("Cedola",'Statements (Raw)'!D398)),"Coupon",IF(ISNUMBER(SEARCH("Incasso Dividendi",'Statements (Raw)'!D398)),"Dividend",IF(ISNUMBER(SEARCH("Provento Etf",'Statements (Raw)'!D398)),"Distribution",IF(ISNUMBER(SEARCH("Rit.provento",'Statements (Raw)'!D398)),"Tax",IF(ISNUMBER(SEARCH("Ratei Pass",'Statements (Raw)'!D398)),"Accrued Int.",IF(ISNUMBER(SEARCH("Interessi Prest",'Statements (Raw)'!D398)),"Sec. Lending",IF('Statements (Raw)'!G398="","Other",IF('Statements (Raw)'!G398&gt;0,"Buy","Sell"))))))))))))))))))))))</f>
        <v>Coupon</v>
      </c>
      <c r="E400" s="6" t="str">
        <f t="shared" si="12"/>
        <v>Income</v>
      </c>
      <c r="F400" s="8" t="str">
        <f>IF(A400="","",IF('Statements (Raw)'!E398="","",'Statements (Raw)'!E398))</f>
        <v/>
      </c>
      <c r="G400" s="6" t="str">
        <f>IF(A400="","",IF('Statements (Raw)'!F398="","",'Statements (Raw)'!F398))</f>
        <v/>
      </c>
      <c r="H400" s="9" t="str">
        <f>IF(A400="","",IF('Statements (Raw)'!G398="","",'Statements (Raw)'!G398))</f>
        <v/>
      </c>
      <c r="I400" s="10">
        <f>IF(A400="","",IF('Statements (Raw)'!H398="","",'Statements (Raw)'!H398))</f>
        <v>1550</v>
      </c>
      <c r="J400" s="10">
        <f>IF(A400="",0,IF('Statements (Raw)'!I398="",0,'Statements (Raw)'!I398))</f>
        <v>0</v>
      </c>
      <c r="K400" s="10">
        <f t="shared" si="13"/>
        <v>1550</v>
      </c>
    </row>
    <row r="401" spans="1:11" x14ac:dyDescent="0.3">
      <c r="A401" s="171">
        <f>IF(OR('Statements (Raw)'!A399="",'Statements (Raw)'!A399&gt;Holdings!$G$3),"",'Statements (Raw)'!A399)</f>
        <v>46082</v>
      </c>
      <c r="B401" s="7" t="str">
        <f>IF(A401="","",IF('Statements (Raw)'!B399="","",'Statements (Raw)'!B399))</f>
        <v/>
      </c>
      <c r="C401" s="6" t="str">
        <f>IF(A401="","",IF('Statements (Raw)'!C399&lt;&gt;"",'Statements (Raw)'!C399,IF(ISNUMBER(SEARCH("Conferimento",'Statements (Raw)'!D399)),"CASH DEPOSIT",IF(ISNUMBER(SEARCH("Prelievo",'Statements (Raw)'!D399)),"CASH WITHDRAWAL",IF(ISNUMBER(SEARCH("Bollo",'Statements (Raw)'!D399)),"STAMP DUTY",IF(ISNUMBER(SEARCH("Tobin Tax",'Statements (Raw)'!D399)),"TOBIN TAX",IF(ISNUMBER(SEARCH("Rit.provento",'Statements (Raw)'!D399)),"WITHHOLDING TAX",IF(ISNUMBER(SEARCH("Incasso Dividendi",'Statements (Raw)'!D399)),"DIVIDEND",IF(ISNUMBER(SEARCH("Cedola",'Statements (Raw)'!D399)),"COUPON",IF(ISNUMBER(SEARCH("Ratei Pass",'Statements (Raw)'!D399)),"ACCRUED INT",IF(ISNUMBER(SEARCH("Interessi Prest",'Statements (Raw)'!D399)),"SEC LENDING",IF(ISNUMBER(SEARCH("Rimborso",'Statements (Raw)'!D399)),"REDEMPTION",IF(ISNUMBER(SEARCH("Provento",'Statements (Raw)'!D399)),"DISTRIBUTION","OTHER")))))))))))))</f>
        <v>Saldo Iniziale</v>
      </c>
      <c r="D401" s="6" t="str">
        <f>IF(A401="","",IF(C401="Saldo Iniziale","Balance",IF(C401="CASH DEPOSIT","Deposit",IF(C401="CASH WITHDRAWAL","Withdrawal",IF(C401="STAMP DUTY","Tax",IF(C401="TOBIN TAX","Tax",IF(C401="WITHHOLDING TAX","Tax",IF(C401="DIVIDEND","Dividend",IF(C401="COUPON","Coupon",IF(C401="ACCRUED INT","Accrued Int.",IF(C401="SEC LENDING","Sec. Lending",IF(C401="REDEMPTION","Redemption",IF(C401="DISTRIBUTION","Distribution",IF(ISNUMBER(SEARCH("Rimborso",'Statements (Raw)'!D399)),"Redemption",IF(ISNUMBER(SEARCH("Cedola",'Statements (Raw)'!D399)),"Coupon",IF(ISNUMBER(SEARCH("Incasso Dividendi",'Statements (Raw)'!D399)),"Dividend",IF(ISNUMBER(SEARCH("Provento Etf",'Statements (Raw)'!D399)),"Distribution",IF(ISNUMBER(SEARCH("Rit.provento",'Statements (Raw)'!D399)),"Tax",IF(ISNUMBER(SEARCH("Ratei Pass",'Statements (Raw)'!D399)),"Accrued Int.",IF(ISNUMBER(SEARCH("Interessi Prest",'Statements (Raw)'!D399)),"Sec. Lending",IF('Statements (Raw)'!G399="","Other",IF('Statements (Raw)'!G399&gt;0,"Buy","Sell"))))))))))))))))))))))</f>
        <v>Balance</v>
      </c>
      <c r="E401" s="6" t="str">
        <f t="shared" si="12"/>
        <v>Cash</v>
      </c>
      <c r="F401" s="8" t="str">
        <f>IF(A401="","",IF('Statements (Raw)'!E399="","",'Statements (Raw)'!E399))</f>
        <v/>
      </c>
      <c r="G401" s="6" t="str">
        <f>IF(A401="","",IF('Statements (Raw)'!F399="","",'Statements (Raw)'!F399))</f>
        <v/>
      </c>
      <c r="H401" s="9" t="str">
        <f>IF(A401="","",IF('Statements (Raw)'!G399="","",'Statements (Raw)'!G399))</f>
        <v/>
      </c>
      <c r="I401" s="10">
        <f>IF(A401="","",IF('Statements (Raw)'!H399="","",'Statements (Raw)'!H399))</f>
        <v>5818.62</v>
      </c>
      <c r="J401" s="10">
        <f>IF(A401="",0,IF('Statements (Raw)'!I399="",0,'Statements (Raw)'!I399))</f>
        <v>0</v>
      </c>
      <c r="K401" s="10">
        <f t="shared" si="13"/>
        <v>5818.62</v>
      </c>
    </row>
    <row r="402" spans="1:11" x14ac:dyDescent="0.3">
      <c r="A402" s="171">
        <f>IF(OR('Statements (Raw)'!A400="",'Statements (Raw)'!A400&gt;Holdings!$G$3),"",'Statements (Raw)'!A400)</f>
        <v>46083</v>
      </c>
      <c r="B402" s="7">
        <f>IF(A402="","",IF('Statements (Raw)'!B400="","",'Statements (Raw)'!B400))</f>
        <v>46085</v>
      </c>
      <c r="C402" s="6" t="str">
        <f>IF(A402="","",IF('Statements (Raw)'!C400&lt;&gt;"",'Statements (Raw)'!C400,IF(ISNUMBER(SEARCH("Conferimento",'Statements (Raw)'!D400)),"CASH DEPOSIT",IF(ISNUMBER(SEARCH("Prelievo",'Statements (Raw)'!D400)),"CASH WITHDRAWAL",IF(ISNUMBER(SEARCH("Bollo",'Statements (Raw)'!D400)),"STAMP DUTY",IF(ISNUMBER(SEARCH("Tobin Tax",'Statements (Raw)'!D400)),"TOBIN TAX",IF(ISNUMBER(SEARCH("Rit.provento",'Statements (Raw)'!D400)),"WITHHOLDING TAX",IF(ISNUMBER(SEARCH("Incasso Dividendi",'Statements (Raw)'!D400)),"DIVIDEND",IF(ISNUMBER(SEARCH("Cedola",'Statements (Raw)'!D400)),"COUPON",IF(ISNUMBER(SEARCH("Ratei Pass",'Statements (Raw)'!D400)),"ACCRUED INT",IF(ISNUMBER(SEARCH("Interessi Prest",'Statements (Raw)'!D400)),"SEC LENDING",IF(ISNUMBER(SEARCH("Rimborso",'Statements (Raw)'!D400)),"REDEMPTION",IF(ISNUMBER(SEARCH("Provento",'Statements (Raw)'!D400)),"DISTRIBUTION","OTHER")))))))))))))</f>
        <v>RAI WAY</v>
      </c>
      <c r="D402" s="6" t="str">
        <f>IF(A402="","",IF(C402="Saldo Iniziale","Balance",IF(C402="CASH DEPOSIT","Deposit",IF(C402="CASH WITHDRAWAL","Withdrawal",IF(C402="STAMP DUTY","Tax",IF(C402="TOBIN TAX","Tax",IF(C402="WITHHOLDING TAX","Tax",IF(C402="DIVIDEND","Dividend",IF(C402="COUPON","Coupon",IF(C402="ACCRUED INT","Accrued Int.",IF(C402="SEC LENDING","Sec. Lending",IF(C402="REDEMPTION","Redemption",IF(C402="DISTRIBUTION","Distribution",IF(ISNUMBER(SEARCH("Rimborso",'Statements (Raw)'!D400)),"Redemption",IF(ISNUMBER(SEARCH("Cedola",'Statements (Raw)'!D400)),"Coupon",IF(ISNUMBER(SEARCH("Incasso Dividendi",'Statements (Raw)'!D400)),"Dividend",IF(ISNUMBER(SEARCH("Provento Etf",'Statements (Raw)'!D400)),"Distribution",IF(ISNUMBER(SEARCH("Rit.provento",'Statements (Raw)'!D400)),"Tax",IF(ISNUMBER(SEARCH("Ratei Pass",'Statements (Raw)'!D400)),"Accrued Int.",IF(ISNUMBER(SEARCH("Interessi Prest",'Statements (Raw)'!D400)),"Sec. Lending",IF('Statements (Raw)'!G400="","Other",IF('Statements (Raw)'!G400&gt;0,"Buy","Sell"))))))))))))))))))))))</f>
        <v>Sell</v>
      </c>
      <c r="E402" s="6" t="str">
        <f t="shared" si="12"/>
        <v>Stock</v>
      </c>
      <c r="F402" s="8">
        <f>IF(A402="","",IF('Statements (Raw)'!E400="","",'Statements (Raw)'!E400))</f>
        <v>6.14</v>
      </c>
      <c r="G402" s="6" t="str">
        <f>IF(A402="","",IF('Statements (Raw)'!F400="","",'Statements (Raw)'!F400))</f>
        <v>EUR</v>
      </c>
      <c r="H402" s="9">
        <f>IF(A402="","",IF('Statements (Raw)'!G400="","",'Statements (Raw)'!G400))</f>
        <v>-160</v>
      </c>
      <c r="I402" s="10">
        <f>IF(A402="","",IF('Statements (Raw)'!H400="","",'Statements (Raw)'!H400))</f>
        <v>982.4</v>
      </c>
      <c r="J402" s="10">
        <f>IF(A402="",0,IF('Statements (Raw)'!I400="",0,'Statements (Raw)'!I400))</f>
        <v>-5</v>
      </c>
      <c r="K402" s="10">
        <f t="shared" si="13"/>
        <v>977.4</v>
      </c>
    </row>
    <row r="403" spans="1:11" x14ac:dyDescent="0.3">
      <c r="A403" s="171">
        <f>IF(OR('Statements (Raw)'!A401="",'Statements (Raw)'!A401&gt;Holdings!$G$3),"",'Statements (Raw)'!A401)</f>
        <v>46083</v>
      </c>
      <c r="B403" s="7">
        <f>IF(A403="","",IF('Statements (Raw)'!B401="","",'Statements (Raw)'!B401))</f>
        <v>46085</v>
      </c>
      <c r="C403" s="6" t="str">
        <f>IF(A403="","",IF('Statements (Raw)'!C401&lt;&gt;"",'Statements (Raw)'!C401,IF(ISNUMBER(SEARCH("Conferimento",'Statements (Raw)'!D401)),"CASH DEPOSIT",IF(ISNUMBER(SEARCH("Prelievo",'Statements (Raw)'!D401)),"CASH WITHDRAWAL",IF(ISNUMBER(SEARCH("Bollo",'Statements (Raw)'!D401)),"STAMP DUTY",IF(ISNUMBER(SEARCH("Tobin Tax",'Statements (Raw)'!D401)),"TOBIN TAX",IF(ISNUMBER(SEARCH("Rit.provento",'Statements (Raw)'!D401)),"WITHHOLDING TAX",IF(ISNUMBER(SEARCH("Incasso Dividendi",'Statements (Raw)'!D401)),"DIVIDEND",IF(ISNUMBER(SEARCH("Cedola",'Statements (Raw)'!D401)),"COUPON",IF(ISNUMBER(SEARCH("Ratei Pass",'Statements (Raw)'!D401)),"ACCRUED INT",IF(ISNUMBER(SEARCH("Interessi Prest",'Statements (Raw)'!D401)),"SEC LENDING",IF(ISNUMBER(SEARCH("Rimborso",'Statements (Raw)'!D401)),"REDEMPTION",IF(ISNUMBER(SEARCH("Provento",'Statements (Raw)'!D401)),"DISTRIBUTION","OTHER")))))))))))))</f>
        <v>RAI WAY</v>
      </c>
      <c r="D403" s="6" t="str">
        <f>IF(A403="","",IF(C403="Saldo Iniziale","Balance",IF(C403="CASH DEPOSIT","Deposit",IF(C403="CASH WITHDRAWAL","Withdrawal",IF(C403="STAMP DUTY","Tax",IF(C403="TOBIN TAX","Tax",IF(C403="WITHHOLDING TAX","Tax",IF(C403="DIVIDEND","Dividend",IF(C403="COUPON","Coupon",IF(C403="ACCRUED INT","Accrued Int.",IF(C403="SEC LENDING","Sec. Lending",IF(C403="REDEMPTION","Redemption",IF(C403="DISTRIBUTION","Distribution",IF(ISNUMBER(SEARCH("Rimborso",'Statements (Raw)'!D401)),"Redemption",IF(ISNUMBER(SEARCH("Cedola",'Statements (Raw)'!D401)),"Coupon",IF(ISNUMBER(SEARCH("Incasso Dividendi",'Statements (Raw)'!D401)),"Dividend",IF(ISNUMBER(SEARCH("Provento Etf",'Statements (Raw)'!D401)),"Distribution",IF(ISNUMBER(SEARCH("Rit.provento",'Statements (Raw)'!D401)),"Tax",IF(ISNUMBER(SEARCH("Ratei Pass",'Statements (Raw)'!D401)),"Accrued Int.",IF(ISNUMBER(SEARCH("Interessi Prest",'Statements (Raw)'!D401)),"Sec. Lending",IF('Statements (Raw)'!G401="","Other",IF('Statements (Raw)'!G401&gt;0,"Buy","Sell"))))))))))))))))))))))</f>
        <v>Sell</v>
      </c>
      <c r="E403" s="6" t="str">
        <f t="shared" si="12"/>
        <v>Stock</v>
      </c>
      <c r="F403" s="8">
        <f>IF(A403="","",IF('Statements (Raw)'!E401="","",'Statements (Raw)'!E401))</f>
        <v>6.14</v>
      </c>
      <c r="G403" s="6" t="str">
        <f>IF(A403="","",IF('Statements (Raw)'!F401="","",'Statements (Raw)'!F401))</f>
        <v>EUR</v>
      </c>
      <c r="H403" s="9">
        <f>IF(A403="","",IF('Statements (Raw)'!G401="","",'Statements (Raw)'!G401))</f>
        <v>-22</v>
      </c>
      <c r="I403" s="10">
        <f>IF(A403="","",IF('Statements (Raw)'!H401="","",'Statements (Raw)'!H401))</f>
        <v>135.08000000000001</v>
      </c>
      <c r="J403" s="10">
        <f>IF(A403="",0,IF('Statements (Raw)'!I401="",0,'Statements (Raw)'!I401))</f>
        <v>0</v>
      </c>
      <c r="K403" s="10">
        <f t="shared" si="13"/>
        <v>135.08000000000001</v>
      </c>
    </row>
    <row r="404" spans="1:11" x14ac:dyDescent="0.3">
      <c r="A404" s="171">
        <f>IF(OR('Statements (Raw)'!A402="",'Statements (Raw)'!A402&gt;Holdings!$G$3),"",'Statements (Raw)'!A402)</f>
        <v>46083</v>
      </c>
      <c r="B404" s="7">
        <f>IF(A404="","",IF('Statements (Raw)'!B402="","",'Statements (Raw)'!B402))</f>
        <v>46085</v>
      </c>
      <c r="C404" s="6" t="str">
        <f>IF(A404="","",IF('Statements (Raw)'!C402&lt;&gt;"",'Statements (Raw)'!C402,IF(ISNUMBER(SEARCH("Conferimento",'Statements (Raw)'!D402)),"CASH DEPOSIT",IF(ISNUMBER(SEARCH("Prelievo",'Statements (Raw)'!D402)),"CASH WITHDRAWAL",IF(ISNUMBER(SEARCH("Bollo",'Statements (Raw)'!D402)),"STAMP DUTY",IF(ISNUMBER(SEARCH("Tobin Tax",'Statements (Raw)'!D402)),"TOBIN TAX",IF(ISNUMBER(SEARCH("Rit.provento",'Statements (Raw)'!D402)),"WITHHOLDING TAX",IF(ISNUMBER(SEARCH("Incasso Dividendi",'Statements (Raw)'!D402)),"DIVIDEND",IF(ISNUMBER(SEARCH("Cedola",'Statements (Raw)'!D402)),"COUPON",IF(ISNUMBER(SEARCH("Ratei Pass",'Statements (Raw)'!D402)),"ACCRUED INT",IF(ISNUMBER(SEARCH("Interessi Prest",'Statements (Raw)'!D402)),"SEC LENDING",IF(ISNUMBER(SEARCH("Rimborso",'Statements (Raw)'!D402)),"REDEMPTION",IF(ISNUMBER(SEARCH("Provento",'Statements (Raw)'!D402)),"DISTRIBUTION","OTHER")))))))))))))</f>
        <v>RAI WAY</v>
      </c>
      <c r="D404" s="6" t="str">
        <f>IF(A404="","",IF(C404="Saldo Iniziale","Balance",IF(C404="CASH DEPOSIT","Deposit",IF(C404="CASH WITHDRAWAL","Withdrawal",IF(C404="STAMP DUTY","Tax",IF(C404="TOBIN TAX","Tax",IF(C404="WITHHOLDING TAX","Tax",IF(C404="DIVIDEND","Dividend",IF(C404="COUPON","Coupon",IF(C404="ACCRUED INT","Accrued Int.",IF(C404="SEC LENDING","Sec. Lending",IF(C404="REDEMPTION","Redemption",IF(C404="DISTRIBUTION","Distribution",IF(ISNUMBER(SEARCH("Rimborso",'Statements (Raw)'!D402)),"Redemption",IF(ISNUMBER(SEARCH("Cedola",'Statements (Raw)'!D402)),"Coupon",IF(ISNUMBER(SEARCH("Incasso Dividendi",'Statements (Raw)'!D402)),"Dividend",IF(ISNUMBER(SEARCH("Provento Etf",'Statements (Raw)'!D402)),"Distribution",IF(ISNUMBER(SEARCH("Rit.provento",'Statements (Raw)'!D402)),"Tax",IF(ISNUMBER(SEARCH("Ratei Pass",'Statements (Raw)'!D402)),"Accrued Int.",IF(ISNUMBER(SEARCH("Interessi Prest",'Statements (Raw)'!D402)),"Sec. Lending",IF('Statements (Raw)'!G402="","Other",IF('Statements (Raw)'!G402&gt;0,"Buy","Sell"))))))))))))))))))))))</f>
        <v>Sell</v>
      </c>
      <c r="E404" s="6" t="str">
        <f t="shared" si="12"/>
        <v>Stock</v>
      </c>
      <c r="F404" s="8">
        <f>IF(A404="","",IF('Statements (Raw)'!E402="","",'Statements (Raw)'!E402))</f>
        <v>6.14</v>
      </c>
      <c r="G404" s="6" t="str">
        <f>IF(A404="","",IF('Statements (Raw)'!F402="","",'Statements (Raw)'!F402))</f>
        <v>EUR</v>
      </c>
      <c r="H404" s="9">
        <f>IF(A404="","",IF('Statements (Raw)'!G402="","",'Statements (Raw)'!G402))</f>
        <v>-128</v>
      </c>
      <c r="I404" s="10">
        <f>IF(A404="","",IF('Statements (Raw)'!H402="","",'Statements (Raw)'!H402))</f>
        <v>785.92</v>
      </c>
      <c r="J404" s="10">
        <f>IF(A404="",0,IF('Statements (Raw)'!I402="",0,'Statements (Raw)'!I402))</f>
        <v>0</v>
      </c>
      <c r="K404" s="10">
        <f t="shared" si="13"/>
        <v>785.92</v>
      </c>
    </row>
    <row r="405" spans="1:11" x14ac:dyDescent="0.3">
      <c r="A405" s="171">
        <f>IF(OR('Statements (Raw)'!A403="",'Statements (Raw)'!A403&gt;Holdings!$G$3),"",'Statements (Raw)'!A403)</f>
        <v>46083</v>
      </c>
      <c r="B405" s="7">
        <f>IF(A405="","",IF('Statements (Raw)'!B403="","",'Statements (Raw)'!B403))</f>
        <v>46085</v>
      </c>
      <c r="C405" s="6" t="str">
        <f>IF(A405="","",IF('Statements (Raw)'!C403&lt;&gt;"",'Statements (Raw)'!C403,IF(ISNUMBER(SEARCH("Conferimento",'Statements (Raw)'!D403)),"CASH DEPOSIT",IF(ISNUMBER(SEARCH("Prelievo",'Statements (Raw)'!D403)),"CASH WITHDRAWAL",IF(ISNUMBER(SEARCH("Bollo",'Statements (Raw)'!D403)),"STAMP DUTY",IF(ISNUMBER(SEARCH("Tobin Tax",'Statements (Raw)'!D403)),"TOBIN TAX",IF(ISNUMBER(SEARCH("Rit.provento",'Statements (Raw)'!D403)),"WITHHOLDING TAX",IF(ISNUMBER(SEARCH("Incasso Dividendi",'Statements (Raw)'!D403)),"DIVIDEND",IF(ISNUMBER(SEARCH("Cedola",'Statements (Raw)'!D403)),"COUPON",IF(ISNUMBER(SEARCH("Ratei Pass",'Statements (Raw)'!D403)),"ACCRUED INT",IF(ISNUMBER(SEARCH("Interessi Prest",'Statements (Raw)'!D403)),"SEC LENDING",IF(ISNUMBER(SEARCH("Rimborso",'Statements (Raw)'!D403)),"REDEMPTION",IF(ISNUMBER(SEARCH("Provento",'Statements (Raw)'!D403)),"DISTRIBUTION","OTHER")))))))))))))</f>
        <v>RAI WAY</v>
      </c>
      <c r="D405" s="6" t="str">
        <f>IF(A405="","",IF(C405="Saldo Iniziale","Balance",IF(C405="CASH DEPOSIT","Deposit",IF(C405="CASH WITHDRAWAL","Withdrawal",IF(C405="STAMP DUTY","Tax",IF(C405="TOBIN TAX","Tax",IF(C405="WITHHOLDING TAX","Tax",IF(C405="DIVIDEND","Dividend",IF(C405="COUPON","Coupon",IF(C405="ACCRUED INT","Accrued Int.",IF(C405="SEC LENDING","Sec. Lending",IF(C405="REDEMPTION","Redemption",IF(C405="DISTRIBUTION","Distribution",IF(ISNUMBER(SEARCH("Rimborso",'Statements (Raw)'!D403)),"Redemption",IF(ISNUMBER(SEARCH("Cedola",'Statements (Raw)'!D403)),"Coupon",IF(ISNUMBER(SEARCH("Incasso Dividendi",'Statements (Raw)'!D403)),"Dividend",IF(ISNUMBER(SEARCH("Provento Etf",'Statements (Raw)'!D403)),"Distribution",IF(ISNUMBER(SEARCH("Rit.provento",'Statements (Raw)'!D403)),"Tax",IF(ISNUMBER(SEARCH("Ratei Pass",'Statements (Raw)'!D403)),"Accrued Int.",IF(ISNUMBER(SEARCH("Interessi Prest",'Statements (Raw)'!D403)),"Sec. Lending",IF('Statements (Raw)'!G403="","Other",IF('Statements (Raw)'!G403&gt;0,"Buy","Sell"))))))))))))))))))))))</f>
        <v>Sell</v>
      </c>
      <c r="E405" s="6" t="str">
        <f t="shared" si="12"/>
        <v>Stock</v>
      </c>
      <c r="F405" s="8">
        <f>IF(A405="","",IF('Statements (Raw)'!E403="","",'Statements (Raw)'!E403))</f>
        <v>6.14</v>
      </c>
      <c r="G405" s="6" t="str">
        <f>IF(A405="","",IF('Statements (Raw)'!F403="","",'Statements (Raw)'!F403))</f>
        <v>EUR</v>
      </c>
      <c r="H405" s="9">
        <f>IF(A405="","",IF('Statements (Raw)'!G403="","",'Statements (Raw)'!G403))</f>
        <v>-291</v>
      </c>
      <c r="I405" s="10">
        <f>IF(A405="","",IF('Statements (Raw)'!H403="","",'Statements (Raw)'!H403))</f>
        <v>1786.74</v>
      </c>
      <c r="J405" s="10">
        <f>IF(A405="",0,IF('Statements (Raw)'!I403="",0,'Statements (Raw)'!I403))</f>
        <v>0</v>
      </c>
      <c r="K405" s="10">
        <f t="shared" si="13"/>
        <v>1786.74</v>
      </c>
    </row>
    <row r="406" spans="1:11" x14ac:dyDescent="0.3">
      <c r="A406" s="171">
        <f>IF(OR('Statements (Raw)'!A404="",'Statements (Raw)'!A404&gt;Holdings!$G$3),"",'Statements (Raw)'!A404)</f>
        <v>46083</v>
      </c>
      <c r="B406" s="7">
        <f>IF(A406="","",IF('Statements (Raw)'!B404="","",'Statements (Raw)'!B404))</f>
        <v>46085</v>
      </c>
      <c r="C406" s="6" t="str">
        <f>IF(A406="","",IF('Statements (Raw)'!C404&lt;&gt;"",'Statements (Raw)'!C404,IF(ISNUMBER(SEARCH("Conferimento",'Statements (Raw)'!D404)),"CASH DEPOSIT",IF(ISNUMBER(SEARCH("Prelievo",'Statements (Raw)'!D404)),"CASH WITHDRAWAL",IF(ISNUMBER(SEARCH("Bollo",'Statements (Raw)'!D404)),"STAMP DUTY",IF(ISNUMBER(SEARCH("Tobin Tax",'Statements (Raw)'!D404)),"TOBIN TAX",IF(ISNUMBER(SEARCH("Rit.provento",'Statements (Raw)'!D404)),"WITHHOLDING TAX",IF(ISNUMBER(SEARCH("Incasso Dividendi",'Statements (Raw)'!D404)),"DIVIDEND",IF(ISNUMBER(SEARCH("Cedola",'Statements (Raw)'!D404)),"COUPON",IF(ISNUMBER(SEARCH("Ratei Pass",'Statements (Raw)'!D404)),"ACCRUED INT",IF(ISNUMBER(SEARCH("Interessi Prest",'Statements (Raw)'!D404)),"SEC LENDING",IF(ISNUMBER(SEARCH("Rimborso",'Statements (Raw)'!D404)),"REDEMPTION",IF(ISNUMBER(SEARCH("Provento",'Statements (Raw)'!D404)),"DISTRIBUTION","OTHER")))))))))))))</f>
        <v>RAI WAY</v>
      </c>
      <c r="D406" s="6" t="str">
        <f>IF(A406="","",IF(C406="Saldo Iniziale","Balance",IF(C406="CASH DEPOSIT","Deposit",IF(C406="CASH WITHDRAWAL","Withdrawal",IF(C406="STAMP DUTY","Tax",IF(C406="TOBIN TAX","Tax",IF(C406="WITHHOLDING TAX","Tax",IF(C406="DIVIDEND","Dividend",IF(C406="COUPON","Coupon",IF(C406="ACCRUED INT","Accrued Int.",IF(C406="SEC LENDING","Sec. Lending",IF(C406="REDEMPTION","Redemption",IF(C406="DISTRIBUTION","Distribution",IF(ISNUMBER(SEARCH("Rimborso",'Statements (Raw)'!D404)),"Redemption",IF(ISNUMBER(SEARCH("Cedola",'Statements (Raw)'!D404)),"Coupon",IF(ISNUMBER(SEARCH("Incasso Dividendi",'Statements (Raw)'!D404)),"Dividend",IF(ISNUMBER(SEARCH("Provento Etf",'Statements (Raw)'!D404)),"Distribution",IF(ISNUMBER(SEARCH("Rit.provento",'Statements (Raw)'!D404)),"Tax",IF(ISNUMBER(SEARCH("Ratei Pass",'Statements (Raw)'!D404)),"Accrued Int.",IF(ISNUMBER(SEARCH("Interessi Prest",'Statements (Raw)'!D404)),"Sec. Lending",IF('Statements (Raw)'!G404="","Other",IF('Statements (Raw)'!G404&gt;0,"Buy","Sell"))))))))))))))))))))))</f>
        <v>Sell</v>
      </c>
      <c r="E406" s="6" t="str">
        <f t="shared" si="12"/>
        <v>Stock</v>
      </c>
      <c r="F406" s="8">
        <f>IF(A406="","",IF('Statements (Raw)'!E404="","",'Statements (Raw)'!E404))</f>
        <v>6.14</v>
      </c>
      <c r="G406" s="6" t="str">
        <f>IF(A406="","",IF('Statements (Raw)'!F404="","",'Statements (Raw)'!F404))</f>
        <v>EUR</v>
      </c>
      <c r="H406" s="9">
        <f>IF(A406="","",IF('Statements (Raw)'!G404="","",'Statements (Raw)'!G404))</f>
        <v>-154</v>
      </c>
      <c r="I406" s="10">
        <f>IF(A406="","",IF('Statements (Raw)'!H404="","",'Statements (Raw)'!H404))</f>
        <v>945.56</v>
      </c>
      <c r="J406" s="10">
        <f>IF(A406="",0,IF('Statements (Raw)'!I404="",0,'Statements (Raw)'!I404))</f>
        <v>0</v>
      </c>
      <c r="K406" s="10">
        <f t="shared" si="13"/>
        <v>945.56</v>
      </c>
    </row>
    <row r="407" spans="1:11" x14ac:dyDescent="0.3">
      <c r="A407" s="171">
        <f>IF(OR('Statements (Raw)'!A405="",'Statements (Raw)'!A405&gt;Holdings!$G$3),"",'Statements (Raw)'!A405)</f>
        <v>46083</v>
      </c>
      <c r="B407" s="7">
        <f>IF(A407="","",IF('Statements (Raw)'!B405="","",'Statements (Raw)'!B405))</f>
        <v>46085</v>
      </c>
      <c r="C407" s="6" t="str">
        <f>IF(A407="","",IF('Statements (Raw)'!C405&lt;&gt;"",'Statements (Raw)'!C405,IF(ISNUMBER(SEARCH("Conferimento",'Statements (Raw)'!D405)),"CASH DEPOSIT",IF(ISNUMBER(SEARCH("Prelievo",'Statements (Raw)'!D405)),"CASH WITHDRAWAL",IF(ISNUMBER(SEARCH("Bollo",'Statements (Raw)'!D405)),"STAMP DUTY",IF(ISNUMBER(SEARCH("Tobin Tax",'Statements (Raw)'!D405)),"TOBIN TAX",IF(ISNUMBER(SEARCH("Rit.provento",'Statements (Raw)'!D405)),"WITHHOLDING TAX",IF(ISNUMBER(SEARCH("Incasso Dividendi",'Statements (Raw)'!D405)),"DIVIDEND",IF(ISNUMBER(SEARCH("Cedola",'Statements (Raw)'!D405)),"COUPON",IF(ISNUMBER(SEARCH("Ratei Pass",'Statements (Raw)'!D405)),"ACCRUED INT",IF(ISNUMBER(SEARCH("Interessi Prest",'Statements (Raw)'!D405)),"SEC LENDING",IF(ISNUMBER(SEARCH("Rimborso",'Statements (Raw)'!D405)),"REDEMPTION",IF(ISNUMBER(SEARCH("Provento",'Statements (Raw)'!D405)),"DISTRIBUTION","OTHER")))))))))))))</f>
        <v>RAI WAY</v>
      </c>
      <c r="D407" s="6" t="str">
        <f>IF(A407="","",IF(C407="Saldo Iniziale","Balance",IF(C407="CASH DEPOSIT","Deposit",IF(C407="CASH WITHDRAWAL","Withdrawal",IF(C407="STAMP DUTY","Tax",IF(C407="TOBIN TAX","Tax",IF(C407="WITHHOLDING TAX","Tax",IF(C407="DIVIDEND","Dividend",IF(C407="COUPON","Coupon",IF(C407="ACCRUED INT","Accrued Int.",IF(C407="SEC LENDING","Sec. Lending",IF(C407="REDEMPTION","Redemption",IF(C407="DISTRIBUTION","Distribution",IF(ISNUMBER(SEARCH("Rimborso",'Statements (Raw)'!D405)),"Redemption",IF(ISNUMBER(SEARCH("Cedola",'Statements (Raw)'!D405)),"Coupon",IF(ISNUMBER(SEARCH("Incasso Dividendi",'Statements (Raw)'!D405)),"Dividend",IF(ISNUMBER(SEARCH("Provento Etf",'Statements (Raw)'!D405)),"Distribution",IF(ISNUMBER(SEARCH("Rit.provento",'Statements (Raw)'!D405)),"Tax",IF(ISNUMBER(SEARCH("Ratei Pass",'Statements (Raw)'!D405)),"Accrued Int.",IF(ISNUMBER(SEARCH("Interessi Prest",'Statements (Raw)'!D405)),"Sec. Lending",IF('Statements (Raw)'!G405="","Other",IF('Statements (Raw)'!G405&gt;0,"Buy","Sell"))))))))))))))))))))))</f>
        <v>Sell</v>
      </c>
      <c r="E407" s="6" t="str">
        <f t="shared" si="12"/>
        <v>Stock</v>
      </c>
      <c r="F407" s="8">
        <f>IF(A407="","",IF('Statements (Raw)'!E405="","",'Statements (Raw)'!E405))</f>
        <v>6.14</v>
      </c>
      <c r="G407" s="6" t="str">
        <f>IF(A407="","",IF('Statements (Raw)'!F405="","",'Statements (Raw)'!F405))</f>
        <v>EUR</v>
      </c>
      <c r="H407" s="9">
        <f>IF(A407="","",IF('Statements (Raw)'!G405="","",'Statements (Raw)'!G405))</f>
        <v>-1245</v>
      </c>
      <c r="I407" s="10">
        <f>IF(A407="","",IF('Statements (Raw)'!H405="","",'Statements (Raw)'!H405))</f>
        <v>7644.3</v>
      </c>
      <c r="J407" s="10">
        <f>IF(A407="",0,IF('Statements (Raw)'!I405="",0,'Statements (Raw)'!I405))</f>
        <v>0</v>
      </c>
      <c r="K407" s="10">
        <f t="shared" si="13"/>
        <v>7644.3</v>
      </c>
    </row>
    <row r="408" spans="1:11" x14ac:dyDescent="0.3">
      <c r="A408" s="171">
        <f>IF(OR('Statements (Raw)'!A406="",'Statements (Raw)'!A406&gt;Holdings!$G$3),"",'Statements (Raw)'!A406)</f>
        <v>46083</v>
      </c>
      <c r="B408" s="7">
        <f>IF(A408="","",IF('Statements (Raw)'!B406="","",'Statements (Raw)'!B406))</f>
        <v>46085</v>
      </c>
      <c r="C408" s="6" t="str">
        <f>IF(A408="","",IF('Statements (Raw)'!C406&lt;&gt;"",'Statements (Raw)'!C406,IF(ISNUMBER(SEARCH("Conferimento",'Statements (Raw)'!D406)),"CASH DEPOSIT",IF(ISNUMBER(SEARCH("Prelievo",'Statements (Raw)'!D406)),"CASH WITHDRAWAL",IF(ISNUMBER(SEARCH("Bollo",'Statements (Raw)'!D406)),"STAMP DUTY",IF(ISNUMBER(SEARCH("Tobin Tax",'Statements (Raw)'!D406)),"TOBIN TAX",IF(ISNUMBER(SEARCH("Rit.provento",'Statements (Raw)'!D406)),"WITHHOLDING TAX",IF(ISNUMBER(SEARCH("Incasso Dividendi",'Statements (Raw)'!D406)),"DIVIDEND",IF(ISNUMBER(SEARCH("Cedola",'Statements (Raw)'!D406)),"COUPON",IF(ISNUMBER(SEARCH("Ratei Pass",'Statements (Raw)'!D406)),"ACCRUED INT",IF(ISNUMBER(SEARCH("Interessi Prest",'Statements (Raw)'!D406)),"SEC LENDING",IF(ISNUMBER(SEARCH("Rimborso",'Statements (Raw)'!D406)),"REDEMPTION",IF(ISNUMBER(SEARCH("Provento",'Statements (Raw)'!D406)),"DISTRIBUTION","OTHER")))))))))))))</f>
        <v>iShares Glob Aerospc &amp; Defence</v>
      </c>
      <c r="D408" s="6" t="str">
        <f>IF(A408="","",IF(C408="Saldo Iniziale","Balance",IF(C408="CASH DEPOSIT","Deposit",IF(C408="CASH WITHDRAWAL","Withdrawal",IF(C408="STAMP DUTY","Tax",IF(C408="TOBIN TAX","Tax",IF(C408="WITHHOLDING TAX","Tax",IF(C408="DIVIDEND","Dividend",IF(C408="COUPON","Coupon",IF(C408="ACCRUED INT","Accrued Int.",IF(C408="SEC LENDING","Sec. Lending",IF(C408="REDEMPTION","Redemption",IF(C408="DISTRIBUTION","Distribution",IF(ISNUMBER(SEARCH("Rimborso",'Statements (Raw)'!D406)),"Redemption",IF(ISNUMBER(SEARCH("Cedola",'Statements (Raw)'!D406)),"Coupon",IF(ISNUMBER(SEARCH("Incasso Dividendi",'Statements (Raw)'!D406)),"Dividend",IF(ISNUMBER(SEARCH("Provento Etf",'Statements (Raw)'!D406)),"Distribution",IF(ISNUMBER(SEARCH("Rit.provento",'Statements (Raw)'!D406)),"Tax",IF(ISNUMBER(SEARCH("Ratei Pass",'Statements (Raw)'!D406)),"Accrued Int.",IF(ISNUMBER(SEARCH("Interessi Prest",'Statements (Raw)'!D406)),"Sec. Lending",IF('Statements (Raw)'!G406="","Other",IF('Statements (Raw)'!G406&gt;0,"Buy","Sell"))))))))))))))))))))))</f>
        <v>Buy</v>
      </c>
      <c r="E408" s="6" t="str">
        <f t="shared" si="12"/>
        <v>ETF/ETC</v>
      </c>
      <c r="F408" s="8">
        <f>IF(A408="","",IF('Statements (Raw)'!E406="","",'Statements (Raw)'!E406))</f>
        <v>9.0370000000000008</v>
      </c>
      <c r="G408" s="6" t="str">
        <f>IF(A408="","",IF('Statements (Raw)'!F406="","",'Statements (Raw)'!F406))</f>
        <v>EUR</v>
      </c>
      <c r="H408" s="9">
        <f>IF(A408="","",IF('Statements (Raw)'!G406="","",'Statements (Raw)'!G406))</f>
        <v>148</v>
      </c>
      <c r="I408" s="10">
        <f>IF(A408="","",IF('Statements (Raw)'!H406="","",'Statements (Raw)'!H406))</f>
        <v>-1337.48</v>
      </c>
      <c r="J408" s="10">
        <f>IF(A408="",0,IF('Statements (Raw)'!I406="",0,'Statements (Raw)'!I406))</f>
        <v>0</v>
      </c>
      <c r="K408" s="10">
        <f t="shared" si="13"/>
        <v>-1337.48</v>
      </c>
    </row>
    <row r="409" spans="1:11" x14ac:dyDescent="0.3">
      <c r="A409" s="171">
        <f>IF(OR('Statements (Raw)'!A407="",'Statements (Raw)'!A407&gt;Holdings!$G$3),"",'Statements (Raw)'!A407)</f>
        <v>46083</v>
      </c>
      <c r="B409" s="7">
        <f>IF(A409="","",IF('Statements (Raw)'!B407="","",'Statements (Raw)'!B407))</f>
        <v>46085</v>
      </c>
      <c r="C409" s="6" t="str">
        <f>IF(A409="","",IF('Statements (Raw)'!C407&lt;&gt;"",'Statements (Raw)'!C407,IF(ISNUMBER(SEARCH("Conferimento",'Statements (Raw)'!D407)),"CASH DEPOSIT",IF(ISNUMBER(SEARCH("Prelievo",'Statements (Raw)'!D407)),"CASH WITHDRAWAL",IF(ISNUMBER(SEARCH("Bollo",'Statements (Raw)'!D407)),"STAMP DUTY",IF(ISNUMBER(SEARCH("Tobin Tax",'Statements (Raw)'!D407)),"TOBIN TAX",IF(ISNUMBER(SEARCH("Rit.provento",'Statements (Raw)'!D407)),"WITHHOLDING TAX",IF(ISNUMBER(SEARCH("Incasso Dividendi",'Statements (Raw)'!D407)),"DIVIDEND",IF(ISNUMBER(SEARCH("Cedola",'Statements (Raw)'!D407)),"COUPON",IF(ISNUMBER(SEARCH("Ratei Pass",'Statements (Raw)'!D407)),"ACCRUED INT",IF(ISNUMBER(SEARCH("Interessi Prest",'Statements (Raw)'!D407)),"SEC LENDING",IF(ISNUMBER(SEARCH("Rimborso",'Statements (Raw)'!D407)),"REDEMPTION",IF(ISNUMBER(SEARCH("Provento",'Statements (Raw)'!D407)),"DISTRIBUTION","OTHER")))))))))))))</f>
        <v>iShares Glob Aerospc &amp; Defence</v>
      </c>
      <c r="D409" s="6" t="str">
        <f>IF(A409="","",IF(C409="Saldo Iniziale","Balance",IF(C409="CASH DEPOSIT","Deposit",IF(C409="CASH WITHDRAWAL","Withdrawal",IF(C409="STAMP DUTY","Tax",IF(C409="TOBIN TAX","Tax",IF(C409="WITHHOLDING TAX","Tax",IF(C409="DIVIDEND","Dividend",IF(C409="COUPON","Coupon",IF(C409="ACCRUED INT","Accrued Int.",IF(C409="SEC LENDING","Sec. Lending",IF(C409="REDEMPTION","Redemption",IF(C409="DISTRIBUTION","Distribution",IF(ISNUMBER(SEARCH("Rimborso",'Statements (Raw)'!D407)),"Redemption",IF(ISNUMBER(SEARCH("Cedola",'Statements (Raw)'!D407)),"Coupon",IF(ISNUMBER(SEARCH("Incasso Dividendi",'Statements (Raw)'!D407)),"Dividend",IF(ISNUMBER(SEARCH("Provento Etf",'Statements (Raw)'!D407)),"Distribution",IF(ISNUMBER(SEARCH("Rit.provento",'Statements (Raw)'!D407)),"Tax",IF(ISNUMBER(SEARCH("Ratei Pass",'Statements (Raw)'!D407)),"Accrued Int.",IF(ISNUMBER(SEARCH("Interessi Prest",'Statements (Raw)'!D407)),"Sec. Lending",IF('Statements (Raw)'!G407="","Other",IF('Statements (Raw)'!G407&gt;0,"Buy","Sell"))))))))))))))))))))))</f>
        <v>Buy</v>
      </c>
      <c r="E409" s="6" t="str">
        <f t="shared" si="12"/>
        <v>ETF/ETC</v>
      </c>
      <c r="F409" s="8">
        <f>IF(A409="","",IF('Statements (Raw)'!E407="","",'Statements (Raw)'!E407))</f>
        <v>9.0370000000000008</v>
      </c>
      <c r="G409" s="6" t="str">
        <f>IF(A409="","",IF('Statements (Raw)'!F407="","",'Statements (Raw)'!F407))</f>
        <v>EUR</v>
      </c>
      <c r="H409" s="9">
        <f>IF(A409="","",IF('Statements (Raw)'!G407="","",'Statements (Raw)'!G407))</f>
        <v>352</v>
      </c>
      <c r="I409" s="10">
        <f>IF(A409="","",IF('Statements (Raw)'!H407="","",'Statements (Raw)'!H407))</f>
        <v>-3181.02</v>
      </c>
      <c r="J409" s="10">
        <f>IF(A409="",0,IF('Statements (Raw)'!I407="",0,'Statements (Raw)'!I407))</f>
        <v>0</v>
      </c>
      <c r="K409" s="10">
        <f t="shared" si="13"/>
        <v>-3181.02</v>
      </c>
    </row>
    <row r="410" spans="1:11" x14ac:dyDescent="0.3">
      <c r="A410" s="171">
        <f>IF(OR('Statements (Raw)'!A408="",'Statements (Raw)'!A408&gt;Holdings!$G$3),"",'Statements (Raw)'!A408)</f>
        <v>46083</v>
      </c>
      <c r="B410" s="7">
        <f>IF(A410="","",IF('Statements (Raw)'!B408="","",'Statements (Raw)'!B408))</f>
        <v>46085</v>
      </c>
      <c r="C410" s="6" t="str">
        <f>IF(A410="","",IF('Statements (Raw)'!C408&lt;&gt;"",'Statements (Raw)'!C408,IF(ISNUMBER(SEARCH("Conferimento",'Statements (Raw)'!D408)),"CASH DEPOSIT",IF(ISNUMBER(SEARCH("Prelievo",'Statements (Raw)'!D408)),"CASH WITHDRAWAL",IF(ISNUMBER(SEARCH("Bollo",'Statements (Raw)'!D408)),"STAMP DUTY",IF(ISNUMBER(SEARCH("Tobin Tax",'Statements (Raw)'!D408)),"TOBIN TAX",IF(ISNUMBER(SEARCH("Rit.provento",'Statements (Raw)'!D408)),"WITHHOLDING TAX",IF(ISNUMBER(SEARCH("Incasso Dividendi",'Statements (Raw)'!D408)),"DIVIDEND",IF(ISNUMBER(SEARCH("Cedola",'Statements (Raw)'!D408)),"COUPON",IF(ISNUMBER(SEARCH("Ratei Pass",'Statements (Raw)'!D408)),"ACCRUED INT",IF(ISNUMBER(SEARCH("Interessi Prest",'Statements (Raw)'!D408)),"SEC LENDING",IF(ISNUMBER(SEARCH("Rimborso",'Statements (Raw)'!D408)),"REDEMPTION",IF(ISNUMBER(SEARCH("Provento",'Statements (Raw)'!D408)),"DISTRIBUTION","OTHER")))))))))))))</f>
        <v>WisdomTree Europe Defence UCIT</v>
      </c>
      <c r="D410" s="6" t="str">
        <f>IF(A410="","",IF(C410="Saldo Iniziale","Balance",IF(C410="CASH DEPOSIT","Deposit",IF(C410="CASH WITHDRAWAL","Withdrawal",IF(C410="STAMP DUTY","Tax",IF(C410="TOBIN TAX","Tax",IF(C410="WITHHOLDING TAX","Tax",IF(C410="DIVIDEND","Dividend",IF(C410="COUPON","Coupon",IF(C410="ACCRUED INT","Accrued Int.",IF(C410="SEC LENDING","Sec. Lending",IF(C410="REDEMPTION","Redemption",IF(C410="DISTRIBUTION","Distribution",IF(ISNUMBER(SEARCH("Rimborso",'Statements (Raw)'!D408)),"Redemption",IF(ISNUMBER(SEARCH("Cedola",'Statements (Raw)'!D408)),"Coupon",IF(ISNUMBER(SEARCH("Incasso Dividendi",'Statements (Raw)'!D408)),"Dividend",IF(ISNUMBER(SEARCH("Provento Etf",'Statements (Raw)'!D408)),"Distribution",IF(ISNUMBER(SEARCH("Rit.provento",'Statements (Raw)'!D408)),"Tax",IF(ISNUMBER(SEARCH("Ratei Pass",'Statements (Raw)'!D408)),"Accrued Int.",IF(ISNUMBER(SEARCH("Interessi Prest",'Statements (Raw)'!D408)),"Sec. Lending",IF('Statements (Raw)'!G408="","Other",IF('Statements (Raw)'!G408&gt;0,"Buy","Sell"))))))))))))))))))))))</f>
        <v>Buy</v>
      </c>
      <c r="E410" s="6" t="str">
        <f t="shared" si="12"/>
        <v>ETF/ETC</v>
      </c>
      <c r="F410" s="8">
        <f>IF(A410="","",IF('Statements (Raw)'!E408="","",'Statements (Raw)'!E408))</f>
        <v>34.555</v>
      </c>
      <c r="G410" s="6" t="str">
        <f>IF(A410="","",IF('Statements (Raw)'!F408="","",'Statements (Raw)'!F408))</f>
        <v>EUR</v>
      </c>
      <c r="H410" s="9">
        <f>IF(A410="","",IF('Statements (Raw)'!G408="","",'Statements (Raw)'!G408))</f>
        <v>28</v>
      </c>
      <c r="I410" s="10">
        <f>IF(A410="","",IF('Statements (Raw)'!H408="","",'Statements (Raw)'!H408))</f>
        <v>-967.54</v>
      </c>
      <c r="J410" s="10">
        <f>IF(A410="",0,IF('Statements (Raw)'!I408="",0,'Statements (Raw)'!I408))</f>
        <v>0</v>
      </c>
      <c r="K410" s="10">
        <f t="shared" si="13"/>
        <v>-967.54</v>
      </c>
    </row>
    <row r="411" spans="1:11" x14ac:dyDescent="0.3">
      <c r="A411" s="171">
        <f>IF(OR('Statements (Raw)'!A409="",'Statements (Raw)'!A409&gt;Holdings!$G$3),"",'Statements (Raw)'!A409)</f>
        <v>46083</v>
      </c>
      <c r="B411" s="7">
        <f>IF(A411="","",IF('Statements (Raw)'!B409="","",'Statements (Raw)'!B409))</f>
        <v>46085</v>
      </c>
      <c r="C411" s="6" t="str">
        <f>IF(A411="","",IF('Statements (Raw)'!C409&lt;&gt;"",'Statements (Raw)'!C409,IF(ISNUMBER(SEARCH("Conferimento",'Statements (Raw)'!D409)),"CASH DEPOSIT",IF(ISNUMBER(SEARCH("Prelievo",'Statements (Raw)'!D409)),"CASH WITHDRAWAL",IF(ISNUMBER(SEARCH("Bollo",'Statements (Raw)'!D409)),"STAMP DUTY",IF(ISNUMBER(SEARCH("Tobin Tax",'Statements (Raw)'!D409)),"TOBIN TAX",IF(ISNUMBER(SEARCH("Rit.provento",'Statements (Raw)'!D409)),"WITHHOLDING TAX",IF(ISNUMBER(SEARCH("Incasso Dividendi",'Statements (Raw)'!D409)),"DIVIDEND",IF(ISNUMBER(SEARCH("Cedola",'Statements (Raw)'!D409)),"COUPON",IF(ISNUMBER(SEARCH("Ratei Pass",'Statements (Raw)'!D409)),"ACCRUED INT",IF(ISNUMBER(SEARCH("Interessi Prest",'Statements (Raw)'!D409)),"SEC LENDING",IF(ISNUMBER(SEARCH("Rimborso",'Statements (Raw)'!D409)),"REDEMPTION",IF(ISNUMBER(SEARCH("Provento",'Statements (Raw)'!D409)),"DISTRIBUTION","OTHER")))))))))))))</f>
        <v>ISHARES FTSE MIB UCITS ETF EUR</v>
      </c>
      <c r="D411" s="6" t="str">
        <f>IF(A411="","",IF(C411="Saldo Iniziale","Balance",IF(C411="CASH DEPOSIT","Deposit",IF(C411="CASH WITHDRAWAL","Withdrawal",IF(C411="STAMP DUTY","Tax",IF(C411="TOBIN TAX","Tax",IF(C411="WITHHOLDING TAX","Tax",IF(C411="DIVIDEND","Dividend",IF(C411="COUPON","Coupon",IF(C411="ACCRUED INT","Accrued Int.",IF(C411="SEC LENDING","Sec. Lending",IF(C411="REDEMPTION","Redemption",IF(C411="DISTRIBUTION","Distribution",IF(ISNUMBER(SEARCH("Rimborso",'Statements (Raw)'!D409)),"Redemption",IF(ISNUMBER(SEARCH("Cedola",'Statements (Raw)'!D409)),"Coupon",IF(ISNUMBER(SEARCH("Incasso Dividendi",'Statements (Raw)'!D409)),"Dividend",IF(ISNUMBER(SEARCH("Provento Etf",'Statements (Raw)'!D409)),"Distribution",IF(ISNUMBER(SEARCH("Rit.provento",'Statements (Raw)'!D409)),"Tax",IF(ISNUMBER(SEARCH("Ratei Pass",'Statements (Raw)'!D409)),"Accrued Int.",IF(ISNUMBER(SEARCH("Interessi Prest",'Statements (Raw)'!D409)),"Sec. Lending",IF('Statements (Raw)'!G409="","Other",IF('Statements (Raw)'!G409&gt;0,"Buy","Sell"))))))))))))))))))))))</f>
        <v>Buy</v>
      </c>
      <c r="E411" s="6" t="str">
        <f t="shared" si="12"/>
        <v>ETF/ETC</v>
      </c>
      <c r="F411" s="8">
        <f>IF(A411="","",IF('Statements (Raw)'!E409="","",'Statements (Raw)'!E409))</f>
        <v>224.7</v>
      </c>
      <c r="G411" s="6" t="str">
        <f>IF(A411="","",IF('Statements (Raw)'!F409="","",'Statements (Raw)'!F409))</f>
        <v>EUR</v>
      </c>
      <c r="H411" s="9">
        <f>IF(A411="","",IF('Statements (Raw)'!G409="","",'Statements (Raw)'!G409))</f>
        <v>11</v>
      </c>
      <c r="I411" s="10">
        <f>IF(A411="","",IF('Statements (Raw)'!H409="","",'Statements (Raw)'!H409))</f>
        <v>-2471.6999999999998</v>
      </c>
      <c r="J411" s="10">
        <f>IF(A411="",0,IF('Statements (Raw)'!I409="",0,'Statements (Raw)'!I409))</f>
        <v>0</v>
      </c>
      <c r="K411" s="10">
        <f t="shared" si="13"/>
        <v>-2471.6999999999998</v>
      </c>
    </row>
    <row r="412" spans="1:11" x14ac:dyDescent="0.3">
      <c r="A412" s="171">
        <f>IF(OR('Statements (Raw)'!A410="",'Statements (Raw)'!A410&gt;Holdings!$G$3),"",'Statements (Raw)'!A410)</f>
        <v>46083</v>
      </c>
      <c r="B412" s="7">
        <f>IF(A412="","",IF('Statements (Raw)'!B410="","",'Statements (Raw)'!B410))</f>
        <v>46081</v>
      </c>
      <c r="C412" s="6" t="str">
        <f>IF(A412="","",IF('Statements (Raw)'!C410&lt;&gt;"",'Statements (Raw)'!C410,IF(ISNUMBER(SEARCH("Conferimento",'Statements (Raw)'!D410)),"CASH DEPOSIT",IF(ISNUMBER(SEARCH("Prelievo",'Statements (Raw)'!D410)),"CASH WITHDRAWAL",IF(ISNUMBER(SEARCH("Bollo",'Statements (Raw)'!D410)),"STAMP DUTY",IF(ISNUMBER(SEARCH("Tobin Tax",'Statements (Raw)'!D410)),"TOBIN TAX",IF(ISNUMBER(SEARCH("Rit.provento",'Statements (Raw)'!D410)),"WITHHOLDING TAX",IF(ISNUMBER(SEARCH("Incasso Dividendi",'Statements (Raw)'!D410)),"DIVIDEND",IF(ISNUMBER(SEARCH("Cedola",'Statements (Raw)'!D410)),"COUPON",IF(ISNUMBER(SEARCH("Ratei Pass",'Statements (Raw)'!D410)),"ACCRUED INT",IF(ISNUMBER(SEARCH("Interessi Prest",'Statements (Raw)'!D410)),"SEC LENDING",IF(ISNUMBER(SEARCH("Rimborso",'Statements (Raw)'!D410)),"REDEMPTION",IF(ISNUMBER(SEARCH("Provento",'Statements (Raw)'!D410)),"DISTRIBUTION","OTHER")))))))))))))</f>
        <v>MONCLER</v>
      </c>
      <c r="D412" s="6" t="str">
        <f>IF(A412="","",IF(C412="Saldo Iniziale","Balance",IF(C412="CASH DEPOSIT","Deposit",IF(C412="CASH WITHDRAWAL","Withdrawal",IF(C412="STAMP DUTY","Tax",IF(C412="TOBIN TAX","Tax",IF(C412="WITHHOLDING TAX","Tax",IF(C412="DIVIDEND","Dividend",IF(C412="COUPON","Coupon",IF(C412="ACCRUED INT","Accrued Int.",IF(C412="SEC LENDING","Sec. Lending",IF(C412="REDEMPTION","Redemption",IF(C412="DISTRIBUTION","Distribution",IF(ISNUMBER(SEARCH("Rimborso",'Statements (Raw)'!D410)),"Redemption",IF(ISNUMBER(SEARCH("Cedola",'Statements (Raw)'!D410)),"Coupon",IF(ISNUMBER(SEARCH("Incasso Dividendi",'Statements (Raw)'!D410)),"Dividend",IF(ISNUMBER(SEARCH("Provento Etf",'Statements (Raw)'!D410)),"Distribution",IF(ISNUMBER(SEARCH("Rit.provento",'Statements (Raw)'!D410)),"Tax",IF(ISNUMBER(SEARCH("Ratei Pass",'Statements (Raw)'!D410)),"Accrued Int.",IF(ISNUMBER(SEARCH("Interessi Prest",'Statements (Raw)'!D410)),"Sec. Lending",IF('Statements (Raw)'!G410="","Other",IF('Statements (Raw)'!G410&gt;0,"Buy","Sell"))))))))))))))))))))))</f>
        <v>Sec. Lending</v>
      </c>
      <c r="E412" s="6" t="str">
        <f t="shared" si="12"/>
        <v>Income</v>
      </c>
      <c r="F412" s="8" t="str">
        <f>IF(A412="","",IF('Statements (Raw)'!E410="","",'Statements (Raw)'!E410))</f>
        <v/>
      </c>
      <c r="G412" s="6" t="str">
        <f>IF(A412="","",IF('Statements (Raw)'!F410="","",'Statements (Raw)'!F410))</f>
        <v/>
      </c>
      <c r="H412" s="9" t="str">
        <f>IF(A412="","",IF('Statements (Raw)'!G410="","",'Statements (Raw)'!G410))</f>
        <v/>
      </c>
      <c r="I412" s="10">
        <f>IF(A412="","",IF('Statements (Raw)'!H410="","",'Statements (Raw)'!H410))</f>
        <v>57.28</v>
      </c>
      <c r="J412" s="10">
        <f>IF(A412="",0,IF('Statements (Raw)'!I410="",0,'Statements (Raw)'!I410))</f>
        <v>0</v>
      </c>
      <c r="K412" s="10">
        <f t="shared" si="13"/>
        <v>57.28</v>
      </c>
    </row>
    <row r="413" spans="1:11" x14ac:dyDescent="0.3">
      <c r="A413" s="171">
        <f>IF(OR('Statements (Raw)'!A411="",'Statements (Raw)'!A411&gt;Holdings!$G$3),"",'Statements (Raw)'!A411)</f>
        <v>46090</v>
      </c>
      <c r="B413" s="7">
        <f>IF(A413="","",IF('Statements (Raw)'!B411="","",'Statements (Raw)'!B411))</f>
        <v>46092</v>
      </c>
      <c r="C413" s="6" t="str">
        <f>IF(A413="","",IF('Statements (Raw)'!C411&lt;&gt;"",'Statements (Raw)'!C411,IF(ISNUMBER(SEARCH("Conferimento",'Statements (Raw)'!D411)),"CASH DEPOSIT",IF(ISNUMBER(SEARCH("Prelievo",'Statements (Raw)'!D411)),"CASH WITHDRAWAL",IF(ISNUMBER(SEARCH("Bollo",'Statements (Raw)'!D411)),"STAMP DUTY",IF(ISNUMBER(SEARCH("Tobin Tax",'Statements (Raw)'!D411)),"TOBIN TAX",IF(ISNUMBER(SEARCH("Rit.provento",'Statements (Raw)'!D411)),"WITHHOLDING TAX",IF(ISNUMBER(SEARCH("Incasso Dividendi",'Statements (Raw)'!D411)),"DIVIDEND",IF(ISNUMBER(SEARCH("Cedola",'Statements (Raw)'!D411)),"COUPON",IF(ISNUMBER(SEARCH("Ratei Pass",'Statements (Raw)'!D411)),"ACCRUED INT",IF(ISNUMBER(SEARCH("Interessi Prest",'Statements (Raw)'!D411)),"SEC LENDING",IF(ISNUMBER(SEARCH("Rimborso",'Statements (Raw)'!D411)),"REDEMPTION",IF(ISNUMBER(SEARCH("Provento",'Statements (Raw)'!D411)),"DISTRIBUTION","OTHER")))))))))))))</f>
        <v>ENI S.P.A.</v>
      </c>
      <c r="D413" s="6" t="str">
        <f>IF(A413="","",IF(C413="Saldo Iniziale","Balance",IF(C413="CASH DEPOSIT","Deposit",IF(C413="CASH WITHDRAWAL","Withdrawal",IF(C413="STAMP DUTY","Tax",IF(C413="TOBIN TAX","Tax",IF(C413="WITHHOLDING TAX","Tax",IF(C413="DIVIDEND","Dividend",IF(C413="COUPON","Coupon",IF(C413="ACCRUED INT","Accrued Int.",IF(C413="SEC LENDING","Sec. Lending",IF(C413="REDEMPTION","Redemption",IF(C413="DISTRIBUTION","Distribution",IF(ISNUMBER(SEARCH("Rimborso",'Statements (Raw)'!D411)),"Redemption",IF(ISNUMBER(SEARCH("Cedola",'Statements (Raw)'!D411)),"Coupon",IF(ISNUMBER(SEARCH("Incasso Dividendi",'Statements (Raw)'!D411)),"Dividend",IF(ISNUMBER(SEARCH("Provento Etf",'Statements (Raw)'!D411)),"Distribution",IF(ISNUMBER(SEARCH("Rit.provento",'Statements (Raw)'!D411)),"Tax",IF(ISNUMBER(SEARCH("Ratei Pass",'Statements (Raw)'!D411)),"Accrued Int.",IF(ISNUMBER(SEARCH("Interessi Prest",'Statements (Raw)'!D411)),"Sec. Lending",IF('Statements (Raw)'!G411="","Other",IF('Statements (Raw)'!G411&gt;0,"Buy","Sell"))))))))))))))))))))))</f>
        <v>Buy</v>
      </c>
      <c r="E413" s="6" t="str">
        <f t="shared" si="12"/>
        <v>Stock</v>
      </c>
      <c r="F413" s="8">
        <f>IF(A413="","",IF('Statements (Raw)'!E411="","",'Statements (Raw)'!E411))</f>
        <v>20.6</v>
      </c>
      <c r="G413" s="6" t="str">
        <f>IF(A413="","",IF('Statements (Raw)'!F411="","",'Statements (Raw)'!F411))</f>
        <v>EUR</v>
      </c>
      <c r="H413" s="9">
        <f>IF(A413="","",IF('Statements (Raw)'!G411="","",'Statements (Raw)'!G411))</f>
        <v>280</v>
      </c>
      <c r="I413" s="10">
        <f>IF(A413="","",IF('Statements (Raw)'!H411="","",'Statements (Raw)'!H411))</f>
        <v>-5768</v>
      </c>
      <c r="J413" s="10">
        <f>IF(A413="",0,IF('Statements (Raw)'!I411="",0,'Statements (Raw)'!I411))</f>
        <v>-5</v>
      </c>
      <c r="K413" s="10">
        <f t="shared" si="13"/>
        <v>-5773</v>
      </c>
    </row>
    <row r="414" spans="1:11" x14ac:dyDescent="0.3">
      <c r="A414" s="171">
        <f>IF(OR('Statements (Raw)'!A412="",'Statements (Raw)'!A412&gt;Holdings!$G$3),"",'Statements (Raw)'!A412)</f>
        <v>46090</v>
      </c>
      <c r="B414" s="7">
        <f>IF(A414="","",IF('Statements (Raw)'!B412="","",'Statements (Raw)'!B412))</f>
        <v>46092</v>
      </c>
      <c r="C414" s="6" t="str">
        <f>IF(A414="","",IF('Statements (Raw)'!C412&lt;&gt;"",'Statements (Raw)'!C412,IF(ISNUMBER(SEARCH("Conferimento",'Statements (Raw)'!D412)),"CASH DEPOSIT",IF(ISNUMBER(SEARCH("Prelievo",'Statements (Raw)'!D412)),"CASH WITHDRAWAL",IF(ISNUMBER(SEARCH("Bollo",'Statements (Raw)'!D412)),"STAMP DUTY",IF(ISNUMBER(SEARCH("Tobin Tax",'Statements (Raw)'!D412)),"TOBIN TAX",IF(ISNUMBER(SEARCH("Rit.provento",'Statements (Raw)'!D412)),"WITHHOLDING TAX",IF(ISNUMBER(SEARCH("Incasso Dividendi",'Statements (Raw)'!D412)),"DIVIDEND",IF(ISNUMBER(SEARCH("Cedola",'Statements (Raw)'!D412)),"COUPON",IF(ISNUMBER(SEARCH("Ratei Pass",'Statements (Raw)'!D412)),"ACCRUED INT",IF(ISNUMBER(SEARCH("Interessi Prest",'Statements (Raw)'!D412)),"SEC LENDING",IF(ISNUMBER(SEARCH("Rimborso",'Statements (Raw)'!D412)),"REDEMPTION",IF(ISNUMBER(SEARCH("Provento",'Statements (Raw)'!D412)),"DISTRIBUTION","OTHER")))))))))))))</f>
        <v>ENI S.P.A.</v>
      </c>
      <c r="D414" s="6" t="str">
        <f>IF(A414="","",IF(C414="Saldo Iniziale","Balance",IF(C414="CASH DEPOSIT","Deposit",IF(C414="CASH WITHDRAWAL","Withdrawal",IF(C414="STAMP DUTY","Tax",IF(C414="TOBIN TAX","Tax",IF(C414="WITHHOLDING TAX","Tax",IF(C414="DIVIDEND","Dividend",IF(C414="COUPON","Coupon",IF(C414="ACCRUED INT","Accrued Int.",IF(C414="SEC LENDING","Sec. Lending",IF(C414="REDEMPTION","Redemption",IF(C414="DISTRIBUTION","Distribution",IF(ISNUMBER(SEARCH("Rimborso",'Statements (Raw)'!D412)),"Redemption",IF(ISNUMBER(SEARCH("Cedola",'Statements (Raw)'!D412)),"Coupon",IF(ISNUMBER(SEARCH("Incasso Dividendi",'Statements (Raw)'!D412)),"Dividend",IF(ISNUMBER(SEARCH("Provento Etf",'Statements (Raw)'!D412)),"Distribution",IF(ISNUMBER(SEARCH("Rit.provento",'Statements (Raw)'!D412)),"Tax",IF(ISNUMBER(SEARCH("Ratei Pass",'Statements (Raw)'!D412)),"Accrued Int.",IF(ISNUMBER(SEARCH("Interessi Prest",'Statements (Raw)'!D412)),"Sec. Lending",IF('Statements (Raw)'!G412="","Other",IF('Statements (Raw)'!G412&gt;0,"Buy","Sell"))))))))))))))))))))))</f>
        <v>Buy</v>
      </c>
      <c r="E414" s="6" t="str">
        <f t="shared" si="12"/>
        <v>Stock</v>
      </c>
      <c r="F414" s="8">
        <f>IF(A414="","",IF('Statements (Raw)'!E412="","",'Statements (Raw)'!E412))</f>
        <v>20.6</v>
      </c>
      <c r="G414" s="6" t="str">
        <f>IF(A414="","",IF('Statements (Raw)'!F412="","",'Statements (Raw)'!F412))</f>
        <v>EUR</v>
      </c>
      <c r="H414" s="9">
        <f>IF(A414="","",IF('Statements (Raw)'!G412="","",'Statements (Raw)'!G412))</f>
        <v>19</v>
      </c>
      <c r="I414" s="10">
        <f>IF(A414="","",IF('Statements (Raw)'!H412="","",'Statements (Raw)'!H412))</f>
        <v>-391.4</v>
      </c>
      <c r="J414" s="10">
        <f>IF(A414="",0,IF('Statements (Raw)'!I412="",0,'Statements (Raw)'!I412))</f>
        <v>0</v>
      </c>
      <c r="K414" s="10">
        <f t="shared" si="13"/>
        <v>-391.4</v>
      </c>
    </row>
    <row r="415" spans="1:11" x14ac:dyDescent="0.3">
      <c r="A415" s="171">
        <f>IF(OR('Statements (Raw)'!A413="",'Statements (Raw)'!A413&gt;Holdings!$G$3),"",'Statements (Raw)'!A413)</f>
        <v>46090</v>
      </c>
      <c r="B415" s="7">
        <f>IF(A415="","",IF('Statements (Raw)'!B413="","",'Statements (Raw)'!B413))</f>
        <v>46092</v>
      </c>
      <c r="C415" s="6" t="str">
        <f>IF(A415="","",IF('Statements (Raw)'!C413&lt;&gt;"",'Statements (Raw)'!C413,IF(ISNUMBER(SEARCH("Conferimento",'Statements (Raw)'!D413)),"CASH DEPOSIT",IF(ISNUMBER(SEARCH("Prelievo",'Statements (Raw)'!D413)),"CASH WITHDRAWAL",IF(ISNUMBER(SEARCH("Bollo",'Statements (Raw)'!D413)),"STAMP DUTY",IF(ISNUMBER(SEARCH("Tobin Tax",'Statements (Raw)'!D413)),"TOBIN TAX",IF(ISNUMBER(SEARCH("Rit.provento",'Statements (Raw)'!D413)),"WITHHOLDING TAX",IF(ISNUMBER(SEARCH("Incasso Dividendi",'Statements (Raw)'!D413)),"DIVIDEND",IF(ISNUMBER(SEARCH("Cedola",'Statements (Raw)'!D413)),"COUPON",IF(ISNUMBER(SEARCH("Ratei Pass",'Statements (Raw)'!D413)),"ACCRUED INT",IF(ISNUMBER(SEARCH("Interessi Prest",'Statements (Raw)'!D413)),"SEC LENDING",IF(ISNUMBER(SEARCH("Rimborso",'Statements (Raw)'!D413)),"REDEMPTION",IF(ISNUMBER(SEARCH("Provento",'Statements (Raw)'!D413)),"DISTRIBUTION","OTHER")))))))))))))</f>
        <v>ENI S.P.A.</v>
      </c>
      <c r="D415" s="6" t="str">
        <f>IF(A415="","",IF(C415="Saldo Iniziale","Balance",IF(C415="CASH DEPOSIT","Deposit",IF(C415="CASH WITHDRAWAL","Withdrawal",IF(C415="STAMP DUTY","Tax",IF(C415="TOBIN TAX","Tax",IF(C415="WITHHOLDING TAX","Tax",IF(C415="DIVIDEND","Dividend",IF(C415="COUPON","Coupon",IF(C415="ACCRUED INT","Accrued Int.",IF(C415="SEC LENDING","Sec. Lending",IF(C415="REDEMPTION","Redemption",IF(C415="DISTRIBUTION","Distribution",IF(ISNUMBER(SEARCH("Rimborso",'Statements (Raw)'!D413)),"Redemption",IF(ISNUMBER(SEARCH("Cedola",'Statements (Raw)'!D413)),"Coupon",IF(ISNUMBER(SEARCH("Incasso Dividendi",'Statements (Raw)'!D413)),"Dividend",IF(ISNUMBER(SEARCH("Provento Etf",'Statements (Raw)'!D413)),"Distribution",IF(ISNUMBER(SEARCH("Rit.provento",'Statements (Raw)'!D413)),"Tax",IF(ISNUMBER(SEARCH("Ratei Pass",'Statements (Raw)'!D413)),"Accrued Int.",IF(ISNUMBER(SEARCH("Interessi Prest",'Statements (Raw)'!D413)),"Sec. Lending",IF('Statements (Raw)'!G413="","Other",IF('Statements (Raw)'!G413&gt;0,"Buy","Sell"))))))))))))))))))))))</f>
        <v>Buy</v>
      </c>
      <c r="E415" s="6" t="str">
        <f t="shared" si="12"/>
        <v>Stock</v>
      </c>
      <c r="F415" s="8">
        <f>IF(A415="","",IF('Statements (Raw)'!E413="","",'Statements (Raw)'!E413))</f>
        <v>20.6</v>
      </c>
      <c r="G415" s="6" t="str">
        <f>IF(A415="","",IF('Statements (Raw)'!F413="","",'Statements (Raw)'!F413))</f>
        <v>EUR</v>
      </c>
      <c r="H415" s="9">
        <f>IF(A415="","",IF('Statements (Raw)'!G413="","",'Statements (Raw)'!G413))</f>
        <v>1</v>
      </c>
      <c r="I415" s="10">
        <f>IF(A415="","",IF('Statements (Raw)'!H413="","",'Statements (Raw)'!H413))</f>
        <v>-20.6</v>
      </c>
      <c r="J415" s="10">
        <f>IF(A415="",0,IF('Statements (Raw)'!I413="",0,'Statements (Raw)'!I413))</f>
        <v>0</v>
      </c>
      <c r="K415" s="10">
        <f t="shared" si="13"/>
        <v>-20.6</v>
      </c>
    </row>
    <row r="416" spans="1:11" x14ac:dyDescent="0.3">
      <c r="A416" s="171">
        <f>IF(OR('Statements (Raw)'!A414="",'Statements (Raw)'!A414&gt;Holdings!$G$3),"",'Statements (Raw)'!A414)</f>
        <v>46090</v>
      </c>
      <c r="B416" s="7">
        <f>IF(A416="","",IF('Statements (Raw)'!B414="","",'Statements (Raw)'!B414))</f>
        <v>46092</v>
      </c>
      <c r="C416" s="6" t="str">
        <f>IF(A416="","",IF('Statements (Raw)'!C414&lt;&gt;"",'Statements (Raw)'!C414,IF(ISNUMBER(SEARCH("Conferimento",'Statements (Raw)'!D414)),"CASH DEPOSIT",IF(ISNUMBER(SEARCH("Prelievo",'Statements (Raw)'!D414)),"CASH WITHDRAWAL",IF(ISNUMBER(SEARCH("Bollo",'Statements (Raw)'!D414)),"STAMP DUTY",IF(ISNUMBER(SEARCH("Tobin Tax",'Statements (Raw)'!D414)),"TOBIN TAX",IF(ISNUMBER(SEARCH("Rit.provento",'Statements (Raw)'!D414)),"WITHHOLDING TAX",IF(ISNUMBER(SEARCH("Incasso Dividendi",'Statements (Raw)'!D414)),"DIVIDEND",IF(ISNUMBER(SEARCH("Cedola",'Statements (Raw)'!D414)),"COUPON",IF(ISNUMBER(SEARCH("Ratei Pass",'Statements (Raw)'!D414)),"ACCRUED INT",IF(ISNUMBER(SEARCH("Interessi Prest",'Statements (Raw)'!D414)),"SEC LENDING",IF(ISNUMBER(SEARCH("Rimborso",'Statements (Raw)'!D414)),"REDEMPTION",IF(ISNUMBER(SEARCH("Provento",'Statements (Raw)'!D414)),"DISTRIBUTION","OTHER")))))))))))))</f>
        <v>WisdomTree Europe Defence UCIT</v>
      </c>
      <c r="D416" s="6" t="str">
        <f>IF(A416="","",IF(C416="Saldo Iniziale","Balance",IF(C416="CASH DEPOSIT","Deposit",IF(C416="CASH WITHDRAWAL","Withdrawal",IF(C416="STAMP DUTY","Tax",IF(C416="TOBIN TAX","Tax",IF(C416="WITHHOLDING TAX","Tax",IF(C416="DIVIDEND","Dividend",IF(C416="COUPON","Coupon",IF(C416="ACCRUED INT","Accrued Int.",IF(C416="SEC LENDING","Sec. Lending",IF(C416="REDEMPTION","Redemption",IF(C416="DISTRIBUTION","Distribution",IF(ISNUMBER(SEARCH("Rimborso",'Statements (Raw)'!D414)),"Redemption",IF(ISNUMBER(SEARCH("Cedola",'Statements (Raw)'!D414)),"Coupon",IF(ISNUMBER(SEARCH("Incasso Dividendi",'Statements (Raw)'!D414)),"Dividend",IF(ISNUMBER(SEARCH("Provento Etf",'Statements (Raw)'!D414)),"Distribution",IF(ISNUMBER(SEARCH("Rit.provento",'Statements (Raw)'!D414)),"Tax",IF(ISNUMBER(SEARCH("Ratei Pass",'Statements (Raw)'!D414)),"Accrued Int.",IF(ISNUMBER(SEARCH("Interessi Prest",'Statements (Raw)'!D414)),"Sec. Lending",IF('Statements (Raw)'!G414="","Other",IF('Statements (Raw)'!G414&gt;0,"Buy","Sell"))))))))))))))))))))))</f>
        <v>Buy</v>
      </c>
      <c r="E416" s="6" t="str">
        <f t="shared" si="12"/>
        <v>ETF/ETC</v>
      </c>
      <c r="F416" s="8">
        <f>IF(A416="","",IF('Statements (Raw)'!E414="","",'Statements (Raw)'!E414))</f>
        <v>34.335000000000001</v>
      </c>
      <c r="G416" s="6" t="str">
        <f>IF(A416="","",IF('Statements (Raw)'!F414="","",'Statements (Raw)'!F414))</f>
        <v>EUR</v>
      </c>
      <c r="H416" s="9">
        <f>IF(A416="","",IF('Statements (Raw)'!G414="","",'Statements (Raw)'!G414))</f>
        <v>29</v>
      </c>
      <c r="I416" s="10">
        <f>IF(A416="","",IF('Statements (Raw)'!H414="","",'Statements (Raw)'!H414))</f>
        <v>-995.72</v>
      </c>
      <c r="J416" s="10">
        <f>IF(A416="",0,IF('Statements (Raw)'!I414="",0,'Statements (Raw)'!I414))</f>
        <v>0</v>
      </c>
      <c r="K416" s="10">
        <f t="shared" si="13"/>
        <v>-995.72</v>
      </c>
    </row>
    <row r="417" spans="1:11" x14ac:dyDescent="0.3">
      <c r="A417" s="171">
        <f>IF(OR('Statements (Raw)'!A415="",'Statements (Raw)'!A415&gt;Holdings!$G$3),"",'Statements (Raw)'!A415)</f>
        <v>46090</v>
      </c>
      <c r="B417" s="7">
        <f>IF(A417="","",IF('Statements (Raw)'!B415="","",'Statements (Raw)'!B415))</f>
        <v>46092</v>
      </c>
      <c r="C417" s="6" t="str">
        <f>IF(A417="","",IF('Statements (Raw)'!C415&lt;&gt;"",'Statements (Raw)'!C415,IF(ISNUMBER(SEARCH("Conferimento",'Statements (Raw)'!D415)),"CASH DEPOSIT",IF(ISNUMBER(SEARCH("Prelievo",'Statements (Raw)'!D415)),"CASH WITHDRAWAL",IF(ISNUMBER(SEARCH("Bollo",'Statements (Raw)'!D415)),"STAMP DUTY",IF(ISNUMBER(SEARCH("Tobin Tax",'Statements (Raw)'!D415)),"TOBIN TAX",IF(ISNUMBER(SEARCH("Rit.provento",'Statements (Raw)'!D415)),"WITHHOLDING TAX",IF(ISNUMBER(SEARCH("Incasso Dividendi",'Statements (Raw)'!D415)),"DIVIDEND",IF(ISNUMBER(SEARCH("Cedola",'Statements (Raw)'!D415)),"COUPON",IF(ISNUMBER(SEARCH("Ratei Pass",'Statements (Raw)'!D415)),"ACCRUED INT",IF(ISNUMBER(SEARCH("Interessi Prest",'Statements (Raw)'!D415)),"SEC LENDING",IF(ISNUMBER(SEARCH("Rimborso",'Statements (Raw)'!D415)),"REDEMPTION",IF(ISNUMBER(SEARCH("Provento",'Statements (Raw)'!D415)),"DISTRIBUTION","OTHER")))))))))))))</f>
        <v>ISHARES FTSE MIB UCITS ETF EUR</v>
      </c>
      <c r="D417" s="6" t="str">
        <f>IF(A417="","",IF(C417="Saldo Iniziale","Balance",IF(C417="CASH DEPOSIT","Deposit",IF(C417="CASH WITHDRAWAL","Withdrawal",IF(C417="STAMP DUTY","Tax",IF(C417="TOBIN TAX","Tax",IF(C417="WITHHOLDING TAX","Tax",IF(C417="DIVIDEND","Dividend",IF(C417="COUPON","Coupon",IF(C417="ACCRUED INT","Accrued Int.",IF(C417="SEC LENDING","Sec. Lending",IF(C417="REDEMPTION","Redemption",IF(C417="DISTRIBUTION","Distribution",IF(ISNUMBER(SEARCH("Rimborso",'Statements (Raw)'!D415)),"Redemption",IF(ISNUMBER(SEARCH("Cedola",'Statements (Raw)'!D415)),"Coupon",IF(ISNUMBER(SEARCH("Incasso Dividendi",'Statements (Raw)'!D415)),"Dividend",IF(ISNUMBER(SEARCH("Provento Etf",'Statements (Raw)'!D415)),"Distribution",IF(ISNUMBER(SEARCH("Rit.provento",'Statements (Raw)'!D415)),"Tax",IF(ISNUMBER(SEARCH("Ratei Pass",'Statements (Raw)'!D415)),"Accrued Int.",IF(ISNUMBER(SEARCH("Interessi Prest",'Statements (Raw)'!D415)),"Sec. Lending",IF('Statements (Raw)'!G415="","Other",IF('Statements (Raw)'!G415&gt;0,"Buy","Sell"))))))))))))))))))))))</f>
        <v>Buy</v>
      </c>
      <c r="E417" s="6" t="str">
        <f t="shared" si="12"/>
        <v>ETF/ETC</v>
      </c>
      <c r="F417" s="8">
        <f>IF(A417="","",IF('Statements (Raw)'!E415="","",'Statements (Raw)'!E415))</f>
        <v>213.7</v>
      </c>
      <c r="G417" s="6" t="str">
        <f>IF(A417="","",IF('Statements (Raw)'!F415="","",'Statements (Raw)'!F415))</f>
        <v>EUR</v>
      </c>
      <c r="H417" s="9">
        <f>IF(A417="","",IF('Statements (Raw)'!G415="","",'Statements (Raw)'!G415))</f>
        <v>11</v>
      </c>
      <c r="I417" s="10">
        <f>IF(A417="","",IF('Statements (Raw)'!H415="","",'Statements (Raw)'!H415))</f>
        <v>-2350.6999999999998</v>
      </c>
      <c r="J417" s="10">
        <f>IF(A417="",0,IF('Statements (Raw)'!I415="",0,'Statements (Raw)'!I415))</f>
        <v>0</v>
      </c>
      <c r="K417" s="10">
        <f t="shared" si="13"/>
        <v>-2350.6999999999998</v>
      </c>
    </row>
    <row r="418" spans="1:11" x14ac:dyDescent="0.3">
      <c r="A418" s="171">
        <f>IF(OR('Statements (Raw)'!A416="",'Statements (Raw)'!A416&gt;Holdings!$G$3),"",'Statements (Raw)'!A416)</f>
        <v>46090</v>
      </c>
      <c r="B418" s="7">
        <f>IF(A418="","",IF('Statements (Raw)'!B416="","",'Statements (Raw)'!B416))</f>
        <v>46092</v>
      </c>
      <c r="C418" s="6" t="str">
        <f>IF(A418="","",IF('Statements (Raw)'!C416&lt;&gt;"",'Statements (Raw)'!C416,IF(ISNUMBER(SEARCH("Conferimento",'Statements (Raw)'!D416)),"CASH DEPOSIT",IF(ISNUMBER(SEARCH("Prelievo",'Statements (Raw)'!D416)),"CASH WITHDRAWAL",IF(ISNUMBER(SEARCH("Bollo",'Statements (Raw)'!D416)),"STAMP DUTY",IF(ISNUMBER(SEARCH("Tobin Tax",'Statements (Raw)'!D416)),"TOBIN TAX",IF(ISNUMBER(SEARCH("Rit.provento",'Statements (Raw)'!D416)),"WITHHOLDING TAX",IF(ISNUMBER(SEARCH("Incasso Dividendi",'Statements (Raw)'!D416)),"DIVIDEND",IF(ISNUMBER(SEARCH("Cedola",'Statements (Raw)'!D416)),"COUPON",IF(ISNUMBER(SEARCH("Ratei Pass",'Statements (Raw)'!D416)),"ACCRUED INT",IF(ISNUMBER(SEARCH("Interessi Prest",'Statements (Raw)'!D416)),"SEC LENDING",IF(ISNUMBER(SEARCH("Rimborso",'Statements (Raw)'!D416)),"REDEMPTION",IF(ISNUMBER(SEARCH("Provento",'Statements (Raw)'!D416)),"DISTRIBUTION","OTHER")))))))))))))</f>
        <v>TOBIN TAX</v>
      </c>
      <c r="D418" s="6" t="str">
        <f>IF(A418="","",IF(C418="Saldo Iniziale","Balance",IF(C418="CASH DEPOSIT","Deposit",IF(C418="CASH WITHDRAWAL","Withdrawal",IF(C418="STAMP DUTY","Tax",IF(C418="TOBIN TAX","Tax",IF(C418="WITHHOLDING TAX","Tax",IF(C418="DIVIDEND","Dividend",IF(C418="COUPON","Coupon",IF(C418="ACCRUED INT","Accrued Int.",IF(C418="SEC LENDING","Sec. Lending",IF(C418="REDEMPTION","Redemption",IF(C418="DISTRIBUTION","Distribution",IF(ISNUMBER(SEARCH("Rimborso",'Statements (Raw)'!D416)),"Redemption",IF(ISNUMBER(SEARCH("Cedola",'Statements (Raw)'!D416)),"Coupon",IF(ISNUMBER(SEARCH("Incasso Dividendi",'Statements (Raw)'!D416)),"Dividend",IF(ISNUMBER(SEARCH("Provento Etf",'Statements (Raw)'!D416)),"Distribution",IF(ISNUMBER(SEARCH("Rit.provento",'Statements (Raw)'!D416)),"Tax",IF(ISNUMBER(SEARCH("Ratei Pass",'Statements (Raw)'!D416)),"Accrued Int.",IF(ISNUMBER(SEARCH("Interessi Prest",'Statements (Raw)'!D416)),"Sec. Lending",IF('Statements (Raw)'!G416="","Other",IF('Statements (Raw)'!G416&gt;0,"Buy","Sell"))))))))))))))))))))))</f>
        <v>Tax</v>
      </c>
      <c r="E418" s="6" t="str">
        <f t="shared" si="12"/>
        <v>Tax/Fee</v>
      </c>
      <c r="F418" s="8" t="str">
        <f>IF(A418="","",IF('Statements (Raw)'!E416="","",'Statements (Raw)'!E416))</f>
        <v/>
      </c>
      <c r="G418" s="6" t="str">
        <f>IF(A418="","",IF('Statements (Raw)'!F416="","",'Statements (Raw)'!F416))</f>
        <v/>
      </c>
      <c r="H418" s="9" t="str">
        <f>IF(A418="","",IF('Statements (Raw)'!G416="","",'Statements (Raw)'!G416))</f>
        <v/>
      </c>
      <c r="I418" s="10">
        <f>IF(A418="","",IF('Statements (Raw)'!H416="","",'Statements (Raw)'!H416))</f>
        <v>-12.36</v>
      </c>
      <c r="J418" s="10">
        <f>IF(A418="",0,IF('Statements (Raw)'!I416="",0,'Statements (Raw)'!I416))</f>
        <v>0</v>
      </c>
      <c r="K418" s="10">
        <f t="shared" si="13"/>
        <v>-12.36</v>
      </c>
    </row>
    <row r="419" spans="1:11" x14ac:dyDescent="0.3">
      <c r="A419" s="171">
        <f>IF(OR('Statements (Raw)'!A417="",'Statements (Raw)'!A417&gt;Holdings!$G$3),"",'Statements (Raw)'!A417)</f>
        <v>46091</v>
      </c>
      <c r="B419" s="7">
        <f>IF(A419="","",IF('Statements (Raw)'!B417="","",'Statements (Raw)'!B417))</f>
        <v>46094</v>
      </c>
      <c r="C419" s="6" t="str">
        <f>IF(A419="","",IF('Statements (Raw)'!C417&lt;&gt;"",'Statements (Raw)'!C417,IF(ISNUMBER(SEARCH("Conferimento",'Statements (Raw)'!D417)),"CASH DEPOSIT",IF(ISNUMBER(SEARCH("Prelievo",'Statements (Raw)'!D417)),"CASH WITHDRAWAL",IF(ISNUMBER(SEARCH("Bollo",'Statements (Raw)'!D417)),"STAMP DUTY",IF(ISNUMBER(SEARCH("Tobin Tax",'Statements (Raw)'!D417)),"TOBIN TAX",IF(ISNUMBER(SEARCH("Rit.provento",'Statements (Raw)'!D417)),"WITHHOLDING TAX",IF(ISNUMBER(SEARCH("Incasso Dividendi",'Statements (Raw)'!D417)),"DIVIDEND",IF(ISNUMBER(SEARCH("Cedola",'Statements (Raw)'!D417)),"COUPON",IF(ISNUMBER(SEARCH("Ratei Pass",'Statements (Raw)'!D417)),"ACCRUED INT",IF(ISNUMBER(SEARCH("Interessi Prest",'Statements (Raw)'!D417)),"SEC LENDING",IF(ISNUMBER(SEARCH("Rimborso",'Statements (Raw)'!D417)),"REDEMPTION",IF(ISNUMBER(SEARCH("Provento",'Statements (Raw)'!D417)),"DISTRIBUTION","OTHER")))))))))))))</f>
        <v>BOT ZC MAR26 A EUR</v>
      </c>
      <c r="D419" s="6" t="str">
        <f>IF(A419="","",IF(C419="Saldo Iniziale","Balance",IF(C419="CASH DEPOSIT","Deposit",IF(C419="CASH WITHDRAWAL","Withdrawal",IF(C419="STAMP DUTY","Tax",IF(C419="TOBIN TAX","Tax",IF(C419="WITHHOLDING TAX","Tax",IF(C419="DIVIDEND","Dividend",IF(C419="COUPON","Coupon",IF(C419="ACCRUED INT","Accrued Int.",IF(C419="SEC LENDING","Sec. Lending",IF(C419="REDEMPTION","Redemption",IF(C419="DISTRIBUTION","Distribution",IF(ISNUMBER(SEARCH("Rimborso",'Statements (Raw)'!D417)),"Redemption",IF(ISNUMBER(SEARCH("Cedola",'Statements (Raw)'!D417)),"Coupon",IF(ISNUMBER(SEARCH("Incasso Dividendi",'Statements (Raw)'!D417)),"Dividend",IF(ISNUMBER(SEARCH("Provento Etf",'Statements (Raw)'!D417)),"Distribution",IF(ISNUMBER(SEARCH("Rit.provento",'Statements (Raw)'!D417)),"Tax",IF(ISNUMBER(SEARCH("Ratei Pass",'Statements (Raw)'!D417)),"Accrued Int.",IF(ISNUMBER(SEARCH("Interessi Prest",'Statements (Raw)'!D417)),"Sec. Lending",IF('Statements (Raw)'!G417="","Other",IF('Statements (Raw)'!G417&gt;0,"Buy","Sell"))))))))))))))))))))))</f>
        <v>Redemption</v>
      </c>
      <c r="E419" s="6" t="str">
        <f t="shared" si="12"/>
        <v>Bond</v>
      </c>
      <c r="F419" s="8" t="str">
        <f>IF(A419="","",IF('Statements (Raw)'!E417="","",'Statements (Raw)'!E417))</f>
        <v/>
      </c>
      <c r="G419" s="6" t="str">
        <f>IF(A419="","",IF('Statements (Raw)'!F417="","",'Statements (Raw)'!F417))</f>
        <v/>
      </c>
      <c r="H419" s="9" t="str">
        <f>IF(A419="","",IF('Statements (Raw)'!G417="","",'Statements (Raw)'!G417))</f>
        <v/>
      </c>
      <c r="I419" s="10">
        <f>IF(A419="","",IF('Statements (Raw)'!H417="","",'Statements (Raw)'!H417))</f>
        <v>100000</v>
      </c>
      <c r="J419" s="10">
        <f>IF(A419="",0,IF('Statements (Raw)'!I417="",0,'Statements (Raw)'!I417))</f>
        <v>0</v>
      </c>
      <c r="K419" s="10">
        <f t="shared" si="13"/>
        <v>100000</v>
      </c>
    </row>
    <row r="420" spans="1:11" x14ac:dyDescent="0.3">
      <c r="A420" s="171">
        <f>IF(OR('Statements (Raw)'!A418="",'Statements (Raw)'!A418&gt;Holdings!$G$3),"",'Statements (Raw)'!A418)</f>
        <v>46097</v>
      </c>
      <c r="B420" s="7">
        <f>IF(A420="","",IF('Statements (Raw)'!B418="","",'Statements (Raw)'!B418))</f>
        <v>46099</v>
      </c>
      <c r="C420" s="6" t="str">
        <f>IF(A420="","",IF('Statements (Raw)'!C418&lt;&gt;"",'Statements (Raw)'!C418,IF(ISNUMBER(SEARCH("Conferimento",'Statements (Raw)'!D418)),"CASH DEPOSIT",IF(ISNUMBER(SEARCH("Prelievo",'Statements (Raw)'!D418)),"CASH WITHDRAWAL",IF(ISNUMBER(SEARCH("Bollo",'Statements (Raw)'!D418)),"STAMP DUTY",IF(ISNUMBER(SEARCH("Tobin Tax",'Statements (Raw)'!D418)),"TOBIN TAX",IF(ISNUMBER(SEARCH("Rit.provento",'Statements (Raw)'!D418)),"WITHHOLDING TAX",IF(ISNUMBER(SEARCH("Incasso Dividendi",'Statements (Raw)'!D418)),"DIVIDEND",IF(ISNUMBER(SEARCH("Cedola",'Statements (Raw)'!D418)),"COUPON",IF(ISNUMBER(SEARCH("Ratei Pass",'Statements (Raw)'!D418)),"ACCRUED INT",IF(ISNUMBER(SEARCH("Interessi Prest",'Statements (Raw)'!D418)),"SEC LENDING",IF(ISNUMBER(SEARCH("Rimborso",'Statements (Raw)'!D418)),"REDEMPTION",IF(ISNUMBER(SEARCH("Provento",'Statements (Raw)'!D418)),"DISTRIBUTION","OTHER")))))))))))))</f>
        <v>WisdomTree Europe Defence UCIT</v>
      </c>
      <c r="D420" s="6" t="str">
        <f>IF(A420="","",IF(C420="Saldo Iniziale","Balance",IF(C420="CASH DEPOSIT","Deposit",IF(C420="CASH WITHDRAWAL","Withdrawal",IF(C420="STAMP DUTY","Tax",IF(C420="TOBIN TAX","Tax",IF(C420="WITHHOLDING TAX","Tax",IF(C420="DIVIDEND","Dividend",IF(C420="COUPON","Coupon",IF(C420="ACCRUED INT","Accrued Int.",IF(C420="SEC LENDING","Sec. Lending",IF(C420="REDEMPTION","Redemption",IF(C420="DISTRIBUTION","Distribution",IF(ISNUMBER(SEARCH("Rimborso",'Statements (Raw)'!D418)),"Redemption",IF(ISNUMBER(SEARCH("Cedola",'Statements (Raw)'!D418)),"Coupon",IF(ISNUMBER(SEARCH("Incasso Dividendi",'Statements (Raw)'!D418)),"Dividend",IF(ISNUMBER(SEARCH("Provento Etf",'Statements (Raw)'!D418)),"Distribution",IF(ISNUMBER(SEARCH("Rit.provento",'Statements (Raw)'!D418)),"Tax",IF(ISNUMBER(SEARCH("Ratei Pass",'Statements (Raw)'!D418)),"Accrued Int.",IF(ISNUMBER(SEARCH("Interessi Prest",'Statements (Raw)'!D418)),"Sec. Lending",IF('Statements (Raw)'!G418="","Other",IF('Statements (Raw)'!G418&gt;0,"Buy","Sell"))))))))))))))))))))))</f>
        <v>Buy</v>
      </c>
      <c r="E420" s="6" t="str">
        <f t="shared" si="12"/>
        <v>ETF/ETC</v>
      </c>
      <c r="F420" s="8">
        <f>IF(A420="","",IF('Statements (Raw)'!E418="","",'Statements (Raw)'!E418))</f>
        <v>34.585000000000001</v>
      </c>
      <c r="G420" s="6" t="str">
        <f>IF(A420="","",IF('Statements (Raw)'!F418="","",'Statements (Raw)'!F418))</f>
        <v>EUR</v>
      </c>
      <c r="H420" s="9">
        <f>IF(A420="","",IF('Statements (Raw)'!G418="","",'Statements (Raw)'!G418))</f>
        <v>28</v>
      </c>
      <c r="I420" s="10">
        <f>IF(A420="","",IF('Statements (Raw)'!H418="","",'Statements (Raw)'!H418))</f>
        <v>-968.38</v>
      </c>
      <c r="J420" s="10">
        <f>IF(A420="",0,IF('Statements (Raw)'!I418="",0,'Statements (Raw)'!I418))</f>
        <v>0</v>
      </c>
      <c r="K420" s="10">
        <f t="shared" si="13"/>
        <v>-968.38</v>
      </c>
    </row>
    <row r="421" spans="1:11" x14ac:dyDescent="0.3">
      <c r="A421" s="171">
        <f>IF(OR('Statements (Raw)'!A419="",'Statements (Raw)'!A419&gt;Holdings!$G$3),"",'Statements (Raw)'!A419)</f>
        <v>46097</v>
      </c>
      <c r="B421" s="7">
        <f>IF(A421="","",IF('Statements (Raw)'!B419="","",'Statements (Raw)'!B419))</f>
        <v>46099</v>
      </c>
      <c r="C421" s="6" t="str">
        <f>IF(A421="","",IF('Statements (Raw)'!C419&lt;&gt;"",'Statements (Raw)'!C419,IF(ISNUMBER(SEARCH("Conferimento",'Statements (Raw)'!D419)),"CASH DEPOSIT",IF(ISNUMBER(SEARCH("Prelievo",'Statements (Raw)'!D419)),"CASH WITHDRAWAL",IF(ISNUMBER(SEARCH("Bollo",'Statements (Raw)'!D419)),"STAMP DUTY",IF(ISNUMBER(SEARCH("Tobin Tax",'Statements (Raw)'!D419)),"TOBIN TAX",IF(ISNUMBER(SEARCH("Rit.provento",'Statements (Raw)'!D419)),"WITHHOLDING TAX",IF(ISNUMBER(SEARCH("Incasso Dividendi",'Statements (Raw)'!D419)),"DIVIDEND",IF(ISNUMBER(SEARCH("Cedola",'Statements (Raw)'!D419)),"COUPON",IF(ISNUMBER(SEARCH("Ratei Pass",'Statements (Raw)'!D419)),"ACCRUED INT",IF(ISNUMBER(SEARCH("Interessi Prest",'Statements (Raw)'!D419)),"SEC LENDING",IF(ISNUMBER(SEARCH("Rimborso",'Statements (Raw)'!D419)),"REDEMPTION",IF(ISNUMBER(SEARCH("Provento",'Statements (Raw)'!D419)),"DISTRIBUTION","OTHER")))))))))))))</f>
        <v>ISHARES FTSE MIB UCITS ETF EUR</v>
      </c>
      <c r="D421" s="6" t="str">
        <f>IF(A421="","",IF(C421="Saldo Iniziale","Balance",IF(C421="CASH DEPOSIT","Deposit",IF(C421="CASH WITHDRAWAL","Withdrawal",IF(C421="STAMP DUTY","Tax",IF(C421="TOBIN TAX","Tax",IF(C421="WITHHOLDING TAX","Tax",IF(C421="DIVIDEND","Dividend",IF(C421="COUPON","Coupon",IF(C421="ACCRUED INT","Accrued Int.",IF(C421="SEC LENDING","Sec. Lending",IF(C421="REDEMPTION","Redemption",IF(C421="DISTRIBUTION","Distribution",IF(ISNUMBER(SEARCH("Rimborso",'Statements (Raw)'!D419)),"Redemption",IF(ISNUMBER(SEARCH("Cedola",'Statements (Raw)'!D419)),"Coupon",IF(ISNUMBER(SEARCH("Incasso Dividendi",'Statements (Raw)'!D419)),"Dividend",IF(ISNUMBER(SEARCH("Provento Etf",'Statements (Raw)'!D419)),"Distribution",IF(ISNUMBER(SEARCH("Rit.provento",'Statements (Raw)'!D419)),"Tax",IF(ISNUMBER(SEARCH("Ratei Pass",'Statements (Raw)'!D419)),"Accrued Int.",IF(ISNUMBER(SEARCH("Interessi Prest",'Statements (Raw)'!D419)),"Sec. Lending",IF('Statements (Raw)'!G419="","Other",IF('Statements (Raw)'!G419&gt;0,"Buy","Sell"))))))))))))))))))))))</f>
        <v>Buy</v>
      </c>
      <c r="E421" s="6" t="str">
        <f t="shared" si="12"/>
        <v>ETF/ETC</v>
      </c>
      <c r="F421" s="8">
        <f>IF(A421="","",IF('Statements (Raw)'!E419="","",'Statements (Raw)'!E419))</f>
        <v>215.05</v>
      </c>
      <c r="G421" s="6" t="str">
        <f>IF(A421="","",IF('Statements (Raw)'!F419="","",'Statements (Raw)'!F419))</f>
        <v>EUR</v>
      </c>
      <c r="H421" s="9">
        <f>IF(A421="","",IF('Statements (Raw)'!G419="","",'Statements (Raw)'!G419))</f>
        <v>11</v>
      </c>
      <c r="I421" s="10">
        <f>IF(A421="","",IF('Statements (Raw)'!H419="","",'Statements (Raw)'!H419))</f>
        <v>-2365.5500000000002</v>
      </c>
      <c r="J421" s="10">
        <f>IF(A421="",0,IF('Statements (Raw)'!I419="",0,'Statements (Raw)'!I419))</f>
        <v>0</v>
      </c>
      <c r="K421" s="10">
        <f t="shared" si="13"/>
        <v>-2365.5500000000002</v>
      </c>
    </row>
    <row r="422" spans="1:11" x14ac:dyDescent="0.3">
      <c r="A422" s="171">
        <f>IF(OR('Statements (Raw)'!A420="",'Statements (Raw)'!A420&gt;Holdings!$G$3),"",'Statements (Raw)'!A420)</f>
        <v>46099</v>
      </c>
      <c r="B422" s="7">
        <f>IF(A422="","",IF('Statements (Raw)'!B420="","",'Statements (Raw)'!B420))</f>
        <v>46112</v>
      </c>
      <c r="C422" s="6" t="str">
        <f>IF(A422="","",IF('Statements (Raw)'!C420&lt;&gt;"",'Statements (Raw)'!C420,IF(ISNUMBER(SEARCH("Conferimento",'Statements (Raw)'!D420)),"CASH DEPOSIT",IF(ISNUMBER(SEARCH("Prelievo",'Statements (Raw)'!D420)),"CASH WITHDRAWAL",IF(ISNUMBER(SEARCH("Bollo",'Statements (Raw)'!D420)),"STAMP DUTY",IF(ISNUMBER(SEARCH("Tobin Tax",'Statements (Raw)'!D420)),"TOBIN TAX",IF(ISNUMBER(SEARCH("Rit.provento",'Statements (Raw)'!D420)),"WITHHOLDING TAX",IF(ISNUMBER(SEARCH("Incasso Dividendi",'Statements (Raw)'!D420)),"DIVIDEND",IF(ISNUMBER(SEARCH("Cedola",'Statements (Raw)'!D420)),"COUPON",IF(ISNUMBER(SEARCH("Ratei Pass",'Statements (Raw)'!D420)),"ACCRUED INT",IF(ISNUMBER(SEARCH("Interessi Prest",'Statements (Raw)'!D420)),"SEC LENDING",IF(ISNUMBER(SEARCH("Rimborso",'Statements (Raw)'!D420)),"REDEMPTION",IF(ISNUMBER(SEARCH("Provento",'Statements (Raw)'!D420)),"DISTRIBUTION","OTHER")))))))))))))</f>
        <v>ISHARES HIGH YLD CORP UCITS ET</v>
      </c>
      <c r="D422" s="6" t="str">
        <f>IF(A422="","",IF(C422="Saldo Iniziale","Balance",IF(C422="CASH DEPOSIT","Deposit",IF(C422="CASH WITHDRAWAL","Withdrawal",IF(C422="STAMP DUTY","Tax",IF(C422="TOBIN TAX","Tax",IF(C422="WITHHOLDING TAX","Tax",IF(C422="DIVIDEND","Dividend",IF(C422="COUPON","Coupon",IF(C422="ACCRUED INT","Accrued Int.",IF(C422="SEC LENDING","Sec. Lending",IF(C422="REDEMPTION","Redemption",IF(C422="DISTRIBUTION","Distribution",IF(ISNUMBER(SEARCH("Rimborso",'Statements (Raw)'!D420)),"Redemption",IF(ISNUMBER(SEARCH("Cedola",'Statements (Raw)'!D420)),"Coupon",IF(ISNUMBER(SEARCH("Incasso Dividendi",'Statements (Raw)'!D420)),"Dividend",IF(ISNUMBER(SEARCH("Provento Etf",'Statements (Raw)'!D420)),"Distribution",IF(ISNUMBER(SEARCH("Rit.provento",'Statements (Raw)'!D420)),"Tax",IF(ISNUMBER(SEARCH("Ratei Pass",'Statements (Raw)'!D420)),"Accrued Int.",IF(ISNUMBER(SEARCH("Interessi Prest",'Statements (Raw)'!D420)),"Sec. Lending",IF('Statements (Raw)'!G420="","Other",IF('Statements (Raw)'!G420&gt;0,"Buy","Sell"))))))))))))))))))))))</f>
        <v>Distribution</v>
      </c>
      <c r="E422" s="6" t="str">
        <f t="shared" si="12"/>
        <v>Income</v>
      </c>
      <c r="F422" s="8" t="str">
        <f>IF(A422="","",IF('Statements (Raw)'!E420="","",'Statements (Raw)'!E420))</f>
        <v/>
      </c>
      <c r="G422" s="6" t="str">
        <f>IF(A422="","",IF('Statements (Raw)'!F420="","",'Statements (Raw)'!F420))</f>
        <v/>
      </c>
      <c r="H422" s="9" t="str">
        <f>IF(A422="","",IF('Statements (Raw)'!G420="","",'Statements (Raw)'!G420))</f>
        <v/>
      </c>
      <c r="I422" s="10">
        <f>IF(A422="","",IF('Statements (Raw)'!H420="","",'Statements (Raw)'!H420))</f>
        <v>815.61</v>
      </c>
      <c r="J422" s="10">
        <f>IF(A422="",0,IF('Statements (Raw)'!I420="",0,'Statements (Raw)'!I420))</f>
        <v>0</v>
      </c>
      <c r="K422" s="10">
        <f t="shared" si="13"/>
        <v>815.61</v>
      </c>
    </row>
    <row r="423" spans="1:11" x14ac:dyDescent="0.3">
      <c r="A423" s="171">
        <f>IF(OR('Statements (Raw)'!A421="",'Statements (Raw)'!A421&gt;Holdings!$G$3),"",'Statements (Raw)'!A421)</f>
        <v>46099</v>
      </c>
      <c r="B423" s="7">
        <f>IF(A423="","",IF('Statements (Raw)'!B421="","",'Statements (Raw)'!B421))</f>
        <v>46112</v>
      </c>
      <c r="C423" s="6" t="str">
        <f>IF(A423="","",IF('Statements (Raw)'!C421&lt;&gt;"",'Statements (Raw)'!C421,IF(ISNUMBER(SEARCH("Conferimento",'Statements (Raw)'!D421)),"CASH DEPOSIT",IF(ISNUMBER(SEARCH("Prelievo",'Statements (Raw)'!D421)),"CASH WITHDRAWAL",IF(ISNUMBER(SEARCH("Bollo",'Statements (Raw)'!D421)),"STAMP DUTY",IF(ISNUMBER(SEARCH("Tobin Tax",'Statements (Raw)'!D421)),"TOBIN TAX",IF(ISNUMBER(SEARCH("Rit.provento",'Statements (Raw)'!D421)),"WITHHOLDING TAX",IF(ISNUMBER(SEARCH("Incasso Dividendi",'Statements (Raw)'!D421)),"DIVIDEND",IF(ISNUMBER(SEARCH("Cedola",'Statements (Raw)'!D421)),"COUPON",IF(ISNUMBER(SEARCH("Ratei Pass",'Statements (Raw)'!D421)),"ACCRUED INT",IF(ISNUMBER(SEARCH("Interessi Prest",'Statements (Raw)'!D421)),"SEC LENDING",IF(ISNUMBER(SEARCH("Rimborso",'Statements (Raw)'!D421)),"REDEMPTION",IF(ISNUMBER(SEARCH("Provento",'Statements (Raw)'!D421)),"DISTRIBUTION","OTHER")))))))))))))</f>
        <v>ISHARES HIGH YLD CORP UCITS ET</v>
      </c>
      <c r="D423" s="6" t="str">
        <f>IF(A423="","",IF(C423="Saldo Iniziale","Balance",IF(C423="CASH DEPOSIT","Deposit",IF(C423="CASH WITHDRAWAL","Withdrawal",IF(C423="STAMP DUTY","Tax",IF(C423="TOBIN TAX","Tax",IF(C423="WITHHOLDING TAX","Tax",IF(C423="DIVIDEND","Dividend",IF(C423="COUPON","Coupon",IF(C423="ACCRUED INT","Accrued Int.",IF(C423="SEC LENDING","Sec. Lending",IF(C423="REDEMPTION","Redemption",IF(C423="DISTRIBUTION","Distribution",IF(ISNUMBER(SEARCH("Rimborso",'Statements (Raw)'!D421)),"Redemption",IF(ISNUMBER(SEARCH("Cedola",'Statements (Raw)'!D421)),"Coupon",IF(ISNUMBER(SEARCH("Incasso Dividendi",'Statements (Raw)'!D421)),"Dividend",IF(ISNUMBER(SEARCH("Provento Etf",'Statements (Raw)'!D421)),"Distribution",IF(ISNUMBER(SEARCH("Rit.provento",'Statements (Raw)'!D421)),"Tax",IF(ISNUMBER(SEARCH("Ratei Pass",'Statements (Raw)'!D421)),"Accrued Int.",IF(ISNUMBER(SEARCH("Interessi Prest",'Statements (Raw)'!D421)),"Sec. Lending",IF('Statements (Raw)'!G421="","Other",IF('Statements (Raw)'!G421&gt;0,"Buy","Sell"))))))))))))))))))))))</f>
        <v>Distribution</v>
      </c>
      <c r="E423" s="6" t="str">
        <f t="shared" si="12"/>
        <v>Income</v>
      </c>
      <c r="F423" s="8" t="str">
        <f>IF(A423="","",IF('Statements (Raw)'!E421="","",'Statements (Raw)'!E421))</f>
        <v/>
      </c>
      <c r="G423" s="6" t="str">
        <f>IF(A423="","",IF('Statements (Raw)'!F421="","",'Statements (Raw)'!F421))</f>
        <v/>
      </c>
      <c r="H423" s="9" t="str">
        <f>IF(A423="","",IF('Statements (Raw)'!G421="","",'Statements (Raw)'!G421))</f>
        <v/>
      </c>
      <c r="I423" s="10">
        <f>IF(A423="","",IF('Statements (Raw)'!H421="","",'Statements (Raw)'!H421))</f>
        <v>-211.52</v>
      </c>
      <c r="J423" s="10">
        <f>IF(A423="",0,IF('Statements (Raw)'!I421="",0,'Statements (Raw)'!I421))</f>
        <v>0</v>
      </c>
      <c r="K423" s="10">
        <f t="shared" si="13"/>
        <v>-211.52</v>
      </c>
    </row>
    <row r="424" spans="1:11" x14ac:dyDescent="0.3">
      <c r="A424" s="171" t="str">
        <f>IF(OR('Statements (Raw)'!A422="",'Statements (Raw)'!A422&gt;Holdings!$G$3),"",'Statements (Raw)'!A422)</f>
        <v/>
      </c>
      <c r="B424" s="7" t="str">
        <f>IF(A424="","",IF('Statements (Raw)'!B422="","",'Statements (Raw)'!B422))</f>
        <v/>
      </c>
      <c r="C424" s="6" t="str">
        <f>IF(A424="","",IF('Statements (Raw)'!C422&lt;&gt;"",'Statements (Raw)'!C422,IF(ISNUMBER(SEARCH("Conferimento",'Statements (Raw)'!D422)),"CASH DEPOSIT",IF(ISNUMBER(SEARCH("Prelievo",'Statements (Raw)'!D422)),"CASH WITHDRAWAL",IF(ISNUMBER(SEARCH("Bollo",'Statements (Raw)'!D422)),"STAMP DUTY",IF(ISNUMBER(SEARCH("Tobin Tax",'Statements (Raw)'!D422)),"TOBIN TAX",IF(ISNUMBER(SEARCH("Rit.provento",'Statements (Raw)'!D422)),"WITHHOLDING TAX",IF(ISNUMBER(SEARCH("Incasso Dividendi",'Statements (Raw)'!D422)),"DIVIDEND",IF(ISNUMBER(SEARCH("Cedola",'Statements (Raw)'!D422)),"COUPON",IF(ISNUMBER(SEARCH("Ratei Pass",'Statements (Raw)'!D422)),"ACCRUED INT",IF(ISNUMBER(SEARCH("Interessi Prest",'Statements (Raw)'!D422)),"SEC LENDING",IF(ISNUMBER(SEARCH("Rimborso",'Statements (Raw)'!D422)),"REDEMPTION",IF(ISNUMBER(SEARCH("Provento",'Statements (Raw)'!D422)),"DISTRIBUTION","OTHER")))))))))))))</f>
        <v/>
      </c>
      <c r="D424" s="6" t="str">
        <f>IF(A424="","",IF(C424="Saldo Iniziale","Balance",IF(C424="CASH DEPOSIT","Deposit",IF(C424="CASH WITHDRAWAL","Withdrawal",IF(C424="STAMP DUTY","Tax",IF(C424="TOBIN TAX","Tax",IF(C424="WITHHOLDING TAX","Tax",IF(C424="DIVIDEND","Dividend",IF(C424="COUPON","Coupon",IF(C424="ACCRUED INT","Accrued Int.",IF(C424="SEC LENDING","Sec. Lending",IF(C424="REDEMPTION","Redemption",IF(C424="DISTRIBUTION","Distribution",IF(ISNUMBER(SEARCH("Rimborso",'Statements (Raw)'!D422)),"Redemption",IF(ISNUMBER(SEARCH("Cedola",'Statements (Raw)'!D422)),"Coupon",IF(ISNUMBER(SEARCH("Incasso Dividendi",'Statements (Raw)'!D422)),"Dividend",IF(ISNUMBER(SEARCH("Provento Etf",'Statements (Raw)'!D422)),"Distribution",IF(ISNUMBER(SEARCH("Rit.provento",'Statements (Raw)'!D422)),"Tax",IF(ISNUMBER(SEARCH("Ratei Pass",'Statements (Raw)'!D422)),"Accrued Int.",IF(ISNUMBER(SEARCH("Interessi Prest",'Statements (Raw)'!D422)),"Sec. Lending",IF('Statements (Raw)'!G422="","Other",IF('Statements (Raw)'!G422&gt;0,"Buy","Sell"))))))))))))))))))))))</f>
        <v/>
      </c>
      <c r="E424" s="6" t="str">
        <f t="shared" si="12"/>
        <v/>
      </c>
      <c r="F424" s="8" t="str">
        <f>IF(A424="","",IF('Statements (Raw)'!E422="","",'Statements (Raw)'!E422))</f>
        <v/>
      </c>
      <c r="G424" s="6" t="str">
        <f>IF(A424="","",IF('Statements (Raw)'!F422="","",'Statements (Raw)'!F422))</f>
        <v/>
      </c>
      <c r="H424" s="9" t="str">
        <f>IF(A424="","",IF('Statements (Raw)'!G422="","",'Statements (Raw)'!G422))</f>
        <v/>
      </c>
      <c r="I424" s="10" t="str">
        <f>IF(A424="","",IF('Statements (Raw)'!H422="","",'Statements (Raw)'!H422))</f>
        <v/>
      </c>
      <c r="J424" s="10">
        <f>IF(A424="",0,IF('Statements (Raw)'!I422="",0,'Statements (Raw)'!I422))</f>
        <v>0</v>
      </c>
      <c r="K424" s="10" t="str">
        <f t="shared" si="13"/>
        <v/>
      </c>
    </row>
    <row r="425" spans="1:11" x14ac:dyDescent="0.3">
      <c r="A425" s="171" t="str">
        <f>IF(OR('Statements (Raw)'!A423="",'Statements (Raw)'!A423&gt;Holdings!$G$3),"",'Statements (Raw)'!A423)</f>
        <v/>
      </c>
      <c r="B425" s="7" t="str">
        <f>IF(A425="","",IF('Statements (Raw)'!B423="","",'Statements (Raw)'!B423))</f>
        <v/>
      </c>
      <c r="C425" s="6" t="str">
        <f>IF(A425="","",IF('Statements (Raw)'!C423&lt;&gt;"",'Statements (Raw)'!C423,IF(ISNUMBER(SEARCH("Conferimento",'Statements (Raw)'!D423)),"CASH DEPOSIT",IF(ISNUMBER(SEARCH("Prelievo",'Statements (Raw)'!D423)),"CASH WITHDRAWAL",IF(ISNUMBER(SEARCH("Bollo",'Statements (Raw)'!D423)),"STAMP DUTY",IF(ISNUMBER(SEARCH("Tobin Tax",'Statements (Raw)'!D423)),"TOBIN TAX",IF(ISNUMBER(SEARCH("Rit.provento",'Statements (Raw)'!D423)),"WITHHOLDING TAX",IF(ISNUMBER(SEARCH("Incasso Dividendi",'Statements (Raw)'!D423)),"DIVIDEND",IF(ISNUMBER(SEARCH("Cedola",'Statements (Raw)'!D423)),"COUPON",IF(ISNUMBER(SEARCH("Ratei Pass",'Statements (Raw)'!D423)),"ACCRUED INT",IF(ISNUMBER(SEARCH("Interessi Prest",'Statements (Raw)'!D423)),"SEC LENDING",IF(ISNUMBER(SEARCH("Rimborso",'Statements (Raw)'!D423)),"REDEMPTION",IF(ISNUMBER(SEARCH("Provento",'Statements (Raw)'!D423)),"DISTRIBUTION","OTHER")))))))))))))</f>
        <v/>
      </c>
      <c r="D425" s="6" t="str">
        <f>IF(A425="","",IF(C425="Saldo Iniziale","Balance",IF(C425="CASH DEPOSIT","Deposit",IF(C425="CASH WITHDRAWAL","Withdrawal",IF(C425="STAMP DUTY","Tax",IF(C425="TOBIN TAX","Tax",IF(C425="WITHHOLDING TAX","Tax",IF(C425="DIVIDEND","Dividend",IF(C425="COUPON","Coupon",IF(C425="ACCRUED INT","Accrued Int.",IF(C425="SEC LENDING","Sec. Lending",IF(C425="REDEMPTION","Redemption",IF(C425="DISTRIBUTION","Distribution",IF(ISNUMBER(SEARCH("Rimborso",'Statements (Raw)'!D423)),"Redemption",IF(ISNUMBER(SEARCH("Cedola",'Statements (Raw)'!D423)),"Coupon",IF(ISNUMBER(SEARCH("Incasso Dividendi",'Statements (Raw)'!D423)),"Dividend",IF(ISNUMBER(SEARCH("Provento Etf",'Statements (Raw)'!D423)),"Distribution",IF(ISNUMBER(SEARCH("Rit.provento",'Statements (Raw)'!D423)),"Tax",IF(ISNUMBER(SEARCH("Ratei Pass",'Statements (Raw)'!D423)),"Accrued Int.",IF(ISNUMBER(SEARCH("Interessi Prest",'Statements (Raw)'!D423)),"Sec. Lending",IF('Statements (Raw)'!G423="","Other",IF('Statements (Raw)'!G423&gt;0,"Buy","Sell"))))))))))))))))))))))</f>
        <v/>
      </c>
      <c r="E425" s="6" t="str">
        <f t="shared" si="12"/>
        <v/>
      </c>
      <c r="F425" s="8" t="str">
        <f>IF(A425="","",IF('Statements (Raw)'!E423="","",'Statements (Raw)'!E423))</f>
        <v/>
      </c>
      <c r="G425" s="6" t="str">
        <f>IF(A425="","",IF('Statements (Raw)'!F423="","",'Statements (Raw)'!F423))</f>
        <v/>
      </c>
      <c r="H425" s="9" t="str">
        <f>IF(A425="","",IF('Statements (Raw)'!G423="","",'Statements (Raw)'!G423))</f>
        <v/>
      </c>
      <c r="I425" s="10" t="str">
        <f>IF(A425="","",IF('Statements (Raw)'!H423="","",'Statements (Raw)'!H423))</f>
        <v/>
      </c>
      <c r="J425" s="10">
        <f>IF(A425="",0,IF('Statements (Raw)'!I423="",0,'Statements (Raw)'!I423))</f>
        <v>0</v>
      </c>
      <c r="K425" s="10" t="str">
        <f t="shared" si="13"/>
        <v/>
      </c>
    </row>
    <row r="426" spans="1:11" x14ac:dyDescent="0.3">
      <c r="A426" s="171" t="str">
        <f>IF(OR('Statements (Raw)'!A424="",'Statements (Raw)'!A424&gt;Holdings!$G$3),"",'Statements (Raw)'!A424)</f>
        <v/>
      </c>
      <c r="B426" s="7" t="str">
        <f>IF(A426="","",IF('Statements (Raw)'!B424="","",'Statements (Raw)'!B424))</f>
        <v/>
      </c>
      <c r="C426" s="6" t="str">
        <f>IF(A426="","",IF('Statements (Raw)'!C424&lt;&gt;"",'Statements (Raw)'!C424,IF(ISNUMBER(SEARCH("Conferimento",'Statements (Raw)'!D424)),"CASH DEPOSIT",IF(ISNUMBER(SEARCH("Prelievo",'Statements (Raw)'!D424)),"CASH WITHDRAWAL",IF(ISNUMBER(SEARCH("Bollo",'Statements (Raw)'!D424)),"STAMP DUTY",IF(ISNUMBER(SEARCH("Tobin Tax",'Statements (Raw)'!D424)),"TOBIN TAX",IF(ISNUMBER(SEARCH("Rit.provento",'Statements (Raw)'!D424)),"WITHHOLDING TAX",IF(ISNUMBER(SEARCH("Incasso Dividendi",'Statements (Raw)'!D424)),"DIVIDEND",IF(ISNUMBER(SEARCH("Cedola",'Statements (Raw)'!D424)),"COUPON",IF(ISNUMBER(SEARCH("Ratei Pass",'Statements (Raw)'!D424)),"ACCRUED INT",IF(ISNUMBER(SEARCH("Interessi Prest",'Statements (Raw)'!D424)),"SEC LENDING",IF(ISNUMBER(SEARCH("Rimborso",'Statements (Raw)'!D424)),"REDEMPTION",IF(ISNUMBER(SEARCH("Provento",'Statements (Raw)'!D424)),"DISTRIBUTION","OTHER")))))))))))))</f>
        <v/>
      </c>
      <c r="D426" s="6" t="str">
        <f>IF(A426="","",IF(C426="Saldo Iniziale","Balance",IF(C426="CASH DEPOSIT","Deposit",IF(C426="CASH WITHDRAWAL","Withdrawal",IF(C426="STAMP DUTY","Tax",IF(C426="TOBIN TAX","Tax",IF(C426="WITHHOLDING TAX","Tax",IF(C426="DIVIDEND","Dividend",IF(C426="COUPON","Coupon",IF(C426="ACCRUED INT","Accrued Int.",IF(C426="SEC LENDING","Sec. Lending",IF(C426="REDEMPTION","Redemption",IF(C426="DISTRIBUTION","Distribution",IF(ISNUMBER(SEARCH("Rimborso",'Statements (Raw)'!D424)),"Redemption",IF(ISNUMBER(SEARCH("Cedola",'Statements (Raw)'!D424)),"Coupon",IF(ISNUMBER(SEARCH("Incasso Dividendi",'Statements (Raw)'!D424)),"Dividend",IF(ISNUMBER(SEARCH("Provento Etf",'Statements (Raw)'!D424)),"Distribution",IF(ISNUMBER(SEARCH("Rit.provento",'Statements (Raw)'!D424)),"Tax",IF(ISNUMBER(SEARCH("Ratei Pass",'Statements (Raw)'!D424)),"Accrued Int.",IF(ISNUMBER(SEARCH("Interessi Prest",'Statements (Raw)'!D424)),"Sec. Lending",IF('Statements (Raw)'!G424="","Other",IF('Statements (Raw)'!G424&gt;0,"Buy","Sell"))))))))))))))))))))))</f>
        <v/>
      </c>
      <c r="E426" s="6" t="str">
        <f t="shared" si="12"/>
        <v/>
      </c>
      <c r="F426" s="8" t="str">
        <f>IF(A426="","",IF('Statements (Raw)'!E424="","",'Statements (Raw)'!E424))</f>
        <v/>
      </c>
      <c r="G426" s="6" t="str">
        <f>IF(A426="","",IF('Statements (Raw)'!F424="","",'Statements (Raw)'!F424))</f>
        <v/>
      </c>
      <c r="H426" s="9" t="str">
        <f>IF(A426="","",IF('Statements (Raw)'!G424="","",'Statements (Raw)'!G424))</f>
        <v/>
      </c>
      <c r="I426" s="10" t="str">
        <f>IF(A426="","",IF('Statements (Raw)'!H424="","",'Statements (Raw)'!H424))</f>
        <v/>
      </c>
      <c r="J426" s="10">
        <f>IF(A426="",0,IF('Statements (Raw)'!I424="",0,'Statements (Raw)'!I424))</f>
        <v>0</v>
      </c>
      <c r="K426" s="10" t="str">
        <f t="shared" si="13"/>
        <v/>
      </c>
    </row>
    <row r="427" spans="1:11" x14ac:dyDescent="0.3">
      <c r="A427" s="171" t="str">
        <f>IF(OR('Statements (Raw)'!A425="",'Statements (Raw)'!A425&gt;Holdings!$G$3),"",'Statements (Raw)'!A425)</f>
        <v/>
      </c>
      <c r="B427" s="7" t="str">
        <f>IF(A427="","",IF('Statements (Raw)'!B425="","",'Statements (Raw)'!B425))</f>
        <v/>
      </c>
      <c r="C427" s="6" t="str">
        <f>IF(A427="","",IF('Statements (Raw)'!C425&lt;&gt;"",'Statements (Raw)'!C425,IF(ISNUMBER(SEARCH("Conferimento",'Statements (Raw)'!D425)),"CASH DEPOSIT",IF(ISNUMBER(SEARCH("Prelievo",'Statements (Raw)'!D425)),"CASH WITHDRAWAL",IF(ISNUMBER(SEARCH("Bollo",'Statements (Raw)'!D425)),"STAMP DUTY",IF(ISNUMBER(SEARCH("Tobin Tax",'Statements (Raw)'!D425)),"TOBIN TAX",IF(ISNUMBER(SEARCH("Rit.provento",'Statements (Raw)'!D425)),"WITHHOLDING TAX",IF(ISNUMBER(SEARCH("Incasso Dividendi",'Statements (Raw)'!D425)),"DIVIDEND",IF(ISNUMBER(SEARCH("Cedola",'Statements (Raw)'!D425)),"COUPON",IF(ISNUMBER(SEARCH("Ratei Pass",'Statements (Raw)'!D425)),"ACCRUED INT",IF(ISNUMBER(SEARCH("Interessi Prest",'Statements (Raw)'!D425)),"SEC LENDING",IF(ISNUMBER(SEARCH("Rimborso",'Statements (Raw)'!D425)),"REDEMPTION",IF(ISNUMBER(SEARCH("Provento",'Statements (Raw)'!D425)),"DISTRIBUTION","OTHER")))))))))))))</f>
        <v/>
      </c>
      <c r="D427" s="6" t="str">
        <f>IF(A427="","",IF(C427="Saldo Iniziale","Balance",IF(C427="CASH DEPOSIT","Deposit",IF(C427="CASH WITHDRAWAL","Withdrawal",IF(C427="STAMP DUTY","Tax",IF(C427="TOBIN TAX","Tax",IF(C427="WITHHOLDING TAX","Tax",IF(C427="DIVIDEND","Dividend",IF(C427="COUPON","Coupon",IF(C427="ACCRUED INT","Accrued Int.",IF(C427="SEC LENDING","Sec. Lending",IF(C427="REDEMPTION","Redemption",IF(C427="DISTRIBUTION","Distribution",IF(ISNUMBER(SEARCH("Rimborso",'Statements (Raw)'!D425)),"Redemption",IF(ISNUMBER(SEARCH("Cedola",'Statements (Raw)'!D425)),"Coupon",IF(ISNUMBER(SEARCH("Incasso Dividendi",'Statements (Raw)'!D425)),"Dividend",IF(ISNUMBER(SEARCH("Provento Etf",'Statements (Raw)'!D425)),"Distribution",IF(ISNUMBER(SEARCH("Rit.provento",'Statements (Raw)'!D425)),"Tax",IF(ISNUMBER(SEARCH("Ratei Pass",'Statements (Raw)'!D425)),"Accrued Int.",IF(ISNUMBER(SEARCH("Interessi Prest",'Statements (Raw)'!D425)),"Sec. Lending",IF('Statements (Raw)'!G425="","Other",IF('Statements (Raw)'!G425&gt;0,"Buy","Sell"))))))))))))))))))))))</f>
        <v/>
      </c>
      <c r="E427" s="6" t="str">
        <f t="shared" si="12"/>
        <v/>
      </c>
      <c r="F427" s="8" t="str">
        <f>IF(A427="","",IF('Statements (Raw)'!E425="","",'Statements (Raw)'!E425))</f>
        <v/>
      </c>
      <c r="G427" s="6" t="str">
        <f>IF(A427="","",IF('Statements (Raw)'!F425="","",'Statements (Raw)'!F425))</f>
        <v/>
      </c>
      <c r="H427" s="9" t="str">
        <f>IF(A427="","",IF('Statements (Raw)'!G425="","",'Statements (Raw)'!G425))</f>
        <v/>
      </c>
      <c r="I427" s="10" t="str">
        <f>IF(A427="","",IF('Statements (Raw)'!H425="","",'Statements (Raw)'!H425))</f>
        <v/>
      </c>
      <c r="J427" s="10">
        <f>IF(A427="",0,IF('Statements (Raw)'!I425="",0,'Statements (Raw)'!I425))</f>
        <v>0</v>
      </c>
      <c r="K427" s="10" t="str">
        <f t="shared" si="13"/>
        <v/>
      </c>
    </row>
    <row r="428" spans="1:11" x14ac:dyDescent="0.3">
      <c r="A428" s="171" t="str">
        <f>IF(OR('Statements (Raw)'!A426="",'Statements (Raw)'!A426&gt;Holdings!$G$3),"",'Statements (Raw)'!A426)</f>
        <v/>
      </c>
      <c r="B428" s="7" t="str">
        <f>IF(A428="","",IF('Statements (Raw)'!B426="","",'Statements (Raw)'!B426))</f>
        <v/>
      </c>
      <c r="C428" s="6" t="str">
        <f>IF(A428="","",IF('Statements (Raw)'!C426&lt;&gt;"",'Statements (Raw)'!C426,IF(ISNUMBER(SEARCH("Conferimento",'Statements (Raw)'!D426)),"CASH DEPOSIT",IF(ISNUMBER(SEARCH("Prelievo",'Statements (Raw)'!D426)),"CASH WITHDRAWAL",IF(ISNUMBER(SEARCH("Bollo",'Statements (Raw)'!D426)),"STAMP DUTY",IF(ISNUMBER(SEARCH("Tobin Tax",'Statements (Raw)'!D426)),"TOBIN TAX",IF(ISNUMBER(SEARCH("Rit.provento",'Statements (Raw)'!D426)),"WITHHOLDING TAX",IF(ISNUMBER(SEARCH("Incasso Dividendi",'Statements (Raw)'!D426)),"DIVIDEND",IF(ISNUMBER(SEARCH("Cedola",'Statements (Raw)'!D426)),"COUPON",IF(ISNUMBER(SEARCH("Ratei Pass",'Statements (Raw)'!D426)),"ACCRUED INT",IF(ISNUMBER(SEARCH("Interessi Prest",'Statements (Raw)'!D426)),"SEC LENDING",IF(ISNUMBER(SEARCH("Rimborso",'Statements (Raw)'!D426)),"REDEMPTION",IF(ISNUMBER(SEARCH("Provento",'Statements (Raw)'!D426)),"DISTRIBUTION","OTHER")))))))))))))</f>
        <v/>
      </c>
      <c r="D428" s="6" t="str">
        <f>IF(A428="","",IF(C428="Saldo Iniziale","Balance",IF(C428="CASH DEPOSIT","Deposit",IF(C428="CASH WITHDRAWAL","Withdrawal",IF(C428="STAMP DUTY","Tax",IF(C428="TOBIN TAX","Tax",IF(C428="WITHHOLDING TAX","Tax",IF(C428="DIVIDEND","Dividend",IF(C428="COUPON","Coupon",IF(C428="ACCRUED INT","Accrued Int.",IF(C428="SEC LENDING","Sec. Lending",IF(C428="REDEMPTION","Redemption",IF(C428="DISTRIBUTION","Distribution",IF(ISNUMBER(SEARCH("Rimborso",'Statements (Raw)'!D426)),"Redemption",IF(ISNUMBER(SEARCH("Cedola",'Statements (Raw)'!D426)),"Coupon",IF(ISNUMBER(SEARCH("Incasso Dividendi",'Statements (Raw)'!D426)),"Dividend",IF(ISNUMBER(SEARCH("Provento Etf",'Statements (Raw)'!D426)),"Distribution",IF(ISNUMBER(SEARCH("Rit.provento",'Statements (Raw)'!D426)),"Tax",IF(ISNUMBER(SEARCH("Ratei Pass",'Statements (Raw)'!D426)),"Accrued Int.",IF(ISNUMBER(SEARCH("Interessi Prest",'Statements (Raw)'!D426)),"Sec. Lending",IF('Statements (Raw)'!G426="","Other",IF('Statements (Raw)'!G426&gt;0,"Buy","Sell"))))))))))))))))))))))</f>
        <v/>
      </c>
      <c r="E428" s="6" t="str">
        <f t="shared" si="12"/>
        <v/>
      </c>
      <c r="F428" s="8" t="str">
        <f>IF(A428="","",IF('Statements (Raw)'!E426="","",'Statements (Raw)'!E426))</f>
        <v/>
      </c>
      <c r="G428" s="6" t="str">
        <f>IF(A428="","",IF('Statements (Raw)'!F426="","",'Statements (Raw)'!F426))</f>
        <v/>
      </c>
      <c r="H428" s="9" t="str">
        <f>IF(A428="","",IF('Statements (Raw)'!G426="","",'Statements (Raw)'!G426))</f>
        <v/>
      </c>
      <c r="I428" s="10" t="str">
        <f>IF(A428="","",IF('Statements (Raw)'!H426="","",'Statements (Raw)'!H426))</f>
        <v/>
      </c>
      <c r="J428" s="10">
        <f>IF(A428="",0,IF('Statements (Raw)'!I426="",0,'Statements (Raw)'!I426))</f>
        <v>0</v>
      </c>
      <c r="K428" s="10" t="str">
        <f t="shared" si="13"/>
        <v/>
      </c>
    </row>
    <row r="429" spans="1:11" x14ac:dyDescent="0.3">
      <c r="A429" s="171" t="str">
        <f>IF(OR('Statements (Raw)'!A427="",'Statements (Raw)'!A427&gt;Holdings!$G$3),"",'Statements (Raw)'!A427)</f>
        <v/>
      </c>
      <c r="B429" s="7" t="str">
        <f>IF(A429="","",IF('Statements (Raw)'!B427="","",'Statements (Raw)'!B427))</f>
        <v/>
      </c>
      <c r="C429" s="6" t="str">
        <f>IF(A429="","",IF('Statements (Raw)'!C427&lt;&gt;"",'Statements (Raw)'!C427,IF(ISNUMBER(SEARCH("Conferimento",'Statements (Raw)'!D427)),"CASH DEPOSIT",IF(ISNUMBER(SEARCH("Prelievo",'Statements (Raw)'!D427)),"CASH WITHDRAWAL",IF(ISNUMBER(SEARCH("Bollo",'Statements (Raw)'!D427)),"STAMP DUTY",IF(ISNUMBER(SEARCH("Tobin Tax",'Statements (Raw)'!D427)),"TOBIN TAX",IF(ISNUMBER(SEARCH("Rit.provento",'Statements (Raw)'!D427)),"WITHHOLDING TAX",IF(ISNUMBER(SEARCH("Incasso Dividendi",'Statements (Raw)'!D427)),"DIVIDEND",IF(ISNUMBER(SEARCH("Cedola",'Statements (Raw)'!D427)),"COUPON",IF(ISNUMBER(SEARCH("Ratei Pass",'Statements (Raw)'!D427)),"ACCRUED INT",IF(ISNUMBER(SEARCH("Interessi Prest",'Statements (Raw)'!D427)),"SEC LENDING",IF(ISNUMBER(SEARCH("Rimborso",'Statements (Raw)'!D427)),"REDEMPTION",IF(ISNUMBER(SEARCH("Provento",'Statements (Raw)'!D427)),"DISTRIBUTION","OTHER")))))))))))))</f>
        <v/>
      </c>
      <c r="D429" s="6" t="str">
        <f>IF(A429="","",IF(C429="Saldo Iniziale","Balance",IF(C429="CASH DEPOSIT","Deposit",IF(C429="CASH WITHDRAWAL","Withdrawal",IF(C429="STAMP DUTY","Tax",IF(C429="TOBIN TAX","Tax",IF(C429="WITHHOLDING TAX","Tax",IF(C429="DIVIDEND","Dividend",IF(C429="COUPON","Coupon",IF(C429="ACCRUED INT","Accrued Int.",IF(C429="SEC LENDING","Sec. Lending",IF(C429="REDEMPTION","Redemption",IF(C429="DISTRIBUTION","Distribution",IF(ISNUMBER(SEARCH("Rimborso",'Statements (Raw)'!D427)),"Redemption",IF(ISNUMBER(SEARCH("Cedola",'Statements (Raw)'!D427)),"Coupon",IF(ISNUMBER(SEARCH("Incasso Dividendi",'Statements (Raw)'!D427)),"Dividend",IF(ISNUMBER(SEARCH("Provento Etf",'Statements (Raw)'!D427)),"Distribution",IF(ISNUMBER(SEARCH("Rit.provento",'Statements (Raw)'!D427)),"Tax",IF(ISNUMBER(SEARCH("Ratei Pass",'Statements (Raw)'!D427)),"Accrued Int.",IF(ISNUMBER(SEARCH("Interessi Prest",'Statements (Raw)'!D427)),"Sec. Lending",IF('Statements (Raw)'!G427="","Other",IF('Statements (Raw)'!G427&gt;0,"Buy","Sell"))))))))))))))))))))))</f>
        <v/>
      </c>
      <c r="E429" s="6" t="str">
        <f t="shared" si="12"/>
        <v/>
      </c>
      <c r="F429" s="8" t="str">
        <f>IF(A429="","",IF('Statements (Raw)'!E427="","",'Statements (Raw)'!E427))</f>
        <v/>
      </c>
      <c r="G429" s="6" t="str">
        <f>IF(A429="","",IF('Statements (Raw)'!F427="","",'Statements (Raw)'!F427))</f>
        <v/>
      </c>
      <c r="H429" s="9" t="str">
        <f>IF(A429="","",IF('Statements (Raw)'!G427="","",'Statements (Raw)'!G427))</f>
        <v/>
      </c>
      <c r="I429" s="10" t="str">
        <f>IF(A429="","",IF('Statements (Raw)'!H427="","",'Statements (Raw)'!H427))</f>
        <v/>
      </c>
      <c r="J429" s="10">
        <f>IF(A429="",0,IF('Statements (Raw)'!I427="",0,'Statements (Raw)'!I427))</f>
        <v>0</v>
      </c>
      <c r="K429" s="10" t="str">
        <f t="shared" si="13"/>
        <v/>
      </c>
    </row>
    <row r="430" spans="1:11" x14ac:dyDescent="0.3">
      <c r="A430" s="171" t="str">
        <f>IF(OR('Statements (Raw)'!A428="",'Statements (Raw)'!A428&gt;Holdings!$G$3),"",'Statements (Raw)'!A428)</f>
        <v/>
      </c>
      <c r="B430" s="7" t="str">
        <f>IF(A430="","",IF('Statements (Raw)'!B428="","",'Statements (Raw)'!B428))</f>
        <v/>
      </c>
      <c r="C430" s="6" t="str">
        <f>IF(A430="","",IF('Statements (Raw)'!C428&lt;&gt;"",'Statements (Raw)'!C428,IF(ISNUMBER(SEARCH("Conferimento",'Statements (Raw)'!D428)),"CASH DEPOSIT",IF(ISNUMBER(SEARCH("Prelievo",'Statements (Raw)'!D428)),"CASH WITHDRAWAL",IF(ISNUMBER(SEARCH("Bollo",'Statements (Raw)'!D428)),"STAMP DUTY",IF(ISNUMBER(SEARCH("Tobin Tax",'Statements (Raw)'!D428)),"TOBIN TAX",IF(ISNUMBER(SEARCH("Rit.provento",'Statements (Raw)'!D428)),"WITHHOLDING TAX",IF(ISNUMBER(SEARCH("Incasso Dividendi",'Statements (Raw)'!D428)),"DIVIDEND",IF(ISNUMBER(SEARCH("Cedola",'Statements (Raw)'!D428)),"COUPON",IF(ISNUMBER(SEARCH("Ratei Pass",'Statements (Raw)'!D428)),"ACCRUED INT",IF(ISNUMBER(SEARCH("Interessi Prest",'Statements (Raw)'!D428)),"SEC LENDING",IF(ISNUMBER(SEARCH("Rimborso",'Statements (Raw)'!D428)),"REDEMPTION",IF(ISNUMBER(SEARCH("Provento",'Statements (Raw)'!D428)),"DISTRIBUTION","OTHER")))))))))))))</f>
        <v/>
      </c>
      <c r="D430" s="6" t="str">
        <f>IF(A430="","",IF(C430="Saldo Iniziale","Balance",IF(C430="CASH DEPOSIT","Deposit",IF(C430="CASH WITHDRAWAL","Withdrawal",IF(C430="STAMP DUTY","Tax",IF(C430="TOBIN TAX","Tax",IF(C430="WITHHOLDING TAX","Tax",IF(C430="DIVIDEND","Dividend",IF(C430="COUPON","Coupon",IF(C430="ACCRUED INT","Accrued Int.",IF(C430="SEC LENDING","Sec. Lending",IF(C430="REDEMPTION","Redemption",IF(C430="DISTRIBUTION","Distribution",IF(ISNUMBER(SEARCH("Rimborso",'Statements (Raw)'!D428)),"Redemption",IF(ISNUMBER(SEARCH("Cedola",'Statements (Raw)'!D428)),"Coupon",IF(ISNUMBER(SEARCH("Incasso Dividendi",'Statements (Raw)'!D428)),"Dividend",IF(ISNUMBER(SEARCH("Provento Etf",'Statements (Raw)'!D428)),"Distribution",IF(ISNUMBER(SEARCH("Rit.provento",'Statements (Raw)'!D428)),"Tax",IF(ISNUMBER(SEARCH("Ratei Pass",'Statements (Raw)'!D428)),"Accrued Int.",IF(ISNUMBER(SEARCH("Interessi Prest",'Statements (Raw)'!D428)),"Sec. Lending",IF('Statements (Raw)'!G428="","Other",IF('Statements (Raw)'!G428&gt;0,"Buy","Sell"))))))))))))))))))))))</f>
        <v/>
      </c>
      <c r="E430" s="6" t="str">
        <f t="shared" si="12"/>
        <v/>
      </c>
      <c r="F430" s="8" t="str">
        <f>IF(A430="","",IF('Statements (Raw)'!E428="","",'Statements (Raw)'!E428))</f>
        <v/>
      </c>
      <c r="G430" s="6" t="str">
        <f>IF(A430="","",IF('Statements (Raw)'!F428="","",'Statements (Raw)'!F428))</f>
        <v/>
      </c>
      <c r="H430" s="9" t="str">
        <f>IF(A430="","",IF('Statements (Raw)'!G428="","",'Statements (Raw)'!G428))</f>
        <v/>
      </c>
      <c r="I430" s="10" t="str">
        <f>IF(A430="","",IF('Statements (Raw)'!H428="","",'Statements (Raw)'!H428))</f>
        <v/>
      </c>
      <c r="J430" s="10">
        <f>IF(A430="",0,IF('Statements (Raw)'!I428="",0,'Statements (Raw)'!I428))</f>
        <v>0</v>
      </c>
      <c r="K430" s="10" t="str">
        <f t="shared" si="13"/>
        <v/>
      </c>
    </row>
    <row r="431" spans="1:11" x14ac:dyDescent="0.3">
      <c r="A431" s="171" t="str">
        <f>IF(OR('Statements (Raw)'!A429="",'Statements (Raw)'!A429&gt;Holdings!$G$3),"",'Statements (Raw)'!A429)</f>
        <v/>
      </c>
      <c r="B431" s="7" t="str">
        <f>IF(A431="","",IF('Statements (Raw)'!B429="","",'Statements (Raw)'!B429))</f>
        <v/>
      </c>
      <c r="C431" s="6" t="str">
        <f>IF(A431="","",IF('Statements (Raw)'!C429&lt;&gt;"",'Statements (Raw)'!C429,IF(ISNUMBER(SEARCH("Conferimento",'Statements (Raw)'!D429)),"CASH DEPOSIT",IF(ISNUMBER(SEARCH("Prelievo",'Statements (Raw)'!D429)),"CASH WITHDRAWAL",IF(ISNUMBER(SEARCH("Bollo",'Statements (Raw)'!D429)),"STAMP DUTY",IF(ISNUMBER(SEARCH("Tobin Tax",'Statements (Raw)'!D429)),"TOBIN TAX",IF(ISNUMBER(SEARCH("Rit.provento",'Statements (Raw)'!D429)),"WITHHOLDING TAX",IF(ISNUMBER(SEARCH("Incasso Dividendi",'Statements (Raw)'!D429)),"DIVIDEND",IF(ISNUMBER(SEARCH("Cedola",'Statements (Raw)'!D429)),"COUPON",IF(ISNUMBER(SEARCH("Ratei Pass",'Statements (Raw)'!D429)),"ACCRUED INT",IF(ISNUMBER(SEARCH("Interessi Prest",'Statements (Raw)'!D429)),"SEC LENDING",IF(ISNUMBER(SEARCH("Rimborso",'Statements (Raw)'!D429)),"REDEMPTION",IF(ISNUMBER(SEARCH("Provento",'Statements (Raw)'!D429)),"DISTRIBUTION","OTHER")))))))))))))</f>
        <v/>
      </c>
      <c r="D431" s="6" t="str">
        <f>IF(A431="","",IF(C431="Saldo Iniziale","Balance",IF(C431="CASH DEPOSIT","Deposit",IF(C431="CASH WITHDRAWAL","Withdrawal",IF(C431="STAMP DUTY","Tax",IF(C431="TOBIN TAX","Tax",IF(C431="WITHHOLDING TAX","Tax",IF(C431="DIVIDEND","Dividend",IF(C431="COUPON","Coupon",IF(C431="ACCRUED INT","Accrued Int.",IF(C431="SEC LENDING","Sec. Lending",IF(C431="REDEMPTION","Redemption",IF(C431="DISTRIBUTION","Distribution",IF(ISNUMBER(SEARCH("Rimborso",'Statements (Raw)'!D429)),"Redemption",IF(ISNUMBER(SEARCH("Cedola",'Statements (Raw)'!D429)),"Coupon",IF(ISNUMBER(SEARCH("Incasso Dividendi",'Statements (Raw)'!D429)),"Dividend",IF(ISNUMBER(SEARCH("Provento Etf",'Statements (Raw)'!D429)),"Distribution",IF(ISNUMBER(SEARCH("Rit.provento",'Statements (Raw)'!D429)),"Tax",IF(ISNUMBER(SEARCH("Ratei Pass",'Statements (Raw)'!D429)),"Accrued Int.",IF(ISNUMBER(SEARCH("Interessi Prest",'Statements (Raw)'!D429)),"Sec. Lending",IF('Statements (Raw)'!G429="","Other",IF('Statements (Raw)'!G429&gt;0,"Buy","Sell"))))))))))))))))))))))</f>
        <v/>
      </c>
      <c r="E431" s="6" t="str">
        <f t="shared" si="12"/>
        <v/>
      </c>
      <c r="F431" s="8" t="str">
        <f>IF(A431="","",IF('Statements (Raw)'!E429="","",'Statements (Raw)'!E429))</f>
        <v/>
      </c>
      <c r="G431" s="6" t="str">
        <f>IF(A431="","",IF('Statements (Raw)'!F429="","",'Statements (Raw)'!F429))</f>
        <v/>
      </c>
      <c r="H431" s="9" t="str">
        <f>IF(A431="","",IF('Statements (Raw)'!G429="","",'Statements (Raw)'!G429))</f>
        <v/>
      </c>
      <c r="I431" s="10" t="str">
        <f>IF(A431="","",IF('Statements (Raw)'!H429="","",'Statements (Raw)'!H429))</f>
        <v/>
      </c>
      <c r="J431" s="10">
        <f>IF(A431="",0,IF('Statements (Raw)'!I429="",0,'Statements (Raw)'!I429))</f>
        <v>0</v>
      </c>
      <c r="K431" s="10" t="str">
        <f t="shared" si="13"/>
        <v/>
      </c>
    </row>
    <row r="432" spans="1:11" x14ac:dyDescent="0.3">
      <c r="A432" s="171" t="str">
        <f>IF(OR('Statements (Raw)'!A430="",'Statements (Raw)'!A430&gt;Holdings!$G$3),"",'Statements (Raw)'!A430)</f>
        <v/>
      </c>
      <c r="B432" s="7" t="str">
        <f>IF(A432="","",IF('Statements (Raw)'!B430="","",'Statements (Raw)'!B430))</f>
        <v/>
      </c>
      <c r="C432" s="6" t="str">
        <f>IF(A432="","",IF('Statements (Raw)'!C430&lt;&gt;"",'Statements (Raw)'!C430,IF(ISNUMBER(SEARCH("Conferimento",'Statements (Raw)'!D430)),"CASH DEPOSIT",IF(ISNUMBER(SEARCH("Prelievo",'Statements (Raw)'!D430)),"CASH WITHDRAWAL",IF(ISNUMBER(SEARCH("Bollo",'Statements (Raw)'!D430)),"STAMP DUTY",IF(ISNUMBER(SEARCH("Tobin Tax",'Statements (Raw)'!D430)),"TOBIN TAX",IF(ISNUMBER(SEARCH("Rit.provento",'Statements (Raw)'!D430)),"WITHHOLDING TAX",IF(ISNUMBER(SEARCH("Incasso Dividendi",'Statements (Raw)'!D430)),"DIVIDEND",IF(ISNUMBER(SEARCH("Cedola",'Statements (Raw)'!D430)),"COUPON",IF(ISNUMBER(SEARCH("Ratei Pass",'Statements (Raw)'!D430)),"ACCRUED INT",IF(ISNUMBER(SEARCH("Interessi Prest",'Statements (Raw)'!D430)),"SEC LENDING",IF(ISNUMBER(SEARCH("Rimborso",'Statements (Raw)'!D430)),"REDEMPTION",IF(ISNUMBER(SEARCH("Provento",'Statements (Raw)'!D430)),"DISTRIBUTION","OTHER")))))))))))))</f>
        <v/>
      </c>
      <c r="D432" s="6" t="str">
        <f>IF(A432="","",IF(C432="Saldo Iniziale","Balance",IF(C432="CASH DEPOSIT","Deposit",IF(C432="CASH WITHDRAWAL","Withdrawal",IF(C432="STAMP DUTY","Tax",IF(C432="TOBIN TAX","Tax",IF(C432="WITHHOLDING TAX","Tax",IF(C432="DIVIDEND","Dividend",IF(C432="COUPON","Coupon",IF(C432="ACCRUED INT","Accrued Int.",IF(C432="SEC LENDING","Sec. Lending",IF(C432="REDEMPTION","Redemption",IF(C432="DISTRIBUTION","Distribution",IF(ISNUMBER(SEARCH("Rimborso",'Statements (Raw)'!D430)),"Redemption",IF(ISNUMBER(SEARCH("Cedola",'Statements (Raw)'!D430)),"Coupon",IF(ISNUMBER(SEARCH("Incasso Dividendi",'Statements (Raw)'!D430)),"Dividend",IF(ISNUMBER(SEARCH("Provento Etf",'Statements (Raw)'!D430)),"Distribution",IF(ISNUMBER(SEARCH("Rit.provento",'Statements (Raw)'!D430)),"Tax",IF(ISNUMBER(SEARCH("Ratei Pass",'Statements (Raw)'!D430)),"Accrued Int.",IF(ISNUMBER(SEARCH("Interessi Prest",'Statements (Raw)'!D430)),"Sec. Lending",IF('Statements (Raw)'!G430="","Other",IF('Statements (Raw)'!G430&gt;0,"Buy","Sell"))))))))))))))))))))))</f>
        <v/>
      </c>
      <c r="E432" s="6" t="str">
        <f t="shared" si="12"/>
        <v/>
      </c>
      <c r="F432" s="8" t="str">
        <f>IF(A432="","",IF('Statements (Raw)'!E430="","",'Statements (Raw)'!E430))</f>
        <v/>
      </c>
      <c r="G432" s="6" t="str">
        <f>IF(A432="","",IF('Statements (Raw)'!F430="","",'Statements (Raw)'!F430))</f>
        <v/>
      </c>
      <c r="H432" s="9" t="str">
        <f>IF(A432="","",IF('Statements (Raw)'!G430="","",'Statements (Raw)'!G430))</f>
        <v/>
      </c>
      <c r="I432" s="10" t="str">
        <f>IF(A432="","",IF('Statements (Raw)'!H430="","",'Statements (Raw)'!H430))</f>
        <v/>
      </c>
      <c r="J432" s="10">
        <f>IF(A432="",0,IF('Statements (Raw)'!I430="",0,'Statements (Raw)'!I430))</f>
        <v>0</v>
      </c>
      <c r="K432" s="10" t="str">
        <f t="shared" si="13"/>
        <v/>
      </c>
    </row>
    <row r="433" spans="1:11" x14ac:dyDescent="0.3">
      <c r="A433" s="171" t="str">
        <f>IF(OR('Statements (Raw)'!A431="",'Statements (Raw)'!A431&gt;Holdings!$G$3),"",'Statements (Raw)'!A431)</f>
        <v/>
      </c>
      <c r="B433" s="7" t="str">
        <f>IF(A433="","",IF('Statements (Raw)'!B431="","",'Statements (Raw)'!B431))</f>
        <v/>
      </c>
      <c r="C433" s="6" t="str">
        <f>IF(A433="","",IF('Statements (Raw)'!C431&lt;&gt;"",'Statements (Raw)'!C431,IF(ISNUMBER(SEARCH("Conferimento",'Statements (Raw)'!D431)),"CASH DEPOSIT",IF(ISNUMBER(SEARCH("Prelievo",'Statements (Raw)'!D431)),"CASH WITHDRAWAL",IF(ISNUMBER(SEARCH("Bollo",'Statements (Raw)'!D431)),"STAMP DUTY",IF(ISNUMBER(SEARCH("Tobin Tax",'Statements (Raw)'!D431)),"TOBIN TAX",IF(ISNUMBER(SEARCH("Rit.provento",'Statements (Raw)'!D431)),"WITHHOLDING TAX",IF(ISNUMBER(SEARCH("Incasso Dividendi",'Statements (Raw)'!D431)),"DIVIDEND",IF(ISNUMBER(SEARCH("Cedola",'Statements (Raw)'!D431)),"COUPON",IF(ISNUMBER(SEARCH("Ratei Pass",'Statements (Raw)'!D431)),"ACCRUED INT",IF(ISNUMBER(SEARCH("Interessi Prest",'Statements (Raw)'!D431)),"SEC LENDING",IF(ISNUMBER(SEARCH("Rimborso",'Statements (Raw)'!D431)),"REDEMPTION",IF(ISNUMBER(SEARCH("Provento",'Statements (Raw)'!D431)),"DISTRIBUTION","OTHER")))))))))))))</f>
        <v/>
      </c>
      <c r="D433" s="6" t="str">
        <f>IF(A433="","",IF(C433="Saldo Iniziale","Balance",IF(C433="CASH DEPOSIT","Deposit",IF(C433="CASH WITHDRAWAL","Withdrawal",IF(C433="STAMP DUTY","Tax",IF(C433="TOBIN TAX","Tax",IF(C433="WITHHOLDING TAX","Tax",IF(C433="DIVIDEND","Dividend",IF(C433="COUPON","Coupon",IF(C433="ACCRUED INT","Accrued Int.",IF(C433="SEC LENDING","Sec. Lending",IF(C433="REDEMPTION","Redemption",IF(C433="DISTRIBUTION","Distribution",IF(ISNUMBER(SEARCH("Rimborso",'Statements (Raw)'!D431)),"Redemption",IF(ISNUMBER(SEARCH("Cedola",'Statements (Raw)'!D431)),"Coupon",IF(ISNUMBER(SEARCH("Incasso Dividendi",'Statements (Raw)'!D431)),"Dividend",IF(ISNUMBER(SEARCH("Provento Etf",'Statements (Raw)'!D431)),"Distribution",IF(ISNUMBER(SEARCH("Rit.provento",'Statements (Raw)'!D431)),"Tax",IF(ISNUMBER(SEARCH("Ratei Pass",'Statements (Raw)'!D431)),"Accrued Int.",IF(ISNUMBER(SEARCH("Interessi Prest",'Statements (Raw)'!D431)),"Sec. Lending",IF('Statements (Raw)'!G431="","Other",IF('Statements (Raw)'!G431&gt;0,"Buy","Sell"))))))))))))))))))))))</f>
        <v/>
      </c>
      <c r="E433" s="6" t="str">
        <f t="shared" si="12"/>
        <v/>
      </c>
      <c r="F433" s="8" t="str">
        <f>IF(A433="","",IF('Statements (Raw)'!E431="","",'Statements (Raw)'!E431))</f>
        <v/>
      </c>
      <c r="G433" s="6" t="str">
        <f>IF(A433="","",IF('Statements (Raw)'!F431="","",'Statements (Raw)'!F431))</f>
        <v/>
      </c>
      <c r="H433" s="9" t="str">
        <f>IF(A433="","",IF('Statements (Raw)'!G431="","",'Statements (Raw)'!G431))</f>
        <v/>
      </c>
      <c r="I433" s="10" t="str">
        <f>IF(A433="","",IF('Statements (Raw)'!H431="","",'Statements (Raw)'!H431))</f>
        <v/>
      </c>
      <c r="J433" s="10">
        <f>IF(A433="",0,IF('Statements (Raw)'!I431="",0,'Statements (Raw)'!I431))</f>
        <v>0</v>
      </c>
      <c r="K433" s="10" t="str">
        <f t="shared" si="13"/>
        <v/>
      </c>
    </row>
    <row r="434" spans="1:11" x14ac:dyDescent="0.3">
      <c r="A434" s="171" t="str">
        <f>IF(OR('Statements (Raw)'!A432="",'Statements (Raw)'!A432&gt;Holdings!$G$3),"",'Statements (Raw)'!A432)</f>
        <v/>
      </c>
      <c r="B434" s="7" t="str">
        <f>IF(A434="","",IF('Statements (Raw)'!B432="","",'Statements (Raw)'!B432))</f>
        <v/>
      </c>
      <c r="C434" s="6" t="str">
        <f>IF(A434="","",IF('Statements (Raw)'!C432&lt;&gt;"",'Statements (Raw)'!C432,IF(ISNUMBER(SEARCH("Conferimento",'Statements (Raw)'!D432)),"CASH DEPOSIT",IF(ISNUMBER(SEARCH("Prelievo",'Statements (Raw)'!D432)),"CASH WITHDRAWAL",IF(ISNUMBER(SEARCH("Bollo",'Statements (Raw)'!D432)),"STAMP DUTY",IF(ISNUMBER(SEARCH("Tobin Tax",'Statements (Raw)'!D432)),"TOBIN TAX",IF(ISNUMBER(SEARCH("Rit.provento",'Statements (Raw)'!D432)),"WITHHOLDING TAX",IF(ISNUMBER(SEARCH("Incasso Dividendi",'Statements (Raw)'!D432)),"DIVIDEND",IF(ISNUMBER(SEARCH("Cedola",'Statements (Raw)'!D432)),"COUPON",IF(ISNUMBER(SEARCH("Ratei Pass",'Statements (Raw)'!D432)),"ACCRUED INT",IF(ISNUMBER(SEARCH("Interessi Prest",'Statements (Raw)'!D432)),"SEC LENDING",IF(ISNUMBER(SEARCH("Rimborso",'Statements (Raw)'!D432)),"REDEMPTION",IF(ISNUMBER(SEARCH("Provento",'Statements (Raw)'!D432)),"DISTRIBUTION","OTHER")))))))))))))</f>
        <v/>
      </c>
      <c r="D434" s="6" t="str">
        <f>IF(A434="","",IF(C434="Saldo Iniziale","Balance",IF(C434="CASH DEPOSIT","Deposit",IF(C434="CASH WITHDRAWAL","Withdrawal",IF(C434="STAMP DUTY","Tax",IF(C434="TOBIN TAX","Tax",IF(C434="WITHHOLDING TAX","Tax",IF(C434="DIVIDEND","Dividend",IF(C434="COUPON","Coupon",IF(C434="ACCRUED INT","Accrued Int.",IF(C434="SEC LENDING","Sec. Lending",IF(C434="REDEMPTION","Redemption",IF(C434="DISTRIBUTION","Distribution",IF(ISNUMBER(SEARCH("Rimborso",'Statements (Raw)'!D432)),"Redemption",IF(ISNUMBER(SEARCH("Cedola",'Statements (Raw)'!D432)),"Coupon",IF(ISNUMBER(SEARCH("Incasso Dividendi",'Statements (Raw)'!D432)),"Dividend",IF(ISNUMBER(SEARCH("Provento Etf",'Statements (Raw)'!D432)),"Distribution",IF(ISNUMBER(SEARCH("Rit.provento",'Statements (Raw)'!D432)),"Tax",IF(ISNUMBER(SEARCH("Ratei Pass",'Statements (Raw)'!D432)),"Accrued Int.",IF(ISNUMBER(SEARCH("Interessi Prest",'Statements (Raw)'!D432)),"Sec. Lending",IF('Statements (Raw)'!G432="","Other",IF('Statements (Raw)'!G432&gt;0,"Buy","Sell"))))))))))))))))))))))</f>
        <v/>
      </c>
      <c r="E434" s="6" t="str">
        <f t="shared" si="12"/>
        <v/>
      </c>
      <c r="F434" s="8" t="str">
        <f>IF(A434="","",IF('Statements (Raw)'!E432="","",'Statements (Raw)'!E432))</f>
        <v/>
      </c>
      <c r="G434" s="6" t="str">
        <f>IF(A434="","",IF('Statements (Raw)'!F432="","",'Statements (Raw)'!F432))</f>
        <v/>
      </c>
      <c r="H434" s="9" t="str">
        <f>IF(A434="","",IF('Statements (Raw)'!G432="","",'Statements (Raw)'!G432))</f>
        <v/>
      </c>
      <c r="I434" s="10" t="str">
        <f>IF(A434="","",IF('Statements (Raw)'!H432="","",'Statements (Raw)'!H432))</f>
        <v/>
      </c>
      <c r="J434" s="10">
        <f>IF(A434="",0,IF('Statements (Raw)'!I432="",0,'Statements (Raw)'!I432))</f>
        <v>0</v>
      </c>
      <c r="K434" s="10" t="str">
        <f t="shared" si="13"/>
        <v/>
      </c>
    </row>
    <row r="435" spans="1:11" x14ac:dyDescent="0.3">
      <c r="A435" s="171" t="str">
        <f>IF(OR('Statements (Raw)'!A433="",'Statements (Raw)'!A433&gt;Holdings!$G$3),"",'Statements (Raw)'!A433)</f>
        <v/>
      </c>
      <c r="B435" s="7" t="str">
        <f>IF(A435="","",IF('Statements (Raw)'!B433="","",'Statements (Raw)'!B433))</f>
        <v/>
      </c>
      <c r="C435" s="6" t="str">
        <f>IF(A435="","",IF('Statements (Raw)'!C433&lt;&gt;"",'Statements (Raw)'!C433,IF(ISNUMBER(SEARCH("Conferimento",'Statements (Raw)'!D433)),"CASH DEPOSIT",IF(ISNUMBER(SEARCH("Prelievo",'Statements (Raw)'!D433)),"CASH WITHDRAWAL",IF(ISNUMBER(SEARCH("Bollo",'Statements (Raw)'!D433)),"STAMP DUTY",IF(ISNUMBER(SEARCH("Tobin Tax",'Statements (Raw)'!D433)),"TOBIN TAX",IF(ISNUMBER(SEARCH("Rit.provento",'Statements (Raw)'!D433)),"WITHHOLDING TAX",IF(ISNUMBER(SEARCH("Incasso Dividendi",'Statements (Raw)'!D433)),"DIVIDEND",IF(ISNUMBER(SEARCH("Cedola",'Statements (Raw)'!D433)),"COUPON",IF(ISNUMBER(SEARCH("Ratei Pass",'Statements (Raw)'!D433)),"ACCRUED INT",IF(ISNUMBER(SEARCH("Interessi Prest",'Statements (Raw)'!D433)),"SEC LENDING",IF(ISNUMBER(SEARCH("Rimborso",'Statements (Raw)'!D433)),"REDEMPTION",IF(ISNUMBER(SEARCH("Provento",'Statements (Raw)'!D433)),"DISTRIBUTION","OTHER")))))))))))))</f>
        <v/>
      </c>
      <c r="D435" s="6" t="str">
        <f>IF(A435="","",IF(C435="Saldo Iniziale","Balance",IF(C435="CASH DEPOSIT","Deposit",IF(C435="CASH WITHDRAWAL","Withdrawal",IF(C435="STAMP DUTY","Tax",IF(C435="TOBIN TAX","Tax",IF(C435="WITHHOLDING TAX","Tax",IF(C435="DIVIDEND","Dividend",IF(C435="COUPON","Coupon",IF(C435="ACCRUED INT","Accrued Int.",IF(C435="SEC LENDING","Sec. Lending",IF(C435="REDEMPTION","Redemption",IF(C435="DISTRIBUTION","Distribution",IF(ISNUMBER(SEARCH("Rimborso",'Statements (Raw)'!D433)),"Redemption",IF(ISNUMBER(SEARCH("Cedola",'Statements (Raw)'!D433)),"Coupon",IF(ISNUMBER(SEARCH("Incasso Dividendi",'Statements (Raw)'!D433)),"Dividend",IF(ISNUMBER(SEARCH("Provento Etf",'Statements (Raw)'!D433)),"Distribution",IF(ISNUMBER(SEARCH("Rit.provento",'Statements (Raw)'!D433)),"Tax",IF(ISNUMBER(SEARCH("Ratei Pass",'Statements (Raw)'!D433)),"Accrued Int.",IF(ISNUMBER(SEARCH("Interessi Prest",'Statements (Raw)'!D433)),"Sec. Lending",IF('Statements (Raw)'!G433="","Other",IF('Statements (Raw)'!G433&gt;0,"Buy","Sell"))))))))))))))))))))))</f>
        <v/>
      </c>
      <c r="E435" s="6" t="str">
        <f t="shared" si="12"/>
        <v/>
      </c>
      <c r="F435" s="8" t="str">
        <f>IF(A435="","",IF('Statements (Raw)'!E433="","",'Statements (Raw)'!E433))</f>
        <v/>
      </c>
      <c r="G435" s="6" t="str">
        <f>IF(A435="","",IF('Statements (Raw)'!F433="","",'Statements (Raw)'!F433))</f>
        <v/>
      </c>
      <c r="H435" s="9" t="str">
        <f>IF(A435="","",IF('Statements (Raw)'!G433="","",'Statements (Raw)'!G433))</f>
        <v/>
      </c>
      <c r="I435" s="10" t="str">
        <f>IF(A435="","",IF('Statements (Raw)'!H433="","",'Statements (Raw)'!H433))</f>
        <v/>
      </c>
      <c r="J435" s="10">
        <f>IF(A435="",0,IF('Statements (Raw)'!I433="",0,'Statements (Raw)'!I433))</f>
        <v>0</v>
      </c>
      <c r="K435" s="10" t="str">
        <f t="shared" si="13"/>
        <v/>
      </c>
    </row>
    <row r="436" spans="1:11" x14ac:dyDescent="0.3">
      <c r="A436" s="171" t="str">
        <f>IF(OR('Statements (Raw)'!A434="",'Statements (Raw)'!A434&gt;Holdings!$G$3),"",'Statements (Raw)'!A434)</f>
        <v/>
      </c>
      <c r="B436" s="7" t="str">
        <f>IF(A436="","",IF('Statements (Raw)'!B434="","",'Statements (Raw)'!B434))</f>
        <v/>
      </c>
      <c r="C436" s="6" t="str">
        <f>IF(A436="","",IF('Statements (Raw)'!C434&lt;&gt;"",'Statements (Raw)'!C434,IF(ISNUMBER(SEARCH("Conferimento",'Statements (Raw)'!D434)),"CASH DEPOSIT",IF(ISNUMBER(SEARCH("Prelievo",'Statements (Raw)'!D434)),"CASH WITHDRAWAL",IF(ISNUMBER(SEARCH("Bollo",'Statements (Raw)'!D434)),"STAMP DUTY",IF(ISNUMBER(SEARCH("Tobin Tax",'Statements (Raw)'!D434)),"TOBIN TAX",IF(ISNUMBER(SEARCH("Rit.provento",'Statements (Raw)'!D434)),"WITHHOLDING TAX",IF(ISNUMBER(SEARCH("Incasso Dividendi",'Statements (Raw)'!D434)),"DIVIDEND",IF(ISNUMBER(SEARCH("Cedola",'Statements (Raw)'!D434)),"COUPON",IF(ISNUMBER(SEARCH("Ratei Pass",'Statements (Raw)'!D434)),"ACCRUED INT",IF(ISNUMBER(SEARCH("Interessi Prest",'Statements (Raw)'!D434)),"SEC LENDING",IF(ISNUMBER(SEARCH("Rimborso",'Statements (Raw)'!D434)),"REDEMPTION",IF(ISNUMBER(SEARCH("Provento",'Statements (Raw)'!D434)),"DISTRIBUTION","OTHER")))))))))))))</f>
        <v/>
      </c>
      <c r="D436" s="6" t="str">
        <f>IF(A436="","",IF(C436="Saldo Iniziale","Balance",IF(C436="CASH DEPOSIT","Deposit",IF(C436="CASH WITHDRAWAL","Withdrawal",IF(C436="STAMP DUTY","Tax",IF(C436="TOBIN TAX","Tax",IF(C436="WITHHOLDING TAX","Tax",IF(C436="DIVIDEND","Dividend",IF(C436="COUPON","Coupon",IF(C436="ACCRUED INT","Accrued Int.",IF(C436="SEC LENDING","Sec. Lending",IF(C436="REDEMPTION","Redemption",IF(C436="DISTRIBUTION","Distribution",IF(ISNUMBER(SEARCH("Rimborso",'Statements (Raw)'!D434)),"Redemption",IF(ISNUMBER(SEARCH("Cedola",'Statements (Raw)'!D434)),"Coupon",IF(ISNUMBER(SEARCH("Incasso Dividendi",'Statements (Raw)'!D434)),"Dividend",IF(ISNUMBER(SEARCH("Provento Etf",'Statements (Raw)'!D434)),"Distribution",IF(ISNUMBER(SEARCH("Rit.provento",'Statements (Raw)'!D434)),"Tax",IF(ISNUMBER(SEARCH("Ratei Pass",'Statements (Raw)'!D434)),"Accrued Int.",IF(ISNUMBER(SEARCH("Interessi Prest",'Statements (Raw)'!D434)),"Sec. Lending",IF('Statements (Raw)'!G434="","Other",IF('Statements (Raw)'!G434&gt;0,"Buy","Sell"))))))))))))))))))))))</f>
        <v/>
      </c>
      <c r="E436" s="6" t="str">
        <f t="shared" si="12"/>
        <v/>
      </c>
      <c r="F436" s="8" t="str">
        <f>IF(A436="","",IF('Statements (Raw)'!E434="","",'Statements (Raw)'!E434))</f>
        <v/>
      </c>
      <c r="G436" s="6" t="str">
        <f>IF(A436="","",IF('Statements (Raw)'!F434="","",'Statements (Raw)'!F434))</f>
        <v/>
      </c>
      <c r="H436" s="9" t="str">
        <f>IF(A436="","",IF('Statements (Raw)'!G434="","",'Statements (Raw)'!G434))</f>
        <v/>
      </c>
      <c r="I436" s="10" t="str">
        <f>IF(A436="","",IF('Statements (Raw)'!H434="","",'Statements (Raw)'!H434))</f>
        <v/>
      </c>
      <c r="J436" s="10">
        <f>IF(A436="",0,IF('Statements (Raw)'!I434="",0,'Statements (Raw)'!I434))</f>
        <v>0</v>
      </c>
      <c r="K436" s="10" t="str">
        <f t="shared" si="13"/>
        <v/>
      </c>
    </row>
    <row r="437" spans="1:11" x14ac:dyDescent="0.3">
      <c r="A437" s="171" t="str">
        <f>IF(OR('Statements (Raw)'!A435="",'Statements (Raw)'!A435&gt;Holdings!$G$3),"",'Statements (Raw)'!A435)</f>
        <v/>
      </c>
      <c r="B437" s="7" t="str">
        <f>IF(A437="","",IF('Statements (Raw)'!B435="","",'Statements (Raw)'!B435))</f>
        <v/>
      </c>
      <c r="C437" s="6" t="str">
        <f>IF(A437="","",IF('Statements (Raw)'!C435&lt;&gt;"",'Statements (Raw)'!C435,IF(ISNUMBER(SEARCH("Conferimento",'Statements (Raw)'!D435)),"CASH DEPOSIT",IF(ISNUMBER(SEARCH("Prelievo",'Statements (Raw)'!D435)),"CASH WITHDRAWAL",IF(ISNUMBER(SEARCH("Bollo",'Statements (Raw)'!D435)),"STAMP DUTY",IF(ISNUMBER(SEARCH("Tobin Tax",'Statements (Raw)'!D435)),"TOBIN TAX",IF(ISNUMBER(SEARCH("Rit.provento",'Statements (Raw)'!D435)),"WITHHOLDING TAX",IF(ISNUMBER(SEARCH("Incasso Dividendi",'Statements (Raw)'!D435)),"DIVIDEND",IF(ISNUMBER(SEARCH("Cedola",'Statements (Raw)'!D435)),"COUPON",IF(ISNUMBER(SEARCH("Ratei Pass",'Statements (Raw)'!D435)),"ACCRUED INT",IF(ISNUMBER(SEARCH("Interessi Prest",'Statements (Raw)'!D435)),"SEC LENDING",IF(ISNUMBER(SEARCH("Rimborso",'Statements (Raw)'!D435)),"REDEMPTION",IF(ISNUMBER(SEARCH("Provento",'Statements (Raw)'!D435)),"DISTRIBUTION","OTHER")))))))))))))</f>
        <v/>
      </c>
      <c r="D437" s="6" t="str">
        <f>IF(A437="","",IF(C437="Saldo Iniziale","Balance",IF(C437="CASH DEPOSIT","Deposit",IF(C437="CASH WITHDRAWAL","Withdrawal",IF(C437="STAMP DUTY","Tax",IF(C437="TOBIN TAX","Tax",IF(C437="WITHHOLDING TAX","Tax",IF(C437="DIVIDEND","Dividend",IF(C437="COUPON","Coupon",IF(C437="ACCRUED INT","Accrued Int.",IF(C437="SEC LENDING","Sec. Lending",IF(C437="REDEMPTION","Redemption",IF(C437="DISTRIBUTION","Distribution",IF(ISNUMBER(SEARCH("Rimborso",'Statements (Raw)'!D435)),"Redemption",IF(ISNUMBER(SEARCH("Cedola",'Statements (Raw)'!D435)),"Coupon",IF(ISNUMBER(SEARCH("Incasso Dividendi",'Statements (Raw)'!D435)),"Dividend",IF(ISNUMBER(SEARCH("Provento Etf",'Statements (Raw)'!D435)),"Distribution",IF(ISNUMBER(SEARCH("Rit.provento",'Statements (Raw)'!D435)),"Tax",IF(ISNUMBER(SEARCH("Ratei Pass",'Statements (Raw)'!D435)),"Accrued Int.",IF(ISNUMBER(SEARCH("Interessi Prest",'Statements (Raw)'!D435)),"Sec. Lending",IF('Statements (Raw)'!G435="","Other",IF('Statements (Raw)'!G435&gt;0,"Buy","Sell"))))))))))))))))))))))</f>
        <v/>
      </c>
      <c r="E437" s="6" t="str">
        <f t="shared" si="12"/>
        <v/>
      </c>
      <c r="F437" s="8" t="str">
        <f>IF(A437="","",IF('Statements (Raw)'!E435="","",'Statements (Raw)'!E435))</f>
        <v/>
      </c>
      <c r="G437" s="6" t="str">
        <f>IF(A437="","",IF('Statements (Raw)'!F435="","",'Statements (Raw)'!F435))</f>
        <v/>
      </c>
      <c r="H437" s="9" t="str">
        <f>IF(A437="","",IF('Statements (Raw)'!G435="","",'Statements (Raw)'!G435))</f>
        <v/>
      </c>
      <c r="I437" s="10" t="str">
        <f>IF(A437="","",IF('Statements (Raw)'!H435="","",'Statements (Raw)'!H435))</f>
        <v/>
      </c>
      <c r="J437" s="10">
        <f>IF(A437="",0,IF('Statements (Raw)'!I435="",0,'Statements (Raw)'!I435))</f>
        <v>0</v>
      </c>
      <c r="K437" s="10" t="str">
        <f t="shared" si="13"/>
        <v/>
      </c>
    </row>
    <row r="438" spans="1:11" x14ac:dyDescent="0.3">
      <c r="A438" s="171" t="str">
        <f>IF(OR('Statements (Raw)'!A436="",'Statements (Raw)'!A436&gt;Holdings!$G$3),"",'Statements (Raw)'!A436)</f>
        <v/>
      </c>
      <c r="B438" s="7" t="str">
        <f>IF(A438="","",IF('Statements (Raw)'!B436="","",'Statements (Raw)'!B436))</f>
        <v/>
      </c>
      <c r="C438" s="6" t="str">
        <f>IF(A438="","",IF('Statements (Raw)'!C436&lt;&gt;"",'Statements (Raw)'!C436,IF(ISNUMBER(SEARCH("Conferimento",'Statements (Raw)'!D436)),"CASH DEPOSIT",IF(ISNUMBER(SEARCH("Prelievo",'Statements (Raw)'!D436)),"CASH WITHDRAWAL",IF(ISNUMBER(SEARCH("Bollo",'Statements (Raw)'!D436)),"STAMP DUTY",IF(ISNUMBER(SEARCH("Tobin Tax",'Statements (Raw)'!D436)),"TOBIN TAX",IF(ISNUMBER(SEARCH("Rit.provento",'Statements (Raw)'!D436)),"WITHHOLDING TAX",IF(ISNUMBER(SEARCH("Incasso Dividendi",'Statements (Raw)'!D436)),"DIVIDEND",IF(ISNUMBER(SEARCH("Cedola",'Statements (Raw)'!D436)),"COUPON",IF(ISNUMBER(SEARCH("Ratei Pass",'Statements (Raw)'!D436)),"ACCRUED INT",IF(ISNUMBER(SEARCH("Interessi Prest",'Statements (Raw)'!D436)),"SEC LENDING",IF(ISNUMBER(SEARCH("Rimborso",'Statements (Raw)'!D436)),"REDEMPTION",IF(ISNUMBER(SEARCH("Provento",'Statements (Raw)'!D436)),"DISTRIBUTION","OTHER")))))))))))))</f>
        <v/>
      </c>
      <c r="D438" s="6" t="str">
        <f>IF(A438="","",IF(C438="Saldo Iniziale","Balance",IF(C438="CASH DEPOSIT","Deposit",IF(C438="CASH WITHDRAWAL","Withdrawal",IF(C438="STAMP DUTY","Tax",IF(C438="TOBIN TAX","Tax",IF(C438="WITHHOLDING TAX","Tax",IF(C438="DIVIDEND","Dividend",IF(C438="COUPON","Coupon",IF(C438="ACCRUED INT","Accrued Int.",IF(C438="SEC LENDING","Sec. Lending",IF(C438="REDEMPTION","Redemption",IF(C438="DISTRIBUTION","Distribution",IF(ISNUMBER(SEARCH("Rimborso",'Statements (Raw)'!D436)),"Redemption",IF(ISNUMBER(SEARCH("Cedola",'Statements (Raw)'!D436)),"Coupon",IF(ISNUMBER(SEARCH("Incasso Dividendi",'Statements (Raw)'!D436)),"Dividend",IF(ISNUMBER(SEARCH("Provento Etf",'Statements (Raw)'!D436)),"Distribution",IF(ISNUMBER(SEARCH("Rit.provento",'Statements (Raw)'!D436)),"Tax",IF(ISNUMBER(SEARCH("Ratei Pass",'Statements (Raw)'!D436)),"Accrued Int.",IF(ISNUMBER(SEARCH("Interessi Prest",'Statements (Raw)'!D436)),"Sec. Lending",IF('Statements (Raw)'!G436="","Other",IF('Statements (Raw)'!G436&gt;0,"Buy","Sell"))))))))))))))))))))))</f>
        <v/>
      </c>
      <c r="E438" s="6" t="str">
        <f t="shared" si="12"/>
        <v/>
      </c>
      <c r="F438" s="8" t="str">
        <f>IF(A438="","",IF('Statements (Raw)'!E436="","",'Statements (Raw)'!E436))</f>
        <v/>
      </c>
      <c r="G438" s="6" t="str">
        <f>IF(A438="","",IF('Statements (Raw)'!F436="","",'Statements (Raw)'!F436))</f>
        <v/>
      </c>
      <c r="H438" s="9" t="str">
        <f>IF(A438="","",IF('Statements (Raw)'!G436="","",'Statements (Raw)'!G436))</f>
        <v/>
      </c>
      <c r="I438" s="10" t="str">
        <f>IF(A438="","",IF('Statements (Raw)'!H436="","",'Statements (Raw)'!H436))</f>
        <v/>
      </c>
      <c r="J438" s="10">
        <f>IF(A438="",0,IF('Statements (Raw)'!I436="",0,'Statements (Raw)'!I436))</f>
        <v>0</v>
      </c>
      <c r="K438" s="10" t="str">
        <f t="shared" si="13"/>
        <v/>
      </c>
    </row>
    <row r="439" spans="1:11" x14ac:dyDescent="0.3">
      <c r="A439" s="171" t="str">
        <f>IF(OR('Statements (Raw)'!A437="",'Statements (Raw)'!A437&gt;Holdings!$G$3),"",'Statements (Raw)'!A437)</f>
        <v/>
      </c>
      <c r="B439" s="7" t="str">
        <f>IF(A439="","",IF('Statements (Raw)'!B437="","",'Statements (Raw)'!B437))</f>
        <v/>
      </c>
      <c r="C439" s="6" t="str">
        <f>IF(A439="","",IF('Statements (Raw)'!C437&lt;&gt;"",'Statements (Raw)'!C437,IF(ISNUMBER(SEARCH("Conferimento",'Statements (Raw)'!D437)),"CASH DEPOSIT",IF(ISNUMBER(SEARCH("Prelievo",'Statements (Raw)'!D437)),"CASH WITHDRAWAL",IF(ISNUMBER(SEARCH("Bollo",'Statements (Raw)'!D437)),"STAMP DUTY",IF(ISNUMBER(SEARCH("Tobin Tax",'Statements (Raw)'!D437)),"TOBIN TAX",IF(ISNUMBER(SEARCH("Rit.provento",'Statements (Raw)'!D437)),"WITHHOLDING TAX",IF(ISNUMBER(SEARCH("Incasso Dividendi",'Statements (Raw)'!D437)),"DIVIDEND",IF(ISNUMBER(SEARCH("Cedola",'Statements (Raw)'!D437)),"COUPON",IF(ISNUMBER(SEARCH("Ratei Pass",'Statements (Raw)'!D437)),"ACCRUED INT",IF(ISNUMBER(SEARCH("Interessi Prest",'Statements (Raw)'!D437)),"SEC LENDING",IF(ISNUMBER(SEARCH("Rimborso",'Statements (Raw)'!D437)),"REDEMPTION",IF(ISNUMBER(SEARCH("Provento",'Statements (Raw)'!D437)),"DISTRIBUTION","OTHER")))))))))))))</f>
        <v/>
      </c>
      <c r="D439" s="6" t="str">
        <f>IF(A439="","",IF(C439="Saldo Iniziale","Balance",IF(C439="CASH DEPOSIT","Deposit",IF(C439="CASH WITHDRAWAL","Withdrawal",IF(C439="STAMP DUTY","Tax",IF(C439="TOBIN TAX","Tax",IF(C439="WITHHOLDING TAX","Tax",IF(C439="DIVIDEND","Dividend",IF(C439="COUPON","Coupon",IF(C439="ACCRUED INT","Accrued Int.",IF(C439="SEC LENDING","Sec. Lending",IF(C439="REDEMPTION","Redemption",IF(C439="DISTRIBUTION","Distribution",IF(ISNUMBER(SEARCH("Rimborso",'Statements (Raw)'!D437)),"Redemption",IF(ISNUMBER(SEARCH("Cedola",'Statements (Raw)'!D437)),"Coupon",IF(ISNUMBER(SEARCH("Incasso Dividendi",'Statements (Raw)'!D437)),"Dividend",IF(ISNUMBER(SEARCH("Provento Etf",'Statements (Raw)'!D437)),"Distribution",IF(ISNUMBER(SEARCH("Rit.provento",'Statements (Raw)'!D437)),"Tax",IF(ISNUMBER(SEARCH("Ratei Pass",'Statements (Raw)'!D437)),"Accrued Int.",IF(ISNUMBER(SEARCH("Interessi Prest",'Statements (Raw)'!D437)),"Sec. Lending",IF('Statements (Raw)'!G437="","Other",IF('Statements (Raw)'!G437&gt;0,"Buy","Sell"))))))))))))))))))))))</f>
        <v/>
      </c>
      <c r="E439" s="6" t="str">
        <f t="shared" si="12"/>
        <v/>
      </c>
      <c r="F439" s="8" t="str">
        <f>IF(A439="","",IF('Statements (Raw)'!E437="","",'Statements (Raw)'!E437))</f>
        <v/>
      </c>
      <c r="G439" s="6" t="str">
        <f>IF(A439="","",IF('Statements (Raw)'!F437="","",'Statements (Raw)'!F437))</f>
        <v/>
      </c>
      <c r="H439" s="9" t="str">
        <f>IF(A439="","",IF('Statements (Raw)'!G437="","",'Statements (Raw)'!G437))</f>
        <v/>
      </c>
      <c r="I439" s="10" t="str">
        <f>IF(A439="","",IF('Statements (Raw)'!H437="","",'Statements (Raw)'!H437))</f>
        <v/>
      </c>
      <c r="J439" s="10">
        <f>IF(A439="",0,IF('Statements (Raw)'!I437="",0,'Statements (Raw)'!I437))</f>
        <v>0</v>
      </c>
      <c r="K439" s="10" t="str">
        <f t="shared" si="13"/>
        <v/>
      </c>
    </row>
    <row r="440" spans="1:11" x14ac:dyDescent="0.3">
      <c r="A440" s="171" t="str">
        <f>IF(OR('Statements (Raw)'!A438="",'Statements (Raw)'!A438&gt;Holdings!$G$3),"",'Statements (Raw)'!A438)</f>
        <v/>
      </c>
      <c r="B440" s="7" t="str">
        <f>IF(A440="","",IF('Statements (Raw)'!B438="","",'Statements (Raw)'!B438))</f>
        <v/>
      </c>
      <c r="C440" s="6" t="str">
        <f>IF(A440="","",IF('Statements (Raw)'!C438&lt;&gt;"",'Statements (Raw)'!C438,IF(ISNUMBER(SEARCH("Conferimento",'Statements (Raw)'!D438)),"CASH DEPOSIT",IF(ISNUMBER(SEARCH("Prelievo",'Statements (Raw)'!D438)),"CASH WITHDRAWAL",IF(ISNUMBER(SEARCH("Bollo",'Statements (Raw)'!D438)),"STAMP DUTY",IF(ISNUMBER(SEARCH("Tobin Tax",'Statements (Raw)'!D438)),"TOBIN TAX",IF(ISNUMBER(SEARCH("Rit.provento",'Statements (Raw)'!D438)),"WITHHOLDING TAX",IF(ISNUMBER(SEARCH("Incasso Dividendi",'Statements (Raw)'!D438)),"DIVIDEND",IF(ISNUMBER(SEARCH("Cedola",'Statements (Raw)'!D438)),"COUPON",IF(ISNUMBER(SEARCH("Ratei Pass",'Statements (Raw)'!D438)),"ACCRUED INT",IF(ISNUMBER(SEARCH("Interessi Prest",'Statements (Raw)'!D438)),"SEC LENDING",IF(ISNUMBER(SEARCH("Rimborso",'Statements (Raw)'!D438)),"REDEMPTION",IF(ISNUMBER(SEARCH("Provento",'Statements (Raw)'!D438)),"DISTRIBUTION","OTHER")))))))))))))</f>
        <v/>
      </c>
      <c r="D440" s="6" t="str">
        <f>IF(A440="","",IF(C440="Saldo Iniziale","Balance",IF(C440="CASH DEPOSIT","Deposit",IF(C440="CASH WITHDRAWAL","Withdrawal",IF(C440="STAMP DUTY","Tax",IF(C440="TOBIN TAX","Tax",IF(C440="WITHHOLDING TAX","Tax",IF(C440="DIVIDEND","Dividend",IF(C440="COUPON","Coupon",IF(C440="ACCRUED INT","Accrued Int.",IF(C440="SEC LENDING","Sec. Lending",IF(C440="REDEMPTION","Redemption",IF(C440="DISTRIBUTION","Distribution",IF(ISNUMBER(SEARCH("Rimborso",'Statements (Raw)'!D438)),"Redemption",IF(ISNUMBER(SEARCH("Cedola",'Statements (Raw)'!D438)),"Coupon",IF(ISNUMBER(SEARCH("Incasso Dividendi",'Statements (Raw)'!D438)),"Dividend",IF(ISNUMBER(SEARCH("Provento Etf",'Statements (Raw)'!D438)),"Distribution",IF(ISNUMBER(SEARCH("Rit.provento",'Statements (Raw)'!D438)),"Tax",IF(ISNUMBER(SEARCH("Ratei Pass",'Statements (Raw)'!D438)),"Accrued Int.",IF(ISNUMBER(SEARCH("Interessi Prest",'Statements (Raw)'!D438)),"Sec. Lending",IF('Statements (Raw)'!G438="","Other",IF('Statements (Raw)'!G438&gt;0,"Buy","Sell"))))))))))))))))))))))</f>
        <v/>
      </c>
      <c r="E440" s="6" t="str">
        <f t="shared" si="12"/>
        <v/>
      </c>
      <c r="F440" s="8" t="str">
        <f>IF(A440="","",IF('Statements (Raw)'!E438="","",'Statements (Raw)'!E438))</f>
        <v/>
      </c>
      <c r="G440" s="6" t="str">
        <f>IF(A440="","",IF('Statements (Raw)'!F438="","",'Statements (Raw)'!F438))</f>
        <v/>
      </c>
      <c r="H440" s="9" t="str">
        <f>IF(A440="","",IF('Statements (Raw)'!G438="","",'Statements (Raw)'!G438))</f>
        <v/>
      </c>
      <c r="I440" s="10" t="str">
        <f>IF(A440="","",IF('Statements (Raw)'!H438="","",'Statements (Raw)'!H438))</f>
        <v/>
      </c>
      <c r="J440" s="10">
        <f>IF(A440="",0,IF('Statements (Raw)'!I438="",0,'Statements (Raw)'!I438))</f>
        <v>0</v>
      </c>
      <c r="K440" s="10" t="str">
        <f t="shared" si="13"/>
        <v/>
      </c>
    </row>
    <row r="441" spans="1:11" x14ac:dyDescent="0.3">
      <c r="A441" s="171" t="str">
        <f>IF(OR('Statements (Raw)'!A439="",'Statements (Raw)'!A439&gt;Holdings!$G$3),"",'Statements (Raw)'!A439)</f>
        <v/>
      </c>
      <c r="B441" s="7" t="str">
        <f>IF(A441="","",IF('Statements (Raw)'!B439="","",'Statements (Raw)'!B439))</f>
        <v/>
      </c>
      <c r="C441" s="6" t="str">
        <f>IF(A441="","",IF('Statements (Raw)'!C439&lt;&gt;"",'Statements (Raw)'!C439,IF(ISNUMBER(SEARCH("Conferimento",'Statements (Raw)'!D439)),"CASH DEPOSIT",IF(ISNUMBER(SEARCH("Prelievo",'Statements (Raw)'!D439)),"CASH WITHDRAWAL",IF(ISNUMBER(SEARCH("Bollo",'Statements (Raw)'!D439)),"STAMP DUTY",IF(ISNUMBER(SEARCH("Tobin Tax",'Statements (Raw)'!D439)),"TOBIN TAX",IF(ISNUMBER(SEARCH("Rit.provento",'Statements (Raw)'!D439)),"WITHHOLDING TAX",IF(ISNUMBER(SEARCH("Incasso Dividendi",'Statements (Raw)'!D439)),"DIVIDEND",IF(ISNUMBER(SEARCH("Cedola",'Statements (Raw)'!D439)),"COUPON",IF(ISNUMBER(SEARCH("Ratei Pass",'Statements (Raw)'!D439)),"ACCRUED INT",IF(ISNUMBER(SEARCH("Interessi Prest",'Statements (Raw)'!D439)),"SEC LENDING",IF(ISNUMBER(SEARCH("Rimborso",'Statements (Raw)'!D439)),"REDEMPTION",IF(ISNUMBER(SEARCH("Provento",'Statements (Raw)'!D439)),"DISTRIBUTION","OTHER")))))))))))))</f>
        <v/>
      </c>
      <c r="D441" s="6" t="str">
        <f>IF(A441="","",IF(C441="Saldo Iniziale","Balance",IF(C441="CASH DEPOSIT","Deposit",IF(C441="CASH WITHDRAWAL","Withdrawal",IF(C441="STAMP DUTY","Tax",IF(C441="TOBIN TAX","Tax",IF(C441="WITHHOLDING TAX","Tax",IF(C441="DIVIDEND","Dividend",IF(C441="COUPON","Coupon",IF(C441="ACCRUED INT","Accrued Int.",IF(C441="SEC LENDING","Sec. Lending",IF(C441="REDEMPTION","Redemption",IF(C441="DISTRIBUTION","Distribution",IF(ISNUMBER(SEARCH("Rimborso",'Statements (Raw)'!D439)),"Redemption",IF(ISNUMBER(SEARCH("Cedola",'Statements (Raw)'!D439)),"Coupon",IF(ISNUMBER(SEARCH("Incasso Dividendi",'Statements (Raw)'!D439)),"Dividend",IF(ISNUMBER(SEARCH("Provento Etf",'Statements (Raw)'!D439)),"Distribution",IF(ISNUMBER(SEARCH("Rit.provento",'Statements (Raw)'!D439)),"Tax",IF(ISNUMBER(SEARCH("Ratei Pass",'Statements (Raw)'!D439)),"Accrued Int.",IF(ISNUMBER(SEARCH("Interessi Prest",'Statements (Raw)'!D439)),"Sec. Lending",IF('Statements (Raw)'!G439="","Other",IF('Statements (Raw)'!G439&gt;0,"Buy","Sell"))))))))))))))))))))))</f>
        <v/>
      </c>
      <c r="E441" s="6" t="str">
        <f t="shared" si="12"/>
        <v/>
      </c>
      <c r="F441" s="8" t="str">
        <f>IF(A441="","",IF('Statements (Raw)'!E439="","",'Statements (Raw)'!E439))</f>
        <v/>
      </c>
      <c r="G441" s="6" t="str">
        <f>IF(A441="","",IF('Statements (Raw)'!F439="","",'Statements (Raw)'!F439))</f>
        <v/>
      </c>
      <c r="H441" s="9" t="str">
        <f>IF(A441="","",IF('Statements (Raw)'!G439="","",'Statements (Raw)'!G439))</f>
        <v/>
      </c>
      <c r="I441" s="10" t="str">
        <f>IF(A441="","",IF('Statements (Raw)'!H439="","",'Statements (Raw)'!H439))</f>
        <v/>
      </c>
      <c r="J441" s="10">
        <f>IF(A441="",0,IF('Statements (Raw)'!I439="",0,'Statements (Raw)'!I439))</f>
        <v>0</v>
      </c>
      <c r="K441" s="10" t="str">
        <f t="shared" si="13"/>
        <v/>
      </c>
    </row>
    <row r="442" spans="1:11" x14ac:dyDescent="0.3">
      <c r="A442" s="171" t="str">
        <f>IF(OR('Statements (Raw)'!A440="",'Statements (Raw)'!A440&gt;Holdings!$G$3),"",'Statements (Raw)'!A440)</f>
        <v/>
      </c>
      <c r="B442" s="7" t="str">
        <f>IF(A442="","",IF('Statements (Raw)'!B440="","",'Statements (Raw)'!B440))</f>
        <v/>
      </c>
      <c r="C442" s="6" t="str">
        <f>IF(A442="","",IF('Statements (Raw)'!C440&lt;&gt;"",'Statements (Raw)'!C440,IF(ISNUMBER(SEARCH("Conferimento",'Statements (Raw)'!D440)),"CASH DEPOSIT",IF(ISNUMBER(SEARCH("Prelievo",'Statements (Raw)'!D440)),"CASH WITHDRAWAL",IF(ISNUMBER(SEARCH("Bollo",'Statements (Raw)'!D440)),"STAMP DUTY",IF(ISNUMBER(SEARCH("Tobin Tax",'Statements (Raw)'!D440)),"TOBIN TAX",IF(ISNUMBER(SEARCH("Rit.provento",'Statements (Raw)'!D440)),"WITHHOLDING TAX",IF(ISNUMBER(SEARCH("Incasso Dividendi",'Statements (Raw)'!D440)),"DIVIDEND",IF(ISNUMBER(SEARCH("Cedola",'Statements (Raw)'!D440)),"COUPON",IF(ISNUMBER(SEARCH("Ratei Pass",'Statements (Raw)'!D440)),"ACCRUED INT",IF(ISNUMBER(SEARCH("Interessi Prest",'Statements (Raw)'!D440)),"SEC LENDING",IF(ISNUMBER(SEARCH("Rimborso",'Statements (Raw)'!D440)),"REDEMPTION",IF(ISNUMBER(SEARCH("Provento",'Statements (Raw)'!D440)),"DISTRIBUTION","OTHER")))))))))))))</f>
        <v/>
      </c>
      <c r="D442" s="6" t="str">
        <f>IF(A442="","",IF(C442="Saldo Iniziale","Balance",IF(C442="CASH DEPOSIT","Deposit",IF(C442="CASH WITHDRAWAL","Withdrawal",IF(C442="STAMP DUTY","Tax",IF(C442="TOBIN TAX","Tax",IF(C442="WITHHOLDING TAX","Tax",IF(C442="DIVIDEND","Dividend",IF(C442="COUPON","Coupon",IF(C442="ACCRUED INT","Accrued Int.",IF(C442="SEC LENDING","Sec. Lending",IF(C442="REDEMPTION","Redemption",IF(C442="DISTRIBUTION","Distribution",IF(ISNUMBER(SEARCH("Rimborso",'Statements (Raw)'!D440)),"Redemption",IF(ISNUMBER(SEARCH("Cedola",'Statements (Raw)'!D440)),"Coupon",IF(ISNUMBER(SEARCH("Incasso Dividendi",'Statements (Raw)'!D440)),"Dividend",IF(ISNUMBER(SEARCH("Provento Etf",'Statements (Raw)'!D440)),"Distribution",IF(ISNUMBER(SEARCH("Rit.provento",'Statements (Raw)'!D440)),"Tax",IF(ISNUMBER(SEARCH("Ratei Pass",'Statements (Raw)'!D440)),"Accrued Int.",IF(ISNUMBER(SEARCH("Interessi Prest",'Statements (Raw)'!D440)),"Sec. Lending",IF('Statements (Raw)'!G440="","Other",IF('Statements (Raw)'!G440&gt;0,"Buy","Sell"))))))))))))))))))))))</f>
        <v/>
      </c>
      <c r="E442" s="6" t="str">
        <f t="shared" si="12"/>
        <v/>
      </c>
      <c r="F442" s="8" t="str">
        <f>IF(A442="","",IF('Statements (Raw)'!E440="","",'Statements (Raw)'!E440))</f>
        <v/>
      </c>
      <c r="G442" s="6" t="str">
        <f>IF(A442="","",IF('Statements (Raw)'!F440="","",'Statements (Raw)'!F440))</f>
        <v/>
      </c>
      <c r="H442" s="9" t="str">
        <f>IF(A442="","",IF('Statements (Raw)'!G440="","",'Statements (Raw)'!G440))</f>
        <v/>
      </c>
      <c r="I442" s="10" t="str">
        <f>IF(A442="","",IF('Statements (Raw)'!H440="","",'Statements (Raw)'!H440))</f>
        <v/>
      </c>
      <c r="J442" s="10">
        <f>IF(A442="",0,IF('Statements (Raw)'!I440="",0,'Statements (Raw)'!I440))</f>
        <v>0</v>
      </c>
      <c r="K442" s="10" t="str">
        <f t="shared" si="13"/>
        <v/>
      </c>
    </row>
    <row r="443" spans="1:11" x14ac:dyDescent="0.3">
      <c r="A443" s="171" t="str">
        <f>IF(OR('Statements (Raw)'!A441="",'Statements (Raw)'!A441&gt;Holdings!$G$3),"",'Statements (Raw)'!A441)</f>
        <v/>
      </c>
      <c r="B443" s="7" t="str">
        <f>IF(A443="","",IF('Statements (Raw)'!B441="","",'Statements (Raw)'!B441))</f>
        <v/>
      </c>
      <c r="C443" s="6" t="str">
        <f>IF(A443="","",IF('Statements (Raw)'!C441&lt;&gt;"",'Statements (Raw)'!C441,IF(ISNUMBER(SEARCH("Conferimento",'Statements (Raw)'!D441)),"CASH DEPOSIT",IF(ISNUMBER(SEARCH("Prelievo",'Statements (Raw)'!D441)),"CASH WITHDRAWAL",IF(ISNUMBER(SEARCH("Bollo",'Statements (Raw)'!D441)),"STAMP DUTY",IF(ISNUMBER(SEARCH("Tobin Tax",'Statements (Raw)'!D441)),"TOBIN TAX",IF(ISNUMBER(SEARCH("Rit.provento",'Statements (Raw)'!D441)),"WITHHOLDING TAX",IF(ISNUMBER(SEARCH("Incasso Dividendi",'Statements (Raw)'!D441)),"DIVIDEND",IF(ISNUMBER(SEARCH("Cedola",'Statements (Raw)'!D441)),"COUPON",IF(ISNUMBER(SEARCH("Ratei Pass",'Statements (Raw)'!D441)),"ACCRUED INT",IF(ISNUMBER(SEARCH("Interessi Prest",'Statements (Raw)'!D441)),"SEC LENDING",IF(ISNUMBER(SEARCH("Rimborso",'Statements (Raw)'!D441)),"REDEMPTION",IF(ISNUMBER(SEARCH("Provento",'Statements (Raw)'!D441)),"DISTRIBUTION","OTHER")))))))))))))</f>
        <v/>
      </c>
      <c r="D443" s="6" t="str">
        <f>IF(A443="","",IF(C443="Saldo Iniziale","Balance",IF(C443="CASH DEPOSIT","Deposit",IF(C443="CASH WITHDRAWAL","Withdrawal",IF(C443="STAMP DUTY","Tax",IF(C443="TOBIN TAX","Tax",IF(C443="WITHHOLDING TAX","Tax",IF(C443="DIVIDEND","Dividend",IF(C443="COUPON","Coupon",IF(C443="ACCRUED INT","Accrued Int.",IF(C443="SEC LENDING","Sec. Lending",IF(C443="REDEMPTION","Redemption",IF(C443="DISTRIBUTION","Distribution",IF(ISNUMBER(SEARCH("Rimborso",'Statements (Raw)'!D441)),"Redemption",IF(ISNUMBER(SEARCH("Cedola",'Statements (Raw)'!D441)),"Coupon",IF(ISNUMBER(SEARCH("Incasso Dividendi",'Statements (Raw)'!D441)),"Dividend",IF(ISNUMBER(SEARCH("Provento Etf",'Statements (Raw)'!D441)),"Distribution",IF(ISNUMBER(SEARCH("Rit.provento",'Statements (Raw)'!D441)),"Tax",IF(ISNUMBER(SEARCH("Ratei Pass",'Statements (Raw)'!D441)),"Accrued Int.",IF(ISNUMBER(SEARCH("Interessi Prest",'Statements (Raw)'!D441)),"Sec. Lending",IF('Statements (Raw)'!G441="","Other",IF('Statements (Raw)'!G441&gt;0,"Buy","Sell"))))))))))))))))))))))</f>
        <v/>
      </c>
      <c r="E443" s="6" t="str">
        <f t="shared" si="12"/>
        <v/>
      </c>
      <c r="F443" s="8" t="str">
        <f>IF(A443="","",IF('Statements (Raw)'!E441="","",'Statements (Raw)'!E441))</f>
        <v/>
      </c>
      <c r="G443" s="6" t="str">
        <f>IF(A443="","",IF('Statements (Raw)'!F441="","",'Statements (Raw)'!F441))</f>
        <v/>
      </c>
      <c r="H443" s="9" t="str">
        <f>IF(A443="","",IF('Statements (Raw)'!G441="","",'Statements (Raw)'!G441))</f>
        <v/>
      </c>
      <c r="I443" s="10" t="str">
        <f>IF(A443="","",IF('Statements (Raw)'!H441="","",'Statements (Raw)'!H441))</f>
        <v/>
      </c>
      <c r="J443" s="10">
        <f>IF(A443="",0,IF('Statements (Raw)'!I441="",0,'Statements (Raw)'!I441))</f>
        <v>0</v>
      </c>
      <c r="K443" s="10" t="str">
        <f t="shared" si="13"/>
        <v/>
      </c>
    </row>
    <row r="444" spans="1:11" x14ac:dyDescent="0.3">
      <c r="A444" s="171" t="str">
        <f>IF(OR('Statements (Raw)'!A442="",'Statements (Raw)'!A442&gt;Holdings!$G$3),"",'Statements (Raw)'!A442)</f>
        <v/>
      </c>
      <c r="B444" s="7" t="str">
        <f>IF(A444="","",IF('Statements (Raw)'!B442="","",'Statements (Raw)'!B442))</f>
        <v/>
      </c>
      <c r="C444" s="6" t="str">
        <f>IF(A444="","",IF('Statements (Raw)'!C442&lt;&gt;"",'Statements (Raw)'!C442,IF(ISNUMBER(SEARCH("Conferimento",'Statements (Raw)'!D442)),"CASH DEPOSIT",IF(ISNUMBER(SEARCH("Prelievo",'Statements (Raw)'!D442)),"CASH WITHDRAWAL",IF(ISNUMBER(SEARCH("Bollo",'Statements (Raw)'!D442)),"STAMP DUTY",IF(ISNUMBER(SEARCH("Tobin Tax",'Statements (Raw)'!D442)),"TOBIN TAX",IF(ISNUMBER(SEARCH("Rit.provento",'Statements (Raw)'!D442)),"WITHHOLDING TAX",IF(ISNUMBER(SEARCH("Incasso Dividendi",'Statements (Raw)'!D442)),"DIVIDEND",IF(ISNUMBER(SEARCH("Cedola",'Statements (Raw)'!D442)),"COUPON",IF(ISNUMBER(SEARCH("Ratei Pass",'Statements (Raw)'!D442)),"ACCRUED INT",IF(ISNUMBER(SEARCH("Interessi Prest",'Statements (Raw)'!D442)),"SEC LENDING",IF(ISNUMBER(SEARCH("Rimborso",'Statements (Raw)'!D442)),"REDEMPTION",IF(ISNUMBER(SEARCH("Provento",'Statements (Raw)'!D442)),"DISTRIBUTION","OTHER")))))))))))))</f>
        <v/>
      </c>
      <c r="D444" s="6" t="str">
        <f>IF(A444="","",IF(C444="Saldo Iniziale","Balance",IF(C444="CASH DEPOSIT","Deposit",IF(C444="CASH WITHDRAWAL","Withdrawal",IF(C444="STAMP DUTY","Tax",IF(C444="TOBIN TAX","Tax",IF(C444="WITHHOLDING TAX","Tax",IF(C444="DIVIDEND","Dividend",IF(C444="COUPON","Coupon",IF(C444="ACCRUED INT","Accrued Int.",IF(C444="SEC LENDING","Sec. Lending",IF(C444="REDEMPTION","Redemption",IF(C444="DISTRIBUTION","Distribution",IF(ISNUMBER(SEARCH("Rimborso",'Statements (Raw)'!D442)),"Redemption",IF(ISNUMBER(SEARCH("Cedola",'Statements (Raw)'!D442)),"Coupon",IF(ISNUMBER(SEARCH("Incasso Dividendi",'Statements (Raw)'!D442)),"Dividend",IF(ISNUMBER(SEARCH("Provento Etf",'Statements (Raw)'!D442)),"Distribution",IF(ISNUMBER(SEARCH("Rit.provento",'Statements (Raw)'!D442)),"Tax",IF(ISNUMBER(SEARCH("Ratei Pass",'Statements (Raw)'!D442)),"Accrued Int.",IF(ISNUMBER(SEARCH("Interessi Prest",'Statements (Raw)'!D442)),"Sec. Lending",IF('Statements (Raw)'!G442="","Other",IF('Statements (Raw)'!G442&gt;0,"Buy","Sell"))))))))))))))))))))))</f>
        <v/>
      </c>
      <c r="E444" s="6" t="str">
        <f t="shared" si="12"/>
        <v/>
      </c>
      <c r="F444" s="8" t="str">
        <f>IF(A444="","",IF('Statements (Raw)'!E442="","",'Statements (Raw)'!E442))</f>
        <v/>
      </c>
      <c r="G444" s="6" t="str">
        <f>IF(A444="","",IF('Statements (Raw)'!F442="","",'Statements (Raw)'!F442))</f>
        <v/>
      </c>
      <c r="H444" s="9" t="str">
        <f>IF(A444="","",IF('Statements (Raw)'!G442="","",'Statements (Raw)'!G442))</f>
        <v/>
      </c>
      <c r="I444" s="10" t="str">
        <f>IF(A444="","",IF('Statements (Raw)'!H442="","",'Statements (Raw)'!H442))</f>
        <v/>
      </c>
      <c r="J444" s="10">
        <f>IF(A444="",0,IF('Statements (Raw)'!I442="",0,'Statements (Raw)'!I442))</f>
        <v>0</v>
      </c>
      <c r="K444" s="10" t="str">
        <f t="shared" si="13"/>
        <v/>
      </c>
    </row>
    <row r="445" spans="1:11" x14ac:dyDescent="0.3">
      <c r="A445" s="171" t="str">
        <f>IF(OR('Statements (Raw)'!A443="",'Statements (Raw)'!A443&gt;Holdings!$G$3),"",'Statements (Raw)'!A443)</f>
        <v/>
      </c>
      <c r="B445" s="7" t="str">
        <f>IF(A445="","",IF('Statements (Raw)'!B443="","",'Statements (Raw)'!B443))</f>
        <v/>
      </c>
      <c r="C445" s="6" t="str">
        <f>IF(A445="","",IF('Statements (Raw)'!C443&lt;&gt;"",'Statements (Raw)'!C443,IF(ISNUMBER(SEARCH("Conferimento",'Statements (Raw)'!D443)),"CASH DEPOSIT",IF(ISNUMBER(SEARCH("Prelievo",'Statements (Raw)'!D443)),"CASH WITHDRAWAL",IF(ISNUMBER(SEARCH("Bollo",'Statements (Raw)'!D443)),"STAMP DUTY",IF(ISNUMBER(SEARCH("Tobin Tax",'Statements (Raw)'!D443)),"TOBIN TAX",IF(ISNUMBER(SEARCH("Rit.provento",'Statements (Raw)'!D443)),"WITHHOLDING TAX",IF(ISNUMBER(SEARCH("Incasso Dividendi",'Statements (Raw)'!D443)),"DIVIDEND",IF(ISNUMBER(SEARCH("Cedola",'Statements (Raw)'!D443)),"COUPON",IF(ISNUMBER(SEARCH("Ratei Pass",'Statements (Raw)'!D443)),"ACCRUED INT",IF(ISNUMBER(SEARCH("Interessi Prest",'Statements (Raw)'!D443)),"SEC LENDING",IF(ISNUMBER(SEARCH("Rimborso",'Statements (Raw)'!D443)),"REDEMPTION",IF(ISNUMBER(SEARCH("Provento",'Statements (Raw)'!D443)),"DISTRIBUTION","OTHER")))))))))))))</f>
        <v/>
      </c>
      <c r="D445" s="6" t="str">
        <f>IF(A445="","",IF(C445="Saldo Iniziale","Balance",IF(C445="CASH DEPOSIT","Deposit",IF(C445="CASH WITHDRAWAL","Withdrawal",IF(C445="STAMP DUTY","Tax",IF(C445="TOBIN TAX","Tax",IF(C445="WITHHOLDING TAX","Tax",IF(C445="DIVIDEND","Dividend",IF(C445="COUPON","Coupon",IF(C445="ACCRUED INT","Accrued Int.",IF(C445="SEC LENDING","Sec. Lending",IF(C445="REDEMPTION","Redemption",IF(C445="DISTRIBUTION","Distribution",IF(ISNUMBER(SEARCH("Rimborso",'Statements (Raw)'!D443)),"Redemption",IF(ISNUMBER(SEARCH("Cedola",'Statements (Raw)'!D443)),"Coupon",IF(ISNUMBER(SEARCH("Incasso Dividendi",'Statements (Raw)'!D443)),"Dividend",IF(ISNUMBER(SEARCH("Provento Etf",'Statements (Raw)'!D443)),"Distribution",IF(ISNUMBER(SEARCH("Rit.provento",'Statements (Raw)'!D443)),"Tax",IF(ISNUMBER(SEARCH("Ratei Pass",'Statements (Raw)'!D443)),"Accrued Int.",IF(ISNUMBER(SEARCH("Interessi Prest",'Statements (Raw)'!D443)),"Sec. Lending",IF('Statements (Raw)'!G443="","Other",IF('Statements (Raw)'!G443&gt;0,"Buy","Sell"))))))))))))))))))))))</f>
        <v/>
      </c>
      <c r="E445" s="6" t="str">
        <f t="shared" si="12"/>
        <v/>
      </c>
      <c r="F445" s="8" t="str">
        <f>IF(A445="","",IF('Statements (Raw)'!E443="","",'Statements (Raw)'!E443))</f>
        <v/>
      </c>
      <c r="G445" s="6" t="str">
        <f>IF(A445="","",IF('Statements (Raw)'!F443="","",'Statements (Raw)'!F443))</f>
        <v/>
      </c>
      <c r="H445" s="9" t="str">
        <f>IF(A445="","",IF('Statements (Raw)'!G443="","",'Statements (Raw)'!G443))</f>
        <v/>
      </c>
      <c r="I445" s="10" t="str">
        <f>IF(A445="","",IF('Statements (Raw)'!H443="","",'Statements (Raw)'!H443))</f>
        <v/>
      </c>
      <c r="J445" s="10">
        <f>IF(A445="",0,IF('Statements (Raw)'!I443="",0,'Statements (Raw)'!I443))</f>
        <v>0</v>
      </c>
      <c r="K445" s="10" t="str">
        <f t="shared" si="13"/>
        <v/>
      </c>
    </row>
    <row r="446" spans="1:11" x14ac:dyDescent="0.3">
      <c r="A446" s="171" t="str">
        <f>IF(OR('Statements (Raw)'!A444="",'Statements (Raw)'!A444&gt;Holdings!$G$3),"",'Statements (Raw)'!A444)</f>
        <v/>
      </c>
      <c r="B446" s="7" t="str">
        <f>IF(A446="","",IF('Statements (Raw)'!B444="","",'Statements (Raw)'!B444))</f>
        <v/>
      </c>
      <c r="C446" s="6" t="str">
        <f>IF(A446="","",IF('Statements (Raw)'!C444&lt;&gt;"",'Statements (Raw)'!C444,IF(ISNUMBER(SEARCH("Conferimento",'Statements (Raw)'!D444)),"CASH DEPOSIT",IF(ISNUMBER(SEARCH("Prelievo",'Statements (Raw)'!D444)),"CASH WITHDRAWAL",IF(ISNUMBER(SEARCH("Bollo",'Statements (Raw)'!D444)),"STAMP DUTY",IF(ISNUMBER(SEARCH("Tobin Tax",'Statements (Raw)'!D444)),"TOBIN TAX",IF(ISNUMBER(SEARCH("Rit.provento",'Statements (Raw)'!D444)),"WITHHOLDING TAX",IF(ISNUMBER(SEARCH("Incasso Dividendi",'Statements (Raw)'!D444)),"DIVIDEND",IF(ISNUMBER(SEARCH("Cedola",'Statements (Raw)'!D444)),"COUPON",IF(ISNUMBER(SEARCH("Ratei Pass",'Statements (Raw)'!D444)),"ACCRUED INT",IF(ISNUMBER(SEARCH("Interessi Prest",'Statements (Raw)'!D444)),"SEC LENDING",IF(ISNUMBER(SEARCH("Rimborso",'Statements (Raw)'!D444)),"REDEMPTION",IF(ISNUMBER(SEARCH("Provento",'Statements (Raw)'!D444)),"DISTRIBUTION","OTHER")))))))))))))</f>
        <v/>
      </c>
      <c r="D446" s="6" t="str">
        <f>IF(A446="","",IF(C446="Saldo Iniziale","Balance",IF(C446="CASH DEPOSIT","Deposit",IF(C446="CASH WITHDRAWAL","Withdrawal",IF(C446="STAMP DUTY","Tax",IF(C446="TOBIN TAX","Tax",IF(C446="WITHHOLDING TAX","Tax",IF(C446="DIVIDEND","Dividend",IF(C446="COUPON","Coupon",IF(C446="ACCRUED INT","Accrued Int.",IF(C446="SEC LENDING","Sec. Lending",IF(C446="REDEMPTION","Redemption",IF(C446="DISTRIBUTION","Distribution",IF(ISNUMBER(SEARCH("Rimborso",'Statements (Raw)'!D444)),"Redemption",IF(ISNUMBER(SEARCH("Cedola",'Statements (Raw)'!D444)),"Coupon",IF(ISNUMBER(SEARCH("Incasso Dividendi",'Statements (Raw)'!D444)),"Dividend",IF(ISNUMBER(SEARCH("Provento Etf",'Statements (Raw)'!D444)),"Distribution",IF(ISNUMBER(SEARCH("Rit.provento",'Statements (Raw)'!D444)),"Tax",IF(ISNUMBER(SEARCH("Ratei Pass",'Statements (Raw)'!D444)),"Accrued Int.",IF(ISNUMBER(SEARCH("Interessi Prest",'Statements (Raw)'!D444)),"Sec. Lending",IF('Statements (Raw)'!G444="","Other",IF('Statements (Raw)'!G444&gt;0,"Buy","Sell"))))))))))))))))))))))</f>
        <v/>
      </c>
      <c r="E446" s="6" t="str">
        <f t="shared" si="12"/>
        <v/>
      </c>
      <c r="F446" s="8" t="str">
        <f>IF(A446="","",IF('Statements (Raw)'!E444="","",'Statements (Raw)'!E444))</f>
        <v/>
      </c>
      <c r="G446" s="6" t="str">
        <f>IF(A446="","",IF('Statements (Raw)'!F444="","",'Statements (Raw)'!F444))</f>
        <v/>
      </c>
      <c r="H446" s="9" t="str">
        <f>IF(A446="","",IF('Statements (Raw)'!G444="","",'Statements (Raw)'!G444))</f>
        <v/>
      </c>
      <c r="I446" s="10" t="str">
        <f>IF(A446="","",IF('Statements (Raw)'!H444="","",'Statements (Raw)'!H444))</f>
        <v/>
      </c>
      <c r="J446" s="10">
        <f>IF(A446="",0,IF('Statements (Raw)'!I444="",0,'Statements (Raw)'!I444))</f>
        <v>0</v>
      </c>
      <c r="K446" s="10" t="str">
        <f t="shared" si="13"/>
        <v/>
      </c>
    </row>
    <row r="447" spans="1:11" x14ac:dyDescent="0.3">
      <c r="A447" s="171" t="str">
        <f>IF(OR('Statements (Raw)'!A445="",'Statements (Raw)'!A445&gt;Holdings!$G$3),"",'Statements (Raw)'!A445)</f>
        <v/>
      </c>
      <c r="B447" s="7" t="str">
        <f>IF(A447="","",IF('Statements (Raw)'!B445="","",'Statements (Raw)'!B445))</f>
        <v/>
      </c>
      <c r="C447" s="6" t="str">
        <f>IF(A447="","",IF('Statements (Raw)'!C445&lt;&gt;"",'Statements (Raw)'!C445,IF(ISNUMBER(SEARCH("Conferimento",'Statements (Raw)'!D445)),"CASH DEPOSIT",IF(ISNUMBER(SEARCH("Prelievo",'Statements (Raw)'!D445)),"CASH WITHDRAWAL",IF(ISNUMBER(SEARCH("Bollo",'Statements (Raw)'!D445)),"STAMP DUTY",IF(ISNUMBER(SEARCH("Tobin Tax",'Statements (Raw)'!D445)),"TOBIN TAX",IF(ISNUMBER(SEARCH("Rit.provento",'Statements (Raw)'!D445)),"WITHHOLDING TAX",IF(ISNUMBER(SEARCH("Incasso Dividendi",'Statements (Raw)'!D445)),"DIVIDEND",IF(ISNUMBER(SEARCH("Cedola",'Statements (Raw)'!D445)),"COUPON",IF(ISNUMBER(SEARCH("Ratei Pass",'Statements (Raw)'!D445)),"ACCRUED INT",IF(ISNUMBER(SEARCH("Interessi Prest",'Statements (Raw)'!D445)),"SEC LENDING",IF(ISNUMBER(SEARCH("Rimborso",'Statements (Raw)'!D445)),"REDEMPTION",IF(ISNUMBER(SEARCH("Provento",'Statements (Raw)'!D445)),"DISTRIBUTION","OTHER")))))))))))))</f>
        <v/>
      </c>
      <c r="D447" s="6" t="str">
        <f>IF(A447="","",IF(C447="Saldo Iniziale","Balance",IF(C447="CASH DEPOSIT","Deposit",IF(C447="CASH WITHDRAWAL","Withdrawal",IF(C447="STAMP DUTY","Tax",IF(C447="TOBIN TAX","Tax",IF(C447="WITHHOLDING TAX","Tax",IF(C447="DIVIDEND","Dividend",IF(C447="COUPON","Coupon",IF(C447="ACCRUED INT","Accrued Int.",IF(C447="SEC LENDING","Sec. Lending",IF(C447="REDEMPTION","Redemption",IF(C447="DISTRIBUTION","Distribution",IF(ISNUMBER(SEARCH("Rimborso",'Statements (Raw)'!D445)),"Redemption",IF(ISNUMBER(SEARCH("Cedola",'Statements (Raw)'!D445)),"Coupon",IF(ISNUMBER(SEARCH("Incasso Dividendi",'Statements (Raw)'!D445)),"Dividend",IF(ISNUMBER(SEARCH("Provento Etf",'Statements (Raw)'!D445)),"Distribution",IF(ISNUMBER(SEARCH("Rit.provento",'Statements (Raw)'!D445)),"Tax",IF(ISNUMBER(SEARCH("Ratei Pass",'Statements (Raw)'!D445)),"Accrued Int.",IF(ISNUMBER(SEARCH("Interessi Prest",'Statements (Raw)'!D445)),"Sec. Lending",IF('Statements (Raw)'!G445="","Other",IF('Statements (Raw)'!G445&gt;0,"Buy","Sell"))))))))))))))))))))))</f>
        <v/>
      </c>
      <c r="E447" s="6" t="str">
        <f t="shared" si="12"/>
        <v/>
      </c>
      <c r="F447" s="8" t="str">
        <f>IF(A447="","",IF('Statements (Raw)'!E445="","",'Statements (Raw)'!E445))</f>
        <v/>
      </c>
      <c r="G447" s="6" t="str">
        <f>IF(A447="","",IF('Statements (Raw)'!F445="","",'Statements (Raw)'!F445))</f>
        <v/>
      </c>
      <c r="H447" s="9" t="str">
        <f>IF(A447="","",IF('Statements (Raw)'!G445="","",'Statements (Raw)'!G445))</f>
        <v/>
      </c>
      <c r="I447" s="10" t="str">
        <f>IF(A447="","",IF('Statements (Raw)'!H445="","",'Statements (Raw)'!H445))</f>
        <v/>
      </c>
      <c r="J447" s="10">
        <f>IF(A447="",0,IF('Statements (Raw)'!I445="",0,'Statements (Raw)'!I445))</f>
        <v>0</v>
      </c>
      <c r="K447" s="10" t="str">
        <f t="shared" si="13"/>
        <v/>
      </c>
    </row>
    <row r="448" spans="1:11" x14ac:dyDescent="0.3">
      <c r="A448" s="171" t="str">
        <f>IF(OR('Statements (Raw)'!A446="",'Statements (Raw)'!A446&gt;Holdings!$G$3),"",'Statements (Raw)'!A446)</f>
        <v/>
      </c>
      <c r="B448" s="7" t="str">
        <f>IF(A448="","",IF('Statements (Raw)'!B446="","",'Statements (Raw)'!B446))</f>
        <v/>
      </c>
      <c r="C448" s="6" t="str">
        <f>IF(A448="","",IF('Statements (Raw)'!C446&lt;&gt;"",'Statements (Raw)'!C446,IF(ISNUMBER(SEARCH("Conferimento",'Statements (Raw)'!D446)),"CASH DEPOSIT",IF(ISNUMBER(SEARCH("Prelievo",'Statements (Raw)'!D446)),"CASH WITHDRAWAL",IF(ISNUMBER(SEARCH("Bollo",'Statements (Raw)'!D446)),"STAMP DUTY",IF(ISNUMBER(SEARCH("Tobin Tax",'Statements (Raw)'!D446)),"TOBIN TAX",IF(ISNUMBER(SEARCH("Rit.provento",'Statements (Raw)'!D446)),"WITHHOLDING TAX",IF(ISNUMBER(SEARCH("Incasso Dividendi",'Statements (Raw)'!D446)),"DIVIDEND",IF(ISNUMBER(SEARCH("Cedola",'Statements (Raw)'!D446)),"COUPON",IF(ISNUMBER(SEARCH("Ratei Pass",'Statements (Raw)'!D446)),"ACCRUED INT",IF(ISNUMBER(SEARCH("Interessi Prest",'Statements (Raw)'!D446)),"SEC LENDING",IF(ISNUMBER(SEARCH("Rimborso",'Statements (Raw)'!D446)),"REDEMPTION",IF(ISNUMBER(SEARCH("Provento",'Statements (Raw)'!D446)),"DISTRIBUTION","OTHER")))))))))))))</f>
        <v/>
      </c>
      <c r="D448" s="6" t="str">
        <f>IF(A448="","",IF(C448="Saldo Iniziale","Balance",IF(C448="CASH DEPOSIT","Deposit",IF(C448="CASH WITHDRAWAL","Withdrawal",IF(C448="STAMP DUTY","Tax",IF(C448="TOBIN TAX","Tax",IF(C448="WITHHOLDING TAX","Tax",IF(C448="DIVIDEND","Dividend",IF(C448="COUPON","Coupon",IF(C448="ACCRUED INT","Accrued Int.",IF(C448="SEC LENDING","Sec. Lending",IF(C448="REDEMPTION","Redemption",IF(C448="DISTRIBUTION","Distribution",IF(ISNUMBER(SEARCH("Rimborso",'Statements (Raw)'!D446)),"Redemption",IF(ISNUMBER(SEARCH("Cedola",'Statements (Raw)'!D446)),"Coupon",IF(ISNUMBER(SEARCH("Incasso Dividendi",'Statements (Raw)'!D446)),"Dividend",IF(ISNUMBER(SEARCH("Provento Etf",'Statements (Raw)'!D446)),"Distribution",IF(ISNUMBER(SEARCH("Rit.provento",'Statements (Raw)'!D446)),"Tax",IF(ISNUMBER(SEARCH("Ratei Pass",'Statements (Raw)'!D446)),"Accrued Int.",IF(ISNUMBER(SEARCH("Interessi Prest",'Statements (Raw)'!D446)),"Sec. Lending",IF('Statements (Raw)'!G446="","Other",IF('Statements (Raw)'!G446&gt;0,"Buy","Sell"))))))))))))))))))))))</f>
        <v/>
      </c>
      <c r="E448" s="6" t="str">
        <f t="shared" si="12"/>
        <v/>
      </c>
      <c r="F448" s="8" t="str">
        <f>IF(A448="","",IF('Statements (Raw)'!E446="","",'Statements (Raw)'!E446))</f>
        <v/>
      </c>
      <c r="G448" s="6" t="str">
        <f>IF(A448="","",IF('Statements (Raw)'!F446="","",'Statements (Raw)'!F446))</f>
        <v/>
      </c>
      <c r="H448" s="9" t="str">
        <f>IF(A448="","",IF('Statements (Raw)'!G446="","",'Statements (Raw)'!G446))</f>
        <v/>
      </c>
      <c r="I448" s="10" t="str">
        <f>IF(A448="","",IF('Statements (Raw)'!H446="","",'Statements (Raw)'!H446))</f>
        <v/>
      </c>
      <c r="J448" s="10">
        <f>IF(A448="",0,IF('Statements (Raw)'!I446="",0,'Statements (Raw)'!I446))</f>
        <v>0</v>
      </c>
      <c r="K448" s="10" t="str">
        <f t="shared" si="13"/>
        <v/>
      </c>
    </row>
    <row r="449" spans="1:11" x14ac:dyDescent="0.3">
      <c r="A449" s="171" t="str">
        <f>IF(OR('Statements (Raw)'!A447="",'Statements (Raw)'!A447&gt;Holdings!$G$3),"",'Statements (Raw)'!A447)</f>
        <v/>
      </c>
      <c r="B449" s="7" t="str">
        <f>IF(A449="","",IF('Statements (Raw)'!B447="","",'Statements (Raw)'!B447))</f>
        <v/>
      </c>
      <c r="C449" s="6" t="str">
        <f>IF(A449="","",IF('Statements (Raw)'!C447&lt;&gt;"",'Statements (Raw)'!C447,IF(ISNUMBER(SEARCH("Conferimento",'Statements (Raw)'!D447)),"CASH DEPOSIT",IF(ISNUMBER(SEARCH("Prelievo",'Statements (Raw)'!D447)),"CASH WITHDRAWAL",IF(ISNUMBER(SEARCH("Bollo",'Statements (Raw)'!D447)),"STAMP DUTY",IF(ISNUMBER(SEARCH("Tobin Tax",'Statements (Raw)'!D447)),"TOBIN TAX",IF(ISNUMBER(SEARCH("Rit.provento",'Statements (Raw)'!D447)),"WITHHOLDING TAX",IF(ISNUMBER(SEARCH("Incasso Dividendi",'Statements (Raw)'!D447)),"DIVIDEND",IF(ISNUMBER(SEARCH("Cedola",'Statements (Raw)'!D447)),"COUPON",IF(ISNUMBER(SEARCH("Ratei Pass",'Statements (Raw)'!D447)),"ACCRUED INT",IF(ISNUMBER(SEARCH("Interessi Prest",'Statements (Raw)'!D447)),"SEC LENDING",IF(ISNUMBER(SEARCH("Rimborso",'Statements (Raw)'!D447)),"REDEMPTION",IF(ISNUMBER(SEARCH("Provento",'Statements (Raw)'!D447)),"DISTRIBUTION","OTHER")))))))))))))</f>
        <v/>
      </c>
      <c r="D449" s="6" t="str">
        <f>IF(A449="","",IF(C449="Saldo Iniziale","Balance",IF(C449="CASH DEPOSIT","Deposit",IF(C449="CASH WITHDRAWAL","Withdrawal",IF(C449="STAMP DUTY","Tax",IF(C449="TOBIN TAX","Tax",IF(C449="WITHHOLDING TAX","Tax",IF(C449="DIVIDEND","Dividend",IF(C449="COUPON","Coupon",IF(C449="ACCRUED INT","Accrued Int.",IF(C449="SEC LENDING","Sec. Lending",IF(C449="REDEMPTION","Redemption",IF(C449="DISTRIBUTION","Distribution",IF(ISNUMBER(SEARCH("Rimborso",'Statements (Raw)'!D447)),"Redemption",IF(ISNUMBER(SEARCH("Cedola",'Statements (Raw)'!D447)),"Coupon",IF(ISNUMBER(SEARCH("Incasso Dividendi",'Statements (Raw)'!D447)),"Dividend",IF(ISNUMBER(SEARCH("Provento Etf",'Statements (Raw)'!D447)),"Distribution",IF(ISNUMBER(SEARCH("Rit.provento",'Statements (Raw)'!D447)),"Tax",IF(ISNUMBER(SEARCH("Ratei Pass",'Statements (Raw)'!D447)),"Accrued Int.",IF(ISNUMBER(SEARCH("Interessi Prest",'Statements (Raw)'!D447)),"Sec. Lending",IF('Statements (Raw)'!G447="","Other",IF('Statements (Raw)'!G447&gt;0,"Buy","Sell"))))))))))))))))))))))</f>
        <v/>
      </c>
      <c r="E449" s="6" t="str">
        <f t="shared" si="12"/>
        <v/>
      </c>
      <c r="F449" s="8" t="str">
        <f>IF(A449="","",IF('Statements (Raw)'!E447="","",'Statements (Raw)'!E447))</f>
        <v/>
      </c>
      <c r="G449" s="6" t="str">
        <f>IF(A449="","",IF('Statements (Raw)'!F447="","",'Statements (Raw)'!F447))</f>
        <v/>
      </c>
      <c r="H449" s="9" t="str">
        <f>IF(A449="","",IF('Statements (Raw)'!G447="","",'Statements (Raw)'!G447))</f>
        <v/>
      </c>
      <c r="I449" s="10" t="str">
        <f>IF(A449="","",IF('Statements (Raw)'!H447="","",'Statements (Raw)'!H447))</f>
        <v/>
      </c>
      <c r="J449" s="10">
        <f>IF(A449="",0,IF('Statements (Raw)'!I447="",0,'Statements (Raw)'!I447))</f>
        <v>0</v>
      </c>
      <c r="K449" s="10" t="str">
        <f t="shared" si="13"/>
        <v/>
      </c>
    </row>
    <row r="450" spans="1:11" x14ac:dyDescent="0.3">
      <c r="A450" s="171" t="str">
        <f>IF(OR('Statements (Raw)'!A448="",'Statements (Raw)'!A448&gt;Holdings!$G$3),"",'Statements (Raw)'!A448)</f>
        <v/>
      </c>
      <c r="B450" s="7" t="str">
        <f>IF(A450="","",IF('Statements (Raw)'!B448="","",'Statements (Raw)'!B448))</f>
        <v/>
      </c>
      <c r="C450" s="6" t="str">
        <f>IF(A450="","",IF('Statements (Raw)'!C448&lt;&gt;"",'Statements (Raw)'!C448,IF(ISNUMBER(SEARCH("Conferimento",'Statements (Raw)'!D448)),"CASH DEPOSIT",IF(ISNUMBER(SEARCH("Prelievo",'Statements (Raw)'!D448)),"CASH WITHDRAWAL",IF(ISNUMBER(SEARCH("Bollo",'Statements (Raw)'!D448)),"STAMP DUTY",IF(ISNUMBER(SEARCH("Tobin Tax",'Statements (Raw)'!D448)),"TOBIN TAX",IF(ISNUMBER(SEARCH("Rit.provento",'Statements (Raw)'!D448)),"WITHHOLDING TAX",IF(ISNUMBER(SEARCH("Incasso Dividendi",'Statements (Raw)'!D448)),"DIVIDEND",IF(ISNUMBER(SEARCH("Cedola",'Statements (Raw)'!D448)),"COUPON",IF(ISNUMBER(SEARCH("Ratei Pass",'Statements (Raw)'!D448)),"ACCRUED INT",IF(ISNUMBER(SEARCH("Interessi Prest",'Statements (Raw)'!D448)),"SEC LENDING",IF(ISNUMBER(SEARCH("Rimborso",'Statements (Raw)'!D448)),"REDEMPTION",IF(ISNUMBER(SEARCH("Provento",'Statements (Raw)'!D448)),"DISTRIBUTION","OTHER")))))))))))))</f>
        <v/>
      </c>
      <c r="D450" s="6" t="str">
        <f>IF(A450="","",IF(C450="Saldo Iniziale","Balance",IF(C450="CASH DEPOSIT","Deposit",IF(C450="CASH WITHDRAWAL","Withdrawal",IF(C450="STAMP DUTY","Tax",IF(C450="TOBIN TAX","Tax",IF(C450="WITHHOLDING TAX","Tax",IF(C450="DIVIDEND","Dividend",IF(C450="COUPON","Coupon",IF(C450="ACCRUED INT","Accrued Int.",IF(C450="SEC LENDING","Sec. Lending",IF(C450="REDEMPTION","Redemption",IF(C450="DISTRIBUTION","Distribution",IF(ISNUMBER(SEARCH("Rimborso",'Statements (Raw)'!D448)),"Redemption",IF(ISNUMBER(SEARCH("Cedola",'Statements (Raw)'!D448)),"Coupon",IF(ISNUMBER(SEARCH("Incasso Dividendi",'Statements (Raw)'!D448)),"Dividend",IF(ISNUMBER(SEARCH("Provento Etf",'Statements (Raw)'!D448)),"Distribution",IF(ISNUMBER(SEARCH("Rit.provento",'Statements (Raw)'!D448)),"Tax",IF(ISNUMBER(SEARCH("Ratei Pass",'Statements (Raw)'!D448)),"Accrued Int.",IF(ISNUMBER(SEARCH("Interessi Prest",'Statements (Raw)'!D448)),"Sec. Lending",IF('Statements (Raw)'!G448="","Other",IF('Statements (Raw)'!G448&gt;0,"Buy","Sell"))))))))))))))))))))))</f>
        <v/>
      </c>
      <c r="E450" s="6" t="str">
        <f t="shared" si="12"/>
        <v/>
      </c>
      <c r="F450" s="8" t="str">
        <f>IF(A450="","",IF('Statements (Raw)'!E448="","",'Statements (Raw)'!E448))</f>
        <v/>
      </c>
      <c r="G450" s="6" t="str">
        <f>IF(A450="","",IF('Statements (Raw)'!F448="","",'Statements (Raw)'!F448))</f>
        <v/>
      </c>
      <c r="H450" s="9" t="str">
        <f>IF(A450="","",IF('Statements (Raw)'!G448="","",'Statements (Raw)'!G448))</f>
        <v/>
      </c>
      <c r="I450" s="10" t="str">
        <f>IF(A450="","",IF('Statements (Raw)'!H448="","",'Statements (Raw)'!H448))</f>
        <v/>
      </c>
      <c r="J450" s="10">
        <f>IF(A450="",0,IF('Statements (Raw)'!I448="",0,'Statements (Raw)'!I448))</f>
        <v>0</v>
      </c>
      <c r="K450" s="10" t="str">
        <f t="shared" si="13"/>
        <v/>
      </c>
    </row>
    <row r="451" spans="1:11" x14ac:dyDescent="0.3">
      <c r="A451" s="171" t="str">
        <f>IF(OR('Statements (Raw)'!A449="",'Statements (Raw)'!A449&gt;Holdings!$G$3),"",'Statements (Raw)'!A449)</f>
        <v/>
      </c>
      <c r="B451" s="7" t="str">
        <f>IF(A451="","",IF('Statements (Raw)'!B449="","",'Statements (Raw)'!B449))</f>
        <v/>
      </c>
      <c r="C451" s="6" t="str">
        <f>IF(A451="","",IF('Statements (Raw)'!C449&lt;&gt;"",'Statements (Raw)'!C449,IF(ISNUMBER(SEARCH("Conferimento",'Statements (Raw)'!D449)),"CASH DEPOSIT",IF(ISNUMBER(SEARCH("Prelievo",'Statements (Raw)'!D449)),"CASH WITHDRAWAL",IF(ISNUMBER(SEARCH("Bollo",'Statements (Raw)'!D449)),"STAMP DUTY",IF(ISNUMBER(SEARCH("Tobin Tax",'Statements (Raw)'!D449)),"TOBIN TAX",IF(ISNUMBER(SEARCH("Rit.provento",'Statements (Raw)'!D449)),"WITHHOLDING TAX",IF(ISNUMBER(SEARCH("Incasso Dividendi",'Statements (Raw)'!D449)),"DIVIDEND",IF(ISNUMBER(SEARCH("Cedola",'Statements (Raw)'!D449)),"COUPON",IF(ISNUMBER(SEARCH("Ratei Pass",'Statements (Raw)'!D449)),"ACCRUED INT",IF(ISNUMBER(SEARCH("Interessi Prest",'Statements (Raw)'!D449)),"SEC LENDING",IF(ISNUMBER(SEARCH("Rimborso",'Statements (Raw)'!D449)),"REDEMPTION",IF(ISNUMBER(SEARCH("Provento",'Statements (Raw)'!D449)),"DISTRIBUTION","OTHER")))))))))))))</f>
        <v/>
      </c>
      <c r="D451" s="6" t="str">
        <f>IF(A451="","",IF(C451="Saldo Iniziale","Balance",IF(C451="CASH DEPOSIT","Deposit",IF(C451="CASH WITHDRAWAL","Withdrawal",IF(C451="STAMP DUTY","Tax",IF(C451="TOBIN TAX","Tax",IF(C451="WITHHOLDING TAX","Tax",IF(C451="DIVIDEND","Dividend",IF(C451="COUPON","Coupon",IF(C451="ACCRUED INT","Accrued Int.",IF(C451="SEC LENDING","Sec. Lending",IF(C451="REDEMPTION","Redemption",IF(C451="DISTRIBUTION","Distribution",IF(ISNUMBER(SEARCH("Rimborso",'Statements (Raw)'!D449)),"Redemption",IF(ISNUMBER(SEARCH("Cedola",'Statements (Raw)'!D449)),"Coupon",IF(ISNUMBER(SEARCH("Incasso Dividendi",'Statements (Raw)'!D449)),"Dividend",IF(ISNUMBER(SEARCH("Provento Etf",'Statements (Raw)'!D449)),"Distribution",IF(ISNUMBER(SEARCH("Rit.provento",'Statements (Raw)'!D449)),"Tax",IF(ISNUMBER(SEARCH("Ratei Pass",'Statements (Raw)'!D449)),"Accrued Int.",IF(ISNUMBER(SEARCH("Interessi Prest",'Statements (Raw)'!D449)),"Sec. Lending",IF('Statements (Raw)'!G449="","Other",IF('Statements (Raw)'!G449&gt;0,"Buy","Sell"))))))))))))))))))))))</f>
        <v/>
      </c>
      <c r="E451" s="6" t="str">
        <f t="shared" si="12"/>
        <v/>
      </c>
      <c r="F451" s="8" t="str">
        <f>IF(A451="","",IF('Statements (Raw)'!E449="","",'Statements (Raw)'!E449))</f>
        <v/>
      </c>
      <c r="G451" s="6" t="str">
        <f>IF(A451="","",IF('Statements (Raw)'!F449="","",'Statements (Raw)'!F449))</f>
        <v/>
      </c>
      <c r="H451" s="9" t="str">
        <f>IF(A451="","",IF('Statements (Raw)'!G449="","",'Statements (Raw)'!G449))</f>
        <v/>
      </c>
      <c r="I451" s="10" t="str">
        <f>IF(A451="","",IF('Statements (Raw)'!H449="","",'Statements (Raw)'!H449))</f>
        <v/>
      </c>
      <c r="J451" s="10">
        <f>IF(A451="",0,IF('Statements (Raw)'!I449="",0,'Statements (Raw)'!I449))</f>
        <v>0</v>
      </c>
      <c r="K451" s="10" t="str">
        <f t="shared" si="13"/>
        <v/>
      </c>
    </row>
    <row r="452" spans="1:11" x14ac:dyDescent="0.3">
      <c r="A452" s="171" t="str">
        <f>IF(OR('Statements (Raw)'!A450="",'Statements (Raw)'!A450&gt;Holdings!$G$3),"",'Statements (Raw)'!A450)</f>
        <v/>
      </c>
      <c r="B452" s="7" t="str">
        <f>IF(A452="","",IF('Statements (Raw)'!B450="","",'Statements (Raw)'!B450))</f>
        <v/>
      </c>
      <c r="C452" s="6" t="str">
        <f>IF(A452="","",IF('Statements (Raw)'!C450&lt;&gt;"",'Statements (Raw)'!C450,IF(ISNUMBER(SEARCH("Conferimento",'Statements (Raw)'!D450)),"CASH DEPOSIT",IF(ISNUMBER(SEARCH("Prelievo",'Statements (Raw)'!D450)),"CASH WITHDRAWAL",IF(ISNUMBER(SEARCH("Bollo",'Statements (Raw)'!D450)),"STAMP DUTY",IF(ISNUMBER(SEARCH("Tobin Tax",'Statements (Raw)'!D450)),"TOBIN TAX",IF(ISNUMBER(SEARCH("Rit.provento",'Statements (Raw)'!D450)),"WITHHOLDING TAX",IF(ISNUMBER(SEARCH("Incasso Dividendi",'Statements (Raw)'!D450)),"DIVIDEND",IF(ISNUMBER(SEARCH("Cedola",'Statements (Raw)'!D450)),"COUPON",IF(ISNUMBER(SEARCH("Ratei Pass",'Statements (Raw)'!D450)),"ACCRUED INT",IF(ISNUMBER(SEARCH("Interessi Prest",'Statements (Raw)'!D450)),"SEC LENDING",IF(ISNUMBER(SEARCH("Rimborso",'Statements (Raw)'!D450)),"REDEMPTION",IF(ISNUMBER(SEARCH("Provento",'Statements (Raw)'!D450)),"DISTRIBUTION","OTHER")))))))))))))</f>
        <v/>
      </c>
      <c r="D452" s="6" t="str">
        <f>IF(A452="","",IF(C452="Saldo Iniziale","Balance",IF(C452="CASH DEPOSIT","Deposit",IF(C452="CASH WITHDRAWAL","Withdrawal",IF(C452="STAMP DUTY","Tax",IF(C452="TOBIN TAX","Tax",IF(C452="WITHHOLDING TAX","Tax",IF(C452="DIVIDEND","Dividend",IF(C452="COUPON","Coupon",IF(C452="ACCRUED INT","Accrued Int.",IF(C452="SEC LENDING","Sec. Lending",IF(C452="REDEMPTION","Redemption",IF(C452="DISTRIBUTION","Distribution",IF(ISNUMBER(SEARCH("Rimborso",'Statements (Raw)'!D450)),"Redemption",IF(ISNUMBER(SEARCH("Cedola",'Statements (Raw)'!D450)),"Coupon",IF(ISNUMBER(SEARCH("Incasso Dividendi",'Statements (Raw)'!D450)),"Dividend",IF(ISNUMBER(SEARCH("Provento Etf",'Statements (Raw)'!D450)),"Distribution",IF(ISNUMBER(SEARCH("Rit.provento",'Statements (Raw)'!D450)),"Tax",IF(ISNUMBER(SEARCH("Ratei Pass",'Statements (Raw)'!D450)),"Accrued Int.",IF(ISNUMBER(SEARCH("Interessi Prest",'Statements (Raw)'!D450)),"Sec. Lending",IF('Statements (Raw)'!G450="","Other",IF('Statements (Raw)'!G450&gt;0,"Buy","Sell"))))))))))))))))))))))</f>
        <v/>
      </c>
      <c r="E452" s="6" t="str">
        <f t="shared" si="12"/>
        <v/>
      </c>
      <c r="F452" s="8" t="str">
        <f>IF(A452="","",IF('Statements (Raw)'!E450="","",'Statements (Raw)'!E450))</f>
        <v/>
      </c>
      <c r="G452" s="6" t="str">
        <f>IF(A452="","",IF('Statements (Raw)'!F450="","",'Statements (Raw)'!F450))</f>
        <v/>
      </c>
      <c r="H452" s="9" t="str">
        <f>IF(A452="","",IF('Statements (Raw)'!G450="","",'Statements (Raw)'!G450))</f>
        <v/>
      </c>
      <c r="I452" s="10" t="str">
        <f>IF(A452="","",IF('Statements (Raw)'!H450="","",'Statements (Raw)'!H450))</f>
        <v/>
      </c>
      <c r="J452" s="10">
        <f>IF(A452="",0,IF('Statements (Raw)'!I450="",0,'Statements (Raw)'!I450))</f>
        <v>0</v>
      </c>
      <c r="K452" s="10" t="str">
        <f t="shared" si="13"/>
        <v/>
      </c>
    </row>
    <row r="453" spans="1:11" x14ac:dyDescent="0.3">
      <c r="A453" s="171" t="str">
        <f>IF(OR('Statements (Raw)'!A451="",'Statements (Raw)'!A451&gt;Holdings!$G$3),"",'Statements (Raw)'!A451)</f>
        <v/>
      </c>
      <c r="B453" s="7" t="str">
        <f>IF(A453="","",IF('Statements (Raw)'!B451="","",'Statements (Raw)'!B451))</f>
        <v/>
      </c>
      <c r="C453" s="6" t="str">
        <f>IF(A453="","",IF('Statements (Raw)'!C451&lt;&gt;"",'Statements (Raw)'!C451,IF(ISNUMBER(SEARCH("Conferimento",'Statements (Raw)'!D451)),"CASH DEPOSIT",IF(ISNUMBER(SEARCH("Prelievo",'Statements (Raw)'!D451)),"CASH WITHDRAWAL",IF(ISNUMBER(SEARCH("Bollo",'Statements (Raw)'!D451)),"STAMP DUTY",IF(ISNUMBER(SEARCH("Tobin Tax",'Statements (Raw)'!D451)),"TOBIN TAX",IF(ISNUMBER(SEARCH("Rit.provento",'Statements (Raw)'!D451)),"WITHHOLDING TAX",IF(ISNUMBER(SEARCH("Incasso Dividendi",'Statements (Raw)'!D451)),"DIVIDEND",IF(ISNUMBER(SEARCH("Cedola",'Statements (Raw)'!D451)),"COUPON",IF(ISNUMBER(SEARCH("Ratei Pass",'Statements (Raw)'!D451)),"ACCRUED INT",IF(ISNUMBER(SEARCH("Interessi Prest",'Statements (Raw)'!D451)),"SEC LENDING",IF(ISNUMBER(SEARCH("Rimborso",'Statements (Raw)'!D451)),"REDEMPTION",IF(ISNUMBER(SEARCH("Provento",'Statements (Raw)'!D451)),"DISTRIBUTION","OTHER")))))))))))))</f>
        <v/>
      </c>
      <c r="D453" s="6" t="str">
        <f>IF(A453="","",IF(C453="Saldo Iniziale","Balance",IF(C453="CASH DEPOSIT","Deposit",IF(C453="CASH WITHDRAWAL","Withdrawal",IF(C453="STAMP DUTY","Tax",IF(C453="TOBIN TAX","Tax",IF(C453="WITHHOLDING TAX","Tax",IF(C453="DIVIDEND","Dividend",IF(C453="COUPON","Coupon",IF(C453="ACCRUED INT","Accrued Int.",IF(C453="SEC LENDING","Sec. Lending",IF(C453="REDEMPTION","Redemption",IF(C453="DISTRIBUTION","Distribution",IF(ISNUMBER(SEARCH("Rimborso",'Statements (Raw)'!D451)),"Redemption",IF(ISNUMBER(SEARCH("Cedola",'Statements (Raw)'!D451)),"Coupon",IF(ISNUMBER(SEARCH("Incasso Dividendi",'Statements (Raw)'!D451)),"Dividend",IF(ISNUMBER(SEARCH("Provento Etf",'Statements (Raw)'!D451)),"Distribution",IF(ISNUMBER(SEARCH("Rit.provento",'Statements (Raw)'!D451)),"Tax",IF(ISNUMBER(SEARCH("Ratei Pass",'Statements (Raw)'!D451)),"Accrued Int.",IF(ISNUMBER(SEARCH("Interessi Prest",'Statements (Raw)'!D451)),"Sec. Lending",IF('Statements (Raw)'!G451="","Other",IF('Statements (Raw)'!G451&gt;0,"Buy","Sell"))))))))))))))))))))))</f>
        <v/>
      </c>
      <c r="E453" s="6" t="str">
        <f t="shared" ref="E453:E516" si="14">IF(D453="","",IF(OR(D453="Balance",D453="Deposit",D453="Withdrawal"),"Cash",IF(D453="Tax","Tax/Fee",IF(OR(D453="Dividend",D453="Coupon",D453="Distribution",D453="Sec. Lending",D453="Accrued Int."),"Income",IF(D453="Redemption","Bond",IF(OR(D453="Buy",D453="Sell"),IF(OR(ISNUMBER(SEARCH("BOT ",C453)),ISNUMBER(SEARCH("BTP ",C453)),ISNUMBER(SEARCH("CARRARO",C453))),"Bond",IF(OR(ISNUMBER(SEARCH("isdom",C453)),ISNUMBER(SEARCH("ISHARES",C453)),ISNUMBER(SEARCH("iShares",C453))),"ETF/ETC",IF(OR(ISNUMBER(SEARCH("Bitwise",C453)),ISNUMBER(SEARCH("BITWISE",C453))),"Crypto ETP","Stock"))),"Other"))))))</f>
        <v/>
      </c>
      <c r="F453" s="8" t="str">
        <f>IF(A453="","",IF('Statements (Raw)'!E451="","",'Statements (Raw)'!E451))</f>
        <v/>
      </c>
      <c r="G453" s="6" t="str">
        <f>IF(A453="","",IF('Statements (Raw)'!F451="","",'Statements (Raw)'!F451))</f>
        <v/>
      </c>
      <c r="H453" s="9" t="str">
        <f>IF(A453="","",IF('Statements (Raw)'!G451="","",'Statements (Raw)'!G451))</f>
        <v/>
      </c>
      <c r="I453" s="10" t="str">
        <f>IF(A453="","",IF('Statements (Raw)'!H451="","",'Statements (Raw)'!H451))</f>
        <v/>
      </c>
      <c r="J453" s="10">
        <f>IF(A453="",0,IF('Statements (Raw)'!I451="",0,'Statements (Raw)'!I451))</f>
        <v>0</v>
      </c>
      <c r="K453" s="10" t="str">
        <f t="shared" ref="K453:K516" si="15">IF(I453="","",I453+J453)</f>
        <v/>
      </c>
    </row>
    <row r="454" spans="1:11" x14ac:dyDescent="0.3">
      <c r="A454" s="171" t="str">
        <f>IF(OR('Statements (Raw)'!A452="",'Statements (Raw)'!A452&gt;Holdings!$G$3),"",'Statements (Raw)'!A452)</f>
        <v/>
      </c>
      <c r="B454" s="7" t="str">
        <f>IF(A454="","",IF('Statements (Raw)'!B452="","",'Statements (Raw)'!B452))</f>
        <v/>
      </c>
      <c r="C454" s="6" t="str">
        <f>IF(A454="","",IF('Statements (Raw)'!C452&lt;&gt;"",'Statements (Raw)'!C452,IF(ISNUMBER(SEARCH("Conferimento",'Statements (Raw)'!D452)),"CASH DEPOSIT",IF(ISNUMBER(SEARCH("Prelievo",'Statements (Raw)'!D452)),"CASH WITHDRAWAL",IF(ISNUMBER(SEARCH("Bollo",'Statements (Raw)'!D452)),"STAMP DUTY",IF(ISNUMBER(SEARCH("Tobin Tax",'Statements (Raw)'!D452)),"TOBIN TAX",IF(ISNUMBER(SEARCH("Rit.provento",'Statements (Raw)'!D452)),"WITHHOLDING TAX",IF(ISNUMBER(SEARCH("Incasso Dividendi",'Statements (Raw)'!D452)),"DIVIDEND",IF(ISNUMBER(SEARCH("Cedola",'Statements (Raw)'!D452)),"COUPON",IF(ISNUMBER(SEARCH("Ratei Pass",'Statements (Raw)'!D452)),"ACCRUED INT",IF(ISNUMBER(SEARCH("Interessi Prest",'Statements (Raw)'!D452)),"SEC LENDING",IF(ISNUMBER(SEARCH("Rimborso",'Statements (Raw)'!D452)),"REDEMPTION",IF(ISNUMBER(SEARCH("Provento",'Statements (Raw)'!D452)),"DISTRIBUTION","OTHER")))))))))))))</f>
        <v/>
      </c>
      <c r="D454" s="6" t="str">
        <f>IF(A454="","",IF(C454="Saldo Iniziale","Balance",IF(C454="CASH DEPOSIT","Deposit",IF(C454="CASH WITHDRAWAL","Withdrawal",IF(C454="STAMP DUTY","Tax",IF(C454="TOBIN TAX","Tax",IF(C454="WITHHOLDING TAX","Tax",IF(C454="DIVIDEND","Dividend",IF(C454="COUPON","Coupon",IF(C454="ACCRUED INT","Accrued Int.",IF(C454="SEC LENDING","Sec. Lending",IF(C454="REDEMPTION","Redemption",IF(C454="DISTRIBUTION","Distribution",IF(ISNUMBER(SEARCH("Rimborso",'Statements (Raw)'!D452)),"Redemption",IF(ISNUMBER(SEARCH("Cedola",'Statements (Raw)'!D452)),"Coupon",IF(ISNUMBER(SEARCH("Incasso Dividendi",'Statements (Raw)'!D452)),"Dividend",IF(ISNUMBER(SEARCH("Provento Etf",'Statements (Raw)'!D452)),"Distribution",IF(ISNUMBER(SEARCH("Rit.provento",'Statements (Raw)'!D452)),"Tax",IF(ISNUMBER(SEARCH("Ratei Pass",'Statements (Raw)'!D452)),"Accrued Int.",IF(ISNUMBER(SEARCH("Interessi Prest",'Statements (Raw)'!D452)),"Sec. Lending",IF('Statements (Raw)'!G452="","Other",IF('Statements (Raw)'!G452&gt;0,"Buy","Sell"))))))))))))))))))))))</f>
        <v/>
      </c>
      <c r="E454" s="6" t="str">
        <f t="shared" si="14"/>
        <v/>
      </c>
      <c r="F454" s="8" t="str">
        <f>IF(A454="","",IF('Statements (Raw)'!E452="","",'Statements (Raw)'!E452))</f>
        <v/>
      </c>
      <c r="G454" s="6" t="str">
        <f>IF(A454="","",IF('Statements (Raw)'!F452="","",'Statements (Raw)'!F452))</f>
        <v/>
      </c>
      <c r="H454" s="9" t="str">
        <f>IF(A454="","",IF('Statements (Raw)'!G452="","",'Statements (Raw)'!G452))</f>
        <v/>
      </c>
      <c r="I454" s="10" t="str">
        <f>IF(A454="","",IF('Statements (Raw)'!H452="","",'Statements (Raw)'!H452))</f>
        <v/>
      </c>
      <c r="J454" s="10">
        <f>IF(A454="",0,IF('Statements (Raw)'!I452="",0,'Statements (Raw)'!I452))</f>
        <v>0</v>
      </c>
      <c r="K454" s="10" t="str">
        <f t="shared" si="15"/>
        <v/>
      </c>
    </row>
    <row r="455" spans="1:11" x14ac:dyDescent="0.3">
      <c r="A455" s="171" t="str">
        <f>IF(OR('Statements (Raw)'!A453="",'Statements (Raw)'!A453&gt;Holdings!$G$3),"",'Statements (Raw)'!A453)</f>
        <v/>
      </c>
      <c r="B455" s="7" t="str">
        <f>IF(A455="","",IF('Statements (Raw)'!B453="","",'Statements (Raw)'!B453))</f>
        <v/>
      </c>
      <c r="C455" s="6" t="str">
        <f>IF(A455="","",IF('Statements (Raw)'!C453&lt;&gt;"",'Statements (Raw)'!C453,IF(ISNUMBER(SEARCH("Conferimento",'Statements (Raw)'!D453)),"CASH DEPOSIT",IF(ISNUMBER(SEARCH("Prelievo",'Statements (Raw)'!D453)),"CASH WITHDRAWAL",IF(ISNUMBER(SEARCH("Bollo",'Statements (Raw)'!D453)),"STAMP DUTY",IF(ISNUMBER(SEARCH("Tobin Tax",'Statements (Raw)'!D453)),"TOBIN TAX",IF(ISNUMBER(SEARCH("Rit.provento",'Statements (Raw)'!D453)),"WITHHOLDING TAX",IF(ISNUMBER(SEARCH("Incasso Dividendi",'Statements (Raw)'!D453)),"DIVIDEND",IF(ISNUMBER(SEARCH("Cedola",'Statements (Raw)'!D453)),"COUPON",IF(ISNUMBER(SEARCH("Ratei Pass",'Statements (Raw)'!D453)),"ACCRUED INT",IF(ISNUMBER(SEARCH("Interessi Prest",'Statements (Raw)'!D453)),"SEC LENDING",IF(ISNUMBER(SEARCH("Rimborso",'Statements (Raw)'!D453)),"REDEMPTION",IF(ISNUMBER(SEARCH("Provento",'Statements (Raw)'!D453)),"DISTRIBUTION","OTHER")))))))))))))</f>
        <v/>
      </c>
      <c r="D455" s="6" t="str">
        <f>IF(A455="","",IF(C455="Saldo Iniziale","Balance",IF(C455="CASH DEPOSIT","Deposit",IF(C455="CASH WITHDRAWAL","Withdrawal",IF(C455="STAMP DUTY","Tax",IF(C455="TOBIN TAX","Tax",IF(C455="WITHHOLDING TAX","Tax",IF(C455="DIVIDEND","Dividend",IF(C455="COUPON","Coupon",IF(C455="ACCRUED INT","Accrued Int.",IF(C455="SEC LENDING","Sec. Lending",IF(C455="REDEMPTION","Redemption",IF(C455="DISTRIBUTION","Distribution",IF(ISNUMBER(SEARCH("Rimborso",'Statements (Raw)'!D453)),"Redemption",IF(ISNUMBER(SEARCH("Cedola",'Statements (Raw)'!D453)),"Coupon",IF(ISNUMBER(SEARCH("Incasso Dividendi",'Statements (Raw)'!D453)),"Dividend",IF(ISNUMBER(SEARCH("Provento Etf",'Statements (Raw)'!D453)),"Distribution",IF(ISNUMBER(SEARCH("Rit.provento",'Statements (Raw)'!D453)),"Tax",IF(ISNUMBER(SEARCH("Ratei Pass",'Statements (Raw)'!D453)),"Accrued Int.",IF(ISNUMBER(SEARCH("Interessi Prest",'Statements (Raw)'!D453)),"Sec. Lending",IF('Statements (Raw)'!G453="","Other",IF('Statements (Raw)'!G453&gt;0,"Buy","Sell"))))))))))))))))))))))</f>
        <v/>
      </c>
      <c r="E455" s="6" t="str">
        <f t="shared" si="14"/>
        <v/>
      </c>
      <c r="F455" s="8" t="str">
        <f>IF(A455="","",IF('Statements (Raw)'!E453="","",'Statements (Raw)'!E453))</f>
        <v/>
      </c>
      <c r="G455" s="6" t="str">
        <f>IF(A455="","",IF('Statements (Raw)'!F453="","",'Statements (Raw)'!F453))</f>
        <v/>
      </c>
      <c r="H455" s="9" t="str">
        <f>IF(A455="","",IF('Statements (Raw)'!G453="","",'Statements (Raw)'!G453))</f>
        <v/>
      </c>
      <c r="I455" s="10" t="str">
        <f>IF(A455="","",IF('Statements (Raw)'!H453="","",'Statements (Raw)'!H453))</f>
        <v/>
      </c>
      <c r="J455" s="10">
        <f>IF(A455="",0,IF('Statements (Raw)'!I453="",0,'Statements (Raw)'!I453))</f>
        <v>0</v>
      </c>
      <c r="K455" s="10" t="str">
        <f t="shared" si="15"/>
        <v/>
      </c>
    </row>
    <row r="456" spans="1:11" x14ac:dyDescent="0.3">
      <c r="A456" s="171" t="str">
        <f>IF(OR('Statements (Raw)'!A454="",'Statements (Raw)'!A454&gt;Holdings!$G$3),"",'Statements (Raw)'!A454)</f>
        <v/>
      </c>
      <c r="B456" s="7" t="str">
        <f>IF(A456="","",IF('Statements (Raw)'!B454="","",'Statements (Raw)'!B454))</f>
        <v/>
      </c>
      <c r="C456" s="6" t="str">
        <f>IF(A456="","",IF('Statements (Raw)'!C454&lt;&gt;"",'Statements (Raw)'!C454,IF(ISNUMBER(SEARCH("Conferimento",'Statements (Raw)'!D454)),"CASH DEPOSIT",IF(ISNUMBER(SEARCH("Prelievo",'Statements (Raw)'!D454)),"CASH WITHDRAWAL",IF(ISNUMBER(SEARCH("Bollo",'Statements (Raw)'!D454)),"STAMP DUTY",IF(ISNUMBER(SEARCH("Tobin Tax",'Statements (Raw)'!D454)),"TOBIN TAX",IF(ISNUMBER(SEARCH("Rit.provento",'Statements (Raw)'!D454)),"WITHHOLDING TAX",IF(ISNUMBER(SEARCH("Incasso Dividendi",'Statements (Raw)'!D454)),"DIVIDEND",IF(ISNUMBER(SEARCH("Cedola",'Statements (Raw)'!D454)),"COUPON",IF(ISNUMBER(SEARCH("Ratei Pass",'Statements (Raw)'!D454)),"ACCRUED INT",IF(ISNUMBER(SEARCH("Interessi Prest",'Statements (Raw)'!D454)),"SEC LENDING",IF(ISNUMBER(SEARCH("Rimborso",'Statements (Raw)'!D454)),"REDEMPTION",IF(ISNUMBER(SEARCH("Provento",'Statements (Raw)'!D454)),"DISTRIBUTION","OTHER")))))))))))))</f>
        <v/>
      </c>
      <c r="D456" s="6" t="str">
        <f>IF(A456="","",IF(C456="Saldo Iniziale","Balance",IF(C456="CASH DEPOSIT","Deposit",IF(C456="CASH WITHDRAWAL","Withdrawal",IF(C456="STAMP DUTY","Tax",IF(C456="TOBIN TAX","Tax",IF(C456="WITHHOLDING TAX","Tax",IF(C456="DIVIDEND","Dividend",IF(C456="COUPON","Coupon",IF(C456="ACCRUED INT","Accrued Int.",IF(C456="SEC LENDING","Sec. Lending",IF(C456="REDEMPTION","Redemption",IF(C456="DISTRIBUTION","Distribution",IF(ISNUMBER(SEARCH("Rimborso",'Statements (Raw)'!D454)),"Redemption",IF(ISNUMBER(SEARCH("Cedola",'Statements (Raw)'!D454)),"Coupon",IF(ISNUMBER(SEARCH("Incasso Dividendi",'Statements (Raw)'!D454)),"Dividend",IF(ISNUMBER(SEARCH("Provento Etf",'Statements (Raw)'!D454)),"Distribution",IF(ISNUMBER(SEARCH("Rit.provento",'Statements (Raw)'!D454)),"Tax",IF(ISNUMBER(SEARCH("Ratei Pass",'Statements (Raw)'!D454)),"Accrued Int.",IF(ISNUMBER(SEARCH("Interessi Prest",'Statements (Raw)'!D454)),"Sec. Lending",IF('Statements (Raw)'!G454="","Other",IF('Statements (Raw)'!G454&gt;0,"Buy","Sell"))))))))))))))))))))))</f>
        <v/>
      </c>
      <c r="E456" s="6" t="str">
        <f t="shared" si="14"/>
        <v/>
      </c>
      <c r="F456" s="8" t="str">
        <f>IF(A456="","",IF('Statements (Raw)'!E454="","",'Statements (Raw)'!E454))</f>
        <v/>
      </c>
      <c r="G456" s="6" t="str">
        <f>IF(A456="","",IF('Statements (Raw)'!F454="","",'Statements (Raw)'!F454))</f>
        <v/>
      </c>
      <c r="H456" s="9" t="str">
        <f>IF(A456="","",IF('Statements (Raw)'!G454="","",'Statements (Raw)'!G454))</f>
        <v/>
      </c>
      <c r="I456" s="10" t="str">
        <f>IF(A456="","",IF('Statements (Raw)'!H454="","",'Statements (Raw)'!H454))</f>
        <v/>
      </c>
      <c r="J456" s="10">
        <f>IF(A456="",0,IF('Statements (Raw)'!I454="",0,'Statements (Raw)'!I454))</f>
        <v>0</v>
      </c>
      <c r="K456" s="10" t="str">
        <f t="shared" si="15"/>
        <v/>
      </c>
    </row>
    <row r="457" spans="1:11" x14ac:dyDescent="0.3">
      <c r="A457" s="171" t="str">
        <f>IF(OR('Statements (Raw)'!A455="",'Statements (Raw)'!A455&gt;Holdings!$G$3),"",'Statements (Raw)'!A455)</f>
        <v/>
      </c>
      <c r="B457" s="7" t="str">
        <f>IF(A457="","",IF('Statements (Raw)'!B455="","",'Statements (Raw)'!B455))</f>
        <v/>
      </c>
      <c r="C457" s="6" t="str">
        <f>IF(A457="","",IF('Statements (Raw)'!C455&lt;&gt;"",'Statements (Raw)'!C455,IF(ISNUMBER(SEARCH("Conferimento",'Statements (Raw)'!D455)),"CASH DEPOSIT",IF(ISNUMBER(SEARCH("Prelievo",'Statements (Raw)'!D455)),"CASH WITHDRAWAL",IF(ISNUMBER(SEARCH("Bollo",'Statements (Raw)'!D455)),"STAMP DUTY",IF(ISNUMBER(SEARCH("Tobin Tax",'Statements (Raw)'!D455)),"TOBIN TAX",IF(ISNUMBER(SEARCH("Rit.provento",'Statements (Raw)'!D455)),"WITHHOLDING TAX",IF(ISNUMBER(SEARCH("Incasso Dividendi",'Statements (Raw)'!D455)),"DIVIDEND",IF(ISNUMBER(SEARCH("Cedola",'Statements (Raw)'!D455)),"COUPON",IF(ISNUMBER(SEARCH("Ratei Pass",'Statements (Raw)'!D455)),"ACCRUED INT",IF(ISNUMBER(SEARCH("Interessi Prest",'Statements (Raw)'!D455)),"SEC LENDING",IF(ISNUMBER(SEARCH("Rimborso",'Statements (Raw)'!D455)),"REDEMPTION",IF(ISNUMBER(SEARCH("Provento",'Statements (Raw)'!D455)),"DISTRIBUTION","OTHER")))))))))))))</f>
        <v/>
      </c>
      <c r="D457" s="6" t="str">
        <f>IF(A457="","",IF(C457="Saldo Iniziale","Balance",IF(C457="CASH DEPOSIT","Deposit",IF(C457="CASH WITHDRAWAL","Withdrawal",IF(C457="STAMP DUTY","Tax",IF(C457="TOBIN TAX","Tax",IF(C457="WITHHOLDING TAX","Tax",IF(C457="DIVIDEND","Dividend",IF(C457="COUPON","Coupon",IF(C457="ACCRUED INT","Accrued Int.",IF(C457="SEC LENDING","Sec. Lending",IF(C457="REDEMPTION","Redemption",IF(C457="DISTRIBUTION","Distribution",IF(ISNUMBER(SEARCH("Rimborso",'Statements (Raw)'!D455)),"Redemption",IF(ISNUMBER(SEARCH("Cedola",'Statements (Raw)'!D455)),"Coupon",IF(ISNUMBER(SEARCH("Incasso Dividendi",'Statements (Raw)'!D455)),"Dividend",IF(ISNUMBER(SEARCH("Provento Etf",'Statements (Raw)'!D455)),"Distribution",IF(ISNUMBER(SEARCH("Rit.provento",'Statements (Raw)'!D455)),"Tax",IF(ISNUMBER(SEARCH("Ratei Pass",'Statements (Raw)'!D455)),"Accrued Int.",IF(ISNUMBER(SEARCH("Interessi Prest",'Statements (Raw)'!D455)),"Sec. Lending",IF('Statements (Raw)'!G455="","Other",IF('Statements (Raw)'!G455&gt;0,"Buy","Sell"))))))))))))))))))))))</f>
        <v/>
      </c>
      <c r="E457" s="6" t="str">
        <f t="shared" si="14"/>
        <v/>
      </c>
      <c r="F457" s="8" t="str">
        <f>IF(A457="","",IF('Statements (Raw)'!E455="","",'Statements (Raw)'!E455))</f>
        <v/>
      </c>
      <c r="G457" s="6" t="str">
        <f>IF(A457="","",IF('Statements (Raw)'!F455="","",'Statements (Raw)'!F455))</f>
        <v/>
      </c>
      <c r="H457" s="9" t="str">
        <f>IF(A457="","",IF('Statements (Raw)'!G455="","",'Statements (Raw)'!G455))</f>
        <v/>
      </c>
      <c r="I457" s="10" t="str">
        <f>IF(A457="","",IF('Statements (Raw)'!H455="","",'Statements (Raw)'!H455))</f>
        <v/>
      </c>
      <c r="J457" s="10">
        <f>IF(A457="",0,IF('Statements (Raw)'!I455="",0,'Statements (Raw)'!I455))</f>
        <v>0</v>
      </c>
      <c r="K457" s="10" t="str">
        <f t="shared" si="15"/>
        <v/>
      </c>
    </row>
    <row r="458" spans="1:11" x14ac:dyDescent="0.3">
      <c r="A458" s="171" t="str">
        <f>IF(OR('Statements (Raw)'!A456="",'Statements (Raw)'!A456&gt;Holdings!$G$3),"",'Statements (Raw)'!A456)</f>
        <v/>
      </c>
      <c r="B458" s="7" t="str">
        <f>IF(A458="","",IF('Statements (Raw)'!B456="","",'Statements (Raw)'!B456))</f>
        <v/>
      </c>
      <c r="C458" s="6" t="str">
        <f>IF(A458="","",IF('Statements (Raw)'!C456&lt;&gt;"",'Statements (Raw)'!C456,IF(ISNUMBER(SEARCH("Conferimento",'Statements (Raw)'!D456)),"CASH DEPOSIT",IF(ISNUMBER(SEARCH("Prelievo",'Statements (Raw)'!D456)),"CASH WITHDRAWAL",IF(ISNUMBER(SEARCH("Bollo",'Statements (Raw)'!D456)),"STAMP DUTY",IF(ISNUMBER(SEARCH("Tobin Tax",'Statements (Raw)'!D456)),"TOBIN TAX",IF(ISNUMBER(SEARCH("Rit.provento",'Statements (Raw)'!D456)),"WITHHOLDING TAX",IF(ISNUMBER(SEARCH("Incasso Dividendi",'Statements (Raw)'!D456)),"DIVIDEND",IF(ISNUMBER(SEARCH("Cedola",'Statements (Raw)'!D456)),"COUPON",IF(ISNUMBER(SEARCH("Ratei Pass",'Statements (Raw)'!D456)),"ACCRUED INT",IF(ISNUMBER(SEARCH("Interessi Prest",'Statements (Raw)'!D456)),"SEC LENDING",IF(ISNUMBER(SEARCH("Rimborso",'Statements (Raw)'!D456)),"REDEMPTION",IF(ISNUMBER(SEARCH("Provento",'Statements (Raw)'!D456)),"DISTRIBUTION","OTHER")))))))))))))</f>
        <v/>
      </c>
      <c r="D458" s="6" t="str">
        <f>IF(A458="","",IF(C458="Saldo Iniziale","Balance",IF(C458="CASH DEPOSIT","Deposit",IF(C458="CASH WITHDRAWAL","Withdrawal",IF(C458="STAMP DUTY","Tax",IF(C458="TOBIN TAX","Tax",IF(C458="WITHHOLDING TAX","Tax",IF(C458="DIVIDEND","Dividend",IF(C458="COUPON","Coupon",IF(C458="ACCRUED INT","Accrued Int.",IF(C458="SEC LENDING","Sec. Lending",IF(C458="REDEMPTION","Redemption",IF(C458="DISTRIBUTION","Distribution",IF(ISNUMBER(SEARCH("Rimborso",'Statements (Raw)'!D456)),"Redemption",IF(ISNUMBER(SEARCH("Cedola",'Statements (Raw)'!D456)),"Coupon",IF(ISNUMBER(SEARCH("Incasso Dividendi",'Statements (Raw)'!D456)),"Dividend",IF(ISNUMBER(SEARCH("Provento Etf",'Statements (Raw)'!D456)),"Distribution",IF(ISNUMBER(SEARCH("Rit.provento",'Statements (Raw)'!D456)),"Tax",IF(ISNUMBER(SEARCH("Ratei Pass",'Statements (Raw)'!D456)),"Accrued Int.",IF(ISNUMBER(SEARCH("Interessi Prest",'Statements (Raw)'!D456)),"Sec. Lending",IF('Statements (Raw)'!G456="","Other",IF('Statements (Raw)'!G456&gt;0,"Buy","Sell"))))))))))))))))))))))</f>
        <v/>
      </c>
      <c r="E458" s="6" t="str">
        <f t="shared" si="14"/>
        <v/>
      </c>
      <c r="F458" s="8" t="str">
        <f>IF(A458="","",IF('Statements (Raw)'!E456="","",'Statements (Raw)'!E456))</f>
        <v/>
      </c>
      <c r="G458" s="6" t="str">
        <f>IF(A458="","",IF('Statements (Raw)'!F456="","",'Statements (Raw)'!F456))</f>
        <v/>
      </c>
      <c r="H458" s="9" t="str">
        <f>IF(A458="","",IF('Statements (Raw)'!G456="","",'Statements (Raw)'!G456))</f>
        <v/>
      </c>
      <c r="I458" s="10" t="str">
        <f>IF(A458="","",IF('Statements (Raw)'!H456="","",'Statements (Raw)'!H456))</f>
        <v/>
      </c>
      <c r="J458" s="10">
        <f>IF(A458="",0,IF('Statements (Raw)'!I456="",0,'Statements (Raw)'!I456))</f>
        <v>0</v>
      </c>
      <c r="K458" s="10" t="str">
        <f t="shared" si="15"/>
        <v/>
      </c>
    </row>
    <row r="459" spans="1:11" x14ac:dyDescent="0.3">
      <c r="A459" s="171" t="str">
        <f>IF(OR('Statements (Raw)'!A457="",'Statements (Raw)'!A457&gt;Holdings!$G$3),"",'Statements (Raw)'!A457)</f>
        <v/>
      </c>
      <c r="B459" s="7" t="str">
        <f>IF(A459="","",IF('Statements (Raw)'!B457="","",'Statements (Raw)'!B457))</f>
        <v/>
      </c>
      <c r="C459" s="6" t="str">
        <f>IF(A459="","",IF('Statements (Raw)'!C457&lt;&gt;"",'Statements (Raw)'!C457,IF(ISNUMBER(SEARCH("Conferimento",'Statements (Raw)'!D457)),"CASH DEPOSIT",IF(ISNUMBER(SEARCH("Prelievo",'Statements (Raw)'!D457)),"CASH WITHDRAWAL",IF(ISNUMBER(SEARCH("Bollo",'Statements (Raw)'!D457)),"STAMP DUTY",IF(ISNUMBER(SEARCH("Tobin Tax",'Statements (Raw)'!D457)),"TOBIN TAX",IF(ISNUMBER(SEARCH("Rit.provento",'Statements (Raw)'!D457)),"WITHHOLDING TAX",IF(ISNUMBER(SEARCH("Incasso Dividendi",'Statements (Raw)'!D457)),"DIVIDEND",IF(ISNUMBER(SEARCH("Cedola",'Statements (Raw)'!D457)),"COUPON",IF(ISNUMBER(SEARCH("Ratei Pass",'Statements (Raw)'!D457)),"ACCRUED INT",IF(ISNUMBER(SEARCH("Interessi Prest",'Statements (Raw)'!D457)),"SEC LENDING",IF(ISNUMBER(SEARCH("Rimborso",'Statements (Raw)'!D457)),"REDEMPTION",IF(ISNUMBER(SEARCH("Provento",'Statements (Raw)'!D457)),"DISTRIBUTION","OTHER")))))))))))))</f>
        <v/>
      </c>
      <c r="D459" s="6" t="str">
        <f>IF(A459="","",IF(C459="Saldo Iniziale","Balance",IF(C459="CASH DEPOSIT","Deposit",IF(C459="CASH WITHDRAWAL","Withdrawal",IF(C459="STAMP DUTY","Tax",IF(C459="TOBIN TAX","Tax",IF(C459="WITHHOLDING TAX","Tax",IF(C459="DIVIDEND","Dividend",IF(C459="COUPON","Coupon",IF(C459="ACCRUED INT","Accrued Int.",IF(C459="SEC LENDING","Sec. Lending",IF(C459="REDEMPTION","Redemption",IF(C459="DISTRIBUTION","Distribution",IF(ISNUMBER(SEARCH("Rimborso",'Statements (Raw)'!D457)),"Redemption",IF(ISNUMBER(SEARCH("Cedola",'Statements (Raw)'!D457)),"Coupon",IF(ISNUMBER(SEARCH("Incasso Dividendi",'Statements (Raw)'!D457)),"Dividend",IF(ISNUMBER(SEARCH("Provento Etf",'Statements (Raw)'!D457)),"Distribution",IF(ISNUMBER(SEARCH("Rit.provento",'Statements (Raw)'!D457)),"Tax",IF(ISNUMBER(SEARCH("Ratei Pass",'Statements (Raw)'!D457)),"Accrued Int.",IF(ISNUMBER(SEARCH("Interessi Prest",'Statements (Raw)'!D457)),"Sec. Lending",IF('Statements (Raw)'!G457="","Other",IF('Statements (Raw)'!G457&gt;0,"Buy","Sell"))))))))))))))))))))))</f>
        <v/>
      </c>
      <c r="E459" s="6" t="str">
        <f t="shared" si="14"/>
        <v/>
      </c>
      <c r="F459" s="8" t="str">
        <f>IF(A459="","",IF('Statements (Raw)'!E457="","",'Statements (Raw)'!E457))</f>
        <v/>
      </c>
      <c r="G459" s="6" t="str">
        <f>IF(A459="","",IF('Statements (Raw)'!F457="","",'Statements (Raw)'!F457))</f>
        <v/>
      </c>
      <c r="H459" s="9" t="str">
        <f>IF(A459="","",IF('Statements (Raw)'!G457="","",'Statements (Raw)'!G457))</f>
        <v/>
      </c>
      <c r="I459" s="10" t="str">
        <f>IF(A459="","",IF('Statements (Raw)'!H457="","",'Statements (Raw)'!H457))</f>
        <v/>
      </c>
      <c r="J459" s="10">
        <f>IF(A459="",0,IF('Statements (Raw)'!I457="",0,'Statements (Raw)'!I457))</f>
        <v>0</v>
      </c>
      <c r="K459" s="10" t="str">
        <f t="shared" si="15"/>
        <v/>
      </c>
    </row>
    <row r="460" spans="1:11" x14ac:dyDescent="0.3">
      <c r="A460" s="171" t="str">
        <f>IF(OR('Statements (Raw)'!A458="",'Statements (Raw)'!A458&gt;Holdings!$G$3),"",'Statements (Raw)'!A458)</f>
        <v/>
      </c>
      <c r="B460" s="7" t="str">
        <f>IF(A460="","",IF('Statements (Raw)'!B458="","",'Statements (Raw)'!B458))</f>
        <v/>
      </c>
      <c r="C460" s="6" t="str">
        <f>IF(A460="","",IF('Statements (Raw)'!C458&lt;&gt;"",'Statements (Raw)'!C458,IF(ISNUMBER(SEARCH("Conferimento",'Statements (Raw)'!D458)),"CASH DEPOSIT",IF(ISNUMBER(SEARCH("Prelievo",'Statements (Raw)'!D458)),"CASH WITHDRAWAL",IF(ISNUMBER(SEARCH("Bollo",'Statements (Raw)'!D458)),"STAMP DUTY",IF(ISNUMBER(SEARCH("Tobin Tax",'Statements (Raw)'!D458)),"TOBIN TAX",IF(ISNUMBER(SEARCH("Rit.provento",'Statements (Raw)'!D458)),"WITHHOLDING TAX",IF(ISNUMBER(SEARCH("Incasso Dividendi",'Statements (Raw)'!D458)),"DIVIDEND",IF(ISNUMBER(SEARCH("Cedola",'Statements (Raw)'!D458)),"COUPON",IF(ISNUMBER(SEARCH("Ratei Pass",'Statements (Raw)'!D458)),"ACCRUED INT",IF(ISNUMBER(SEARCH("Interessi Prest",'Statements (Raw)'!D458)),"SEC LENDING",IF(ISNUMBER(SEARCH("Rimborso",'Statements (Raw)'!D458)),"REDEMPTION",IF(ISNUMBER(SEARCH("Provento",'Statements (Raw)'!D458)),"DISTRIBUTION","OTHER")))))))))))))</f>
        <v/>
      </c>
      <c r="D460" s="6" t="str">
        <f>IF(A460="","",IF(C460="Saldo Iniziale","Balance",IF(C460="CASH DEPOSIT","Deposit",IF(C460="CASH WITHDRAWAL","Withdrawal",IF(C460="STAMP DUTY","Tax",IF(C460="TOBIN TAX","Tax",IF(C460="WITHHOLDING TAX","Tax",IF(C460="DIVIDEND","Dividend",IF(C460="COUPON","Coupon",IF(C460="ACCRUED INT","Accrued Int.",IF(C460="SEC LENDING","Sec. Lending",IF(C460="REDEMPTION","Redemption",IF(C460="DISTRIBUTION","Distribution",IF(ISNUMBER(SEARCH("Rimborso",'Statements (Raw)'!D458)),"Redemption",IF(ISNUMBER(SEARCH("Cedola",'Statements (Raw)'!D458)),"Coupon",IF(ISNUMBER(SEARCH("Incasso Dividendi",'Statements (Raw)'!D458)),"Dividend",IF(ISNUMBER(SEARCH("Provento Etf",'Statements (Raw)'!D458)),"Distribution",IF(ISNUMBER(SEARCH("Rit.provento",'Statements (Raw)'!D458)),"Tax",IF(ISNUMBER(SEARCH("Ratei Pass",'Statements (Raw)'!D458)),"Accrued Int.",IF(ISNUMBER(SEARCH("Interessi Prest",'Statements (Raw)'!D458)),"Sec. Lending",IF('Statements (Raw)'!G458="","Other",IF('Statements (Raw)'!G458&gt;0,"Buy","Sell"))))))))))))))))))))))</f>
        <v/>
      </c>
      <c r="E460" s="6" t="str">
        <f t="shared" si="14"/>
        <v/>
      </c>
      <c r="F460" s="8" t="str">
        <f>IF(A460="","",IF('Statements (Raw)'!E458="","",'Statements (Raw)'!E458))</f>
        <v/>
      </c>
      <c r="G460" s="6" t="str">
        <f>IF(A460="","",IF('Statements (Raw)'!F458="","",'Statements (Raw)'!F458))</f>
        <v/>
      </c>
      <c r="H460" s="9" t="str">
        <f>IF(A460="","",IF('Statements (Raw)'!G458="","",'Statements (Raw)'!G458))</f>
        <v/>
      </c>
      <c r="I460" s="10" t="str">
        <f>IF(A460="","",IF('Statements (Raw)'!H458="","",'Statements (Raw)'!H458))</f>
        <v/>
      </c>
      <c r="J460" s="10">
        <f>IF(A460="",0,IF('Statements (Raw)'!I458="",0,'Statements (Raw)'!I458))</f>
        <v>0</v>
      </c>
      <c r="K460" s="10" t="str">
        <f t="shared" si="15"/>
        <v/>
      </c>
    </row>
    <row r="461" spans="1:11" x14ac:dyDescent="0.3">
      <c r="A461" s="171" t="str">
        <f>IF(OR('Statements (Raw)'!A459="",'Statements (Raw)'!A459&gt;Holdings!$G$3),"",'Statements (Raw)'!A459)</f>
        <v/>
      </c>
      <c r="B461" s="7" t="str">
        <f>IF(A461="","",IF('Statements (Raw)'!B459="","",'Statements (Raw)'!B459))</f>
        <v/>
      </c>
      <c r="C461" s="6" t="str">
        <f>IF(A461="","",IF('Statements (Raw)'!C459&lt;&gt;"",'Statements (Raw)'!C459,IF(ISNUMBER(SEARCH("Conferimento",'Statements (Raw)'!D459)),"CASH DEPOSIT",IF(ISNUMBER(SEARCH("Prelievo",'Statements (Raw)'!D459)),"CASH WITHDRAWAL",IF(ISNUMBER(SEARCH("Bollo",'Statements (Raw)'!D459)),"STAMP DUTY",IF(ISNUMBER(SEARCH("Tobin Tax",'Statements (Raw)'!D459)),"TOBIN TAX",IF(ISNUMBER(SEARCH("Rit.provento",'Statements (Raw)'!D459)),"WITHHOLDING TAX",IF(ISNUMBER(SEARCH("Incasso Dividendi",'Statements (Raw)'!D459)),"DIVIDEND",IF(ISNUMBER(SEARCH("Cedola",'Statements (Raw)'!D459)),"COUPON",IF(ISNUMBER(SEARCH("Ratei Pass",'Statements (Raw)'!D459)),"ACCRUED INT",IF(ISNUMBER(SEARCH("Interessi Prest",'Statements (Raw)'!D459)),"SEC LENDING",IF(ISNUMBER(SEARCH("Rimborso",'Statements (Raw)'!D459)),"REDEMPTION",IF(ISNUMBER(SEARCH("Provento",'Statements (Raw)'!D459)),"DISTRIBUTION","OTHER")))))))))))))</f>
        <v/>
      </c>
      <c r="D461" s="6" t="str">
        <f>IF(A461="","",IF(C461="Saldo Iniziale","Balance",IF(C461="CASH DEPOSIT","Deposit",IF(C461="CASH WITHDRAWAL","Withdrawal",IF(C461="STAMP DUTY","Tax",IF(C461="TOBIN TAX","Tax",IF(C461="WITHHOLDING TAX","Tax",IF(C461="DIVIDEND","Dividend",IF(C461="COUPON","Coupon",IF(C461="ACCRUED INT","Accrued Int.",IF(C461="SEC LENDING","Sec. Lending",IF(C461="REDEMPTION","Redemption",IF(C461="DISTRIBUTION","Distribution",IF(ISNUMBER(SEARCH("Rimborso",'Statements (Raw)'!D459)),"Redemption",IF(ISNUMBER(SEARCH("Cedola",'Statements (Raw)'!D459)),"Coupon",IF(ISNUMBER(SEARCH("Incasso Dividendi",'Statements (Raw)'!D459)),"Dividend",IF(ISNUMBER(SEARCH("Provento Etf",'Statements (Raw)'!D459)),"Distribution",IF(ISNUMBER(SEARCH("Rit.provento",'Statements (Raw)'!D459)),"Tax",IF(ISNUMBER(SEARCH("Ratei Pass",'Statements (Raw)'!D459)),"Accrued Int.",IF(ISNUMBER(SEARCH("Interessi Prest",'Statements (Raw)'!D459)),"Sec. Lending",IF('Statements (Raw)'!G459="","Other",IF('Statements (Raw)'!G459&gt;0,"Buy","Sell"))))))))))))))))))))))</f>
        <v/>
      </c>
      <c r="E461" s="6" t="str">
        <f t="shared" si="14"/>
        <v/>
      </c>
      <c r="F461" s="8" t="str">
        <f>IF(A461="","",IF('Statements (Raw)'!E459="","",'Statements (Raw)'!E459))</f>
        <v/>
      </c>
      <c r="G461" s="6" t="str">
        <f>IF(A461="","",IF('Statements (Raw)'!F459="","",'Statements (Raw)'!F459))</f>
        <v/>
      </c>
      <c r="H461" s="9" t="str">
        <f>IF(A461="","",IF('Statements (Raw)'!G459="","",'Statements (Raw)'!G459))</f>
        <v/>
      </c>
      <c r="I461" s="10" t="str">
        <f>IF(A461="","",IF('Statements (Raw)'!H459="","",'Statements (Raw)'!H459))</f>
        <v/>
      </c>
      <c r="J461" s="10">
        <f>IF(A461="",0,IF('Statements (Raw)'!I459="",0,'Statements (Raw)'!I459))</f>
        <v>0</v>
      </c>
      <c r="K461" s="10" t="str">
        <f t="shared" si="15"/>
        <v/>
      </c>
    </row>
    <row r="462" spans="1:11" x14ac:dyDescent="0.3">
      <c r="A462" s="171" t="str">
        <f>IF(OR('Statements (Raw)'!A460="",'Statements (Raw)'!A460&gt;Holdings!$G$3),"",'Statements (Raw)'!A460)</f>
        <v/>
      </c>
      <c r="B462" s="7" t="str">
        <f>IF(A462="","",IF('Statements (Raw)'!B460="","",'Statements (Raw)'!B460))</f>
        <v/>
      </c>
      <c r="C462" s="6" t="str">
        <f>IF(A462="","",IF('Statements (Raw)'!C460&lt;&gt;"",'Statements (Raw)'!C460,IF(ISNUMBER(SEARCH("Conferimento",'Statements (Raw)'!D460)),"CASH DEPOSIT",IF(ISNUMBER(SEARCH("Prelievo",'Statements (Raw)'!D460)),"CASH WITHDRAWAL",IF(ISNUMBER(SEARCH("Bollo",'Statements (Raw)'!D460)),"STAMP DUTY",IF(ISNUMBER(SEARCH("Tobin Tax",'Statements (Raw)'!D460)),"TOBIN TAX",IF(ISNUMBER(SEARCH("Rit.provento",'Statements (Raw)'!D460)),"WITHHOLDING TAX",IF(ISNUMBER(SEARCH("Incasso Dividendi",'Statements (Raw)'!D460)),"DIVIDEND",IF(ISNUMBER(SEARCH("Cedola",'Statements (Raw)'!D460)),"COUPON",IF(ISNUMBER(SEARCH("Ratei Pass",'Statements (Raw)'!D460)),"ACCRUED INT",IF(ISNUMBER(SEARCH("Interessi Prest",'Statements (Raw)'!D460)),"SEC LENDING",IF(ISNUMBER(SEARCH("Rimborso",'Statements (Raw)'!D460)),"REDEMPTION",IF(ISNUMBER(SEARCH("Provento",'Statements (Raw)'!D460)),"DISTRIBUTION","OTHER")))))))))))))</f>
        <v/>
      </c>
      <c r="D462" s="6" t="str">
        <f>IF(A462="","",IF(C462="Saldo Iniziale","Balance",IF(C462="CASH DEPOSIT","Deposit",IF(C462="CASH WITHDRAWAL","Withdrawal",IF(C462="STAMP DUTY","Tax",IF(C462="TOBIN TAX","Tax",IF(C462="WITHHOLDING TAX","Tax",IF(C462="DIVIDEND","Dividend",IF(C462="COUPON","Coupon",IF(C462="ACCRUED INT","Accrued Int.",IF(C462="SEC LENDING","Sec. Lending",IF(C462="REDEMPTION","Redemption",IF(C462="DISTRIBUTION","Distribution",IF(ISNUMBER(SEARCH("Rimborso",'Statements (Raw)'!D460)),"Redemption",IF(ISNUMBER(SEARCH("Cedola",'Statements (Raw)'!D460)),"Coupon",IF(ISNUMBER(SEARCH("Incasso Dividendi",'Statements (Raw)'!D460)),"Dividend",IF(ISNUMBER(SEARCH("Provento Etf",'Statements (Raw)'!D460)),"Distribution",IF(ISNUMBER(SEARCH("Rit.provento",'Statements (Raw)'!D460)),"Tax",IF(ISNUMBER(SEARCH("Ratei Pass",'Statements (Raw)'!D460)),"Accrued Int.",IF(ISNUMBER(SEARCH("Interessi Prest",'Statements (Raw)'!D460)),"Sec. Lending",IF('Statements (Raw)'!G460="","Other",IF('Statements (Raw)'!G460&gt;0,"Buy","Sell"))))))))))))))))))))))</f>
        <v/>
      </c>
      <c r="E462" s="6" t="str">
        <f t="shared" si="14"/>
        <v/>
      </c>
      <c r="F462" s="8" t="str">
        <f>IF(A462="","",IF('Statements (Raw)'!E460="","",'Statements (Raw)'!E460))</f>
        <v/>
      </c>
      <c r="G462" s="6" t="str">
        <f>IF(A462="","",IF('Statements (Raw)'!F460="","",'Statements (Raw)'!F460))</f>
        <v/>
      </c>
      <c r="H462" s="9" t="str">
        <f>IF(A462="","",IF('Statements (Raw)'!G460="","",'Statements (Raw)'!G460))</f>
        <v/>
      </c>
      <c r="I462" s="10" t="str">
        <f>IF(A462="","",IF('Statements (Raw)'!H460="","",'Statements (Raw)'!H460))</f>
        <v/>
      </c>
      <c r="J462" s="10">
        <f>IF(A462="",0,IF('Statements (Raw)'!I460="",0,'Statements (Raw)'!I460))</f>
        <v>0</v>
      </c>
      <c r="K462" s="10" t="str">
        <f t="shared" si="15"/>
        <v/>
      </c>
    </row>
    <row r="463" spans="1:11" x14ac:dyDescent="0.3">
      <c r="A463" s="171" t="str">
        <f>IF(OR('Statements (Raw)'!A461="",'Statements (Raw)'!A461&gt;Holdings!$G$3),"",'Statements (Raw)'!A461)</f>
        <v/>
      </c>
      <c r="B463" s="7" t="str">
        <f>IF(A463="","",IF('Statements (Raw)'!B461="","",'Statements (Raw)'!B461))</f>
        <v/>
      </c>
      <c r="C463" s="6" t="str">
        <f>IF(A463="","",IF('Statements (Raw)'!C461&lt;&gt;"",'Statements (Raw)'!C461,IF(ISNUMBER(SEARCH("Conferimento",'Statements (Raw)'!D461)),"CASH DEPOSIT",IF(ISNUMBER(SEARCH("Prelievo",'Statements (Raw)'!D461)),"CASH WITHDRAWAL",IF(ISNUMBER(SEARCH("Bollo",'Statements (Raw)'!D461)),"STAMP DUTY",IF(ISNUMBER(SEARCH("Tobin Tax",'Statements (Raw)'!D461)),"TOBIN TAX",IF(ISNUMBER(SEARCH("Rit.provento",'Statements (Raw)'!D461)),"WITHHOLDING TAX",IF(ISNUMBER(SEARCH("Incasso Dividendi",'Statements (Raw)'!D461)),"DIVIDEND",IF(ISNUMBER(SEARCH("Cedola",'Statements (Raw)'!D461)),"COUPON",IF(ISNUMBER(SEARCH("Ratei Pass",'Statements (Raw)'!D461)),"ACCRUED INT",IF(ISNUMBER(SEARCH("Interessi Prest",'Statements (Raw)'!D461)),"SEC LENDING",IF(ISNUMBER(SEARCH("Rimborso",'Statements (Raw)'!D461)),"REDEMPTION",IF(ISNUMBER(SEARCH("Provento",'Statements (Raw)'!D461)),"DISTRIBUTION","OTHER")))))))))))))</f>
        <v/>
      </c>
      <c r="D463" s="6" t="str">
        <f>IF(A463="","",IF(C463="Saldo Iniziale","Balance",IF(C463="CASH DEPOSIT","Deposit",IF(C463="CASH WITHDRAWAL","Withdrawal",IF(C463="STAMP DUTY","Tax",IF(C463="TOBIN TAX","Tax",IF(C463="WITHHOLDING TAX","Tax",IF(C463="DIVIDEND","Dividend",IF(C463="COUPON","Coupon",IF(C463="ACCRUED INT","Accrued Int.",IF(C463="SEC LENDING","Sec. Lending",IF(C463="REDEMPTION","Redemption",IF(C463="DISTRIBUTION","Distribution",IF(ISNUMBER(SEARCH("Rimborso",'Statements (Raw)'!D461)),"Redemption",IF(ISNUMBER(SEARCH("Cedola",'Statements (Raw)'!D461)),"Coupon",IF(ISNUMBER(SEARCH("Incasso Dividendi",'Statements (Raw)'!D461)),"Dividend",IF(ISNUMBER(SEARCH("Provento Etf",'Statements (Raw)'!D461)),"Distribution",IF(ISNUMBER(SEARCH("Rit.provento",'Statements (Raw)'!D461)),"Tax",IF(ISNUMBER(SEARCH("Ratei Pass",'Statements (Raw)'!D461)),"Accrued Int.",IF(ISNUMBER(SEARCH("Interessi Prest",'Statements (Raw)'!D461)),"Sec. Lending",IF('Statements (Raw)'!G461="","Other",IF('Statements (Raw)'!G461&gt;0,"Buy","Sell"))))))))))))))))))))))</f>
        <v/>
      </c>
      <c r="E463" s="6" t="str">
        <f t="shared" si="14"/>
        <v/>
      </c>
      <c r="F463" s="8" t="str">
        <f>IF(A463="","",IF('Statements (Raw)'!E461="","",'Statements (Raw)'!E461))</f>
        <v/>
      </c>
      <c r="G463" s="6" t="str">
        <f>IF(A463="","",IF('Statements (Raw)'!F461="","",'Statements (Raw)'!F461))</f>
        <v/>
      </c>
      <c r="H463" s="9" t="str">
        <f>IF(A463="","",IF('Statements (Raw)'!G461="","",'Statements (Raw)'!G461))</f>
        <v/>
      </c>
      <c r="I463" s="10" t="str">
        <f>IF(A463="","",IF('Statements (Raw)'!H461="","",'Statements (Raw)'!H461))</f>
        <v/>
      </c>
      <c r="J463" s="10">
        <f>IF(A463="",0,IF('Statements (Raw)'!I461="",0,'Statements (Raw)'!I461))</f>
        <v>0</v>
      </c>
      <c r="K463" s="10" t="str">
        <f t="shared" si="15"/>
        <v/>
      </c>
    </row>
    <row r="464" spans="1:11" x14ac:dyDescent="0.3">
      <c r="A464" s="171" t="str">
        <f>IF(OR('Statements (Raw)'!A462="",'Statements (Raw)'!A462&gt;Holdings!$G$3),"",'Statements (Raw)'!A462)</f>
        <v/>
      </c>
      <c r="B464" s="7" t="str">
        <f>IF(A464="","",IF('Statements (Raw)'!B462="","",'Statements (Raw)'!B462))</f>
        <v/>
      </c>
      <c r="C464" s="6" t="str">
        <f>IF(A464="","",IF('Statements (Raw)'!C462&lt;&gt;"",'Statements (Raw)'!C462,IF(ISNUMBER(SEARCH("Conferimento",'Statements (Raw)'!D462)),"CASH DEPOSIT",IF(ISNUMBER(SEARCH("Prelievo",'Statements (Raw)'!D462)),"CASH WITHDRAWAL",IF(ISNUMBER(SEARCH("Bollo",'Statements (Raw)'!D462)),"STAMP DUTY",IF(ISNUMBER(SEARCH("Tobin Tax",'Statements (Raw)'!D462)),"TOBIN TAX",IF(ISNUMBER(SEARCH("Rit.provento",'Statements (Raw)'!D462)),"WITHHOLDING TAX",IF(ISNUMBER(SEARCH("Incasso Dividendi",'Statements (Raw)'!D462)),"DIVIDEND",IF(ISNUMBER(SEARCH("Cedola",'Statements (Raw)'!D462)),"COUPON",IF(ISNUMBER(SEARCH("Ratei Pass",'Statements (Raw)'!D462)),"ACCRUED INT",IF(ISNUMBER(SEARCH("Interessi Prest",'Statements (Raw)'!D462)),"SEC LENDING",IF(ISNUMBER(SEARCH("Rimborso",'Statements (Raw)'!D462)),"REDEMPTION",IF(ISNUMBER(SEARCH("Provento",'Statements (Raw)'!D462)),"DISTRIBUTION","OTHER")))))))))))))</f>
        <v/>
      </c>
      <c r="D464" s="6" t="str">
        <f>IF(A464="","",IF(C464="Saldo Iniziale","Balance",IF(C464="CASH DEPOSIT","Deposit",IF(C464="CASH WITHDRAWAL","Withdrawal",IF(C464="STAMP DUTY","Tax",IF(C464="TOBIN TAX","Tax",IF(C464="WITHHOLDING TAX","Tax",IF(C464="DIVIDEND","Dividend",IF(C464="COUPON","Coupon",IF(C464="ACCRUED INT","Accrued Int.",IF(C464="SEC LENDING","Sec. Lending",IF(C464="REDEMPTION","Redemption",IF(C464="DISTRIBUTION","Distribution",IF(ISNUMBER(SEARCH("Rimborso",'Statements (Raw)'!D462)),"Redemption",IF(ISNUMBER(SEARCH("Cedola",'Statements (Raw)'!D462)),"Coupon",IF(ISNUMBER(SEARCH("Incasso Dividendi",'Statements (Raw)'!D462)),"Dividend",IF(ISNUMBER(SEARCH("Provento Etf",'Statements (Raw)'!D462)),"Distribution",IF(ISNUMBER(SEARCH("Rit.provento",'Statements (Raw)'!D462)),"Tax",IF(ISNUMBER(SEARCH("Ratei Pass",'Statements (Raw)'!D462)),"Accrued Int.",IF(ISNUMBER(SEARCH("Interessi Prest",'Statements (Raw)'!D462)),"Sec. Lending",IF('Statements (Raw)'!G462="","Other",IF('Statements (Raw)'!G462&gt;0,"Buy","Sell"))))))))))))))))))))))</f>
        <v/>
      </c>
      <c r="E464" s="6" t="str">
        <f t="shared" si="14"/>
        <v/>
      </c>
      <c r="F464" s="8" t="str">
        <f>IF(A464="","",IF('Statements (Raw)'!E462="","",'Statements (Raw)'!E462))</f>
        <v/>
      </c>
      <c r="G464" s="6" t="str">
        <f>IF(A464="","",IF('Statements (Raw)'!F462="","",'Statements (Raw)'!F462))</f>
        <v/>
      </c>
      <c r="H464" s="9" t="str">
        <f>IF(A464="","",IF('Statements (Raw)'!G462="","",'Statements (Raw)'!G462))</f>
        <v/>
      </c>
      <c r="I464" s="10" t="str">
        <f>IF(A464="","",IF('Statements (Raw)'!H462="","",'Statements (Raw)'!H462))</f>
        <v/>
      </c>
      <c r="J464" s="10">
        <f>IF(A464="",0,IF('Statements (Raw)'!I462="",0,'Statements (Raw)'!I462))</f>
        <v>0</v>
      </c>
      <c r="K464" s="10" t="str">
        <f t="shared" si="15"/>
        <v/>
      </c>
    </row>
    <row r="465" spans="1:11" x14ac:dyDescent="0.3">
      <c r="A465" s="171" t="str">
        <f>IF(OR('Statements (Raw)'!A463="",'Statements (Raw)'!A463&gt;Holdings!$G$3),"",'Statements (Raw)'!A463)</f>
        <v/>
      </c>
      <c r="B465" s="7" t="str">
        <f>IF(A465="","",IF('Statements (Raw)'!B463="","",'Statements (Raw)'!B463))</f>
        <v/>
      </c>
      <c r="C465" s="6" t="str">
        <f>IF(A465="","",IF('Statements (Raw)'!C463&lt;&gt;"",'Statements (Raw)'!C463,IF(ISNUMBER(SEARCH("Conferimento",'Statements (Raw)'!D463)),"CASH DEPOSIT",IF(ISNUMBER(SEARCH("Prelievo",'Statements (Raw)'!D463)),"CASH WITHDRAWAL",IF(ISNUMBER(SEARCH("Bollo",'Statements (Raw)'!D463)),"STAMP DUTY",IF(ISNUMBER(SEARCH("Tobin Tax",'Statements (Raw)'!D463)),"TOBIN TAX",IF(ISNUMBER(SEARCH("Rit.provento",'Statements (Raw)'!D463)),"WITHHOLDING TAX",IF(ISNUMBER(SEARCH("Incasso Dividendi",'Statements (Raw)'!D463)),"DIVIDEND",IF(ISNUMBER(SEARCH("Cedola",'Statements (Raw)'!D463)),"COUPON",IF(ISNUMBER(SEARCH("Ratei Pass",'Statements (Raw)'!D463)),"ACCRUED INT",IF(ISNUMBER(SEARCH("Interessi Prest",'Statements (Raw)'!D463)),"SEC LENDING",IF(ISNUMBER(SEARCH("Rimborso",'Statements (Raw)'!D463)),"REDEMPTION",IF(ISNUMBER(SEARCH("Provento",'Statements (Raw)'!D463)),"DISTRIBUTION","OTHER")))))))))))))</f>
        <v/>
      </c>
      <c r="D465" s="6" t="str">
        <f>IF(A465="","",IF(C465="Saldo Iniziale","Balance",IF(C465="CASH DEPOSIT","Deposit",IF(C465="CASH WITHDRAWAL","Withdrawal",IF(C465="STAMP DUTY","Tax",IF(C465="TOBIN TAX","Tax",IF(C465="WITHHOLDING TAX","Tax",IF(C465="DIVIDEND","Dividend",IF(C465="COUPON","Coupon",IF(C465="ACCRUED INT","Accrued Int.",IF(C465="SEC LENDING","Sec. Lending",IF(C465="REDEMPTION","Redemption",IF(C465="DISTRIBUTION","Distribution",IF(ISNUMBER(SEARCH("Rimborso",'Statements (Raw)'!D463)),"Redemption",IF(ISNUMBER(SEARCH("Cedola",'Statements (Raw)'!D463)),"Coupon",IF(ISNUMBER(SEARCH("Incasso Dividendi",'Statements (Raw)'!D463)),"Dividend",IF(ISNUMBER(SEARCH("Provento Etf",'Statements (Raw)'!D463)),"Distribution",IF(ISNUMBER(SEARCH("Rit.provento",'Statements (Raw)'!D463)),"Tax",IF(ISNUMBER(SEARCH("Ratei Pass",'Statements (Raw)'!D463)),"Accrued Int.",IF(ISNUMBER(SEARCH("Interessi Prest",'Statements (Raw)'!D463)),"Sec. Lending",IF('Statements (Raw)'!G463="","Other",IF('Statements (Raw)'!G463&gt;0,"Buy","Sell"))))))))))))))))))))))</f>
        <v/>
      </c>
      <c r="E465" s="6" t="str">
        <f t="shared" si="14"/>
        <v/>
      </c>
      <c r="F465" s="8" t="str">
        <f>IF(A465="","",IF('Statements (Raw)'!E463="","",'Statements (Raw)'!E463))</f>
        <v/>
      </c>
      <c r="G465" s="6" t="str">
        <f>IF(A465="","",IF('Statements (Raw)'!F463="","",'Statements (Raw)'!F463))</f>
        <v/>
      </c>
      <c r="H465" s="9" t="str">
        <f>IF(A465="","",IF('Statements (Raw)'!G463="","",'Statements (Raw)'!G463))</f>
        <v/>
      </c>
      <c r="I465" s="10" t="str">
        <f>IF(A465="","",IF('Statements (Raw)'!H463="","",'Statements (Raw)'!H463))</f>
        <v/>
      </c>
      <c r="J465" s="10">
        <f>IF(A465="",0,IF('Statements (Raw)'!I463="",0,'Statements (Raw)'!I463))</f>
        <v>0</v>
      </c>
      <c r="K465" s="10" t="str">
        <f t="shared" si="15"/>
        <v/>
      </c>
    </row>
    <row r="466" spans="1:11" x14ac:dyDescent="0.3">
      <c r="A466" s="171" t="str">
        <f>IF(OR('Statements (Raw)'!A464="",'Statements (Raw)'!A464&gt;Holdings!$G$3),"",'Statements (Raw)'!A464)</f>
        <v/>
      </c>
      <c r="B466" s="7" t="str">
        <f>IF(A466="","",IF('Statements (Raw)'!B464="","",'Statements (Raw)'!B464))</f>
        <v/>
      </c>
      <c r="C466" s="6" t="str">
        <f>IF(A466="","",IF('Statements (Raw)'!C464&lt;&gt;"",'Statements (Raw)'!C464,IF(ISNUMBER(SEARCH("Conferimento",'Statements (Raw)'!D464)),"CASH DEPOSIT",IF(ISNUMBER(SEARCH("Prelievo",'Statements (Raw)'!D464)),"CASH WITHDRAWAL",IF(ISNUMBER(SEARCH("Bollo",'Statements (Raw)'!D464)),"STAMP DUTY",IF(ISNUMBER(SEARCH("Tobin Tax",'Statements (Raw)'!D464)),"TOBIN TAX",IF(ISNUMBER(SEARCH("Rit.provento",'Statements (Raw)'!D464)),"WITHHOLDING TAX",IF(ISNUMBER(SEARCH("Incasso Dividendi",'Statements (Raw)'!D464)),"DIVIDEND",IF(ISNUMBER(SEARCH("Cedola",'Statements (Raw)'!D464)),"COUPON",IF(ISNUMBER(SEARCH("Ratei Pass",'Statements (Raw)'!D464)),"ACCRUED INT",IF(ISNUMBER(SEARCH("Interessi Prest",'Statements (Raw)'!D464)),"SEC LENDING",IF(ISNUMBER(SEARCH("Rimborso",'Statements (Raw)'!D464)),"REDEMPTION",IF(ISNUMBER(SEARCH("Provento",'Statements (Raw)'!D464)),"DISTRIBUTION","OTHER")))))))))))))</f>
        <v/>
      </c>
      <c r="D466" s="6" t="str">
        <f>IF(A466="","",IF(C466="Saldo Iniziale","Balance",IF(C466="CASH DEPOSIT","Deposit",IF(C466="CASH WITHDRAWAL","Withdrawal",IF(C466="STAMP DUTY","Tax",IF(C466="TOBIN TAX","Tax",IF(C466="WITHHOLDING TAX","Tax",IF(C466="DIVIDEND","Dividend",IF(C466="COUPON","Coupon",IF(C466="ACCRUED INT","Accrued Int.",IF(C466="SEC LENDING","Sec. Lending",IF(C466="REDEMPTION","Redemption",IF(C466="DISTRIBUTION","Distribution",IF(ISNUMBER(SEARCH("Rimborso",'Statements (Raw)'!D464)),"Redemption",IF(ISNUMBER(SEARCH("Cedola",'Statements (Raw)'!D464)),"Coupon",IF(ISNUMBER(SEARCH("Incasso Dividendi",'Statements (Raw)'!D464)),"Dividend",IF(ISNUMBER(SEARCH("Provento Etf",'Statements (Raw)'!D464)),"Distribution",IF(ISNUMBER(SEARCH("Rit.provento",'Statements (Raw)'!D464)),"Tax",IF(ISNUMBER(SEARCH("Ratei Pass",'Statements (Raw)'!D464)),"Accrued Int.",IF(ISNUMBER(SEARCH("Interessi Prest",'Statements (Raw)'!D464)),"Sec. Lending",IF('Statements (Raw)'!G464="","Other",IF('Statements (Raw)'!G464&gt;0,"Buy","Sell"))))))))))))))))))))))</f>
        <v/>
      </c>
      <c r="E466" s="6" t="str">
        <f t="shared" si="14"/>
        <v/>
      </c>
      <c r="F466" s="8" t="str">
        <f>IF(A466="","",IF('Statements (Raw)'!E464="","",'Statements (Raw)'!E464))</f>
        <v/>
      </c>
      <c r="G466" s="6" t="str">
        <f>IF(A466="","",IF('Statements (Raw)'!F464="","",'Statements (Raw)'!F464))</f>
        <v/>
      </c>
      <c r="H466" s="9" t="str">
        <f>IF(A466="","",IF('Statements (Raw)'!G464="","",'Statements (Raw)'!G464))</f>
        <v/>
      </c>
      <c r="I466" s="10" t="str">
        <f>IF(A466="","",IF('Statements (Raw)'!H464="","",'Statements (Raw)'!H464))</f>
        <v/>
      </c>
      <c r="J466" s="10">
        <f>IF(A466="",0,IF('Statements (Raw)'!I464="",0,'Statements (Raw)'!I464))</f>
        <v>0</v>
      </c>
      <c r="K466" s="10" t="str">
        <f t="shared" si="15"/>
        <v/>
      </c>
    </row>
    <row r="467" spans="1:11" x14ac:dyDescent="0.3">
      <c r="A467" s="171" t="str">
        <f>IF(OR('Statements (Raw)'!A465="",'Statements (Raw)'!A465&gt;Holdings!$G$3),"",'Statements (Raw)'!A465)</f>
        <v/>
      </c>
      <c r="B467" s="7" t="str">
        <f>IF(A467="","",IF('Statements (Raw)'!B465="","",'Statements (Raw)'!B465))</f>
        <v/>
      </c>
      <c r="C467" s="6" t="str">
        <f>IF(A467="","",IF('Statements (Raw)'!C465&lt;&gt;"",'Statements (Raw)'!C465,IF(ISNUMBER(SEARCH("Conferimento",'Statements (Raw)'!D465)),"CASH DEPOSIT",IF(ISNUMBER(SEARCH("Prelievo",'Statements (Raw)'!D465)),"CASH WITHDRAWAL",IF(ISNUMBER(SEARCH("Bollo",'Statements (Raw)'!D465)),"STAMP DUTY",IF(ISNUMBER(SEARCH("Tobin Tax",'Statements (Raw)'!D465)),"TOBIN TAX",IF(ISNUMBER(SEARCH("Rit.provento",'Statements (Raw)'!D465)),"WITHHOLDING TAX",IF(ISNUMBER(SEARCH("Incasso Dividendi",'Statements (Raw)'!D465)),"DIVIDEND",IF(ISNUMBER(SEARCH("Cedola",'Statements (Raw)'!D465)),"COUPON",IF(ISNUMBER(SEARCH("Ratei Pass",'Statements (Raw)'!D465)),"ACCRUED INT",IF(ISNUMBER(SEARCH("Interessi Prest",'Statements (Raw)'!D465)),"SEC LENDING",IF(ISNUMBER(SEARCH("Rimborso",'Statements (Raw)'!D465)),"REDEMPTION",IF(ISNUMBER(SEARCH("Provento",'Statements (Raw)'!D465)),"DISTRIBUTION","OTHER")))))))))))))</f>
        <v/>
      </c>
      <c r="D467" s="6" t="str">
        <f>IF(A467="","",IF(C467="Saldo Iniziale","Balance",IF(C467="CASH DEPOSIT","Deposit",IF(C467="CASH WITHDRAWAL","Withdrawal",IF(C467="STAMP DUTY","Tax",IF(C467="TOBIN TAX","Tax",IF(C467="WITHHOLDING TAX","Tax",IF(C467="DIVIDEND","Dividend",IF(C467="COUPON","Coupon",IF(C467="ACCRUED INT","Accrued Int.",IF(C467="SEC LENDING","Sec. Lending",IF(C467="REDEMPTION","Redemption",IF(C467="DISTRIBUTION","Distribution",IF(ISNUMBER(SEARCH("Rimborso",'Statements (Raw)'!D465)),"Redemption",IF(ISNUMBER(SEARCH("Cedola",'Statements (Raw)'!D465)),"Coupon",IF(ISNUMBER(SEARCH("Incasso Dividendi",'Statements (Raw)'!D465)),"Dividend",IF(ISNUMBER(SEARCH("Provento Etf",'Statements (Raw)'!D465)),"Distribution",IF(ISNUMBER(SEARCH("Rit.provento",'Statements (Raw)'!D465)),"Tax",IF(ISNUMBER(SEARCH("Ratei Pass",'Statements (Raw)'!D465)),"Accrued Int.",IF(ISNUMBER(SEARCH("Interessi Prest",'Statements (Raw)'!D465)),"Sec. Lending",IF('Statements (Raw)'!G465="","Other",IF('Statements (Raw)'!G465&gt;0,"Buy","Sell"))))))))))))))))))))))</f>
        <v/>
      </c>
      <c r="E467" s="6" t="str">
        <f t="shared" si="14"/>
        <v/>
      </c>
      <c r="F467" s="8" t="str">
        <f>IF(A467="","",IF('Statements (Raw)'!E465="","",'Statements (Raw)'!E465))</f>
        <v/>
      </c>
      <c r="G467" s="6" t="str">
        <f>IF(A467="","",IF('Statements (Raw)'!F465="","",'Statements (Raw)'!F465))</f>
        <v/>
      </c>
      <c r="H467" s="9" t="str">
        <f>IF(A467="","",IF('Statements (Raw)'!G465="","",'Statements (Raw)'!G465))</f>
        <v/>
      </c>
      <c r="I467" s="10" t="str">
        <f>IF(A467="","",IF('Statements (Raw)'!H465="","",'Statements (Raw)'!H465))</f>
        <v/>
      </c>
      <c r="J467" s="10">
        <f>IF(A467="",0,IF('Statements (Raw)'!I465="",0,'Statements (Raw)'!I465))</f>
        <v>0</v>
      </c>
      <c r="K467" s="10" t="str">
        <f t="shared" si="15"/>
        <v/>
      </c>
    </row>
    <row r="468" spans="1:11" x14ac:dyDescent="0.3">
      <c r="A468" s="171" t="str">
        <f>IF(OR('Statements (Raw)'!A466="",'Statements (Raw)'!A466&gt;Holdings!$G$3),"",'Statements (Raw)'!A466)</f>
        <v/>
      </c>
      <c r="B468" s="7" t="str">
        <f>IF(A468="","",IF('Statements (Raw)'!B466="","",'Statements (Raw)'!B466))</f>
        <v/>
      </c>
      <c r="C468" s="6" t="str">
        <f>IF(A468="","",IF('Statements (Raw)'!C466&lt;&gt;"",'Statements (Raw)'!C466,IF(ISNUMBER(SEARCH("Conferimento",'Statements (Raw)'!D466)),"CASH DEPOSIT",IF(ISNUMBER(SEARCH("Prelievo",'Statements (Raw)'!D466)),"CASH WITHDRAWAL",IF(ISNUMBER(SEARCH("Bollo",'Statements (Raw)'!D466)),"STAMP DUTY",IF(ISNUMBER(SEARCH("Tobin Tax",'Statements (Raw)'!D466)),"TOBIN TAX",IF(ISNUMBER(SEARCH("Rit.provento",'Statements (Raw)'!D466)),"WITHHOLDING TAX",IF(ISNUMBER(SEARCH("Incasso Dividendi",'Statements (Raw)'!D466)),"DIVIDEND",IF(ISNUMBER(SEARCH("Cedola",'Statements (Raw)'!D466)),"COUPON",IF(ISNUMBER(SEARCH("Ratei Pass",'Statements (Raw)'!D466)),"ACCRUED INT",IF(ISNUMBER(SEARCH("Interessi Prest",'Statements (Raw)'!D466)),"SEC LENDING",IF(ISNUMBER(SEARCH("Rimborso",'Statements (Raw)'!D466)),"REDEMPTION",IF(ISNUMBER(SEARCH("Provento",'Statements (Raw)'!D466)),"DISTRIBUTION","OTHER")))))))))))))</f>
        <v/>
      </c>
      <c r="D468" s="6" t="str">
        <f>IF(A468="","",IF(C468="Saldo Iniziale","Balance",IF(C468="CASH DEPOSIT","Deposit",IF(C468="CASH WITHDRAWAL","Withdrawal",IF(C468="STAMP DUTY","Tax",IF(C468="TOBIN TAX","Tax",IF(C468="WITHHOLDING TAX","Tax",IF(C468="DIVIDEND","Dividend",IF(C468="COUPON","Coupon",IF(C468="ACCRUED INT","Accrued Int.",IF(C468="SEC LENDING","Sec. Lending",IF(C468="REDEMPTION","Redemption",IF(C468="DISTRIBUTION","Distribution",IF(ISNUMBER(SEARCH("Rimborso",'Statements (Raw)'!D466)),"Redemption",IF(ISNUMBER(SEARCH("Cedola",'Statements (Raw)'!D466)),"Coupon",IF(ISNUMBER(SEARCH("Incasso Dividendi",'Statements (Raw)'!D466)),"Dividend",IF(ISNUMBER(SEARCH("Provento Etf",'Statements (Raw)'!D466)),"Distribution",IF(ISNUMBER(SEARCH("Rit.provento",'Statements (Raw)'!D466)),"Tax",IF(ISNUMBER(SEARCH("Ratei Pass",'Statements (Raw)'!D466)),"Accrued Int.",IF(ISNUMBER(SEARCH("Interessi Prest",'Statements (Raw)'!D466)),"Sec. Lending",IF('Statements (Raw)'!G466="","Other",IF('Statements (Raw)'!G466&gt;0,"Buy","Sell"))))))))))))))))))))))</f>
        <v/>
      </c>
      <c r="E468" s="6" t="str">
        <f t="shared" si="14"/>
        <v/>
      </c>
      <c r="F468" s="8" t="str">
        <f>IF(A468="","",IF('Statements (Raw)'!E466="","",'Statements (Raw)'!E466))</f>
        <v/>
      </c>
      <c r="G468" s="6" t="str">
        <f>IF(A468="","",IF('Statements (Raw)'!F466="","",'Statements (Raw)'!F466))</f>
        <v/>
      </c>
      <c r="H468" s="9" t="str">
        <f>IF(A468="","",IF('Statements (Raw)'!G466="","",'Statements (Raw)'!G466))</f>
        <v/>
      </c>
      <c r="I468" s="10" t="str">
        <f>IF(A468="","",IF('Statements (Raw)'!H466="","",'Statements (Raw)'!H466))</f>
        <v/>
      </c>
      <c r="J468" s="10">
        <f>IF(A468="",0,IF('Statements (Raw)'!I466="",0,'Statements (Raw)'!I466))</f>
        <v>0</v>
      </c>
      <c r="K468" s="10" t="str">
        <f t="shared" si="15"/>
        <v/>
      </c>
    </row>
    <row r="469" spans="1:11" x14ac:dyDescent="0.3">
      <c r="A469" s="171" t="str">
        <f>IF(OR('Statements (Raw)'!A467="",'Statements (Raw)'!A467&gt;Holdings!$G$3),"",'Statements (Raw)'!A467)</f>
        <v/>
      </c>
      <c r="B469" s="7" t="str">
        <f>IF(A469="","",IF('Statements (Raw)'!B467="","",'Statements (Raw)'!B467))</f>
        <v/>
      </c>
      <c r="C469" s="6" t="str">
        <f>IF(A469="","",IF('Statements (Raw)'!C467&lt;&gt;"",'Statements (Raw)'!C467,IF(ISNUMBER(SEARCH("Conferimento",'Statements (Raw)'!D467)),"CASH DEPOSIT",IF(ISNUMBER(SEARCH("Prelievo",'Statements (Raw)'!D467)),"CASH WITHDRAWAL",IF(ISNUMBER(SEARCH("Bollo",'Statements (Raw)'!D467)),"STAMP DUTY",IF(ISNUMBER(SEARCH("Tobin Tax",'Statements (Raw)'!D467)),"TOBIN TAX",IF(ISNUMBER(SEARCH("Rit.provento",'Statements (Raw)'!D467)),"WITHHOLDING TAX",IF(ISNUMBER(SEARCH("Incasso Dividendi",'Statements (Raw)'!D467)),"DIVIDEND",IF(ISNUMBER(SEARCH("Cedola",'Statements (Raw)'!D467)),"COUPON",IF(ISNUMBER(SEARCH("Ratei Pass",'Statements (Raw)'!D467)),"ACCRUED INT",IF(ISNUMBER(SEARCH("Interessi Prest",'Statements (Raw)'!D467)),"SEC LENDING",IF(ISNUMBER(SEARCH("Rimborso",'Statements (Raw)'!D467)),"REDEMPTION",IF(ISNUMBER(SEARCH("Provento",'Statements (Raw)'!D467)),"DISTRIBUTION","OTHER")))))))))))))</f>
        <v/>
      </c>
      <c r="D469" s="6" t="str">
        <f>IF(A469="","",IF(C469="Saldo Iniziale","Balance",IF(C469="CASH DEPOSIT","Deposit",IF(C469="CASH WITHDRAWAL","Withdrawal",IF(C469="STAMP DUTY","Tax",IF(C469="TOBIN TAX","Tax",IF(C469="WITHHOLDING TAX","Tax",IF(C469="DIVIDEND","Dividend",IF(C469="COUPON","Coupon",IF(C469="ACCRUED INT","Accrued Int.",IF(C469="SEC LENDING","Sec. Lending",IF(C469="REDEMPTION","Redemption",IF(C469="DISTRIBUTION","Distribution",IF(ISNUMBER(SEARCH("Rimborso",'Statements (Raw)'!D467)),"Redemption",IF(ISNUMBER(SEARCH("Cedola",'Statements (Raw)'!D467)),"Coupon",IF(ISNUMBER(SEARCH("Incasso Dividendi",'Statements (Raw)'!D467)),"Dividend",IF(ISNUMBER(SEARCH("Provento Etf",'Statements (Raw)'!D467)),"Distribution",IF(ISNUMBER(SEARCH("Rit.provento",'Statements (Raw)'!D467)),"Tax",IF(ISNUMBER(SEARCH("Ratei Pass",'Statements (Raw)'!D467)),"Accrued Int.",IF(ISNUMBER(SEARCH("Interessi Prest",'Statements (Raw)'!D467)),"Sec. Lending",IF('Statements (Raw)'!G467="","Other",IF('Statements (Raw)'!G467&gt;0,"Buy","Sell"))))))))))))))))))))))</f>
        <v/>
      </c>
      <c r="E469" s="6" t="str">
        <f t="shared" si="14"/>
        <v/>
      </c>
      <c r="F469" s="8" t="str">
        <f>IF(A469="","",IF('Statements (Raw)'!E467="","",'Statements (Raw)'!E467))</f>
        <v/>
      </c>
      <c r="G469" s="6" t="str">
        <f>IF(A469="","",IF('Statements (Raw)'!F467="","",'Statements (Raw)'!F467))</f>
        <v/>
      </c>
      <c r="H469" s="9" t="str">
        <f>IF(A469="","",IF('Statements (Raw)'!G467="","",'Statements (Raw)'!G467))</f>
        <v/>
      </c>
      <c r="I469" s="10" t="str">
        <f>IF(A469="","",IF('Statements (Raw)'!H467="","",'Statements (Raw)'!H467))</f>
        <v/>
      </c>
      <c r="J469" s="10">
        <f>IF(A469="",0,IF('Statements (Raw)'!I467="",0,'Statements (Raw)'!I467))</f>
        <v>0</v>
      </c>
      <c r="K469" s="10" t="str">
        <f t="shared" si="15"/>
        <v/>
      </c>
    </row>
    <row r="470" spans="1:11" x14ac:dyDescent="0.3">
      <c r="A470" s="171" t="str">
        <f>IF(OR('Statements (Raw)'!A468="",'Statements (Raw)'!A468&gt;Holdings!$G$3),"",'Statements (Raw)'!A468)</f>
        <v/>
      </c>
      <c r="B470" s="7" t="str">
        <f>IF(A470="","",IF('Statements (Raw)'!B468="","",'Statements (Raw)'!B468))</f>
        <v/>
      </c>
      <c r="C470" s="6" t="str">
        <f>IF(A470="","",IF('Statements (Raw)'!C468&lt;&gt;"",'Statements (Raw)'!C468,IF(ISNUMBER(SEARCH("Conferimento",'Statements (Raw)'!D468)),"CASH DEPOSIT",IF(ISNUMBER(SEARCH("Prelievo",'Statements (Raw)'!D468)),"CASH WITHDRAWAL",IF(ISNUMBER(SEARCH("Bollo",'Statements (Raw)'!D468)),"STAMP DUTY",IF(ISNUMBER(SEARCH("Tobin Tax",'Statements (Raw)'!D468)),"TOBIN TAX",IF(ISNUMBER(SEARCH("Rit.provento",'Statements (Raw)'!D468)),"WITHHOLDING TAX",IF(ISNUMBER(SEARCH("Incasso Dividendi",'Statements (Raw)'!D468)),"DIVIDEND",IF(ISNUMBER(SEARCH("Cedola",'Statements (Raw)'!D468)),"COUPON",IF(ISNUMBER(SEARCH("Ratei Pass",'Statements (Raw)'!D468)),"ACCRUED INT",IF(ISNUMBER(SEARCH("Interessi Prest",'Statements (Raw)'!D468)),"SEC LENDING",IF(ISNUMBER(SEARCH("Rimborso",'Statements (Raw)'!D468)),"REDEMPTION",IF(ISNUMBER(SEARCH("Provento",'Statements (Raw)'!D468)),"DISTRIBUTION","OTHER")))))))))))))</f>
        <v/>
      </c>
      <c r="D470" s="6" t="str">
        <f>IF(A470="","",IF(C470="Saldo Iniziale","Balance",IF(C470="CASH DEPOSIT","Deposit",IF(C470="CASH WITHDRAWAL","Withdrawal",IF(C470="STAMP DUTY","Tax",IF(C470="TOBIN TAX","Tax",IF(C470="WITHHOLDING TAX","Tax",IF(C470="DIVIDEND","Dividend",IF(C470="COUPON","Coupon",IF(C470="ACCRUED INT","Accrued Int.",IF(C470="SEC LENDING","Sec. Lending",IF(C470="REDEMPTION","Redemption",IF(C470="DISTRIBUTION","Distribution",IF(ISNUMBER(SEARCH("Rimborso",'Statements (Raw)'!D468)),"Redemption",IF(ISNUMBER(SEARCH("Cedola",'Statements (Raw)'!D468)),"Coupon",IF(ISNUMBER(SEARCH("Incasso Dividendi",'Statements (Raw)'!D468)),"Dividend",IF(ISNUMBER(SEARCH("Provento Etf",'Statements (Raw)'!D468)),"Distribution",IF(ISNUMBER(SEARCH("Rit.provento",'Statements (Raw)'!D468)),"Tax",IF(ISNUMBER(SEARCH("Ratei Pass",'Statements (Raw)'!D468)),"Accrued Int.",IF(ISNUMBER(SEARCH("Interessi Prest",'Statements (Raw)'!D468)),"Sec. Lending",IF('Statements (Raw)'!G468="","Other",IF('Statements (Raw)'!G468&gt;0,"Buy","Sell"))))))))))))))))))))))</f>
        <v/>
      </c>
      <c r="E470" s="6" t="str">
        <f t="shared" si="14"/>
        <v/>
      </c>
      <c r="F470" s="8" t="str">
        <f>IF(A470="","",IF('Statements (Raw)'!E468="","",'Statements (Raw)'!E468))</f>
        <v/>
      </c>
      <c r="G470" s="6" t="str">
        <f>IF(A470="","",IF('Statements (Raw)'!F468="","",'Statements (Raw)'!F468))</f>
        <v/>
      </c>
      <c r="H470" s="9" t="str">
        <f>IF(A470="","",IF('Statements (Raw)'!G468="","",'Statements (Raw)'!G468))</f>
        <v/>
      </c>
      <c r="I470" s="10" t="str">
        <f>IF(A470="","",IF('Statements (Raw)'!H468="","",'Statements (Raw)'!H468))</f>
        <v/>
      </c>
      <c r="J470" s="10">
        <f>IF(A470="",0,IF('Statements (Raw)'!I468="",0,'Statements (Raw)'!I468))</f>
        <v>0</v>
      </c>
      <c r="K470" s="10" t="str">
        <f t="shared" si="15"/>
        <v/>
      </c>
    </row>
    <row r="471" spans="1:11" x14ac:dyDescent="0.3">
      <c r="A471" s="171" t="str">
        <f>IF(OR('Statements (Raw)'!A469="",'Statements (Raw)'!A469&gt;Holdings!$G$3),"",'Statements (Raw)'!A469)</f>
        <v/>
      </c>
      <c r="B471" s="7" t="str">
        <f>IF(A471="","",IF('Statements (Raw)'!B469="","",'Statements (Raw)'!B469))</f>
        <v/>
      </c>
      <c r="C471" s="6" t="str">
        <f>IF(A471="","",IF('Statements (Raw)'!C469&lt;&gt;"",'Statements (Raw)'!C469,IF(ISNUMBER(SEARCH("Conferimento",'Statements (Raw)'!D469)),"CASH DEPOSIT",IF(ISNUMBER(SEARCH("Prelievo",'Statements (Raw)'!D469)),"CASH WITHDRAWAL",IF(ISNUMBER(SEARCH("Bollo",'Statements (Raw)'!D469)),"STAMP DUTY",IF(ISNUMBER(SEARCH("Tobin Tax",'Statements (Raw)'!D469)),"TOBIN TAX",IF(ISNUMBER(SEARCH("Rit.provento",'Statements (Raw)'!D469)),"WITHHOLDING TAX",IF(ISNUMBER(SEARCH("Incasso Dividendi",'Statements (Raw)'!D469)),"DIVIDEND",IF(ISNUMBER(SEARCH("Cedola",'Statements (Raw)'!D469)),"COUPON",IF(ISNUMBER(SEARCH("Ratei Pass",'Statements (Raw)'!D469)),"ACCRUED INT",IF(ISNUMBER(SEARCH("Interessi Prest",'Statements (Raw)'!D469)),"SEC LENDING",IF(ISNUMBER(SEARCH("Rimborso",'Statements (Raw)'!D469)),"REDEMPTION",IF(ISNUMBER(SEARCH("Provento",'Statements (Raw)'!D469)),"DISTRIBUTION","OTHER")))))))))))))</f>
        <v/>
      </c>
      <c r="D471" s="6" t="str">
        <f>IF(A471="","",IF(C471="Saldo Iniziale","Balance",IF(C471="CASH DEPOSIT","Deposit",IF(C471="CASH WITHDRAWAL","Withdrawal",IF(C471="STAMP DUTY","Tax",IF(C471="TOBIN TAX","Tax",IF(C471="WITHHOLDING TAX","Tax",IF(C471="DIVIDEND","Dividend",IF(C471="COUPON","Coupon",IF(C471="ACCRUED INT","Accrued Int.",IF(C471="SEC LENDING","Sec. Lending",IF(C471="REDEMPTION","Redemption",IF(C471="DISTRIBUTION","Distribution",IF(ISNUMBER(SEARCH("Rimborso",'Statements (Raw)'!D469)),"Redemption",IF(ISNUMBER(SEARCH("Cedola",'Statements (Raw)'!D469)),"Coupon",IF(ISNUMBER(SEARCH("Incasso Dividendi",'Statements (Raw)'!D469)),"Dividend",IF(ISNUMBER(SEARCH("Provento Etf",'Statements (Raw)'!D469)),"Distribution",IF(ISNUMBER(SEARCH("Rit.provento",'Statements (Raw)'!D469)),"Tax",IF(ISNUMBER(SEARCH("Ratei Pass",'Statements (Raw)'!D469)),"Accrued Int.",IF(ISNUMBER(SEARCH("Interessi Prest",'Statements (Raw)'!D469)),"Sec. Lending",IF('Statements (Raw)'!G469="","Other",IF('Statements (Raw)'!G469&gt;0,"Buy","Sell"))))))))))))))))))))))</f>
        <v/>
      </c>
      <c r="E471" s="6" t="str">
        <f t="shared" si="14"/>
        <v/>
      </c>
      <c r="F471" s="8" t="str">
        <f>IF(A471="","",IF('Statements (Raw)'!E469="","",'Statements (Raw)'!E469))</f>
        <v/>
      </c>
      <c r="G471" s="6" t="str">
        <f>IF(A471="","",IF('Statements (Raw)'!F469="","",'Statements (Raw)'!F469))</f>
        <v/>
      </c>
      <c r="H471" s="9" t="str">
        <f>IF(A471="","",IF('Statements (Raw)'!G469="","",'Statements (Raw)'!G469))</f>
        <v/>
      </c>
      <c r="I471" s="10" t="str">
        <f>IF(A471="","",IF('Statements (Raw)'!H469="","",'Statements (Raw)'!H469))</f>
        <v/>
      </c>
      <c r="J471" s="10">
        <f>IF(A471="",0,IF('Statements (Raw)'!I469="",0,'Statements (Raw)'!I469))</f>
        <v>0</v>
      </c>
      <c r="K471" s="10" t="str">
        <f t="shared" si="15"/>
        <v/>
      </c>
    </row>
    <row r="472" spans="1:11" x14ac:dyDescent="0.3">
      <c r="A472" s="171" t="str">
        <f>IF(OR('Statements (Raw)'!A470="",'Statements (Raw)'!A470&gt;Holdings!$G$3),"",'Statements (Raw)'!A470)</f>
        <v/>
      </c>
      <c r="B472" s="7" t="str">
        <f>IF(A472="","",IF('Statements (Raw)'!B470="","",'Statements (Raw)'!B470))</f>
        <v/>
      </c>
      <c r="C472" s="6" t="str">
        <f>IF(A472="","",IF('Statements (Raw)'!C470&lt;&gt;"",'Statements (Raw)'!C470,IF(ISNUMBER(SEARCH("Conferimento",'Statements (Raw)'!D470)),"CASH DEPOSIT",IF(ISNUMBER(SEARCH("Prelievo",'Statements (Raw)'!D470)),"CASH WITHDRAWAL",IF(ISNUMBER(SEARCH("Bollo",'Statements (Raw)'!D470)),"STAMP DUTY",IF(ISNUMBER(SEARCH("Tobin Tax",'Statements (Raw)'!D470)),"TOBIN TAX",IF(ISNUMBER(SEARCH("Rit.provento",'Statements (Raw)'!D470)),"WITHHOLDING TAX",IF(ISNUMBER(SEARCH("Incasso Dividendi",'Statements (Raw)'!D470)),"DIVIDEND",IF(ISNUMBER(SEARCH("Cedola",'Statements (Raw)'!D470)),"COUPON",IF(ISNUMBER(SEARCH("Ratei Pass",'Statements (Raw)'!D470)),"ACCRUED INT",IF(ISNUMBER(SEARCH("Interessi Prest",'Statements (Raw)'!D470)),"SEC LENDING",IF(ISNUMBER(SEARCH("Rimborso",'Statements (Raw)'!D470)),"REDEMPTION",IF(ISNUMBER(SEARCH("Provento",'Statements (Raw)'!D470)),"DISTRIBUTION","OTHER")))))))))))))</f>
        <v/>
      </c>
      <c r="D472" s="6" t="str">
        <f>IF(A472="","",IF(C472="Saldo Iniziale","Balance",IF(C472="CASH DEPOSIT","Deposit",IF(C472="CASH WITHDRAWAL","Withdrawal",IF(C472="STAMP DUTY","Tax",IF(C472="TOBIN TAX","Tax",IF(C472="WITHHOLDING TAX","Tax",IF(C472="DIVIDEND","Dividend",IF(C472="COUPON","Coupon",IF(C472="ACCRUED INT","Accrued Int.",IF(C472="SEC LENDING","Sec. Lending",IF(C472="REDEMPTION","Redemption",IF(C472="DISTRIBUTION","Distribution",IF(ISNUMBER(SEARCH("Rimborso",'Statements (Raw)'!D470)),"Redemption",IF(ISNUMBER(SEARCH("Cedola",'Statements (Raw)'!D470)),"Coupon",IF(ISNUMBER(SEARCH("Incasso Dividendi",'Statements (Raw)'!D470)),"Dividend",IF(ISNUMBER(SEARCH("Provento Etf",'Statements (Raw)'!D470)),"Distribution",IF(ISNUMBER(SEARCH("Rit.provento",'Statements (Raw)'!D470)),"Tax",IF(ISNUMBER(SEARCH("Ratei Pass",'Statements (Raw)'!D470)),"Accrued Int.",IF(ISNUMBER(SEARCH("Interessi Prest",'Statements (Raw)'!D470)),"Sec. Lending",IF('Statements (Raw)'!G470="","Other",IF('Statements (Raw)'!G470&gt;0,"Buy","Sell"))))))))))))))))))))))</f>
        <v/>
      </c>
      <c r="E472" s="6" t="str">
        <f t="shared" si="14"/>
        <v/>
      </c>
      <c r="F472" s="8" t="str">
        <f>IF(A472="","",IF('Statements (Raw)'!E470="","",'Statements (Raw)'!E470))</f>
        <v/>
      </c>
      <c r="G472" s="6" t="str">
        <f>IF(A472="","",IF('Statements (Raw)'!F470="","",'Statements (Raw)'!F470))</f>
        <v/>
      </c>
      <c r="H472" s="9" t="str">
        <f>IF(A472="","",IF('Statements (Raw)'!G470="","",'Statements (Raw)'!G470))</f>
        <v/>
      </c>
      <c r="I472" s="10" t="str">
        <f>IF(A472="","",IF('Statements (Raw)'!H470="","",'Statements (Raw)'!H470))</f>
        <v/>
      </c>
      <c r="J472" s="10">
        <f>IF(A472="",0,IF('Statements (Raw)'!I470="",0,'Statements (Raw)'!I470))</f>
        <v>0</v>
      </c>
      <c r="K472" s="10" t="str">
        <f t="shared" si="15"/>
        <v/>
      </c>
    </row>
    <row r="473" spans="1:11" x14ac:dyDescent="0.3">
      <c r="A473" s="171" t="str">
        <f>IF(OR('Statements (Raw)'!A471="",'Statements (Raw)'!A471&gt;Holdings!$G$3),"",'Statements (Raw)'!A471)</f>
        <v/>
      </c>
      <c r="B473" s="7" t="str">
        <f>IF(A473="","",IF('Statements (Raw)'!B471="","",'Statements (Raw)'!B471))</f>
        <v/>
      </c>
      <c r="C473" s="6" t="str">
        <f>IF(A473="","",IF('Statements (Raw)'!C471&lt;&gt;"",'Statements (Raw)'!C471,IF(ISNUMBER(SEARCH("Conferimento",'Statements (Raw)'!D471)),"CASH DEPOSIT",IF(ISNUMBER(SEARCH("Prelievo",'Statements (Raw)'!D471)),"CASH WITHDRAWAL",IF(ISNUMBER(SEARCH("Bollo",'Statements (Raw)'!D471)),"STAMP DUTY",IF(ISNUMBER(SEARCH("Tobin Tax",'Statements (Raw)'!D471)),"TOBIN TAX",IF(ISNUMBER(SEARCH("Rit.provento",'Statements (Raw)'!D471)),"WITHHOLDING TAX",IF(ISNUMBER(SEARCH("Incasso Dividendi",'Statements (Raw)'!D471)),"DIVIDEND",IF(ISNUMBER(SEARCH("Cedola",'Statements (Raw)'!D471)),"COUPON",IF(ISNUMBER(SEARCH("Ratei Pass",'Statements (Raw)'!D471)),"ACCRUED INT",IF(ISNUMBER(SEARCH("Interessi Prest",'Statements (Raw)'!D471)),"SEC LENDING",IF(ISNUMBER(SEARCH("Rimborso",'Statements (Raw)'!D471)),"REDEMPTION",IF(ISNUMBER(SEARCH("Provento",'Statements (Raw)'!D471)),"DISTRIBUTION","OTHER")))))))))))))</f>
        <v/>
      </c>
      <c r="D473" s="6" t="str">
        <f>IF(A473="","",IF(C473="Saldo Iniziale","Balance",IF(C473="CASH DEPOSIT","Deposit",IF(C473="CASH WITHDRAWAL","Withdrawal",IF(C473="STAMP DUTY","Tax",IF(C473="TOBIN TAX","Tax",IF(C473="WITHHOLDING TAX","Tax",IF(C473="DIVIDEND","Dividend",IF(C473="COUPON","Coupon",IF(C473="ACCRUED INT","Accrued Int.",IF(C473="SEC LENDING","Sec. Lending",IF(C473="REDEMPTION","Redemption",IF(C473="DISTRIBUTION","Distribution",IF(ISNUMBER(SEARCH("Rimborso",'Statements (Raw)'!D471)),"Redemption",IF(ISNUMBER(SEARCH("Cedola",'Statements (Raw)'!D471)),"Coupon",IF(ISNUMBER(SEARCH("Incasso Dividendi",'Statements (Raw)'!D471)),"Dividend",IF(ISNUMBER(SEARCH("Provento Etf",'Statements (Raw)'!D471)),"Distribution",IF(ISNUMBER(SEARCH("Rit.provento",'Statements (Raw)'!D471)),"Tax",IF(ISNUMBER(SEARCH("Ratei Pass",'Statements (Raw)'!D471)),"Accrued Int.",IF(ISNUMBER(SEARCH("Interessi Prest",'Statements (Raw)'!D471)),"Sec. Lending",IF('Statements (Raw)'!G471="","Other",IF('Statements (Raw)'!G471&gt;0,"Buy","Sell"))))))))))))))))))))))</f>
        <v/>
      </c>
      <c r="E473" s="6" t="str">
        <f t="shared" si="14"/>
        <v/>
      </c>
      <c r="F473" s="8" t="str">
        <f>IF(A473="","",IF('Statements (Raw)'!E471="","",'Statements (Raw)'!E471))</f>
        <v/>
      </c>
      <c r="G473" s="6" t="str">
        <f>IF(A473="","",IF('Statements (Raw)'!F471="","",'Statements (Raw)'!F471))</f>
        <v/>
      </c>
      <c r="H473" s="9" t="str">
        <f>IF(A473="","",IF('Statements (Raw)'!G471="","",'Statements (Raw)'!G471))</f>
        <v/>
      </c>
      <c r="I473" s="10" t="str">
        <f>IF(A473="","",IF('Statements (Raw)'!H471="","",'Statements (Raw)'!H471))</f>
        <v/>
      </c>
      <c r="J473" s="10">
        <f>IF(A473="",0,IF('Statements (Raw)'!I471="",0,'Statements (Raw)'!I471))</f>
        <v>0</v>
      </c>
      <c r="K473" s="10" t="str">
        <f t="shared" si="15"/>
        <v/>
      </c>
    </row>
    <row r="474" spans="1:11" x14ac:dyDescent="0.3">
      <c r="A474" s="171" t="str">
        <f>IF(OR('Statements (Raw)'!A472="",'Statements (Raw)'!A472&gt;Holdings!$G$3),"",'Statements (Raw)'!A472)</f>
        <v/>
      </c>
      <c r="B474" s="7" t="str">
        <f>IF(A474="","",IF('Statements (Raw)'!B472="","",'Statements (Raw)'!B472))</f>
        <v/>
      </c>
      <c r="C474" s="6" t="str">
        <f>IF(A474="","",IF('Statements (Raw)'!C472&lt;&gt;"",'Statements (Raw)'!C472,IF(ISNUMBER(SEARCH("Conferimento",'Statements (Raw)'!D472)),"CASH DEPOSIT",IF(ISNUMBER(SEARCH("Prelievo",'Statements (Raw)'!D472)),"CASH WITHDRAWAL",IF(ISNUMBER(SEARCH("Bollo",'Statements (Raw)'!D472)),"STAMP DUTY",IF(ISNUMBER(SEARCH("Tobin Tax",'Statements (Raw)'!D472)),"TOBIN TAX",IF(ISNUMBER(SEARCH("Rit.provento",'Statements (Raw)'!D472)),"WITHHOLDING TAX",IF(ISNUMBER(SEARCH("Incasso Dividendi",'Statements (Raw)'!D472)),"DIVIDEND",IF(ISNUMBER(SEARCH("Cedola",'Statements (Raw)'!D472)),"COUPON",IF(ISNUMBER(SEARCH("Ratei Pass",'Statements (Raw)'!D472)),"ACCRUED INT",IF(ISNUMBER(SEARCH("Interessi Prest",'Statements (Raw)'!D472)),"SEC LENDING",IF(ISNUMBER(SEARCH("Rimborso",'Statements (Raw)'!D472)),"REDEMPTION",IF(ISNUMBER(SEARCH("Provento",'Statements (Raw)'!D472)),"DISTRIBUTION","OTHER")))))))))))))</f>
        <v/>
      </c>
      <c r="D474" s="6" t="str">
        <f>IF(A474="","",IF(C474="Saldo Iniziale","Balance",IF(C474="CASH DEPOSIT","Deposit",IF(C474="CASH WITHDRAWAL","Withdrawal",IF(C474="STAMP DUTY","Tax",IF(C474="TOBIN TAX","Tax",IF(C474="WITHHOLDING TAX","Tax",IF(C474="DIVIDEND","Dividend",IF(C474="COUPON","Coupon",IF(C474="ACCRUED INT","Accrued Int.",IF(C474="SEC LENDING","Sec. Lending",IF(C474="REDEMPTION","Redemption",IF(C474="DISTRIBUTION","Distribution",IF(ISNUMBER(SEARCH("Rimborso",'Statements (Raw)'!D472)),"Redemption",IF(ISNUMBER(SEARCH("Cedola",'Statements (Raw)'!D472)),"Coupon",IF(ISNUMBER(SEARCH("Incasso Dividendi",'Statements (Raw)'!D472)),"Dividend",IF(ISNUMBER(SEARCH("Provento Etf",'Statements (Raw)'!D472)),"Distribution",IF(ISNUMBER(SEARCH("Rit.provento",'Statements (Raw)'!D472)),"Tax",IF(ISNUMBER(SEARCH("Ratei Pass",'Statements (Raw)'!D472)),"Accrued Int.",IF(ISNUMBER(SEARCH("Interessi Prest",'Statements (Raw)'!D472)),"Sec. Lending",IF('Statements (Raw)'!G472="","Other",IF('Statements (Raw)'!G472&gt;0,"Buy","Sell"))))))))))))))))))))))</f>
        <v/>
      </c>
      <c r="E474" s="6" t="str">
        <f t="shared" si="14"/>
        <v/>
      </c>
      <c r="F474" s="8" t="str">
        <f>IF(A474="","",IF('Statements (Raw)'!E472="","",'Statements (Raw)'!E472))</f>
        <v/>
      </c>
      <c r="G474" s="6" t="str">
        <f>IF(A474="","",IF('Statements (Raw)'!F472="","",'Statements (Raw)'!F472))</f>
        <v/>
      </c>
      <c r="H474" s="9" t="str">
        <f>IF(A474="","",IF('Statements (Raw)'!G472="","",'Statements (Raw)'!G472))</f>
        <v/>
      </c>
      <c r="I474" s="10" t="str">
        <f>IF(A474="","",IF('Statements (Raw)'!H472="","",'Statements (Raw)'!H472))</f>
        <v/>
      </c>
      <c r="J474" s="10">
        <f>IF(A474="",0,IF('Statements (Raw)'!I472="",0,'Statements (Raw)'!I472))</f>
        <v>0</v>
      </c>
      <c r="K474" s="10" t="str">
        <f t="shared" si="15"/>
        <v/>
      </c>
    </row>
    <row r="475" spans="1:11" x14ac:dyDescent="0.3">
      <c r="A475" s="171" t="str">
        <f>IF(OR('Statements (Raw)'!A473="",'Statements (Raw)'!A473&gt;Holdings!$G$3),"",'Statements (Raw)'!A473)</f>
        <v/>
      </c>
      <c r="B475" s="7" t="str">
        <f>IF(A475="","",IF('Statements (Raw)'!B473="","",'Statements (Raw)'!B473))</f>
        <v/>
      </c>
      <c r="C475" s="6" t="str">
        <f>IF(A475="","",IF('Statements (Raw)'!C473&lt;&gt;"",'Statements (Raw)'!C473,IF(ISNUMBER(SEARCH("Conferimento",'Statements (Raw)'!D473)),"CASH DEPOSIT",IF(ISNUMBER(SEARCH("Prelievo",'Statements (Raw)'!D473)),"CASH WITHDRAWAL",IF(ISNUMBER(SEARCH("Bollo",'Statements (Raw)'!D473)),"STAMP DUTY",IF(ISNUMBER(SEARCH("Tobin Tax",'Statements (Raw)'!D473)),"TOBIN TAX",IF(ISNUMBER(SEARCH("Rit.provento",'Statements (Raw)'!D473)),"WITHHOLDING TAX",IF(ISNUMBER(SEARCH("Incasso Dividendi",'Statements (Raw)'!D473)),"DIVIDEND",IF(ISNUMBER(SEARCH("Cedola",'Statements (Raw)'!D473)),"COUPON",IF(ISNUMBER(SEARCH("Ratei Pass",'Statements (Raw)'!D473)),"ACCRUED INT",IF(ISNUMBER(SEARCH("Interessi Prest",'Statements (Raw)'!D473)),"SEC LENDING",IF(ISNUMBER(SEARCH("Rimborso",'Statements (Raw)'!D473)),"REDEMPTION",IF(ISNUMBER(SEARCH("Provento",'Statements (Raw)'!D473)),"DISTRIBUTION","OTHER")))))))))))))</f>
        <v/>
      </c>
      <c r="D475" s="6" t="str">
        <f>IF(A475="","",IF(C475="Saldo Iniziale","Balance",IF(C475="CASH DEPOSIT","Deposit",IF(C475="CASH WITHDRAWAL","Withdrawal",IF(C475="STAMP DUTY","Tax",IF(C475="TOBIN TAX","Tax",IF(C475="WITHHOLDING TAX","Tax",IF(C475="DIVIDEND","Dividend",IF(C475="COUPON","Coupon",IF(C475="ACCRUED INT","Accrued Int.",IF(C475="SEC LENDING","Sec. Lending",IF(C475="REDEMPTION","Redemption",IF(C475="DISTRIBUTION","Distribution",IF(ISNUMBER(SEARCH("Rimborso",'Statements (Raw)'!D473)),"Redemption",IF(ISNUMBER(SEARCH("Cedola",'Statements (Raw)'!D473)),"Coupon",IF(ISNUMBER(SEARCH("Incasso Dividendi",'Statements (Raw)'!D473)),"Dividend",IF(ISNUMBER(SEARCH("Provento Etf",'Statements (Raw)'!D473)),"Distribution",IF(ISNUMBER(SEARCH("Rit.provento",'Statements (Raw)'!D473)),"Tax",IF(ISNUMBER(SEARCH("Ratei Pass",'Statements (Raw)'!D473)),"Accrued Int.",IF(ISNUMBER(SEARCH("Interessi Prest",'Statements (Raw)'!D473)),"Sec. Lending",IF('Statements (Raw)'!G473="","Other",IF('Statements (Raw)'!G473&gt;0,"Buy","Sell"))))))))))))))))))))))</f>
        <v/>
      </c>
      <c r="E475" s="6" t="str">
        <f t="shared" si="14"/>
        <v/>
      </c>
      <c r="F475" s="8" t="str">
        <f>IF(A475="","",IF('Statements (Raw)'!E473="","",'Statements (Raw)'!E473))</f>
        <v/>
      </c>
      <c r="G475" s="6" t="str">
        <f>IF(A475="","",IF('Statements (Raw)'!F473="","",'Statements (Raw)'!F473))</f>
        <v/>
      </c>
      <c r="H475" s="9" t="str">
        <f>IF(A475="","",IF('Statements (Raw)'!G473="","",'Statements (Raw)'!G473))</f>
        <v/>
      </c>
      <c r="I475" s="10" t="str">
        <f>IF(A475="","",IF('Statements (Raw)'!H473="","",'Statements (Raw)'!H473))</f>
        <v/>
      </c>
      <c r="J475" s="10">
        <f>IF(A475="",0,IF('Statements (Raw)'!I473="",0,'Statements (Raw)'!I473))</f>
        <v>0</v>
      </c>
      <c r="K475" s="10" t="str">
        <f t="shared" si="15"/>
        <v/>
      </c>
    </row>
    <row r="476" spans="1:11" x14ac:dyDescent="0.3">
      <c r="A476" s="171" t="str">
        <f>IF(OR('Statements (Raw)'!A474="",'Statements (Raw)'!A474&gt;Holdings!$G$3),"",'Statements (Raw)'!A474)</f>
        <v/>
      </c>
      <c r="B476" s="7" t="str">
        <f>IF(A476="","",IF('Statements (Raw)'!B474="","",'Statements (Raw)'!B474))</f>
        <v/>
      </c>
      <c r="C476" s="6" t="str">
        <f>IF(A476="","",IF('Statements (Raw)'!C474&lt;&gt;"",'Statements (Raw)'!C474,IF(ISNUMBER(SEARCH("Conferimento",'Statements (Raw)'!D474)),"CASH DEPOSIT",IF(ISNUMBER(SEARCH("Prelievo",'Statements (Raw)'!D474)),"CASH WITHDRAWAL",IF(ISNUMBER(SEARCH("Bollo",'Statements (Raw)'!D474)),"STAMP DUTY",IF(ISNUMBER(SEARCH("Tobin Tax",'Statements (Raw)'!D474)),"TOBIN TAX",IF(ISNUMBER(SEARCH("Rit.provento",'Statements (Raw)'!D474)),"WITHHOLDING TAX",IF(ISNUMBER(SEARCH("Incasso Dividendi",'Statements (Raw)'!D474)),"DIVIDEND",IF(ISNUMBER(SEARCH("Cedola",'Statements (Raw)'!D474)),"COUPON",IF(ISNUMBER(SEARCH("Ratei Pass",'Statements (Raw)'!D474)),"ACCRUED INT",IF(ISNUMBER(SEARCH("Interessi Prest",'Statements (Raw)'!D474)),"SEC LENDING",IF(ISNUMBER(SEARCH("Rimborso",'Statements (Raw)'!D474)),"REDEMPTION",IF(ISNUMBER(SEARCH("Provento",'Statements (Raw)'!D474)),"DISTRIBUTION","OTHER")))))))))))))</f>
        <v/>
      </c>
      <c r="D476" s="6" t="str">
        <f>IF(A476="","",IF(C476="Saldo Iniziale","Balance",IF(C476="CASH DEPOSIT","Deposit",IF(C476="CASH WITHDRAWAL","Withdrawal",IF(C476="STAMP DUTY","Tax",IF(C476="TOBIN TAX","Tax",IF(C476="WITHHOLDING TAX","Tax",IF(C476="DIVIDEND","Dividend",IF(C476="COUPON","Coupon",IF(C476="ACCRUED INT","Accrued Int.",IF(C476="SEC LENDING","Sec. Lending",IF(C476="REDEMPTION","Redemption",IF(C476="DISTRIBUTION","Distribution",IF(ISNUMBER(SEARCH("Rimborso",'Statements (Raw)'!D474)),"Redemption",IF(ISNUMBER(SEARCH("Cedola",'Statements (Raw)'!D474)),"Coupon",IF(ISNUMBER(SEARCH("Incasso Dividendi",'Statements (Raw)'!D474)),"Dividend",IF(ISNUMBER(SEARCH("Provento Etf",'Statements (Raw)'!D474)),"Distribution",IF(ISNUMBER(SEARCH("Rit.provento",'Statements (Raw)'!D474)),"Tax",IF(ISNUMBER(SEARCH("Ratei Pass",'Statements (Raw)'!D474)),"Accrued Int.",IF(ISNUMBER(SEARCH("Interessi Prest",'Statements (Raw)'!D474)),"Sec. Lending",IF('Statements (Raw)'!G474="","Other",IF('Statements (Raw)'!G474&gt;0,"Buy","Sell"))))))))))))))))))))))</f>
        <v/>
      </c>
      <c r="E476" s="6" t="str">
        <f t="shared" si="14"/>
        <v/>
      </c>
      <c r="F476" s="8" t="str">
        <f>IF(A476="","",IF('Statements (Raw)'!E474="","",'Statements (Raw)'!E474))</f>
        <v/>
      </c>
      <c r="G476" s="6" t="str">
        <f>IF(A476="","",IF('Statements (Raw)'!F474="","",'Statements (Raw)'!F474))</f>
        <v/>
      </c>
      <c r="H476" s="9" t="str">
        <f>IF(A476="","",IF('Statements (Raw)'!G474="","",'Statements (Raw)'!G474))</f>
        <v/>
      </c>
      <c r="I476" s="10" t="str">
        <f>IF(A476="","",IF('Statements (Raw)'!H474="","",'Statements (Raw)'!H474))</f>
        <v/>
      </c>
      <c r="J476" s="10">
        <f>IF(A476="",0,IF('Statements (Raw)'!I474="",0,'Statements (Raw)'!I474))</f>
        <v>0</v>
      </c>
      <c r="K476" s="10" t="str">
        <f t="shared" si="15"/>
        <v/>
      </c>
    </row>
    <row r="477" spans="1:11" x14ac:dyDescent="0.3">
      <c r="A477" s="171" t="str">
        <f>IF(OR('Statements (Raw)'!A475="",'Statements (Raw)'!A475&gt;Holdings!$G$3),"",'Statements (Raw)'!A475)</f>
        <v/>
      </c>
      <c r="B477" s="7" t="str">
        <f>IF(A477="","",IF('Statements (Raw)'!B475="","",'Statements (Raw)'!B475))</f>
        <v/>
      </c>
      <c r="C477" s="6" t="str">
        <f>IF(A477="","",IF('Statements (Raw)'!C475&lt;&gt;"",'Statements (Raw)'!C475,IF(ISNUMBER(SEARCH("Conferimento",'Statements (Raw)'!D475)),"CASH DEPOSIT",IF(ISNUMBER(SEARCH("Prelievo",'Statements (Raw)'!D475)),"CASH WITHDRAWAL",IF(ISNUMBER(SEARCH("Bollo",'Statements (Raw)'!D475)),"STAMP DUTY",IF(ISNUMBER(SEARCH("Tobin Tax",'Statements (Raw)'!D475)),"TOBIN TAX",IF(ISNUMBER(SEARCH("Rit.provento",'Statements (Raw)'!D475)),"WITHHOLDING TAX",IF(ISNUMBER(SEARCH("Incasso Dividendi",'Statements (Raw)'!D475)),"DIVIDEND",IF(ISNUMBER(SEARCH("Cedola",'Statements (Raw)'!D475)),"COUPON",IF(ISNUMBER(SEARCH("Ratei Pass",'Statements (Raw)'!D475)),"ACCRUED INT",IF(ISNUMBER(SEARCH("Interessi Prest",'Statements (Raw)'!D475)),"SEC LENDING",IF(ISNUMBER(SEARCH("Rimborso",'Statements (Raw)'!D475)),"REDEMPTION",IF(ISNUMBER(SEARCH("Provento",'Statements (Raw)'!D475)),"DISTRIBUTION","OTHER")))))))))))))</f>
        <v/>
      </c>
      <c r="D477" s="6" t="str">
        <f>IF(A477="","",IF(C477="Saldo Iniziale","Balance",IF(C477="CASH DEPOSIT","Deposit",IF(C477="CASH WITHDRAWAL","Withdrawal",IF(C477="STAMP DUTY","Tax",IF(C477="TOBIN TAX","Tax",IF(C477="WITHHOLDING TAX","Tax",IF(C477="DIVIDEND","Dividend",IF(C477="COUPON","Coupon",IF(C477="ACCRUED INT","Accrued Int.",IF(C477="SEC LENDING","Sec. Lending",IF(C477="REDEMPTION","Redemption",IF(C477="DISTRIBUTION","Distribution",IF(ISNUMBER(SEARCH("Rimborso",'Statements (Raw)'!D475)),"Redemption",IF(ISNUMBER(SEARCH("Cedola",'Statements (Raw)'!D475)),"Coupon",IF(ISNUMBER(SEARCH("Incasso Dividendi",'Statements (Raw)'!D475)),"Dividend",IF(ISNUMBER(SEARCH("Provento Etf",'Statements (Raw)'!D475)),"Distribution",IF(ISNUMBER(SEARCH("Rit.provento",'Statements (Raw)'!D475)),"Tax",IF(ISNUMBER(SEARCH("Ratei Pass",'Statements (Raw)'!D475)),"Accrued Int.",IF(ISNUMBER(SEARCH("Interessi Prest",'Statements (Raw)'!D475)),"Sec. Lending",IF('Statements (Raw)'!G475="","Other",IF('Statements (Raw)'!G475&gt;0,"Buy","Sell"))))))))))))))))))))))</f>
        <v/>
      </c>
      <c r="E477" s="6" t="str">
        <f t="shared" si="14"/>
        <v/>
      </c>
      <c r="F477" s="8" t="str">
        <f>IF(A477="","",IF('Statements (Raw)'!E475="","",'Statements (Raw)'!E475))</f>
        <v/>
      </c>
      <c r="G477" s="6" t="str">
        <f>IF(A477="","",IF('Statements (Raw)'!F475="","",'Statements (Raw)'!F475))</f>
        <v/>
      </c>
      <c r="H477" s="9" t="str">
        <f>IF(A477="","",IF('Statements (Raw)'!G475="","",'Statements (Raw)'!G475))</f>
        <v/>
      </c>
      <c r="I477" s="10" t="str">
        <f>IF(A477="","",IF('Statements (Raw)'!H475="","",'Statements (Raw)'!H475))</f>
        <v/>
      </c>
      <c r="J477" s="10">
        <f>IF(A477="",0,IF('Statements (Raw)'!I475="",0,'Statements (Raw)'!I475))</f>
        <v>0</v>
      </c>
      <c r="K477" s="10" t="str">
        <f t="shared" si="15"/>
        <v/>
      </c>
    </row>
    <row r="478" spans="1:11" x14ac:dyDescent="0.3">
      <c r="A478" s="171" t="str">
        <f>IF(OR('Statements (Raw)'!A476="",'Statements (Raw)'!A476&gt;Holdings!$G$3),"",'Statements (Raw)'!A476)</f>
        <v/>
      </c>
      <c r="B478" s="7" t="str">
        <f>IF(A478="","",IF('Statements (Raw)'!B476="","",'Statements (Raw)'!B476))</f>
        <v/>
      </c>
      <c r="C478" s="6" t="str">
        <f>IF(A478="","",IF('Statements (Raw)'!C476&lt;&gt;"",'Statements (Raw)'!C476,IF(ISNUMBER(SEARCH("Conferimento",'Statements (Raw)'!D476)),"CASH DEPOSIT",IF(ISNUMBER(SEARCH("Prelievo",'Statements (Raw)'!D476)),"CASH WITHDRAWAL",IF(ISNUMBER(SEARCH("Bollo",'Statements (Raw)'!D476)),"STAMP DUTY",IF(ISNUMBER(SEARCH("Tobin Tax",'Statements (Raw)'!D476)),"TOBIN TAX",IF(ISNUMBER(SEARCH("Rit.provento",'Statements (Raw)'!D476)),"WITHHOLDING TAX",IF(ISNUMBER(SEARCH("Incasso Dividendi",'Statements (Raw)'!D476)),"DIVIDEND",IF(ISNUMBER(SEARCH("Cedola",'Statements (Raw)'!D476)),"COUPON",IF(ISNUMBER(SEARCH("Ratei Pass",'Statements (Raw)'!D476)),"ACCRUED INT",IF(ISNUMBER(SEARCH("Interessi Prest",'Statements (Raw)'!D476)),"SEC LENDING",IF(ISNUMBER(SEARCH("Rimborso",'Statements (Raw)'!D476)),"REDEMPTION",IF(ISNUMBER(SEARCH("Provento",'Statements (Raw)'!D476)),"DISTRIBUTION","OTHER")))))))))))))</f>
        <v/>
      </c>
      <c r="D478" s="6" t="str">
        <f>IF(A478="","",IF(C478="Saldo Iniziale","Balance",IF(C478="CASH DEPOSIT","Deposit",IF(C478="CASH WITHDRAWAL","Withdrawal",IF(C478="STAMP DUTY","Tax",IF(C478="TOBIN TAX","Tax",IF(C478="WITHHOLDING TAX","Tax",IF(C478="DIVIDEND","Dividend",IF(C478="COUPON","Coupon",IF(C478="ACCRUED INT","Accrued Int.",IF(C478="SEC LENDING","Sec. Lending",IF(C478="REDEMPTION","Redemption",IF(C478="DISTRIBUTION","Distribution",IF(ISNUMBER(SEARCH("Rimborso",'Statements (Raw)'!D476)),"Redemption",IF(ISNUMBER(SEARCH("Cedola",'Statements (Raw)'!D476)),"Coupon",IF(ISNUMBER(SEARCH("Incasso Dividendi",'Statements (Raw)'!D476)),"Dividend",IF(ISNUMBER(SEARCH("Provento Etf",'Statements (Raw)'!D476)),"Distribution",IF(ISNUMBER(SEARCH("Rit.provento",'Statements (Raw)'!D476)),"Tax",IF(ISNUMBER(SEARCH("Ratei Pass",'Statements (Raw)'!D476)),"Accrued Int.",IF(ISNUMBER(SEARCH("Interessi Prest",'Statements (Raw)'!D476)),"Sec. Lending",IF('Statements (Raw)'!G476="","Other",IF('Statements (Raw)'!G476&gt;0,"Buy","Sell"))))))))))))))))))))))</f>
        <v/>
      </c>
      <c r="E478" s="6" t="str">
        <f t="shared" si="14"/>
        <v/>
      </c>
      <c r="F478" s="8" t="str">
        <f>IF(A478="","",IF('Statements (Raw)'!E476="","",'Statements (Raw)'!E476))</f>
        <v/>
      </c>
      <c r="G478" s="6" t="str">
        <f>IF(A478="","",IF('Statements (Raw)'!F476="","",'Statements (Raw)'!F476))</f>
        <v/>
      </c>
      <c r="H478" s="9" t="str">
        <f>IF(A478="","",IF('Statements (Raw)'!G476="","",'Statements (Raw)'!G476))</f>
        <v/>
      </c>
      <c r="I478" s="10" t="str">
        <f>IF(A478="","",IF('Statements (Raw)'!H476="","",'Statements (Raw)'!H476))</f>
        <v/>
      </c>
      <c r="J478" s="10">
        <f>IF(A478="",0,IF('Statements (Raw)'!I476="",0,'Statements (Raw)'!I476))</f>
        <v>0</v>
      </c>
      <c r="K478" s="10" t="str">
        <f t="shared" si="15"/>
        <v/>
      </c>
    </row>
    <row r="479" spans="1:11" x14ac:dyDescent="0.3">
      <c r="A479" s="171" t="str">
        <f>IF(OR('Statements (Raw)'!A477="",'Statements (Raw)'!A477&gt;Holdings!$G$3),"",'Statements (Raw)'!A477)</f>
        <v/>
      </c>
      <c r="B479" s="7" t="str">
        <f>IF(A479="","",IF('Statements (Raw)'!B477="","",'Statements (Raw)'!B477))</f>
        <v/>
      </c>
      <c r="C479" s="6" t="str">
        <f>IF(A479="","",IF('Statements (Raw)'!C477&lt;&gt;"",'Statements (Raw)'!C477,IF(ISNUMBER(SEARCH("Conferimento",'Statements (Raw)'!D477)),"CASH DEPOSIT",IF(ISNUMBER(SEARCH("Prelievo",'Statements (Raw)'!D477)),"CASH WITHDRAWAL",IF(ISNUMBER(SEARCH("Bollo",'Statements (Raw)'!D477)),"STAMP DUTY",IF(ISNUMBER(SEARCH("Tobin Tax",'Statements (Raw)'!D477)),"TOBIN TAX",IF(ISNUMBER(SEARCH("Rit.provento",'Statements (Raw)'!D477)),"WITHHOLDING TAX",IF(ISNUMBER(SEARCH("Incasso Dividendi",'Statements (Raw)'!D477)),"DIVIDEND",IF(ISNUMBER(SEARCH("Cedola",'Statements (Raw)'!D477)),"COUPON",IF(ISNUMBER(SEARCH("Ratei Pass",'Statements (Raw)'!D477)),"ACCRUED INT",IF(ISNUMBER(SEARCH("Interessi Prest",'Statements (Raw)'!D477)),"SEC LENDING",IF(ISNUMBER(SEARCH("Rimborso",'Statements (Raw)'!D477)),"REDEMPTION",IF(ISNUMBER(SEARCH("Provento",'Statements (Raw)'!D477)),"DISTRIBUTION","OTHER")))))))))))))</f>
        <v/>
      </c>
      <c r="D479" s="6" t="str">
        <f>IF(A479="","",IF(C479="Saldo Iniziale","Balance",IF(C479="CASH DEPOSIT","Deposit",IF(C479="CASH WITHDRAWAL","Withdrawal",IF(C479="STAMP DUTY","Tax",IF(C479="TOBIN TAX","Tax",IF(C479="WITHHOLDING TAX","Tax",IF(C479="DIVIDEND","Dividend",IF(C479="COUPON","Coupon",IF(C479="ACCRUED INT","Accrued Int.",IF(C479="SEC LENDING","Sec. Lending",IF(C479="REDEMPTION","Redemption",IF(C479="DISTRIBUTION","Distribution",IF(ISNUMBER(SEARCH("Rimborso",'Statements (Raw)'!D477)),"Redemption",IF(ISNUMBER(SEARCH("Cedola",'Statements (Raw)'!D477)),"Coupon",IF(ISNUMBER(SEARCH("Incasso Dividendi",'Statements (Raw)'!D477)),"Dividend",IF(ISNUMBER(SEARCH("Provento Etf",'Statements (Raw)'!D477)),"Distribution",IF(ISNUMBER(SEARCH("Rit.provento",'Statements (Raw)'!D477)),"Tax",IF(ISNUMBER(SEARCH("Ratei Pass",'Statements (Raw)'!D477)),"Accrued Int.",IF(ISNUMBER(SEARCH("Interessi Prest",'Statements (Raw)'!D477)),"Sec. Lending",IF('Statements (Raw)'!G477="","Other",IF('Statements (Raw)'!G477&gt;0,"Buy","Sell"))))))))))))))))))))))</f>
        <v/>
      </c>
      <c r="E479" s="6" t="str">
        <f t="shared" si="14"/>
        <v/>
      </c>
      <c r="F479" s="8" t="str">
        <f>IF(A479="","",IF('Statements (Raw)'!E477="","",'Statements (Raw)'!E477))</f>
        <v/>
      </c>
      <c r="G479" s="6" t="str">
        <f>IF(A479="","",IF('Statements (Raw)'!F477="","",'Statements (Raw)'!F477))</f>
        <v/>
      </c>
      <c r="H479" s="9" t="str">
        <f>IF(A479="","",IF('Statements (Raw)'!G477="","",'Statements (Raw)'!G477))</f>
        <v/>
      </c>
      <c r="I479" s="10" t="str">
        <f>IF(A479="","",IF('Statements (Raw)'!H477="","",'Statements (Raw)'!H477))</f>
        <v/>
      </c>
      <c r="J479" s="10">
        <f>IF(A479="",0,IF('Statements (Raw)'!I477="",0,'Statements (Raw)'!I477))</f>
        <v>0</v>
      </c>
      <c r="K479" s="10" t="str">
        <f t="shared" si="15"/>
        <v/>
      </c>
    </row>
    <row r="480" spans="1:11" x14ac:dyDescent="0.3">
      <c r="A480" s="171" t="str">
        <f>IF(OR('Statements (Raw)'!A478="",'Statements (Raw)'!A478&gt;Holdings!$G$3),"",'Statements (Raw)'!A478)</f>
        <v/>
      </c>
      <c r="B480" s="7" t="str">
        <f>IF(A480="","",IF('Statements (Raw)'!B478="","",'Statements (Raw)'!B478))</f>
        <v/>
      </c>
      <c r="C480" s="6" t="str">
        <f>IF(A480="","",IF('Statements (Raw)'!C478&lt;&gt;"",'Statements (Raw)'!C478,IF(ISNUMBER(SEARCH("Conferimento",'Statements (Raw)'!D478)),"CASH DEPOSIT",IF(ISNUMBER(SEARCH("Prelievo",'Statements (Raw)'!D478)),"CASH WITHDRAWAL",IF(ISNUMBER(SEARCH("Bollo",'Statements (Raw)'!D478)),"STAMP DUTY",IF(ISNUMBER(SEARCH("Tobin Tax",'Statements (Raw)'!D478)),"TOBIN TAX",IF(ISNUMBER(SEARCH("Rit.provento",'Statements (Raw)'!D478)),"WITHHOLDING TAX",IF(ISNUMBER(SEARCH("Incasso Dividendi",'Statements (Raw)'!D478)),"DIVIDEND",IF(ISNUMBER(SEARCH("Cedola",'Statements (Raw)'!D478)),"COUPON",IF(ISNUMBER(SEARCH("Ratei Pass",'Statements (Raw)'!D478)),"ACCRUED INT",IF(ISNUMBER(SEARCH("Interessi Prest",'Statements (Raw)'!D478)),"SEC LENDING",IF(ISNUMBER(SEARCH("Rimborso",'Statements (Raw)'!D478)),"REDEMPTION",IF(ISNUMBER(SEARCH("Provento",'Statements (Raw)'!D478)),"DISTRIBUTION","OTHER")))))))))))))</f>
        <v/>
      </c>
      <c r="D480" s="6" t="str">
        <f>IF(A480="","",IF(C480="Saldo Iniziale","Balance",IF(C480="CASH DEPOSIT","Deposit",IF(C480="CASH WITHDRAWAL","Withdrawal",IF(C480="STAMP DUTY","Tax",IF(C480="TOBIN TAX","Tax",IF(C480="WITHHOLDING TAX","Tax",IF(C480="DIVIDEND","Dividend",IF(C480="COUPON","Coupon",IF(C480="ACCRUED INT","Accrued Int.",IF(C480="SEC LENDING","Sec. Lending",IF(C480="REDEMPTION","Redemption",IF(C480="DISTRIBUTION","Distribution",IF(ISNUMBER(SEARCH("Rimborso",'Statements (Raw)'!D478)),"Redemption",IF(ISNUMBER(SEARCH("Cedola",'Statements (Raw)'!D478)),"Coupon",IF(ISNUMBER(SEARCH("Incasso Dividendi",'Statements (Raw)'!D478)),"Dividend",IF(ISNUMBER(SEARCH("Provento Etf",'Statements (Raw)'!D478)),"Distribution",IF(ISNUMBER(SEARCH("Rit.provento",'Statements (Raw)'!D478)),"Tax",IF(ISNUMBER(SEARCH("Ratei Pass",'Statements (Raw)'!D478)),"Accrued Int.",IF(ISNUMBER(SEARCH("Interessi Prest",'Statements (Raw)'!D478)),"Sec. Lending",IF('Statements (Raw)'!G478="","Other",IF('Statements (Raw)'!G478&gt;0,"Buy","Sell"))))))))))))))))))))))</f>
        <v/>
      </c>
      <c r="E480" s="6" t="str">
        <f t="shared" si="14"/>
        <v/>
      </c>
      <c r="F480" s="8" t="str">
        <f>IF(A480="","",IF('Statements (Raw)'!E478="","",'Statements (Raw)'!E478))</f>
        <v/>
      </c>
      <c r="G480" s="6" t="str">
        <f>IF(A480="","",IF('Statements (Raw)'!F478="","",'Statements (Raw)'!F478))</f>
        <v/>
      </c>
      <c r="H480" s="9" t="str">
        <f>IF(A480="","",IF('Statements (Raw)'!G478="","",'Statements (Raw)'!G478))</f>
        <v/>
      </c>
      <c r="I480" s="10" t="str">
        <f>IF(A480="","",IF('Statements (Raw)'!H478="","",'Statements (Raw)'!H478))</f>
        <v/>
      </c>
      <c r="J480" s="10">
        <f>IF(A480="",0,IF('Statements (Raw)'!I478="",0,'Statements (Raw)'!I478))</f>
        <v>0</v>
      </c>
      <c r="K480" s="10" t="str">
        <f t="shared" si="15"/>
        <v/>
      </c>
    </row>
    <row r="481" spans="1:11" x14ac:dyDescent="0.3">
      <c r="A481" s="171" t="str">
        <f>IF(OR('Statements (Raw)'!A479="",'Statements (Raw)'!A479&gt;Holdings!$G$3),"",'Statements (Raw)'!A479)</f>
        <v/>
      </c>
      <c r="B481" s="7" t="str">
        <f>IF(A481="","",IF('Statements (Raw)'!B479="","",'Statements (Raw)'!B479))</f>
        <v/>
      </c>
      <c r="C481" s="6" t="str">
        <f>IF(A481="","",IF('Statements (Raw)'!C479&lt;&gt;"",'Statements (Raw)'!C479,IF(ISNUMBER(SEARCH("Conferimento",'Statements (Raw)'!D479)),"CASH DEPOSIT",IF(ISNUMBER(SEARCH("Prelievo",'Statements (Raw)'!D479)),"CASH WITHDRAWAL",IF(ISNUMBER(SEARCH("Bollo",'Statements (Raw)'!D479)),"STAMP DUTY",IF(ISNUMBER(SEARCH("Tobin Tax",'Statements (Raw)'!D479)),"TOBIN TAX",IF(ISNUMBER(SEARCH("Rit.provento",'Statements (Raw)'!D479)),"WITHHOLDING TAX",IF(ISNUMBER(SEARCH("Incasso Dividendi",'Statements (Raw)'!D479)),"DIVIDEND",IF(ISNUMBER(SEARCH("Cedola",'Statements (Raw)'!D479)),"COUPON",IF(ISNUMBER(SEARCH("Ratei Pass",'Statements (Raw)'!D479)),"ACCRUED INT",IF(ISNUMBER(SEARCH("Interessi Prest",'Statements (Raw)'!D479)),"SEC LENDING",IF(ISNUMBER(SEARCH("Rimborso",'Statements (Raw)'!D479)),"REDEMPTION",IF(ISNUMBER(SEARCH("Provento",'Statements (Raw)'!D479)),"DISTRIBUTION","OTHER")))))))))))))</f>
        <v/>
      </c>
      <c r="D481" s="6" t="str">
        <f>IF(A481="","",IF(C481="Saldo Iniziale","Balance",IF(C481="CASH DEPOSIT","Deposit",IF(C481="CASH WITHDRAWAL","Withdrawal",IF(C481="STAMP DUTY","Tax",IF(C481="TOBIN TAX","Tax",IF(C481="WITHHOLDING TAX","Tax",IF(C481="DIVIDEND","Dividend",IF(C481="COUPON","Coupon",IF(C481="ACCRUED INT","Accrued Int.",IF(C481="SEC LENDING","Sec. Lending",IF(C481="REDEMPTION","Redemption",IF(C481="DISTRIBUTION","Distribution",IF(ISNUMBER(SEARCH("Rimborso",'Statements (Raw)'!D479)),"Redemption",IF(ISNUMBER(SEARCH("Cedola",'Statements (Raw)'!D479)),"Coupon",IF(ISNUMBER(SEARCH("Incasso Dividendi",'Statements (Raw)'!D479)),"Dividend",IF(ISNUMBER(SEARCH("Provento Etf",'Statements (Raw)'!D479)),"Distribution",IF(ISNUMBER(SEARCH("Rit.provento",'Statements (Raw)'!D479)),"Tax",IF(ISNUMBER(SEARCH("Ratei Pass",'Statements (Raw)'!D479)),"Accrued Int.",IF(ISNUMBER(SEARCH("Interessi Prest",'Statements (Raw)'!D479)),"Sec. Lending",IF('Statements (Raw)'!G479="","Other",IF('Statements (Raw)'!G479&gt;0,"Buy","Sell"))))))))))))))))))))))</f>
        <v/>
      </c>
      <c r="E481" s="6" t="str">
        <f t="shared" si="14"/>
        <v/>
      </c>
      <c r="F481" s="8" t="str">
        <f>IF(A481="","",IF('Statements (Raw)'!E479="","",'Statements (Raw)'!E479))</f>
        <v/>
      </c>
      <c r="G481" s="6" t="str">
        <f>IF(A481="","",IF('Statements (Raw)'!F479="","",'Statements (Raw)'!F479))</f>
        <v/>
      </c>
      <c r="H481" s="9" t="str">
        <f>IF(A481="","",IF('Statements (Raw)'!G479="","",'Statements (Raw)'!G479))</f>
        <v/>
      </c>
      <c r="I481" s="10" t="str">
        <f>IF(A481="","",IF('Statements (Raw)'!H479="","",'Statements (Raw)'!H479))</f>
        <v/>
      </c>
      <c r="J481" s="10">
        <f>IF(A481="",0,IF('Statements (Raw)'!I479="",0,'Statements (Raw)'!I479))</f>
        <v>0</v>
      </c>
      <c r="K481" s="10" t="str">
        <f t="shared" si="15"/>
        <v/>
      </c>
    </row>
    <row r="482" spans="1:11" x14ac:dyDescent="0.3">
      <c r="A482" s="171" t="str">
        <f>IF(OR('Statements (Raw)'!A480="",'Statements (Raw)'!A480&gt;Holdings!$G$3),"",'Statements (Raw)'!A480)</f>
        <v/>
      </c>
      <c r="B482" s="7" t="str">
        <f>IF(A482="","",IF('Statements (Raw)'!B480="","",'Statements (Raw)'!B480))</f>
        <v/>
      </c>
      <c r="C482" s="6" t="str">
        <f>IF(A482="","",IF('Statements (Raw)'!C480&lt;&gt;"",'Statements (Raw)'!C480,IF(ISNUMBER(SEARCH("Conferimento",'Statements (Raw)'!D480)),"CASH DEPOSIT",IF(ISNUMBER(SEARCH("Prelievo",'Statements (Raw)'!D480)),"CASH WITHDRAWAL",IF(ISNUMBER(SEARCH("Bollo",'Statements (Raw)'!D480)),"STAMP DUTY",IF(ISNUMBER(SEARCH("Tobin Tax",'Statements (Raw)'!D480)),"TOBIN TAX",IF(ISNUMBER(SEARCH("Rit.provento",'Statements (Raw)'!D480)),"WITHHOLDING TAX",IF(ISNUMBER(SEARCH("Incasso Dividendi",'Statements (Raw)'!D480)),"DIVIDEND",IF(ISNUMBER(SEARCH("Cedola",'Statements (Raw)'!D480)),"COUPON",IF(ISNUMBER(SEARCH("Ratei Pass",'Statements (Raw)'!D480)),"ACCRUED INT",IF(ISNUMBER(SEARCH("Interessi Prest",'Statements (Raw)'!D480)),"SEC LENDING",IF(ISNUMBER(SEARCH("Rimborso",'Statements (Raw)'!D480)),"REDEMPTION",IF(ISNUMBER(SEARCH("Provento",'Statements (Raw)'!D480)),"DISTRIBUTION","OTHER")))))))))))))</f>
        <v/>
      </c>
      <c r="D482" s="6" t="str">
        <f>IF(A482="","",IF(C482="Saldo Iniziale","Balance",IF(C482="CASH DEPOSIT","Deposit",IF(C482="CASH WITHDRAWAL","Withdrawal",IF(C482="STAMP DUTY","Tax",IF(C482="TOBIN TAX","Tax",IF(C482="WITHHOLDING TAX","Tax",IF(C482="DIVIDEND","Dividend",IF(C482="COUPON","Coupon",IF(C482="ACCRUED INT","Accrued Int.",IF(C482="SEC LENDING","Sec. Lending",IF(C482="REDEMPTION","Redemption",IF(C482="DISTRIBUTION","Distribution",IF(ISNUMBER(SEARCH("Rimborso",'Statements (Raw)'!D480)),"Redemption",IF(ISNUMBER(SEARCH("Cedola",'Statements (Raw)'!D480)),"Coupon",IF(ISNUMBER(SEARCH("Incasso Dividendi",'Statements (Raw)'!D480)),"Dividend",IF(ISNUMBER(SEARCH("Provento Etf",'Statements (Raw)'!D480)),"Distribution",IF(ISNUMBER(SEARCH("Rit.provento",'Statements (Raw)'!D480)),"Tax",IF(ISNUMBER(SEARCH("Ratei Pass",'Statements (Raw)'!D480)),"Accrued Int.",IF(ISNUMBER(SEARCH("Interessi Prest",'Statements (Raw)'!D480)),"Sec. Lending",IF('Statements (Raw)'!G480="","Other",IF('Statements (Raw)'!G480&gt;0,"Buy","Sell"))))))))))))))))))))))</f>
        <v/>
      </c>
      <c r="E482" s="6" t="str">
        <f t="shared" si="14"/>
        <v/>
      </c>
      <c r="F482" s="8" t="str">
        <f>IF(A482="","",IF('Statements (Raw)'!E480="","",'Statements (Raw)'!E480))</f>
        <v/>
      </c>
      <c r="G482" s="6" t="str">
        <f>IF(A482="","",IF('Statements (Raw)'!F480="","",'Statements (Raw)'!F480))</f>
        <v/>
      </c>
      <c r="H482" s="9" t="str">
        <f>IF(A482="","",IF('Statements (Raw)'!G480="","",'Statements (Raw)'!G480))</f>
        <v/>
      </c>
      <c r="I482" s="10" t="str">
        <f>IF(A482="","",IF('Statements (Raw)'!H480="","",'Statements (Raw)'!H480))</f>
        <v/>
      </c>
      <c r="J482" s="10">
        <f>IF(A482="",0,IF('Statements (Raw)'!I480="",0,'Statements (Raw)'!I480))</f>
        <v>0</v>
      </c>
      <c r="K482" s="10" t="str">
        <f t="shared" si="15"/>
        <v/>
      </c>
    </row>
    <row r="483" spans="1:11" x14ac:dyDescent="0.3">
      <c r="A483" s="171" t="str">
        <f>IF(OR('Statements (Raw)'!A481="",'Statements (Raw)'!A481&gt;Holdings!$G$3),"",'Statements (Raw)'!A481)</f>
        <v/>
      </c>
      <c r="B483" s="7" t="str">
        <f>IF(A483="","",IF('Statements (Raw)'!B481="","",'Statements (Raw)'!B481))</f>
        <v/>
      </c>
      <c r="C483" s="6" t="str">
        <f>IF(A483="","",IF('Statements (Raw)'!C481&lt;&gt;"",'Statements (Raw)'!C481,IF(ISNUMBER(SEARCH("Conferimento",'Statements (Raw)'!D481)),"CASH DEPOSIT",IF(ISNUMBER(SEARCH("Prelievo",'Statements (Raw)'!D481)),"CASH WITHDRAWAL",IF(ISNUMBER(SEARCH("Bollo",'Statements (Raw)'!D481)),"STAMP DUTY",IF(ISNUMBER(SEARCH("Tobin Tax",'Statements (Raw)'!D481)),"TOBIN TAX",IF(ISNUMBER(SEARCH("Rit.provento",'Statements (Raw)'!D481)),"WITHHOLDING TAX",IF(ISNUMBER(SEARCH("Incasso Dividendi",'Statements (Raw)'!D481)),"DIVIDEND",IF(ISNUMBER(SEARCH("Cedola",'Statements (Raw)'!D481)),"COUPON",IF(ISNUMBER(SEARCH("Ratei Pass",'Statements (Raw)'!D481)),"ACCRUED INT",IF(ISNUMBER(SEARCH("Interessi Prest",'Statements (Raw)'!D481)),"SEC LENDING",IF(ISNUMBER(SEARCH("Rimborso",'Statements (Raw)'!D481)),"REDEMPTION",IF(ISNUMBER(SEARCH("Provento",'Statements (Raw)'!D481)),"DISTRIBUTION","OTHER")))))))))))))</f>
        <v/>
      </c>
      <c r="D483" s="6" t="str">
        <f>IF(A483="","",IF(C483="Saldo Iniziale","Balance",IF(C483="CASH DEPOSIT","Deposit",IF(C483="CASH WITHDRAWAL","Withdrawal",IF(C483="STAMP DUTY","Tax",IF(C483="TOBIN TAX","Tax",IF(C483="WITHHOLDING TAX","Tax",IF(C483="DIVIDEND","Dividend",IF(C483="COUPON","Coupon",IF(C483="ACCRUED INT","Accrued Int.",IF(C483="SEC LENDING","Sec. Lending",IF(C483="REDEMPTION","Redemption",IF(C483="DISTRIBUTION","Distribution",IF(ISNUMBER(SEARCH("Rimborso",'Statements (Raw)'!D481)),"Redemption",IF(ISNUMBER(SEARCH("Cedola",'Statements (Raw)'!D481)),"Coupon",IF(ISNUMBER(SEARCH("Incasso Dividendi",'Statements (Raw)'!D481)),"Dividend",IF(ISNUMBER(SEARCH("Provento Etf",'Statements (Raw)'!D481)),"Distribution",IF(ISNUMBER(SEARCH("Rit.provento",'Statements (Raw)'!D481)),"Tax",IF(ISNUMBER(SEARCH("Ratei Pass",'Statements (Raw)'!D481)),"Accrued Int.",IF(ISNUMBER(SEARCH("Interessi Prest",'Statements (Raw)'!D481)),"Sec. Lending",IF('Statements (Raw)'!G481="","Other",IF('Statements (Raw)'!G481&gt;0,"Buy","Sell"))))))))))))))))))))))</f>
        <v/>
      </c>
      <c r="E483" s="6" t="str">
        <f t="shared" si="14"/>
        <v/>
      </c>
      <c r="F483" s="8" t="str">
        <f>IF(A483="","",IF('Statements (Raw)'!E481="","",'Statements (Raw)'!E481))</f>
        <v/>
      </c>
      <c r="G483" s="6" t="str">
        <f>IF(A483="","",IF('Statements (Raw)'!F481="","",'Statements (Raw)'!F481))</f>
        <v/>
      </c>
      <c r="H483" s="9" t="str">
        <f>IF(A483="","",IF('Statements (Raw)'!G481="","",'Statements (Raw)'!G481))</f>
        <v/>
      </c>
      <c r="I483" s="10" t="str">
        <f>IF(A483="","",IF('Statements (Raw)'!H481="","",'Statements (Raw)'!H481))</f>
        <v/>
      </c>
      <c r="J483" s="10">
        <f>IF(A483="",0,IF('Statements (Raw)'!I481="",0,'Statements (Raw)'!I481))</f>
        <v>0</v>
      </c>
      <c r="K483" s="10" t="str">
        <f t="shared" si="15"/>
        <v/>
      </c>
    </row>
    <row r="484" spans="1:11" x14ac:dyDescent="0.3">
      <c r="A484" s="171" t="str">
        <f>IF(OR('Statements (Raw)'!A482="",'Statements (Raw)'!A482&gt;Holdings!$G$3),"",'Statements (Raw)'!A482)</f>
        <v/>
      </c>
      <c r="B484" s="7" t="str">
        <f>IF(A484="","",IF('Statements (Raw)'!B482="","",'Statements (Raw)'!B482))</f>
        <v/>
      </c>
      <c r="C484" s="6" t="str">
        <f>IF(A484="","",IF('Statements (Raw)'!C482&lt;&gt;"",'Statements (Raw)'!C482,IF(ISNUMBER(SEARCH("Conferimento",'Statements (Raw)'!D482)),"CASH DEPOSIT",IF(ISNUMBER(SEARCH("Prelievo",'Statements (Raw)'!D482)),"CASH WITHDRAWAL",IF(ISNUMBER(SEARCH("Bollo",'Statements (Raw)'!D482)),"STAMP DUTY",IF(ISNUMBER(SEARCH("Tobin Tax",'Statements (Raw)'!D482)),"TOBIN TAX",IF(ISNUMBER(SEARCH("Rit.provento",'Statements (Raw)'!D482)),"WITHHOLDING TAX",IF(ISNUMBER(SEARCH("Incasso Dividendi",'Statements (Raw)'!D482)),"DIVIDEND",IF(ISNUMBER(SEARCH("Cedola",'Statements (Raw)'!D482)),"COUPON",IF(ISNUMBER(SEARCH("Ratei Pass",'Statements (Raw)'!D482)),"ACCRUED INT",IF(ISNUMBER(SEARCH("Interessi Prest",'Statements (Raw)'!D482)),"SEC LENDING",IF(ISNUMBER(SEARCH("Rimborso",'Statements (Raw)'!D482)),"REDEMPTION",IF(ISNUMBER(SEARCH("Provento",'Statements (Raw)'!D482)),"DISTRIBUTION","OTHER")))))))))))))</f>
        <v/>
      </c>
      <c r="D484" s="6" t="str">
        <f>IF(A484="","",IF(C484="Saldo Iniziale","Balance",IF(C484="CASH DEPOSIT","Deposit",IF(C484="CASH WITHDRAWAL","Withdrawal",IF(C484="STAMP DUTY","Tax",IF(C484="TOBIN TAX","Tax",IF(C484="WITHHOLDING TAX","Tax",IF(C484="DIVIDEND","Dividend",IF(C484="COUPON","Coupon",IF(C484="ACCRUED INT","Accrued Int.",IF(C484="SEC LENDING","Sec. Lending",IF(C484="REDEMPTION","Redemption",IF(C484="DISTRIBUTION","Distribution",IF(ISNUMBER(SEARCH("Rimborso",'Statements (Raw)'!D482)),"Redemption",IF(ISNUMBER(SEARCH("Cedola",'Statements (Raw)'!D482)),"Coupon",IF(ISNUMBER(SEARCH("Incasso Dividendi",'Statements (Raw)'!D482)),"Dividend",IF(ISNUMBER(SEARCH("Provento Etf",'Statements (Raw)'!D482)),"Distribution",IF(ISNUMBER(SEARCH("Rit.provento",'Statements (Raw)'!D482)),"Tax",IF(ISNUMBER(SEARCH("Ratei Pass",'Statements (Raw)'!D482)),"Accrued Int.",IF(ISNUMBER(SEARCH("Interessi Prest",'Statements (Raw)'!D482)),"Sec. Lending",IF('Statements (Raw)'!G482="","Other",IF('Statements (Raw)'!G482&gt;0,"Buy","Sell"))))))))))))))))))))))</f>
        <v/>
      </c>
      <c r="E484" s="6" t="str">
        <f t="shared" si="14"/>
        <v/>
      </c>
      <c r="F484" s="8" t="str">
        <f>IF(A484="","",IF('Statements (Raw)'!E482="","",'Statements (Raw)'!E482))</f>
        <v/>
      </c>
      <c r="G484" s="6" t="str">
        <f>IF(A484="","",IF('Statements (Raw)'!F482="","",'Statements (Raw)'!F482))</f>
        <v/>
      </c>
      <c r="H484" s="9" t="str">
        <f>IF(A484="","",IF('Statements (Raw)'!G482="","",'Statements (Raw)'!G482))</f>
        <v/>
      </c>
      <c r="I484" s="10" t="str">
        <f>IF(A484="","",IF('Statements (Raw)'!H482="","",'Statements (Raw)'!H482))</f>
        <v/>
      </c>
      <c r="J484" s="10">
        <f>IF(A484="",0,IF('Statements (Raw)'!I482="",0,'Statements (Raw)'!I482))</f>
        <v>0</v>
      </c>
      <c r="K484" s="10" t="str">
        <f t="shared" si="15"/>
        <v/>
      </c>
    </row>
    <row r="485" spans="1:11" x14ac:dyDescent="0.3">
      <c r="A485" s="171" t="str">
        <f>IF(OR('Statements (Raw)'!A483="",'Statements (Raw)'!A483&gt;Holdings!$G$3),"",'Statements (Raw)'!A483)</f>
        <v/>
      </c>
      <c r="B485" s="7" t="str">
        <f>IF(A485="","",IF('Statements (Raw)'!B483="","",'Statements (Raw)'!B483))</f>
        <v/>
      </c>
      <c r="C485" s="6" t="str">
        <f>IF(A485="","",IF('Statements (Raw)'!C483&lt;&gt;"",'Statements (Raw)'!C483,IF(ISNUMBER(SEARCH("Conferimento",'Statements (Raw)'!D483)),"CASH DEPOSIT",IF(ISNUMBER(SEARCH("Prelievo",'Statements (Raw)'!D483)),"CASH WITHDRAWAL",IF(ISNUMBER(SEARCH("Bollo",'Statements (Raw)'!D483)),"STAMP DUTY",IF(ISNUMBER(SEARCH("Tobin Tax",'Statements (Raw)'!D483)),"TOBIN TAX",IF(ISNUMBER(SEARCH("Rit.provento",'Statements (Raw)'!D483)),"WITHHOLDING TAX",IF(ISNUMBER(SEARCH("Incasso Dividendi",'Statements (Raw)'!D483)),"DIVIDEND",IF(ISNUMBER(SEARCH("Cedola",'Statements (Raw)'!D483)),"COUPON",IF(ISNUMBER(SEARCH("Ratei Pass",'Statements (Raw)'!D483)),"ACCRUED INT",IF(ISNUMBER(SEARCH("Interessi Prest",'Statements (Raw)'!D483)),"SEC LENDING",IF(ISNUMBER(SEARCH("Rimborso",'Statements (Raw)'!D483)),"REDEMPTION",IF(ISNUMBER(SEARCH("Provento",'Statements (Raw)'!D483)),"DISTRIBUTION","OTHER")))))))))))))</f>
        <v/>
      </c>
      <c r="D485" s="6" t="str">
        <f>IF(A485="","",IF(C485="Saldo Iniziale","Balance",IF(C485="CASH DEPOSIT","Deposit",IF(C485="CASH WITHDRAWAL","Withdrawal",IF(C485="STAMP DUTY","Tax",IF(C485="TOBIN TAX","Tax",IF(C485="WITHHOLDING TAX","Tax",IF(C485="DIVIDEND","Dividend",IF(C485="COUPON","Coupon",IF(C485="ACCRUED INT","Accrued Int.",IF(C485="SEC LENDING","Sec. Lending",IF(C485="REDEMPTION","Redemption",IF(C485="DISTRIBUTION","Distribution",IF(ISNUMBER(SEARCH("Rimborso",'Statements (Raw)'!D483)),"Redemption",IF(ISNUMBER(SEARCH("Cedola",'Statements (Raw)'!D483)),"Coupon",IF(ISNUMBER(SEARCH("Incasso Dividendi",'Statements (Raw)'!D483)),"Dividend",IF(ISNUMBER(SEARCH("Provento Etf",'Statements (Raw)'!D483)),"Distribution",IF(ISNUMBER(SEARCH("Rit.provento",'Statements (Raw)'!D483)),"Tax",IF(ISNUMBER(SEARCH("Ratei Pass",'Statements (Raw)'!D483)),"Accrued Int.",IF(ISNUMBER(SEARCH("Interessi Prest",'Statements (Raw)'!D483)),"Sec. Lending",IF('Statements (Raw)'!G483="","Other",IF('Statements (Raw)'!G483&gt;0,"Buy","Sell"))))))))))))))))))))))</f>
        <v/>
      </c>
      <c r="E485" s="6" t="str">
        <f t="shared" si="14"/>
        <v/>
      </c>
      <c r="F485" s="8" t="str">
        <f>IF(A485="","",IF('Statements (Raw)'!E483="","",'Statements (Raw)'!E483))</f>
        <v/>
      </c>
      <c r="G485" s="6" t="str">
        <f>IF(A485="","",IF('Statements (Raw)'!F483="","",'Statements (Raw)'!F483))</f>
        <v/>
      </c>
      <c r="H485" s="9" t="str">
        <f>IF(A485="","",IF('Statements (Raw)'!G483="","",'Statements (Raw)'!G483))</f>
        <v/>
      </c>
      <c r="I485" s="10" t="str">
        <f>IF(A485="","",IF('Statements (Raw)'!H483="","",'Statements (Raw)'!H483))</f>
        <v/>
      </c>
      <c r="J485" s="10">
        <f>IF(A485="",0,IF('Statements (Raw)'!I483="",0,'Statements (Raw)'!I483))</f>
        <v>0</v>
      </c>
      <c r="K485" s="10" t="str">
        <f t="shared" si="15"/>
        <v/>
      </c>
    </row>
    <row r="486" spans="1:11" x14ac:dyDescent="0.3">
      <c r="A486" s="171" t="str">
        <f>IF(OR('Statements (Raw)'!A484="",'Statements (Raw)'!A484&gt;Holdings!$G$3),"",'Statements (Raw)'!A484)</f>
        <v/>
      </c>
      <c r="B486" s="7" t="str">
        <f>IF(A486="","",IF('Statements (Raw)'!B484="","",'Statements (Raw)'!B484))</f>
        <v/>
      </c>
      <c r="C486" s="6" t="str">
        <f>IF(A486="","",IF('Statements (Raw)'!C484&lt;&gt;"",'Statements (Raw)'!C484,IF(ISNUMBER(SEARCH("Conferimento",'Statements (Raw)'!D484)),"CASH DEPOSIT",IF(ISNUMBER(SEARCH("Prelievo",'Statements (Raw)'!D484)),"CASH WITHDRAWAL",IF(ISNUMBER(SEARCH("Bollo",'Statements (Raw)'!D484)),"STAMP DUTY",IF(ISNUMBER(SEARCH("Tobin Tax",'Statements (Raw)'!D484)),"TOBIN TAX",IF(ISNUMBER(SEARCH("Rit.provento",'Statements (Raw)'!D484)),"WITHHOLDING TAX",IF(ISNUMBER(SEARCH("Incasso Dividendi",'Statements (Raw)'!D484)),"DIVIDEND",IF(ISNUMBER(SEARCH("Cedola",'Statements (Raw)'!D484)),"COUPON",IF(ISNUMBER(SEARCH("Ratei Pass",'Statements (Raw)'!D484)),"ACCRUED INT",IF(ISNUMBER(SEARCH("Interessi Prest",'Statements (Raw)'!D484)),"SEC LENDING",IF(ISNUMBER(SEARCH("Rimborso",'Statements (Raw)'!D484)),"REDEMPTION",IF(ISNUMBER(SEARCH("Provento",'Statements (Raw)'!D484)),"DISTRIBUTION","OTHER")))))))))))))</f>
        <v/>
      </c>
      <c r="D486" s="6" t="str">
        <f>IF(A486="","",IF(C486="Saldo Iniziale","Balance",IF(C486="CASH DEPOSIT","Deposit",IF(C486="CASH WITHDRAWAL","Withdrawal",IF(C486="STAMP DUTY","Tax",IF(C486="TOBIN TAX","Tax",IF(C486="WITHHOLDING TAX","Tax",IF(C486="DIVIDEND","Dividend",IF(C486="COUPON","Coupon",IF(C486="ACCRUED INT","Accrued Int.",IF(C486="SEC LENDING","Sec. Lending",IF(C486="REDEMPTION","Redemption",IF(C486="DISTRIBUTION","Distribution",IF(ISNUMBER(SEARCH("Rimborso",'Statements (Raw)'!D484)),"Redemption",IF(ISNUMBER(SEARCH("Cedola",'Statements (Raw)'!D484)),"Coupon",IF(ISNUMBER(SEARCH("Incasso Dividendi",'Statements (Raw)'!D484)),"Dividend",IF(ISNUMBER(SEARCH("Provento Etf",'Statements (Raw)'!D484)),"Distribution",IF(ISNUMBER(SEARCH("Rit.provento",'Statements (Raw)'!D484)),"Tax",IF(ISNUMBER(SEARCH("Ratei Pass",'Statements (Raw)'!D484)),"Accrued Int.",IF(ISNUMBER(SEARCH("Interessi Prest",'Statements (Raw)'!D484)),"Sec. Lending",IF('Statements (Raw)'!G484="","Other",IF('Statements (Raw)'!G484&gt;0,"Buy","Sell"))))))))))))))))))))))</f>
        <v/>
      </c>
      <c r="E486" s="6" t="str">
        <f t="shared" si="14"/>
        <v/>
      </c>
      <c r="F486" s="8" t="str">
        <f>IF(A486="","",IF('Statements (Raw)'!E484="","",'Statements (Raw)'!E484))</f>
        <v/>
      </c>
      <c r="G486" s="6" t="str">
        <f>IF(A486="","",IF('Statements (Raw)'!F484="","",'Statements (Raw)'!F484))</f>
        <v/>
      </c>
      <c r="H486" s="9" t="str">
        <f>IF(A486="","",IF('Statements (Raw)'!G484="","",'Statements (Raw)'!G484))</f>
        <v/>
      </c>
      <c r="I486" s="10" t="str">
        <f>IF(A486="","",IF('Statements (Raw)'!H484="","",'Statements (Raw)'!H484))</f>
        <v/>
      </c>
      <c r="J486" s="10">
        <f>IF(A486="",0,IF('Statements (Raw)'!I484="",0,'Statements (Raw)'!I484))</f>
        <v>0</v>
      </c>
      <c r="K486" s="10" t="str">
        <f t="shared" si="15"/>
        <v/>
      </c>
    </row>
    <row r="487" spans="1:11" x14ac:dyDescent="0.3">
      <c r="A487" s="171" t="str">
        <f>IF(OR('Statements (Raw)'!A485="",'Statements (Raw)'!A485&gt;Holdings!$G$3),"",'Statements (Raw)'!A485)</f>
        <v/>
      </c>
      <c r="B487" s="7" t="str">
        <f>IF(A487="","",IF('Statements (Raw)'!B485="","",'Statements (Raw)'!B485))</f>
        <v/>
      </c>
      <c r="C487" s="6" t="str">
        <f>IF(A487="","",IF('Statements (Raw)'!C485&lt;&gt;"",'Statements (Raw)'!C485,IF(ISNUMBER(SEARCH("Conferimento",'Statements (Raw)'!D485)),"CASH DEPOSIT",IF(ISNUMBER(SEARCH("Prelievo",'Statements (Raw)'!D485)),"CASH WITHDRAWAL",IF(ISNUMBER(SEARCH("Bollo",'Statements (Raw)'!D485)),"STAMP DUTY",IF(ISNUMBER(SEARCH("Tobin Tax",'Statements (Raw)'!D485)),"TOBIN TAX",IF(ISNUMBER(SEARCH("Rit.provento",'Statements (Raw)'!D485)),"WITHHOLDING TAX",IF(ISNUMBER(SEARCH("Incasso Dividendi",'Statements (Raw)'!D485)),"DIVIDEND",IF(ISNUMBER(SEARCH("Cedola",'Statements (Raw)'!D485)),"COUPON",IF(ISNUMBER(SEARCH("Ratei Pass",'Statements (Raw)'!D485)),"ACCRUED INT",IF(ISNUMBER(SEARCH("Interessi Prest",'Statements (Raw)'!D485)),"SEC LENDING",IF(ISNUMBER(SEARCH("Rimborso",'Statements (Raw)'!D485)),"REDEMPTION",IF(ISNUMBER(SEARCH("Provento",'Statements (Raw)'!D485)),"DISTRIBUTION","OTHER")))))))))))))</f>
        <v/>
      </c>
      <c r="D487" s="6" t="str">
        <f>IF(A487="","",IF(C487="Saldo Iniziale","Balance",IF(C487="CASH DEPOSIT","Deposit",IF(C487="CASH WITHDRAWAL","Withdrawal",IF(C487="STAMP DUTY","Tax",IF(C487="TOBIN TAX","Tax",IF(C487="WITHHOLDING TAX","Tax",IF(C487="DIVIDEND","Dividend",IF(C487="COUPON","Coupon",IF(C487="ACCRUED INT","Accrued Int.",IF(C487="SEC LENDING","Sec. Lending",IF(C487="REDEMPTION","Redemption",IF(C487="DISTRIBUTION","Distribution",IF(ISNUMBER(SEARCH("Rimborso",'Statements (Raw)'!D485)),"Redemption",IF(ISNUMBER(SEARCH("Cedola",'Statements (Raw)'!D485)),"Coupon",IF(ISNUMBER(SEARCH("Incasso Dividendi",'Statements (Raw)'!D485)),"Dividend",IF(ISNUMBER(SEARCH("Provento Etf",'Statements (Raw)'!D485)),"Distribution",IF(ISNUMBER(SEARCH("Rit.provento",'Statements (Raw)'!D485)),"Tax",IF(ISNUMBER(SEARCH("Ratei Pass",'Statements (Raw)'!D485)),"Accrued Int.",IF(ISNUMBER(SEARCH("Interessi Prest",'Statements (Raw)'!D485)),"Sec. Lending",IF('Statements (Raw)'!G485="","Other",IF('Statements (Raw)'!G485&gt;0,"Buy","Sell"))))))))))))))))))))))</f>
        <v/>
      </c>
      <c r="E487" s="6" t="str">
        <f t="shared" si="14"/>
        <v/>
      </c>
      <c r="F487" s="8" t="str">
        <f>IF(A487="","",IF('Statements (Raw)'!E485="","",'Statements (Raw)'!E485))</f>
        <v/>
      </c>
      <c r="G487" s="6" t="str">
        <f>IF(A487="","",IF('Statements (Raw)'!F485="","",'Statements (Raw)'!F485))</f>
        <v/>
      </c>
      <c r="H487" s="9" t="str">
        <f>IF(A487="","",IF('Statements (Raw)'!G485="","",'Statements (Raw)'!G485))</f>
        <v/>
      </c>
      <c r="I487" s="10" t="str">
        <f>IF(A487="","",IF('Statements (Raw)'!H485="","",'Statements (Raw)'!H485))</f>
        <v/>
      </c>
      <c r="J487" s="10">
        <f>IF(A487="",0,IF('Statements (Raw)'!I485="",0,'Statements (Raw)'!I485))</f>
        <v>0</v>
      </c>
      <c r="K487" s="10" t="str">
        <f t="shared" si="15"/>
        <v/>
      </c>
    </row>
    <row r="488" spans="1:11" x14ac:dyDescent="0.3">
      <c r="A488" s="171" t="str">
        <f>IF(OR('Statements (Raw)'!A486="",'Statements (Raw)'!A486&gt;Holdings!$G$3),"",'Statements (Raw)'!A486)</f>
        <v/>
      </c>
      <c r="B488" s="7" t="str">
        <f>IF(A488="","",IF('Statements (Raw)'!B486="","",'Statements (Raw)'!B486))</f>
        <v/>
      </c>
      <c r="C488" s="6" t="str">
        <f>IF(A488="","",IF('Statements (Raw)'!C486&lt;&gt;"",'Statements (Raw)'!C486,IF(ISNUMBER(SEARCH("Conferimento",'Statements (Raw)'!D486)),"CASH DEPOSIT",IF(ISNUMBER(SEARCH("Prelievo",'Statements (Raw)'!D486)),"CASH WITHDRAWAL",IF(ISNUMBER(SEARCH("Bollo",'Statements (Raw)'!D486)),"STAMP DUTY",IF(ISNUMBER(SEARCH("Tobin Tax",'Statements (Raw)'!D486)),"TOBIN TAX",IF(ISNUMBER(SEARCH("Rit.provento",'Statements (Raw)'!D486)),"WITHHOLDING TAX",IF(ISNUMBER(SEARCH("Incasso Dividendi",'Statements (Raw)'!D486)),"DIVIDEND",IF(ISNUMBER(SEARCH("Cedola",'Statements (Raw)'!D486)),"COUPON",IF(ISNUMBER(SEARCH("Ratei Pass",'Statements (Raw)'!D486)),"ACCRUED INT",IF(ISNUMBER(SEARCH("Interessi Prest",'Statements (Raw)'!D486)),"SEC LENDING",IF(ISNUMBER(SEARCH("Rimborso",'Statements (Raw)'!D486)),"REDEMPTION",IF(ISNUMBER(SEARCH("Provento",'Statements (Raw)'!D486)),"DISTRIBUTION","OTHER")))))))))))))</f>
        <v/>
      </c>
      <c r="D488" s="6" t="str">
        <f>IF(A488="","",IF(C488="Saldo Iniziale","Balance",IF(C488="CASH DEPOSIT","Deposit",IF(C488="CASH WITHDRAWAL","Withdrawal",IF(C488="STAMP DUTY","Tax",IF(C488="TOBIN TAX","Tax",IF(C488="WITHHOLDING TAX","Tax",IF(C488="DIVIDEND","Dividend",IF(C488="COUPON","Coupon",IF(C488="ACCRUED INT","Accrued Int.",IF(C488="SEC LENDING","Sec. Lending",IF(C488="REDEMPTION","Redemption",IF(C488="DISTRIBUTION","Distribution",IF(ISNUMBER(SEARCH("Rimborso",'Statements (Raw)'!D486)),"Redemption",IF(ISNUMBER(SEARCH("Cedola",'Statements (Raw)'!D486)),"Coupon",IF(ISNUMBER(SEARCH("Incasso Dividendi",'Statements (Raw)'!D486)),"Dividend",IF(ISNUMBER(SEARCH("Provento Etf",'Statements (Raw)'!D486)),"Distribution",IF(ISNUMBER(SEARCH("Rit.provento",'Statements (Raw)'!D486)),"Tax",IF(ISNUMBER(SEARCH("Ratei Pass",'Statements (Raw)'!D486)),"Accrued Int.",IF(ISNUMBER(SEARCH("Interessi Prest",'Statements (Raw)'!D486)),"Sec. Lending",IF('Statements (Raw)'!G486="","Other",IF('Statements (Raw)'!G486&gt;0,"Buy","Sell"))))))))))))))))))))))</f>
        <v/>
      </c>
      <c r="E488" s="6" t="str">
        <f t="shared" si="14"/>
        <v/>
      </c>
      <c r="F488" s="8" t="str">
        <f>IF(A488="","",IF('Statements (Raw)'!E486="","",'Statements (Raw)'!E486))</f>
        <v/>
      </c>
      <c r="G488" s="6" t="str">
        <f>IF(A488="","",IF('Statements (Raw)'!F486="","",'Statements (Raw)'!F486))</f>
        <v/>
      </c>
      <c r="H488" s="9" t="str">
        <f>IF(A488="","",IF('Statements (Raw)'!G486="","",'Statements (Raw)'!G486))</f>
        <v/>
      </c>
      <c r="I488" s="10" t="str">
        <f>IF(A488="","",IF('Statements (Raw)'!H486="","",'Statements (Raw)'!H486))</f>
        <v/>
      </c>
      <c r="J488" s="10">
        <f>IF(A488="",0,IF('Statements (Raw)'!I486="",0,'Statements (Raw)'!I486))</f>
        <v>0</v>
      </c>
      <c r="K488" s="10" t="str">
        <f t="shared" si="15"/>
        <v/>
      </c>
    </row>
    <row r="489" spans="1:11" x14ac:dyDescent="0.3">
      <c r="A489" s="171" t="str">
        <f>IF(OR('Statements (Raw)'!A487="",'Statements (Raw)'!A487&gt;Holdings!$G$3),"",'Statements (Raw)'!A487)</f>
        <v/>
      </c>
      <c r="B489" s="7" t="str">
        <f>IF(A489="","",IF('Statements (Raw)'!B487="","",'Statements (Raw)'!B487))</f>
        <v/>
      </c>
      <c r="C489" s="6" t="str">
        <f>IF(A489="","",IF('Statements (Raw)'!C487&lt;&gt;"",'Statements (Raw)'!C487,IF(ISNUMBER(SEARCH("Conferimento",'Statements (Raw)'!D487)),"CASH DEPOSIT",IF(ISNUMBER(SEARCH("Prelievo",'Statements (Raw)'!D487)),"CASH WITHDRAWAL",IF(ISNUMBER(SEARCH("Bollo",'Statements (Raw)'!D487)),"STAMP DUTY",IF(ISNUMBER(SEARCH("Tobin Tax",'Statements (Raw)'!D487)),"TOBIN TAX",IF(ISNUMBER(SEARCH("Rit.provento",'Statements (Raw)'!D487)),"WITHHOLDING TAX",IF(ISNUMBER(SEARCH("Incasso Dividendi",'Statements (Raw)'!D487)),"DIVIDEND",IF(ISNUMBER(SEARCH("Cedola",'Statements (Raw)'!D487)),"COUPON",IF(ISNUMBER(SEARCH("Ratei Pass",'Statements (Raw)'!D487)),"ACCRUED INT",IF(ISNUMBER(SEARCH("Interessi Prest",'Statements (Raw)'!D487)),"SEC LENDING",IF(ISNUMBER(SEARCH("Rimborso",'Statements (Raw)'!D487)),"REDEMPTION",IF(ISNUMBER(SEARCH("Provento",'Statements (Raw)'!D487)),"DISTRIBUTION","OTHER")))))))))))))</f>
        <v/>
      </c>
      <c r="D489" s="6" t="str">
        <f>IF(A489="","",IF(C489="Saldo Iniziale","Balance",IF(C489="CASH DEPOSIT","Deposit",IF(C489="CASH WITHDRAWAL","Withdrawal",IF(C489="STAMP DUTY","Tax",IF(C489="TOBIN TAX","Tax",IF(C489="WITHHOLDING TAX","Tax",IF(C489="DIVIDEND","Dividend",IF(C489="COUPON","Coupon",IF(C489="ACCRUED INT","Accrued Int.",IF(C489="SEC LENDING","Sec. Lending",IF(C489="REDEMPTION","Redemption",IF(C489="DISTRIBUTION","Distribution",IF(ISNUMBER(SEARCH("Rimborso",'Statements (Raw)'!D487)),"Redemption",IF(ISNUMBER(SEARCH("Cedola",'Statements (Raw)'!D487)),"Coupon",IF(ISNUMBER(SEARCH("Incasso Dividendi",'Statements (Raw)'!D487)),"Dividend",IF(ISNUMBER(SEARCH("Provento Etf",'Statements (Raw)'!D487)),"Distribution",IF(ISNUMBER(SEARCH("Rit.provento",'Statements (Raw)'!D487)),"Tax",IF(ISNUMBER(SEARCH("Ratei Pass",'Statements (Raw)'!D487)),"Accrued Int.",IF(ISNUMBER(SEARCH("Interessi Prest",'Statements (Raw)'!D487)),"Sec. Lending",IF('Statements (Raw)'!G487="","Other",IF('Statements (Raw)'!G487&gt;0,"Buy","Sell"))))))))))))))))))))))</f>
        <v/>
      </c>
      <c r="E489" s="6" t="str">
        <f t="shared" si="14"/>
        <v/>
      </c>
      <c r="F489" s="8" t="str">
        <f>IF(A489="","",IF('Statements (Raw)'!E487="","",'Statements (Raw)'!E487))</f>
        <v/>
      </c>
      <c r="G489" s="6" t="str">
        <f>IF(A489="","",IF('Statements (Raw)'!F487="","",'Statements (Raw)'!F487))</f>
        <v/>
      </c>
      <c r="H489" s="9" t="str">
        <f>IF(A489="","",IF('Statements (Raw)'!G487="","",'Statements (Raw)'!G487))</f>
        <v/>
      </c>
      <c r="I489" s="10" t="str">
        <f>IF(A489="","",IF('Statements (Raw)'!H487="","",'Statements (Raw)'!H487))</f>
        <v/>
      </c>
      <c r="J489" s="10">
        <f>IF(A489="",0,IF('Statements (Raw)'!I487="",0,'Statements (Raw)'!I487))</f>
        <v>0</v>
      </c>
      <c r="K489" s="10" t="str">
        <f t="shared" si="15"/>
        <v/>
      </c>
    </row>
    <row r="490" spans="1:11" x14ac:dyDescent="0.3">
      <c r="A490" s="171" t="str">
        <f>IF(OR('Statements (Raw)'!A488="",'Statements (Raw)'!A488&gt;Holdings!$G$3),"",'Statements (Raw)'!A488)</f>
        <v/>
      </c>
      <c r="B490" s="7" t="str">
        <f>IF(A490="","",IF('Statements (Raw)'!B488="","",'Statements (Raw)'!B488))</f>
        <v/>
      </c>
      <c r="C490" s="6" t="str">
        <f>IF(A490="","",IF('Statements (Raw)'!C488&lt;&gt;"",'Statements (Raw)'!C488,IF(ISNUMBER(SEARCH("Conferimento",'Statements (Raw)'!D488)),"CASH DEPOSIT",IF(ISNUMBER(SEARCH("Prelievo",'Statements (Raw)'!D488)),"CASH WITHDRAWAL",IF(ISNUMBER(SEARCH("Bollo",'Statements (Raw)'!D488)),"STAMP DUTY",IF(ISNUMBER(SEARCH("Tobin Tax",'Statements (Raw)'!D488)),"TOBIN TAX",IF(ISNUMBER(SEARCH("Rit.provento",'Statements (Raw)'!D488)),"WITHHOLDING TAX",IF(ISNUMBER(SEARCH("Incasso Dividendi",'Statements (Raw)'!D488)),"DIVIDEND",IF(ISNUMBER(SEARCH("Cedola",'Statements (Raw)'!D488)),"COUPON",IF(ISNUMBER(SEARCH("Ratei Pass",'Statements (Raw)'!D488)),"ACCRUED INT",IF(ISNUMBER(SEARCH("Interessi Prest",'Statements (Raw)'!D488)),"SEC LENDING",IF(ISNUMBER(SEARCH("Rimborso",'Statements (Raw)'!D488)),"REDEMPTION",IF(ISNUMBER(SEARCH("Provento",'Statements (Raw)'!D488)),"DISTRIBUTION","OTHER")))))))))))))</f>
        <v/>
      </c>
      <c r="D490" s="6" t="str">
        <f>IF(A490="","",IF(C490="Saldo Iniziale","Balance",IF(C490="CASH DEPOSIT","Deposit",IF(C490="CASH WITHDRAWAL","Withdrawal",IF(C490="STAMP DUTY","Tax",IF(C490="TOBIN TAX","Tax",IF(C490="WITHHOLDING TAX","Tax",IF(C490="DIVIDEND","Dividend",IF(C490="COUPON","Coupon",IF(C490="ACCRUED INT","Accrued Int.",IF(C490="SEC LENDING","Sec. Lending",IF(C490="REDEMPTION","Redemption",IF(C490="DISTRIBUTION","Distribution",IF(ISNUMBER(SEARCH("Rimborso",'Statements (Raw)'!D488)),"Redemption",IF(ISNUMBER(SEARCH("Cedola",'Statements (Raw)'!D488)),"Coupon",IF(ISNUMBER(SEARCH("Incasso Dividendi",'Statements (Raw)'!D488)),"Dividend",IF(ISNUMBER(SEARCH("Provento Etf",'Statements (Raw)'!D488)),"Distribution",IF(ISNUMBER(SEARCH("Rit.provento",'Statements (Raw)'!D488)),"Tax",IF(ISNUMBER(SEARCH("Ratei Pass",'Statements (Raw)'!D488)),"Accrued Int.",IF(ISNUMBER(SEARCH("Interessi Prest",'Statements (Raw)'!D488)),"Sec. Lending",IF('Statements (Raw)'!G488="","Other",IF('Statements (Raw)'!G488&gt;0,"Buy","Sell"))))))))))))))))))))))</f>
        <v/>
      </c>
      <c r="E490" s="6" t="str">
        <f t="shared" si="14"/>
        <v/>
      </c>
      <c r="F490" s="8" t="str">
        <f>IF(A490="","",IF('Statements (Raw)'!E488="","",'Statements (Raw)'!E488))</f>
        <v/>
      </c>
      <c r="G490" s="6" t="str">
        <f>IF(A490="","",IF('Statements (Raw)'!F488="","",'Statements (Raw)'!F488))</f>
        <v/>
      </c>
      <c r="H490" s="9" t="str">
        <f>IF(A490="","",IF('Statements (Raw)'!G488="","",'Statements (Raw)'!G488))</f>
        <v/>
      </c>
      <c r="I490" s="10" t="str">
        <f>IF(A490="","",IF('Statements (Raw)'!H488="","",'Statements (Raw)'!H488))</f>
        <v/>
      </c>
      <c r="J490" s="10">
        <f>IF(A490="",0,IF('Statements (Raw)'!I488="",0,'Statements (Raw)'!I488))</f>
        <v>0</v>
      </c>
      <c r="K490" s="10" t="str">
        <f t="shared" si="15"/>
        <v/>
      </c>
    </row>
    <row r="491" spans="1:11" x14ac:dyDescent="0.3">
      <c r="A491" s="171" t="str">
        <f>IF(OR('Statements (Raw)'!A489="",'Statements (Raw)'!A489&gt;Holdings!$G$3),"",'Statements (Raw)'!A489)</f>
        <v/>
      </c>
      <c r="B491" s="7" t="str">
        <f>IF(A491="","",IF('Statements (Raw)'!B489="","",'Statements (Raw)'!B489))</f>
        <v/>
      </c>
      <c r="C491" s="6" t="str">
        <f>IF(A491="","",IF('Statements (Raw)'!C489&lt;&gt;"",'Statements (Raw)'!C489,IF(ISNUMBER(SEARCH("Conferimento",'Statements (Raw)'!D489)),"CASH DEPOSIT",IF(ISNUMBER(SEARCH("Prelievo",'Statements (Raw)'!D489)),"CASH WITHDRAWAL",IF(ISNUMBER(SEARCH("Bollo",'Statements (Raw)'!D489)),"STAMP DUTY",IF(ISNUMBER(SEARCH("Tobin Tax",'Statements (Raw)'!D489)),"TOBIN TAX",IF(ISNUMBER(SEARCH("Rit.provento",'Statements (Raw)'!D489)),"WITHHOLDING TAX",IF(ISNUMBER(SEARCH("Incasso Dividendi",'Statements (Raw)'!D489)),"DIVIDEND",IF(ISNUMBER(SEARCH("Cedola",'Statements (Raw)'!D489)),"COUPON",IF(ISNUMBER(SEARCH("Ratei Pass",'Statements (Raw)'!D489)),"ACCRUED INT",IF(ISNUMBER(SEARCH("Interessi Prest",'Statements (Raw)'!D489)),"SEC LENDING",IF(ISNUMBER(SEARCH("Rimborso",'Statements (Raw)'!D489)),"REDEMPTION",IF(ISNUMBER(SEARCH("Provento",'Statements (Raw)'!D489)),"DISTRIBUTION","OTHER")))))))))))))</f>
        <v/>
      </c>
      <c r="D491" s="6" t="str">
        <f>IF(A491="","",IF(C491="Saldo Iniziale","Balance",IF(C491="CASH DEPOSIT","Deposit",IF(C491="CASH WITHDRAWAL","Withdrawal",IF(C491="STAMP DUTY","Tax",IF(C491="TOBIN TAX","Tax",IF(C491="WITHHOLDING TAX","Tax",IF(C491="DIVIDEND","Dividend",IF(C491="COUPON","Coupon",IF(C491="ACCRUED INT","Accrued Int.",IF(C491="SEC LENDING","Sec. Lending",IF(C491="REDEMPTION","Redemption",IF(C491="DISTRIBUTION","Distribution",IF(ISNUMBER(SEARCH("Rimborso",'Statements (Raw)'!D489)),"Redemption",IF(ISNUMBER(SEARCH("Cedola",'Statements (Raw)'!D489)),"Coupon",IF(ISNUMBER(SEARCH("Incasso Dividendi",'Statements (Raw)'!D489)),"Dividend",IF(ISNUMBER(SEARCH("Provento Etf",'Statements (Raw)'!D489)),"Distribution",IF(ISNUMBER(SEARCH("Rit.provento",'Statements (Raw)'!D489)),"Tax",IF(ISNUMBER(SEARCH("Ratei Pass",'Statements (Raw)'!D489)),"Accrued Int.",IF(ISNUMBER(SEARCH("Interessi Prest",'Statements (Raw)'!D489)),"Sec. Lending",IF('Statements (Raw)'!G489="","Other",IF('Statements (Raw)'!G489&gt;0,"Buy","Sell"))))))))))))))))))))))</f>
        <v/>
      </c>
      <c r="E491" s="6" t="str">
        <f t="shared" si="14"/>
        <v/>
      </c>
      <c r="F491" s="8" t="str">
        <f>IF(A491="","",IF('Statements (Raw)'!E489="","",'Statements (Raw)'!E489))</f>
        <v/>
      </c>
      <c r="G491" s="6" t="str">
        <f>IF(A491="","",IF('Statements (Raw)'!F489="","",'Statements (Raw)'!F489))</f>
        <v/>
      </c>
      <c r="H491" s="9" t="str">
        <f>IF(A491="","",IF('Statements (Raw)'!G489="","",'Statements (Raw)'!G489))</f>
        <v/>
      </c>
      <c r="I491" s="10" t="str">
        <f>IF(A491="","",IF('Statements (Raw)'!H489="","",'Statements (Raw)'!H489))</f>
        <v/>
      </c>
      <c r="J491" s="10">
        <f>IF(A491="",0,IF('Statements (Raw)'!I489="",0,'Statements (Raw)'!I489))</f>
        <v>0</v>
      </c>
      <c r="K491" s="10" t="str">
        <f t="shared" si="15"/>
        <v/>
      </c>
    </row>
    <row r="492" spans="1:11" x14ac:dyDescent="0.3">
      <c r="A492" s="171" t="str">
        <f>IF(OR('Statements (Raw)'!A490="",'Statements (Raw)'!A490&gt;Holdings!$G$3),"",'Statements (Raw)'!A490)</f>
        <v/>
      </c>
      <c r="B492" s="7" t="str">
        <f>IF(A492="","",IF('Statements (Raw)'!B490="","",'Statements (Raw)'!B490))</f>
        <v/>
      </c>
      <c r="C492" s="6" t="str">
        <f>IF(A492="","",IF('Statements (Raw)'!C490&lt;&gt;"",'Statements (Raw)'!C490,IF(ISNUMBER(SEARCH("Conferimento",'Statements (Raw)'!D490)),"CASH DEPOSIT",IF(ISNUMBER(SEARCH("Prelievo",'Statements (Raw)'!D490)),"CASH WITHDRAWAL",IF(ISNUMBER(SEARCH("Bollo",'Statements (Raw)'!D490)),"STAMP DUTY",IF(ISNUMBER(SEARCH("Tobin Tax",'Statements (Raw)'!D490)),"TOBIN TAX",IF(ISNUMBER(SEARCH("Rit.provento",'Statements (Raw)'!D490)),"WITHHOLDING TAX",IF(ISNUMBER(SEARCH("Incasso Dividendi",'Statements (Raw)'!D490)),"DIVIDEND",IF(ISNUMBER(SEARCH("Cedola",'Statements (Raw)'!D490)),"COUPON",IF(ISNUMBER(SEARCH("Ratei Pass",'Statements (Raw)'!D490)),"ACCRUED INT",IF(ISNUMBER(SEARCH("Interessi Prest",'Statements (Raw)'!D490)),"SEC LENDING",IF(ISNUMBER(SEARCH("Rimborso",'Statements (Raw)'!D490)),"REDEMPTION",IF(ISNUMBER(SEARCH("Provento",'Statements (Raw)'!D490)),"DISTRIBUTION","OTHER")))))))))))))</f>
        <v/>
      </c>
      <c r="D492" s="6" t="str">
        <f>IF(A492="","",IF(C492="Saldo Iniziale","Balance",IF(C492="CASH DEPOSIT","Deposit",IF(C492="CASH WITHDRAWAL","Withdrawal",IF(C492="STAMP DUTY","Tax",IF(C492="TOBIN TAX","Tax",IF(C492="WITHHOLDING TAX","Tax",IF(C492="DIVIDEND","Dividend",IF(C492="COUPON","Coupon",IF(C492="ACCRUED INT","Accrued Int.",IF(C492="SEC LENDING","Sec. Lending",IF(C492="REDEMPTION","Redemption",IF(C492="DISTRIBUTION","Distribution",IF(ISNUMBER(SEARCH("Rimborso",'Statements (Raw)'!D490)),"Redemption",IF(ISNUMBER(SEARCH("Cedola",'Statements (Raw)'!D490)),"Coupon",IF(ISNUMBER(SEARCH("Incasso Dividendi",'Statements (Raw)'!D490)),"Dividend",IF(ISNUMBER(SEARCH("Provento Etf",'Statements (Raw)'!D490)),"Distribution",IF(ISNUMBER(SEARCH("Rit.provento",'Statements (Raw)'!D490)),"Tax",IF(ISNUMBER(SEARCH("Ratei Pass",'Statements (Raw)'!D490)),"Accrued Int.",IF(ISNUMBER(SEARCH("Interessi Prest",'Statements (Raw)'!D490)),"Sec. Lending",IF('Statements (Raw)'!G490="","Other",IF('Statements (Raw)'!G490&gt;0,"Buy","Sell"))))))))))))))))))))))</f>
        <v/>
      </c>
      <c r="E492" s="6" t="str">
        <f t="shared" si="14"/>
        <v/>
      </c>
      <c r="F492" s="8" t="str">
        <f>IF(A492="","",IF('Statements (Raw)'!E490="","",'Statements (Raw)'!E490))</f>
        <v/>
      </c>
      <c r="G492" s="6" t="str">
        <f>IF(A492="","",IF('Statements (Raw)'!F490="","",'Statements (Raw)'!F490))</f>
        <v/>
      </c>
      <c r="H492" s="9" t="str">
        <f>IF(A492="","",IF('Statements (Raw)'!G490="","",'Statements (Raw)'!G490))</f>
        <v/>
      </c>
      <c r="I492" s="10" t="str">
        <f>IF(A492="","",IF('Statements (Raw)'!H490="","",'Statements (Raw)'!H490))</f>
        <v/>
      </c>
      <c r="J492" s="10">
        <f>IF(A492="",0,IF('Statements (Raw)'!I490="",0,'Statements (Raw)'!I490))</f>
        <v>0</v>
      </c>
      <c r="K492" s="10" t="str">
        <f t="shared" si="15"/>
        <v/>
      </c>
    </row>
    <row r="493" spans="1:11" x14ac:dyDescent="0.3">
      <c r="A493" s="171" t="str">
        <f>IF(OR('Statements (Raw)'!A491="",'Statements (Raw)'!A491&gt;Holdings!$G$3),"",'Statements (Raw)'!A491)</f>
        <v/>
      </c>
      <c r="B493" s="7" t="str">
        <f>IF(A493="","",IF('Statements (Raw)'!B491="","",'Statements (Raw)'!B491))</f>
        <v/>
      </c>
      <c r="C493" s="6" t="str">
        <f>IF(A493="","",IF('Statements (Raw)'!C491&lt;&gt;"",'Statements (Raw)'!C491,IF(ISNUMBER(SEARCH("Conferimento",'Statements (Raw)'!D491)),"CASH DEPOSIT",IF(ISNUMBER(SEARCH("Prelievo",'Statements (Raw)'!D491)),"CASH WITHDRAWAL",IF(ISNUMBER(SEARCH("Bollo",'Statements (Raw)'!D491)),"STAMP DUTY",IF(ISNUMBER(SEARCH("Tobin Tax",'Statements (Raw)'!D491)),"TOBIN TAX",IF(ISNUMBER(SEARCH("Rit.provento",'Statements (Raw)'!D491)),"WITHHOLDING TAX",IF(ISNUMBER(SEARCH("Incasso Dividendi",'Statements (Raw)'!D491)),"DIVIDEND",IF(ISNUMBER(SEARCH("Cedola",'Statements (Raw)'!D491)),"COUPON",IF(ISNUMBER(SEARCH("Ratei Pass",'Statements (Raw)'!D491)),"ACCRUED INT",IF(ISNUMBER(SEARCH("Interessi Prest",'Statements (Raw)'!D491)),"SEC LENDING",IF(ISNUMBER(SEARCH("Rimborso",'Statements (Raw)'!D491)),"REDEMPTION",IF(ISNUMBER(SEARCH("Provento",'Statements (Raw)'!D491)),"DISTRIBUTION","OTHER")))))))))))))</f>
        <v/>
      </c>
      <c r="D493" s="6" t="str">
        <f>IF(A493="","",IF(C493="Saldo Iniziale","Balance",IF(C493="CASH DEPOSIT","Deposit",IF(C493="CASH WITHDRAWAL","Withdrawal",IF(C493="STAMP DUTY","Tax",IF(C493="TOBIN TAX","Tax",IF(C493="WITHHOLDING TAX","Tax",IF(C493="DIVIDEND","Dividend",IF(C493="COUPON","Coupon",IF(C493="ACCRUED INT","Accrued Int.",IF(C493="SEC LENDING","Sec. Lending",IF(C493="REDEMPTION","Redemption",IF(C493="DISTRIBUTION","Distribution",IF(ISNUMBER(SEARCH("Rimborso",'Statements (Raw)'!D491)),"Redemption",IF(ISNUMBER(SEARCH("Cedola",'Statements (Raw)'!D491)),"Coupon",IF(ISNUMBER(SEARCH("Incasso Dividendi",'Statements (Raw)'!D491)),"Dividend",IF(ISNUMBER(SEARCH("Provento Etf",'Statements (Raw)'!D491)),"Distribution",IF(ISNUMBER(SEARCH("Rit.provento",'Statements (Raw)'!D491)),"Tax",IF(ISNUMBER(SEARCH("Ratei Pass",'Statements (Raw)'!D491)),"Accrued Int.",IF(ISNUMBER(SEARCH("Interessi Prest",'Statements (Raw)'!D491)),"Sec. Lending",IF('Statements (Raw)'!G491="","Other",IF('Statements (Raw)'!G491&gt;0,"Buy","Sell"))))))))))))))))))))))</f>
        <v/>
      </c>
      <c r="E493" s="6" t="str">
        <f t="shared" si="14"/>
        <v/>
      </c>
      <c r="F493" s="8" t="str">
        <f>IF(A493="","",IF('Statements (Raw)'!E491="","",'Statements (Raw)'!E491))</f>
        <v/>
      </c>
      <c r="G493" s="6" t="str">
        <f>IF(A493="","",IF('Statements (Raw)'!F491="","",'Statements (Raw)'!F491))</f>
        <v/>
      </c>
      <c r="H493" s="9" t="str">
        <f>IF(A493="","",IF('Statements (Raw)'!G491="","",'Statements (Raw)'!G491))</f>
        <v/>
      </c>
      <c r="I493" s="10" t="str">
        <f>IF(A493="","",IF('Statements (Raw)'!H491="","",'Statements (Raw)'!H491))</f>
        <v/>
      </c>
      <c r="J493" s="10">
        <f>IF(A493="",0,IF('Statements (Raw)'!I491="",0,'Statements (Raw)'!I491))</f>
        <v>0</v>
      </c>
      <c r="K493" s="10" t="str">
        <f t="shared" si="15"/>
        <v/>
      </c>
    </row>
    <row r="494" spans="1:11" x14ac:dyDescent="0.3">
      <c r="A494" s="171" t="str">
        <f>IF(OR('Statements (Raw)'!A492="",'Statements (Raw)'!A492&gt;Holdings!$G$3),"",'Statements (Raw)'!A492)</f>
        <v/>
      </c>
      <c r="B494" s="7" t="str">
        <f>IF(A494="","",IF('Statements (Raw)'!B492="","",'Statements (Raw)'!B492))</f>
        <v/>
      </c>
      <c r="C494" s="6" t="str">
        <f>IF(A494="","",IF('Statements (Raw)'!C492&lt;&gt;"",'Statements (Raw)'!C492,IF(ISNUMBER(SEARCH("Conferimento",'Statements (Raw)'!D492)),"CASH DEPOSIT",IF(ISNUMBER(SEARCH("Prelievo",'Statements (Raw)'!D492)),"CASH WITHDRAWAL",IF(ISNUMBER(SEARCH("Bollo",'Statements (Raw)'!D492)),"STAMP DUTY",IF(ISNUMBER(SEARCH("Tobin Tax",'Statements (Raw)'!D492)),"TOBIN TAX",IF(ISNUMBER(SEARCH("Rit.provento",'Statements (Raw)'!D492)),"WITHHOLDING TAX",IF(ISNUMBER(SEARCH("Incasso Dividendi",'Statements (Raw)'!D492)),"DIVIDEND",IF(ISNUMBER(SEARCH("Cedola",'Statements (Raw)'!D492)),"COUPON",IF(ISNUMBER(SEARCH("Ratei Pass",'Statements (Raw)'!D492)),"ACCRUED INT",IF(ISNUMBER(SEARCH("Interessi Prest",'Statements (Raw)'!D492)),"SEC LENDING",IF(ISNUMBER(SEARCH("Rimborso",'Statements (Raw)'!D492)),"REDEMPTION",IF(ISNUMBER(SEARCH("Provento",'Statements (Raw)'!D492)),"DISTRIBUTION","OTHER")))))))))))))</f>
        <v/>
      </c>
      <c r="D494" s="6" t="str">
        <f>IF(A494="","",IF(C494="Saldo Iniziale","Balance",IF(C494="CASH DEPOSIT","Deposit",IF(C494="CASH WITHDRAWAL","Withdrawal",IF(C494="STAMP DUTY","Tax",IF(C494="TOBIN TAX","Tax",IF(C494="WITHHOLDING TAX","Tax",IF(C494="DIVIDEND","Dividend",IF(C494="COUPON","Coupon",IF(C494="ACCRUED INT","Accrued Int.",IF(C494="SEC LENDING","Sec. Lending",IF(C494="REDEMPTION","Redemption",IF(C494="DISTRIBUTION","Distribution",IF(ISNUMBER(SEARCH("Rimborso",'Statements (Raw)'!D492)),"Redemption",IF(ISNUMBER(SEARCH("Cedola",'Statements (Raw)'!D492)),"Coupon",IF(ISNUMBER(SEARCH("Incasso Dividendi",'Statements (Raw)'!D492)),"Dividend",IF(ISNUMBER(SEARCH("Provento Etf",'Statements (Raw)'!D492)),"Distribution",IF(ISNUMBER(SEARCH("Rit.provento",'Statements (Raw)'!D492)),"Tax",IF(ISNUMBER(SEARCH("Ratei Pass",'Statements (Raw)'!D492)),"Accrued Int.",IF(ISNUMBER(SEARCH("Interessi Prest",'Statements (Raw)'!D492)),"Sec. Lending",IF('Statements (Raw)'!G492="","Other",IF('Statements (Raw)'!G492&gt;0,"Buy","Sell"))))))))))))))))))))))</f>
        <v/>
      </c>
      <c r="E494" s="6" t="str">
        <f t="shared" si="14"/>
        <v/>
      </c>
      <c r="F494" s="8" t="str">
        <f>IF(A494="","",IF('Statements (Raw)'!E492="","",'Statements (Raw)'!E492))</f>
        <v/>
      </c>
      <c r="G494" s="6" t="str">
        <f>IF(A494="","",IF('Statements (Raw)'!F492="","",'Statements (Raw)'!F492))</f>
        <v/>
      </c>
      <c r="H494" s="9" t="str">
        <f>IF(A494="","",IF('Statements (Raw)'!G492="","",'Statements (Raw)'!G492))</f>
        <v/>
      </c>
      <c r="I494" s="10" t="str">
        <f>IF(A494="","",IF('Statements (Raw)'!H492="","",'Statements (Raw)'!H492))</f>
        <v/>
      </c>
      <c r="J494" s="10">
        <f>IF(A494="",0,IF('Statements (Raw)'!I492="",0,'Statements (Raw)'!I492))</f>
        <v>0</v>
      </c>
      <c r="K494" s="10" t="str">
        <f t="shared" si="15"/>
        <v/>
      </c>
    </row>
    <row r="495" spans="1:11" x14ac:dyDescent="0.3">
      <c r="A495" s="171" t="str">
        <f>IF(OR('Statements (Raw)'!A493="",'Statements (Raw)'!A493&gt;Holdings!$G$3),"",'Statements (Raw)'!A493)</f>
        <v/>
      </c>
      <c r="B495" s="7" t="str">
        <f>IF(A495="","",IF('Statements (Raw)'!B493="","",'Statements (Raw)'!B493))</f>
        <v/>
      </c>
      <c r="C495" s="6" t="str">
        <f>IF(A495="","",IF('Statements (Raw)'!C493&lt;&gt;"",'Statements (Raw)'!C493,IF(ISNUMBER(SEARCH("Conferimento",'Statements (Raw)'!D493)),"CASH DEPOSIT",IF(ISNUMBER(SEARCH("Prelievo",'Statements (Raw)'!D493)),"CASH WITHDRAWAL",IF(ISNUMBER(SEARCH("Bollo",'Statements (Raw)'!D493)),"STAMP DUTY",IF(ISNUMBER(SEARCH("Tobin Tax",'Statements (Raw)'!D493)),"TOBIN TAX",IF(ISNUMBER(SEARCH("Rit.provento",'Statements (Raw)'!D493)),"WITHHOLDING TAX",IF(ISNUMBER(SEARCH("Incasso Dividendi",'Statements (Raw)'!D493)),"DIVIDEND",IF(ISNUMBER(SEARCH("Cedola",'Statements (Raw)'!D493)),"COUPON",IF(ISNUMBER(SEARCH("Ratei Pass",'Statements (Raw)'!D493)),"ACCRUED INT",IF(ISNUMBER(SEARCH("Interessi Prest",'Statements (Raw)'!D493)),"SEC LENDING",IF(ISNUMBER(SEARCH("Rimborso",'Statements (Raw)'!D493)),"REDEMPTION",IF(ISNUMBER(SEARCH("Provento",'Statements (Raw)'!D493)),"DISTRIBUTION","OTHER")))))))))))))</f>
        <v/>
      </c>
      <c r="D495" s="6" t="str">
        <f>IF(A495="","",IF(C495="Saldo Iniziale","Balance",IF(C495="CASH DEPOSIT","Deposit",IF(C495="CASH WITHDRAWAL","Withdrawal",IF(C495="STAMP DUTY","Tax",IF(C495="TOBIN TAX","Tax",IF(C495="WITHHOLDING TAX","Tax",IF(C495="DIVIDEND","Dividend",IF(C495="COUPON","Coupon",IF(C495="ACCRUED INT","Accrued Int.",IF(C495="SEC LENDING","Sec. Lending",IF(C495="REDEMPTION","Redemption",IF(C495="DISTRIBUTION","Distribution",IF(ISNUMBER(SEARCH("Rimborso",'Statements (Raw)'!D493)),"Redemption",IF(ISNUMBER(SEARCH("Cedola",'Statements (Raw)'!D493)),"Coupon",IF(ISNUMBER(SEARCH("Incasso Dividendi",'Statements (Raw)'!D493)),"Dividend",IF(ISNUMBER(SEARCH("Provento Etf",'Statements (Raw)'!D493)),"Distribution",IF(ISNUMBER(SEARCH("Rit.provento",'Statements (Raw)'!D493)),"Tax",IF(ISNUMBER(SEARCH("Ratei Pass",'Statements (Raw)'!D493)),"Accrued Int.",IF(ISNUMBER(SEARCH("Interessi Prest",'Statements (Raw)'!D493)),"Sec. Lending",IF('Statements (Raw)'!G493="","Other",IF('Statements (Raw)'!G493&gt;0,"Buy","Sell"))))))))))))))))))))))</f>
        <v/>
      </c>
      <c r="E495" s="6" t="str">
        <f t="shared" si="14"/>
        <v/>
      </c>
      <c r="F495" s="8" t="str">
        <f>IF(A495="","",IF('Statements (Raw)'!E493="","",'Statements (Raw)'!E493))</f>
        <v/>
      </c>
      <c r="G495" s="6" t="str">
        <f>IF(A495="","",IF('Statements (Raw)'!F493="","",'Statements (Raw)'!F493))</f>
        <v/>
      </c>
      <c r="H495" s="9" t="str">
        <f>IF(A495="","",IF('Statements (Raw)'!G493="","",'Statements (Raw)'!G493))</f>
        <v/>
      </c>
      <c r="I495" s="10" t="str">
        <f>IF(A495="","",IF('Statements (Raw)'!H493="","",'Statements (Raw)'!H493))</f>
        <v/>
      </c>
      <c r="J495" s="10">
        <f>IF(A495="",0,IF('Statements (Raw)'!I493="",0,'Statements (Raw)'!I493))</f>
        <v>0</v>
      </c>
      <c r="K495" s="10" t="str">
        <f t="shared" si="15"/>
        <v/>
      </c>
    </row>
    <row r="496" spans="1:11" x14ac:dyDescent="0.3">
      <c r="A496" s="171" t="str">
        <f>IF(OR('Statements (Raw)'!A494="",'Statements (Raw)'!A494&gt;Holdings!$G$3),"",'Statements (Raw)'!A494)</f>
        <v/>
      </c>
      <c r="B496" s="7" t="str">
        <f>IF(A496="","",IF('Statements (Raw)'!B494="","",'Statements (Raw)'!B494))</f>
        <v/>
      </c>
      <c r="C496" s="6" t="str">
        <f>IF(A496="","",IF('Statements (Raw)'!C494&lt;&gt;"",'Statements (Raw)'!C494,IF(ISNUMBER(SEARCH("Conferimento",'Statements (Raw)'!D494)),"CASH DEPOSIT",IF(ISNUMBER(SEARCH("Prelievo",'Statements (Raw)'!D494)),"CASH WITHDRAWAL",IF(ISNUMBER(SEARCH("Bollo",'Statements (Raw)'!D494)),"STAMP DUTY",IF(ISNUMBER(SEARCH("Tobin Tax",'Statements (Raw)'!D494)),"TOBIN TAX",IF(ISNUMBER(SEARCH("Rit.provento",'Statements (Raw)'!D494)),"WITHHOLDING TAX",IF(ISNUMBER(SEARCH("Incasso Dividendi",'Statements (Raw)'!D494)),"DIVIDEND",IF(ISNUMBER(SEARCH("Cedola",'Statements (Raw)'!D494)),"COUPON",IF(ISNUMBER(SEARCH("Ratei Pass",'Statements (Raw)'!D494)),"ACCRUED INT",IF(ISNUMBER(SEARCH("Interessi Prest",'Statements (Raw)'!D494)),"SEC LENDING",IF(ISNUMBER(SEARCH("Rimborso",'Statements (Raw)'!D494)),"REDEMPTION",IF(ISNUMBER(SEARCH("Provento",'Statements (Raw)'!D494)),"DISTRIBUTION","OTHER")))))))))))))</f>
        <v/>
      </c>
      <c r="D496" s="6" t="str">
        <f>IF(A496="","",IF(C496="Saldo Iniziale","Balance",IF(C496="CASH DEPOSIT","Deposit",IF(C496="CASH WITHDRAWAL","Withdrawal",IF(C496="STAMP DUTY","Tax",IF(C496="TOBIN TAX","Tax",IF(C496="WITHHOLDING TAX","Tax",IF(C496="DIVIDEND","Dividend",IF(C496="COUPON","Coupon",IF(C496="ACCRUED INT","Accrued Int.",IF(C496="SEC LENDING","Sec. Lending",IF(C496="REDEMPTION","Redemption",IF(C496="DISTRIBUTION","Distribution",IF(ISNUMBER(SEARCH("Rimborso",'Statements (Raw)'!D494)),"Redemption",IF(ISNUMBER(SEARCH("Cedola",'Statements (Raw)'!D494)),"Coupon",IF(ISNUMBER(SEARCH("Incasso Dividendi",'Statements (Raw)'!D494)),"Dividend",IF(ISNUMBER(SEARCH("Provento Etf",'Statements (Raw)'!D494)),"Distribution",IF(ISNUMBER(SEARCH("Rit.provento",'Statements (Raw)'!D494)),"Tax",IF(ISNUMBER(SEARCH("Ratei Pass",'Statements (Raw)'!D494)),"Accrued Int.",IF(ISNUMBER(SEARCH("Interessi Prest",'Statements (Raw)'!D494)),"Sec. Lending",IF('Statements (Raw)'!G494="","Other",IF('Statements (Raw)'!G494&gt;0,"Buy","Sell"))))))))))))))))))))))</f>
        <v/>
      </c>
      <c r="E496" s="6" t="str">
        <f t="shared" si="14"/>
        <v/>
      </c>
      <c r="F496" s="8" t="str">
        <f>IF(A496="","",IF('Statements (Raw)'!E494="","",'Statements (Raw)'!E494))</f>
        <v/>
      </c>
      <c r="G496" s="6" t="str">
        <f>IF(A496="","",IF('Statements (Raw)'!F494="","",'Statements (Raw)'!F494))</f>
        <v/>
      </c>
      <c r="H496" s="9" t="str">
        <f>IF(A496="","",IF('Statements (Raw)'!G494="","",'Statements (Raw)'!G494))</f>
        <v/>
      </c>
      <c r="I496" s="10" t="str">
        <f>IF(A496="","",IF('Statements (Raw)'!H494="","",'Statements (Raw)'!H494))</f>
        <v/>
      </c>
      <c r="J496" s="10">
        <f>IF(A496="",0,IF('Statements (Raw)'!I494="",0,'Statements (Raw)'!I494))</f>
        <v>0</v>
      </c>
      <c r="K496" s="10" t="str">
        <f t="shared" si="15"/>
        <v/>
      </c>
    </row>
    <row r="497" spans="1:11" x14ac:dyDescent="0.3">
      <c r="A497" s="171" t="str">
        <f>IF(OR('Statements (Raw)'!A495="",'Statements (Raw)'!A495&gt;Holdings!$G$3),"",'Statements (Raw)'!A495)</f>
        <v/>
      </c>
      <c r="B497" s="7" t="str">
        <f>IF(A497="","",IF('Statements (Raw)'!B495="","",'Statements (Raw)'!B495))</f>
        <v/>
      </c>
      <c r="C497" s="6" t="str">
        <f>IF(A497="","",IF('Statements (Raw)'!C495&lt;&gt;"",'Statements (Raw)'!C495,IF(ISNUMBER(SEARCH("Conferimento",'Statements (Raw)'!D495)),"CASH DEPOSIT",IF(ISNUMBER(SEARCH("Prelievo",'Statements (Raw)'!D495)),"CASH WITHDRAWAL",IF(ISNUMBER(SEARCH("Bollo",'Statements (Raw)'!D495)),"STAMP DUTY",IF(ISNUMBER(SEARCH("Tobin Tax",'Statements (Raw)'!D495)),"TOBIN TAX",IF(ISNUMBER(SEARCH("Rit.provento",'Statements (Raw)'!D495)),"WITHHOLDING TAX",IF(ISNUMBER(SEARCH("Incasso Dividendi",'Statements (Raw)'!D495)),"DIVIDEND",IF(ISNUMBER(SEARCH("Cedola",'Statements (Raw)'!D495)),"COUPON",IF(ISNUMBER(SEARCH("Ratei Pass",'Statements (Raw)'!D495)),"ACCRUED INT",IF(ISNUMBER(SEARCH("Interessi Prest",'Statements (Raw)'!D495)),"SEC LENDING",IF(ISNUMBER(SEARCH("Rimborso",'Statements (Raw)'!D495)),"REDEMPTION",IF(ISNUMBER(SEARCH("Provento",'Statements (Raw)'!D495)),"DISTRIBUTION","OTHER")))))))))))))</f>
        <v/>
      </c>
      <c r="D497" s="6" t="str">
        <f>IF(A497="","",IF(C497="Saldo Iniziale","Balance",IF(C497="CASH DEPOSIT","Deposit",IF(C497="CASH WITHDRAWAL","Withdrawal",IF(C497="STAMP DUTY","Tax",IF(C497="TOBIN TAX","Tax",IF(C497="WITHHOLDING TAX","Tax",IF(C497="DIVIDEND","Dividend",IF(C497="COUPON","Coupon",IF(C497="ACCRUED INT","Accrued Int.",IF(C497="SEC LENDING","Sec. Lending",IF(C497="REDEMPTION","Redemption",IF(C497="DISTRIBUTION","Distribution",IF(ISNUMBER(SEARCH("Rimborso",'Statements (Raw)'!D495)),"Redemption",IF(ISNUMBER(SEARCH("Cedola",'Statements (Raw)'!D495)),"Coupon",IF(ISNUMBER(SEARCH("Incasso Dividendi",'Statements (Raw)'!D495)),"Dividend",IF(ISNUMBER(SEARCH("Provento Etf",'Statements (Raw)'!D495)),"Distribution",IF(ISNUMBER(SEARCH("Rit.provento",'Statements (Raw)'!D495)),"Tax",IF(ISNUMBER(SEARCH("Ratei Pass",'Statements (Raw)'!D495)),"Accrued Int.",IF(ISNUMBER(SEARCH("Interessi Prest",'Statements (Raw)'!D495)),"Sec. Lending",IF('Statements (Raw)'!G495="","Other",IF('Statements (Raw)'!G495&gt;0,"Buy","Sell"))))))))))))))))))))))</f>
        <v/>
      </c>
      <c r="E497" s="6" t="str">
        <f t="shared" si="14"/>
        <v/>
      </c>
      <c r="F497" s="8" t="str">
        <f>IF(A497="","",IF('Statements (Raw)'!E495="","",'Statements (Raw)'!E495))</f>
        <v/>
      </c>
      <c r="G497" s="6" t="str">
        <f>IF(A497="","",IF('Statements (Raw)'!F495="","",'Statements (Raw)'!F495))</f>
        <v/>
      </c>
      <c r="H497" s="9" t="str">
        <f>IF(A497="","",IF('Statements (Raw)'!G495="","",'Statements (Raw)'!G495))</f>
        <v/>
      </c>
      <c r="I497" s="10" t="str">
        <f>IF(A497="","",IF('Statements (Raw)'!H495="","",'Statements (Raw)'!H495))</f>
        <v/>
      </c>
      <c r="J497" s="10">
        <f>IF(A497="",0,IF('Statements (Raw)'!I495="",0,'Statements (Raw)'!I495))</f>
        <v>0</v>
      </c>
      <c r="K497" s="10" t="str">
        <f t="shared" si="15"/>
        <v/>
      </c>
    </row>
    <row r="498" spans="1:11" x14ac:dyDescent="0.3">
      <c r="A498" s="171" t="str">
        <f>IF(OR('Statements (Raw)'!A496="",'Statements (Raw)'!A496&gt;Holdings!$G$3),"",'Statements (Raw)'!A496)</f>
        <v/>
      </c>
      <c r="B498" s="7" t="str">
        <f>IF(A498="","",IF('Statements (Raw)'!B496="","",'Statements (Raw)'!B496))</f>
        <v/>
      </c>
      <c r="C498" s="6" t="str">
        <f>IF(A498="","",IF('Statements (Raw)'!C496&lt;&gt;"",'Statements (Raw)'!C496,IF(ISNUMBER(SEARCH("Conferimento",'Statements (Raw)'!D496)),"CASH DEPOSIT",IF(ISNUMBER(SEARCH("Prelievo",'Statements (Raw)'!D496)),"CASH WITHDRAWAL",IF(ISNUMBER(SEARCH("Bollo",'Statements (Raw)'!D496)),"STAMP DUTY",IF(ISNUMBER(SEARCH("Tobin Tax",'Statements (Raw)'!D496)),"TOBIN TAX",IF(ISNUMBER(SEARCH("Rit.provento",'Statements (Raw)'!D496)),"WITHHOLDING TAX",IF(ISNUMBER(SEARCH("Incasso Dividendi",'Statements (Raw)'!D496)),"DIVIDEND",IF(ISNUMBER(SEARCH("Cedola",'Statements (Raw)'!D496)),"COUPON",IF(ISNUMBER(SEARCH("Ratei Pass",'Statements (Raw)'!D496)),"ACCRUED INT",IF(ISNUMBER(SEARCH("Interessi Prest",'Statements (Raw)'!D496)),"SEC LENDING",IF(ISNUMBER(SEARCH("Rimborso",'Statements (Raw)'!D496)),"REDEMPTION",IF(ISNUMBER(SEARCH("Provento",'Statements (Raw)'!D496)),"DISTRIBUTION","OTHER")))))))))))))</f>
        <v/>
      </c>
      <c r="D498" s="6" t="str">
        <f>IF(A498="","",IF(C498="Saldo Iniziale","Balance",IF(C498="CASH DEPOSIT","Deposit",IF(C498="CASH WITHDRAWAL","Withdrawal",IF(C498="STAMP DUTY","Tax",IF(C498="TOBIN TAX","Tax",IF(C498="WITHHOLDING TAX","Tax",IF(C498="DIVIDEND","Dividend",IF(C498="COUPON","Coupon",IF(C498="ACCRUED INT","Accrued Int.",IF(C498="SEC LENDING","Sec. Lending",IF(C498="REDEMPTION","Redemption",IF(C498="DISTRIBUTION","Distribution",IF(ISNUMBER(SEARCH("Rimborso",'Statements (Raw)'!D496)),"Redemption",IF(ISNUMBER(SEARCH("Cedola",'Statements (Raw)'!D496)),"Coupon",IF(ISNUMBER(SEARCH("Incasso Dividendi",'Statements (Raw)'!D496)),"Dividend",IF(ISNUMBER(SEARCH("Provento Etf",'Statements (Raw)'!D496)),"Distribution",IF(ISNUMBER(SEARCH("Rit.provento",'Statements (Raw)'!D496)),"Tax",IF(ISNUMBER(SEARCH("Ratei Pass",'Statements (Raw)'!D496)),"Accrued Int.",IF(ISNUMBER(SEARCH("Interessi Prest",'Statements (Raw)'!D496)),"Sec. Lending",IF('Statements (Raw)'!G496="","Other",IF('Statements (Raw)'!G496&gt;0,"Buy","Sell"))))))))))))))))))))))</f>
        <v/>
      </c>
      <c r="E498" s="6" t="str">
        <f t="shared" si="14"/>
        <v/>
      </c>
      <c r="F498" s="8" t="str">
        <f>IF(A498="","",IF('Statements (Raw)'!E496="","",'Statements (Raw)'!E496))</f>
        <v/>
      </c>
      <c r="G498" s="6" t="str">
        <f>IF(A498="","",IF('Statements (Raw)'!F496="","",'Statements (Raw)'!F496))</f>
        <v/>
      </c>
      <c r="H498" s="9" t="str">
        <f>IF(A498="","",IF('Statements (Raw)'!G496="","",'Statements (Raw)'!G496))</f>
        <v/>
      </c>
      <c r="I498" s="10" t="str">
        <f>IF(A498="","",IF('Statements (Raw)'!H496="","",'Statements (Raw)'!H496))</f>
        <v/>
      </c>
      <c r="J498" s="10">
        <f>IF(A498="",0,IF('Statements (Raw)'!I496="",0,'Statements (Raw)'!I496))</f>
        <v>0</v>
      </c>
      <c r="K498" s="10" t="str">
        <f t="shared" si="15"/>
        <v/>
      </c>
    </row>
    <row r="499" spans="1:11" x14ac:dyDescent="0.3">
      <c r="A499" s="171" t="str">
        <f>IF(OR('Statements (Raw)'!A497="",'Statements (Raw)'!A497&gt;Holdings!$G$3),"",'Statements (Raw)'!A497)</f>
        <v/>
      </c>
      <c r="B499" s="7" t="str">
        <f>IF(A499="","",IF('Statements (Raw)'!B497="","",'Statements (Raw)'!B497))</f>
        <v/>
      </c>
      <c r="C499" s="6" t="str">
        <f>IF(A499="","",IF('Statements (Raw)'!C497&lt;&gt;"",'Statements (Raw)'!C497,IF(ISNUMBER(SEARCH("Conferimento",'Statements (Raw)'!D497)),"CASH DEPOSIT",IF(ISNUMBER(SEARCH("Prelievo",'Statements (Raw)'!D497)),"CASH WITHDRAWAL",IF(ISNUMBER(SEARCH("Bollo",'Statements (Raw)'!D497)),"STAMP DUTY",IF(ISNUMBER(SEARCH("Tobin Tax",'Statements (Raw)'!D497)),"TOBIN TAX",IF(ISNUMBER(SEARCH("Rit.provento",'Statements (Raw)'!D497)),"WITHHOLDING TAX",IF(ISNUMBER(SEARCH("Incasso Dividendi",'Statements (Raw)'!D497)),"DIVIDEND",IF(ISNUMBER(SEARCH("Cedola",'Statements (Raw)'!D497)),"COUPON",IF(ISNUMBER(SEARCH("Ratei Pass",'Statements (Raw)'!D497)),"ACCRUED INT",IF(ISNUMBER(SEARCH("Interessi Prest",'Statements (Raw)'!D497)),"SEC LENDING",IF(ISNUMBER(SEARCH("Rimborso",'Statements (Raw)'!D497)),"REDEMPTION",IF(ISNUMBER(SEARCH("Provento",'Statements (Raw)'!D497)),"DISTRIBUTION","OTHER")))))))))))))</f>
        <v/>
      </c>
      <c r="D499" s="6" t="str">
        <f>IF(A499="","",IF(C499="Saldo Iniziale","Balance",IF(C499="CASH DEPOSIT","Deposit",IF(C499="CASH WITHDRAWAL","Withdrawal",IF(C499="STAMP DUTY","Tax",IF(C499="TOBIN TAX","Tax",IF(C499="WITHHOLDING TAX","Tax",IF(C499="DIVIDEND","Dividend",IF(C499="COUPON","Coupon",IF(C499="ACCRUED INT","Accrued Int.",IF(C499="SEC LENDING","Sec. Lending",IF(C499="REDEMPTION","Redemption",IF(C499="DISTRIBUTION","Distribution",IF(ISNUMBER(SEARCH("Rimborso",'Statements (Raw)'!D497)),"Redemption",IF(ISNUMBER(SEARCH("Cedola",'Statements (Raw)'!D497)),"Coupon",IF(ISNUMBER(SEARCH("Incasso Dividendi",'Statements (Raw)'!D497)),"Dividend",IF(ISNUMBER(SEARCH("Provento Etf",'Statements (Raw)'!D497)),"Distribution",IF(ISNUMBER(SEARCH("Rit.provento",'Statements (Raw)'!D497)),"Tax",IF(ISNUMBER(SEARCH("Ratei Pass",'Statements (Raw)'!D497)),"Accrued Int.",IF(ISNUMBER(SEARCH("Interessi Prest",'Statements (Raw)'!D497)),"Sec. Lending",IF('Statements (Raw)'!G497="","Other",IF('Statements (Raw)'!G497&gt;0,"Buy","Sell"))))))))))))))))))))))</f>
        <v/>
      </c>
      <c r="E499" s="6" t="str">
        <f t="shared" si="14"/>
        <v/>
      </c>
      <c r="F499" s="8" t="str">
        <f>IF(A499="","",IF('Statements (Raw)'!E497="","",'Statements (Raw)'!E497))</f>
        <v/>
      </c>
      <c r="G499" s="6" t="str">
        <f>IF(A499="","",IF('Statements (Raw)'!F497="","",'Statements (Raw)'!F497))</f>
        <v/>
      </c>
      <c r="H499" s="9" t="str">
        <f>IF(A499="","",IF('Statements (Raw)'!G497="","",'Statements (Raw)'!G497))</f>
        <v/>
      </c>
      <c r="I499" s="10" t="str">
        <f>IF(A499="","",IF('Statements (Raw)'!H497="","",'Statements (Raw)'!H497))</f>
        <v/>
      </c>
      <c r="J499" s="10">
        <f>IF(A499="",0,IF('Statements (Raw)'!I497="",0,'Statements (Raw)'!I497))</f>
        <v>0</v>
      </c>
      <c r="K499" s="10" t="str">
        <f t="shared" si="15"/>
        <v/>
      </c>
    </row>
    <row r="500" spans="1:11" x14ac:dyDescent="0.3">
      <c r="A500" s="171" t="str">
        <f>IF(OR('Statements (Raw)'!A498="",'Statements (Raw)'!A498&gt;Holdings!$G$3),"",'Statements (Raw)'!A498)</f>
        <v/>
      </c>
      <c r="B500" s="7" t="str">
        <f>IF(A500="","",IF('Statements (Raw)'!B498="","",'Statements (Raw)'!B498))</f>
        <v/>
      </c>
      <c r="C500" s="6" t="str">
        <f>IF(A500="","",IF('Statements (Raw)'!C498&lt;&gt;"",'Statements (Raw)'!C498,IF(ISNUMBER(SEARCH("Conferimento",'Statements (Raw)'!D498)),"CASH DEPOSIT",IF(ISNUMBER(SEARCH("Prelievo",'Statements (Raw)'!D498)),"CASH WITHDRAWAL",IF(ISNUMBER(SEARCH("Bollo",'Statements (Raw)'!D498)),"STAMP DUTY",IF(ISNUMBER(SEARCH("Tobin Tax",'Statements (Raw)'!D498)),"TOBIN TAX",IF(ISNUMBER(SEARCH("Rit.provento",'Statements (Raw)'!D498)),"WITHHOLDING TAX",IF(ISNUMBER(SEARCH("Incasso Dividendi",'Statements (Raw)'!D498)),"DIVIDEND",IF(ISNUMBER(SEARCH("Cedola",'Statements (Raw)'!D498)),"COUPON",IF(ISNUMBER(SEARCH("Ratei Pass",'Statements (Raw)'!D498)),"ACCRUED INT",IF(ISNUMBER(SEARCH("Interessi Prest",'Statements (Raw)'!D498)),"SEC LENDING",IF(ISNUMBER(SEARCH("Rimborso",'Statements (Raw)'!D498)),"REDEMPTION",IF(ISNUMBER(SEARCH("Provento",'Statements (Raw)'!D498)),"DISTRIBUTION","OTHER")))))))))))))</f>
        <v/>
      </c>
      <c r="D500" s="6" t="str">
        <f>IF(A500="","",IF(C500="Saldo Iniziale","Balance",IF(C500="CASH DEPOSIT","Deposit",IF(C500="CASH WITHDRAWAL","Withdrawal",IF(C500="STAMP DUTY","Tax",IF(C500="TOBIN TAX","Tax",IF(C500="WITHHOLDING TAX","Tax",IF(C500="DIVIDEND","Dividend",IF(C500="COUPON","Coupon",IF(C500="ACCRUED INT","Accrued Int.",IF(C500="SEC LENDING","Sec. Lending",IF(C500="REDEMPTION","Redemption",IF(C500="DISTRIBUTION","Distribution",IF(ISNUMBER(SEARCH("Rimborso",'Statements (Raw)'!D498)),"Redemption",IF(ISNUMBER(SEARCH("Cedola",'Statements (Raw)'!D498)),"Coupon",IF(ISNUMBER(SEARCH("Incasso Dividendi",'Statements (Raw)'!D498)),"Dividend",IF(ISNUMBER(SEARCH("Provento Etf",'Statements (Raw)'!D498)),"Distribution",IF(ISNUMBER(SEARCH("Rit.provento",'Statements (Raw)'!D498)),"Tax",IF(ISNUMBER(SEARCH("Ratei Pass",'Statements (Raw)'!D498)),"Accrued Int.",IF(ISNUMBER(SEARCH("Interessi Prest",'Statements (Raw)'!D498)),"Sec. Lending",IF('Statements (Raw)'!G498="","Other",IF('Statements (Raw)'!G498&gt;0,"Buy","Sell"))))))))))))))))))))))</f>
        <v/>
      </c>
      <c r="E500" s="6" t="str">
        <f t="shared" si="14"/>
        <v/>
      </c>
      <c r="F500" s="8" t="str">
        <f>IF(A500="","",IF('Statements (Raw)'!E498="","",'Statements (Raw)'!E498))</f>
        <v/>
      </c>
      <c r="G500" s="6" t="str">
        <f>IF(A500="","",IF('Statements (Raw)'!F498="","",'Statements (Raw)'!F498))</f>
        <v/>
      </c>
      <c r="H500" s="9" t="str">
        <f>IF(A500="","",IF('Statements (Raw)'!G498="","",'Statements (Raw)'!G498))</f>
        <v/>
      </c>
      <c r="I500" s="10" t="str">
        <f>IF(A500="","",IF('Statements (Raw)'!H498="","",'Statements (Raw)'!H498))</f>
        <v/>
      </c>
      <c r="J500" s="10">
        <f>IF(A500="",0,IF('Statements (Raw)'!I498="",0,'Statements (Raw)'!I498))</f>
        <v>0</v>
      </c>
      <c r="K500" s="10" t="str">
        <f t="shared" si="15"/>
        <v/>
      </c>
    </row>
    <row r="501" spans="1:11" x14ac:dyDescent="0.3">
      <c r="A501" s="171" t="str">
        <f>IF(OR('Statements (Raw)'!A499="",'Statements (Raw)'!A499&gt;Holdings!$G$3),"",'Statements (Raw)'!A499)</f>
        <v/>
      </c>
      <c r="B501" s="7" t="str">
        <f>IF(A501="","",IF('Statements (Raw)'!B499="","",'Statements (Raw)'!B499))</f>
        <v/>
      </c>
      <c r="C501" s="6" t="str">
        <f>IF(A501="","",IF('Statements (Raw)'!C499&lt;&gt;"",'Statements (Raw)'!C499,IF(ISNUMBER(SEARCH("Conferimento",'Statements (Raw)'!D499)),"CASH DEPOSIT",IF(ISNUMBER(SEARCH("Prelievo",'Statements (Raw)'!D499)),"CASH WITHDRAWAL",IF(ISNUMBER(SEARCH("Bollo",'Statements (Raw)'!D499)),"STAMP DUTY",IF(ISNUMBER(SEARCH("Tobin Tax",'Statements (Raw)'!D499)),"TOBIN TAX",IF(ISNUMBER(SEARCH("Rit.provento",'Statements (Raw)'!D499)),"WITHHOLDING TAX",IF(ISNUMBER(SEARCH("Incasso Dividendi",'Statements (Raw)'!D499)),"DIVIDEND",IF(ISNUMBER(SEARCH("Cedola",'Statements (Raw)'!D499)),"COUPON",IF(ISNUMBER(SEARCH("Ratei Pass",'Statements (Raw)'!D499)),"ACCRUED INT",IF(ISNUMBER(SEARCH("Interessi Prest",'Statements (Raw)'!D499)),"SEC LENDING",IF(ISNUMBER(SEARCH("Rimborso",'Statements (Raw)'!D499)),"REDEMPTION",IF(ISNUMBER(SEARCH("Provento",'Statements (Raw)'!D499)),"DISTRIBUTION","OTHER")))))))))))))</f>
        <v/>
      </c>
      <c r="D501" s="6" t="str">
        <f>IF(A501="","",IF(C501="Saldo Iniziale","Balance",IF(C501="CASH DEPOSIT","Deposit",IF(C501="CASH WITHDRAWAL","Withdrawal",IF(C501="STAMP DUTY","Tax",IF(C501="TOBIN TAX","Tax",IF(C501="WITHHOLDING TAX","Tax",IF(C501="DIVIDEND","Dividend",IF(C501="COUPON","Coupon",IF(C501="ACCRUED INT","Accrued Int.",IF(C501="SEC LENDING","Sec. Lending",IF(C501="REDEMPTION","Redemption",IF(C501="DISTRIBUTION","Distribution",IF(ISNUMBER(SEARCH("Rimborso",'Statements (Raw)'!D499)),"Redemption",IF(ISNUMBER(SEARCH("Cedola",'Statements (Raw)'!D499)),"Coupon",IF(ISNUMBER(SEARCH("Incasso Dividendi",'Statements (Raw)'!D499)),"Dividend",IF(ISNUMBER(SEARCH("Provento Etf",'Statements (Raw)'!D499)),"Distribution",IF(ISNUMBER(SEARCH("Rit.provento",'Statements (Raw)'!D499)),"Tax",IF(ISNUMBER(SEARCH("Ratei Pass",'Statements (Raw)'!D499)),"Accrued Int.",IF(ISNUMBER(SEARCH("Interessi Prest",'Statements (Raw)'!D499)),"Sec. Lending",IF('Statements (Raw)'!G499="","Other",IF('Statements (Raw)'!G499&gt;0,"Buy","Sell"))))))))))))))))))))))</f>
        <v/>
      </c>
      <c r="E501" s="6" t="str">
        <f t="shared" si="14"/>
        <v/>
      </c>
      <c r="F501" s="8" t="str">
        <f>IF(A501="","",IF('Statements (Raw)'!E499="","",'Statements (Raw)'!E499))</f>
        <v/>
      </c>
      <c r="G501" s="6" t="str">
        <f>IF(A501="","",IF('Statements (Raw)'!F499="","",'Statements (Raw)'!F499))</f>
        <v/>
      </c>
      <c r="H501" s="9" t="str">
        <f>IF(A501="","",IF('Statements (Raw)'!G499="","",'Statements (Raw)'!G499))</f>
        <v/>
      </c>
      <c r="I501" s="10" t="str">
        <f>IF(A501="","",IF('Statements (Raw)'!H499="","",'Statements (Raw)'!H499))</f>
        <v/>
      </c>
      <c r="J501" s="10">
        <f>IF(A501="",0,IF('Statements (Raw)'!I499="",0,'Statements (Raw)'!I499))</f>
        <v>0</v>
      </c>
      <c r="K501" s="10" t="str">
        <f t="shared" si="15"/>
        <v/>
      </c>
    </row>
    <row r="502" spans="1:11" x14ac:dyDescent="0.3">
      <c r="A502" s="171" t="str">
        <f>IF(OR('Statements (Raw)'!A500="",'Statements (Raw)'!A500&gt;Holdings!$G$3),"",'Statements (Raw)'!A500)</f>
        <v/>
      </c>
      <c r="B502" s="7" t="str">
        <f>IF(A502="","",IF('Statements (Raw)'!B500="","",'Statements (Raw)'!B500))</f>
        <v/>
      </c>
      <c r="C502" s="6" t="str">
        <f>IF(A502="","",IF('Statements (Raw)'!C500&lt;&gt;"",'Statements (Raw)'!C500,IF(ISNUMBER(SEARCH("Conferimento",'Statements (Raw)'!D500)),"CASH DEPOSIT",IF(ISNUMBER(SEARCH("Prelievo",'Statements (Raw)'!D500)),"CASH WITHDRAWAL",IF(ISNUMBER(SEARCH("Bollo",'Statements (Raw)'!D500)),"STAMP DUTY",IF(ISNUMBER(SEARCH("Tobin Tax",'Statements (Raw)'!D500)),"TOBIN TAX",IF(ISNUMBER(SEARCH("Rit.provento",'Statements (Raw)'!D500)),"WITHHOLDING TAX",IF(ISNUMBER(SEARCH("Incasso Dividendi",'Statements (Raw)'!D500)),"DIVIDEND",IF(ISNUMBER(SEARCH("Cedola",'Statements (Raw)'!D500)),"COUPON",IF(ISNUMBER(SEARCH("Ratei Pass",'Statements (Raw)'!D500)),"ACCRUED INT",IF(ISNUMBER(SEARCH("Interessi Prest",'Statements (Raw)'!D500)),"SEC LENDING",IF(ISNUMBER(SEARCH("Rimborso",'Statements (Raw)'!D500)),"REDEMPTION",IF(ISNUMBER(SEARCH("Provento",'Statements (Raw)'!D500)),"DISTRIBUTION","OTHER")))))))))))))</f>
        <v/>
      </c>
      <c r="D502" s="6" t="str">
        <f>IF(A502="","",IF(C502="Saldo Iniziale","Balance",IF(C502="CASH DEPOSIT","Deposit",IF(C502="CASH WITHDRAWAL","Withdrawal",IF(C502="STAMP DUTY","Tax",IF(C502="TOBIN TAX","Tax",IF(C502="WITHHOLDING TAX","Tax",IF(C502="DIVIDEND","Dividend",IF(C502="COUPON","Coupon",IF(C502="ACCRUED INT","Accrued Int.",IF(C502="SEC LENDING","Sec. Lending",IF(C502="REDEMPTION","Redemption",IF(C502="DISTRIBUTION","Distribution",IF(ISNUMBER(SEARCH("Rimborso",'Statements (Raw)'!D500)),"Redemption",IF(ISNUMBER(SEARCH("Cedola",'Statements (Raw)'!D500)),"Coupon",IF(ISNUMBER(SEARCH("Incasso Dividendi",'Statements (Raw)'!D500)),"Dividend",IF(ISNUMBER(SEARCH("Provento Etf",'Statements (Raw)'!D500)),"Distribution",IF(ISNUMBER(SEARCH("Rit.provento",'Statements (Raw)'!D500)),"Tax",IF(ISNUMBER(SEARCH("Ratei Pass",'Statements (Raw)'!D500)),"Accrued Int.",IF(ISNUMBER(SEARCH("Interessi Prest",'Statements (Raw)'!D500)),"Sec. Lending",IF('Statements (Raw)'!G500="","Other",IF('Statements (Raw)'!G500&gt;0,"Buy","Sell"))))))))))))))))))))))</f>
        <v/>
      </c>
      <c r="E502" s="6" t="str">
        <f t="shared" si="14"/>
        <v/>
      </c>
      <c r="F502" s="8" t="str">
        <f>IF(A502="","",IF('Statements (Raw)'!E500="","",'Statements (Raw)'!E500))</f>
        <v/>
      </c>
      <c r="G502" s="6" t="str">
        <f>IF(A502="","",IF('Statements (Raw)'!F500="","",'Statements (Raw)'!F500))</f>
        <v/>
      </c>
      <c r="H502" s="9" t="str">
        <f>IF(A502="","",IF('Statements (Raw)'!G500="","",'Statements (Raw)'!G500))</f>
        <v/>
      </c>
      <c r="I502" s="10" t="str">
        <f>IF(A502="","",IF('Statements (Raw)'!H500="","",'Statements (Raw)'!H500))</f>
        <v/>
      </c>
      <c r="J502" s="10">
        <f>IF(A502="",0,IF('Statements (Raw)'!I500="",0,'Statements (Raw)'!I500))</f>
        <v>0</v>
      </c>
      <c r="K502" s="10" t="str">
        <f t="shared" si="15"/>
        <v/>
      </c>
    </row>
    <row r="503" spans="1:11" x14ac:dyDescent="0.3">
      <c r="A503" s="171" t="str">
        <f>IF(OR('Statements (Raw)'!A501="",'Statements (Raw)'!A501&gt;Holdings!$G$3),"",'Statements (Raw)'!A501)</f>
        <v/>
      </c>
      <c r="B503" s="7" t="str">
        <f>IF(A503="","",IF('Statements (Raw)'!B501="","",'Statements (Raw)'!B501))</f>
        <v/>
      </c>
      <c r="C503" s="6" t="str">
        <f>IF(A503="","",IF('Statements (Raw)'!C501&lt;&gt;"",'Statements (Raw)'!C501,IF(ISNUMBER(SEARCH("Conferimento",'Statements (Raw)'!D501)),"CASH DEPOSIT",IF(ISNUMBER(SEARCH("Prelievo",'Statements (Raw)'!D501)),"CASH WITHDRAWAL",IF(ISNUMBER(SEARCH("Bollo",'Statements (Raw)'!D501)),"STAMP DUTY",IF(ISNUMBER(SEARCH("Tobin Tax",'Statements (Raw)'!D501)),"TOBIN TAX",IF(ISNUMBER(SEARCH("Rit.provento",'Statements (Raw)'!D501)),"WITHHOLDING TAX",IF(ISNUMBER(SEARCH("Incasso Dividendi",'Statements (Raw)'!D501)),"DIVIDEND",IF(ISNUMBER(SEARCH("Cedola",'Statements (Raw)'!D501)),"COUPON",IF(ISNUMBER(SEARCH("Ratei Pass",'Statements (Raw)'!D501)),"ACCRUED INT",IF(ISNUMBER(SEARCH("Interessi Prest",'Statements (Raw)'!D501)),"SEC LENDING",IF(ISNUMBER(SEARCH("Rimborso",'Statements (Raw)'!D501)),"REDEMPTION",IF(ISNUMBER(SEARCH("Provento",'Statements (Raw)'!D501)),"DISTRIBUTION","OTHER")))))))))))))</f>
        <v/>
      </c>
      <c r="D503" s="6" t="str">
        <f>IF(A503="","",IF(C503="Saldo Iniziale","Balance",IF(C503="CASH DEPOSIT","Deposit",IF(C503="CASH WITHDRAWAL","Withdrawal",IF(C503="STAMP DUTY","Tax",IF(C503="TOBIN TAX","Tax",IF(C503="WITHHOLDING TAX","Tax",IF(C503="DIVIDEND","Dividend",IF(C503="COUPON","Coupon",IF(C503="ACCRUED INT","Accrued Int.",IF(C503="SEC LENDING","Sec. Lending",IF(C503="REDEMPTION","Redemption",IF(C503="DISTRIBUTION","Distribution",IF(ISNUMBER(SEARCH("Rimborso",'Statements (Raw)'!D501)),"Redemption",IF(ISNUMBER(SEARCH("Cedola",'Statements (Raw)'!D501)),"Coupon",IF(ISNUMBER(SEARCH("Incasso Dividendi",'Statements (Raw)'!D501)),"Dividend",IF(ISNUMBER(SEARCH("Provento Etf",'Statements (Raw)'!D501)),"Distribution",IF(ISNUMBER(SEARCH("Rit.provento",'Statements (Raw)'!D501)),"Tax",IF(ISNUMBER(SEARCH("Ratei Pass",'Statements (Raw)'!D501)),"Accrued Int.",IF(ISNUMBER(SEARCH("Interessi Prest",'Statements (Raw)'!D501)),"Sec. Lending",IF('Statements (Raw)'!G501="","Other",IF('Statements (Raw)'!G501&gt;0,"Buy","Sell"))))))))))))))))))))))</f>
        <v/>
      </c>
      <c r="E503" s="6" t="str">
        <f t="shared" si="14"/>
        <v/>
      </c>
      <c r="F503" s="8" t="str">
        <f>IF(A503="","",IF('Statements (Raw)'!E501="","",'Statements (Raw)'!E501))</f>
        <v/>
      </c>
      <c r="G503" s="6" t="str">
        <f>IF(A503="","",IF('Statements (Raw)'!F501="","",'Statements (Raw)'!F501))</f>
        <v/>
      </c>
      <c r="H503" s="9" t="str">
        <f>IF(A503="","",IF('Statements (Raw)'!G501="","",'Statements (Raw)'!G501))</f>
        <v/>
      </c>
      <c r="I503" s="10" t="str">
        <f>IF(A503="","",IF('Statements (Raw)'!H501="","",'Statements (Raw)'!H501))</f>
        <v/>
      </c>
      <c r="J503" s="10">
        <f>IF(A503="",0,IF('Statements (Raw)'!I501="",0,'Statements (Raw)'!I501))</f>
        <v>0</v>
      </c>
      <c r="K503" s="10" t="str">
        <f t="shared" si="15"/>
        <v/>
      </c>
    </row>
    <row r="504" spans="1:11" x14ac:dyDescent="0.3">
      <c r="A504" s="171" t="str">
        <f>IF(OR('Statements (Raw)'!A502="",'Statements (Raw)'!A502&gt;Holdings!$G$3),"",'Statements (Raw)'!A502)</f>
        <v/>
      </c>
      <c r="B504" s="7" t="str">
        <f>IF(A504="","",IF('Statements (Raw)'!B502="","",'Statements (Raw)'!B502))</f>
        <v/>
      </c>
      <c r="C504" s="6" t="str">
        <f>IF(A504="","",IF('Statements (Raw)'!C502&lt;&gt;"",'Statements (Raw)'!C502,IF(ISNUMBER(SEARCH("Conferimento",'Statements (Raw)'!D502)),"CASH DEPOSIT",IF(ISNUMBER(SEARCH("Prelievo",'Statements (Raw)'!D502)),"CASH WITHDRAWAL",IF(ISNUMBER(SEARCH("Bollo",'Statements (Raw)'!D502)),"STAMP DUTY",IF(ISNUMBER(SEARCH("Tobin Tax",'Statements (Raw)'!D502)),"TOBIN TAX",IF(ISNUMBER(SEARCH("Rit.provento",'Statements (Raw)'!D502)),"WITHHOLDING TAX",IF(ISNUMBER(SEARCH("Incasso Dividendi",'Statements (Raw)'!D502)),"DIVIDEND",IF(ISNUMBER(SEARCH("Cedola",'Statements (Raw)'!D502)),"COUPON",IF(ISNUMBER(SEARCH("Ratei Pass",'Statements (Raw)'!D502)),"ACCRUED INT",IF(ISNUMBER(SEARCH("Interessi Prest",'Statements (Raw)'!D502)),"SEC LENDING",IF(ISNUMBER(SEARCH("Rimborso",'Statements (Raw)'!D502)),"REDEMPTION",IF(ISNUMBER(SEARCH("Provento",'Statements (Raw)'!D502)),"DISTRIBUTION","OTHER")))))))))))))</f>
        <v/>
      </c>
      <c r="D504" s="6" t="str">
        <f>IF(A504="","",IF(C504="Saldo Iniziale","Balance",IF(C504="CASH DEPOSIT","Deposit",IF(C504="CASH WITHDRAWAL","Withdrawal",IF(C504="STAMP DUTY","Tax",IF(C504="TOBIN TAX","Tax",IF(C504="WITHHOLDING TAX","Tax",IF(C504="DIVIDEND","Dividend",IF(C504="COUPON","Coupon",IF(C504="ACCRUED INT","Accrued Int.",IF(C504="SEC LENDING","Sec. Lending",IF(C504="REDEMPTION","Redemption",IF(C504="DISTRIBUTION","Distribution",IF(ISNUMBER(SEARCH("Rimborso",'Statements (Raw)'!D502)),"Redemption",IF(ISNUMBER(SEARCH("Cedola",'Statements (Raw)'!D502)),"Coupon",IF(ISNUMBER(SEARCH("Incasso Dividendi",'Statements (Raw)'!D502)),"Dividend",IF(ISNUMBER(SEARCH("Provento Etf",'Statements (Raw)'!D502)),"Distribution",IF(ISNUMBER(SEARCH("Rit.provento",'Statements (Raw)'!D502)),"Tax",IF(ISNUMBER(SEARCH("Ratei Pass",'Statements (Raw)'!D502)),"Accrued Int.",IF(ISNUMBER(SEARCH("Interessi Prest",'Statements (Raw)'!D502)),"Sec. Lending",IF('Statements (Raw)'!G502="","Other",IF('Statements (Raw)'!G502&gt;0,"Buy","Sell"))))))))))))))))))))))</f>
        <v/>
      </c>
      <c r="E504" s="6" t="str">
        <f t="shared" si="14"/>
        <v/>
      </c>
      <c r="F504" s="8" t="str">
        <f>IF(A504="","",IF('Statements (Raw)'!E502="","",'Statements (Raw)'!E502))</f>
        <v/>
      </c>
      <c r="G504" s="6" t="str">
        <f>IF(A504="","",IF('Statements (Raw)'!F502="","",'Statements (Raw)'!F502))</f>
        <v/>
      </c>
      <c r="H504" s="9" t="str">
        <f>IF(A504="","",IF('Statements (Raw)'!G502="","",'Statements (Raw)'!G502))</f>
        <v/>
      </c>
      <c r="I504" s="10" t="str">
        <f>IF(A504="","",IF('Statements (Raw)'!H502="","",'Statements (Raw)'!H502))</f>
        <v/>
      </c>
      <c r="J504" s="10">
        <f>IF(A504="",0,IF('Statements (Raw)'!I502="",0,'Statements (Raw)'!I502))</f>
        <v>0</v>
      </c>
      <c r="K504" s="10" t="str">
        <f t="shared" si="15"/>
        <v/>
      </c>
    </row>
    <row r="505" spans="1:11" x14ac:dyDescent="0.3">
      <c r="A505" s="171" t="str">
        <f>IF(OR('Statements (Raw)'!A503="",'Statements (Raw)'!A503&gt;Holdings!$G$3),"",'Statements (Raw)'!A503)</f>
        <v/>
      </c>
      <c r="B505" s="7" t="str">
        <f>IF(A505="","",IF('Statements (Raw)'!B503="","",'Statements (Raw)'!B503))</f>
        <v/>
      </c>
      <c r="C505" s="6" t="str">
        <f>IF(A505="","",IF('Statements (Raw)'!C503&lt;&gt;"",'Statements (Raw)'!C503,IF(ISNUMBER(SEARCH("Conferimento",'Statements (Raw)'!D503)),"CASH DEPOSIT",IF(ISNUMBER(SEARCH("Prelievo",'Statements (Raw)'!D503)),"CASH WITHDRAWAL",IF(ISNUMBER(SEARCH("Bollo",'Statements (Raw)'!D503)),"STAMP DUTY",IF(ISNUMBER(SEARCH("Tobin Tax",'Statements (Raw)'!D503)),"TOBIN TAX",IF(ISNUMBER(SEARCH("Rit.provento",'Statements (Raw)'!D503)),"WITHHOLDING TAX",IF(ISNUMBER(SEARCH("Incasso Dividendi",'Statements (Raw)'!D503)),"DIVIDEND",IF(ISNUMBER(SEARCH("Cedola",'Statements (Raw)'!D503)),"COUPON",IF(ISNUMBER(SEARCH("Ratei Pass",'Statements (Raw)'!D503)),"ACCRUED INT",IF(ISNUMBER(SEARCH("Interessi Prest",'Statements (Raw)'!D503)),"SEC LENDING",IF(ISNUMBER(SEARCH("Rimborso",'Statements (Raw)'!D503)),"REDEMPTION",IF(ISNUMBER(SEARCH("Provento",'Statements (Raw)'!D503)),"DISTRIBUTION","OTHER")))))))))))))</f>
        <v/>
      </c>
      <c r="D505" s="6" t="str">
        <f>IF(A505="","",IF(C505="Saldo Iniziale","Balance",IF(C505="CASH DEPOSIT","Deposit",IF(C505="CASH WITHDRAWAL","Withdrawal",IF(C505="STAMP DUTY","Tax",IF(C505="TOBIN TAX","Tax",IF(C505="WITHHOLDING TAX","Tax",IF(C505="DIVIDEND","Dividend",IF(C505="COUPON","Coupon",IF(C505="ACCRUED INT","Accrued Int.",IF(C505="SEC LENDING","Sec. Lending",IF(C505="REDEMPTION","Redemption",IF(C505="DISTRIBUTION","Distribution",IF(ISNUMBER(SEARCH("Rimborso",'Statements (Raw)'!D503)),"Redemption",IF(ISNUMBER(SEARCH("Cedola",'Statements (Raw)'!D503)),"Coupon",IF(ISNUMBER(SEARCH("Incasso Dividendi",'Statements (Raw)'!D503)),"Dividend",IF(ISNUMBER(SEARCH("Provento Etf",'Statements (Raw)'!D503)),"Distribution",IF(ISNUMBER(SEARCH("Rit.provento",'Statements (Raw)'!D503)),"Tax",IF(ISNUMBER(SEARCH("Ratei Pass",'Statements (Raw)'!D503)),"Accrued Int.",IF(ISNUMBER(SEARCH("Interessi Prest",'Statements (Raw)'!D503)),"Sec. Lending",IF('Statements (Raw)'!G503="","Other",IF('Statements (Raw)'!G503&gt;0,"Buy","Sell"))))))))))))))))))))))</f>
        <v/>
      </c>
      <c r="E505" s="6" t="str">
        <f t="shared" si="14"/>
        <v/>
      </c>
      <c r="F505" s="8" t="str">
        <f>IF(A505="","",IF('Statements (Raw)'!E503="","",'Statements (Raw)'!E503))</f>
        <v/>
      </c>
      <c r="G505" s="6" t="str">
        <f>IF(A505="","",IF('Statements (Raw)'!F503="","",'Statements (Raw)'!F503))</f>
        <v/>
      </c>
      <c r="H505" s="9" t="str">
        <f>IF(A505="","",IF('Statements (Raw)'!G503="","",'Statements (Raw)'!G503))</f>
        <v/>
      </c>
      <c r="I505" s="10" t="str">
        <f>IF(A505="","",IF('Statements (Raw)'!H503="","",'Statements (Raw)'!H503))</f>
        <v/>
      </c>
      <c r="J505" s="10">
        <f>IF(A505="",0,IF('Statements (Raw)'!I503="",0,'Statements (Raw)'!I503))</f>
        <v>0</v>
      </c>
      <c r="K505" s="10" t="str">
        <f t="shared" si="15"/>
        <v/>
      </c>
    </row>
    <row r="506" spans="1:11" x14ac:dyDescent="0.3">
      <c r="A506" s="171" t="str">
        <f>IF(OR('Statements (Raw)'!A504="",'Statements (Raw)'!A504&gt;Holdings!$G$3),"",'Statements (Raw)'!A504)</f>
        <v/>
      </c>
      <c r="B506" s="7" t="str">
        <f>IF(A506="","",IF('Statements (Raw)'!B504="","",'Statements (Raw)'!B504))</f>
        <v/>
      </c>
      <c r="C506" s="6" t="str">
        <f>IF(A506="","",IF('Statements (Raw)'!C504&lt;&gt;"",'Statements (Raw)'!C504,IF(ISNUMBER(SEARCH("Conferimento",'Statements (Raw)'!D504)),"CASH DEPOSIT",IF(ISNUMBER(SEARCH("Prelievo",'Statements (Raw)'!D504)),"CASH WITHDRAWAL",IF(ISNUMBER(SEARCH("Bollo",'Statements (Raw)'!D504)),"STAMP DUTY",IF(ISNUMBER(SEARCH("Tobin Tax",'Statements (Raw)'!D504)),"TOBIN TAX",IF(ISNUMBER(SEARCH("Rit.provento",'Statements (Raw)'!D504)),"WITHHOLDING TAX",IF(ISNUMBER(SEARCH("Incasso Dividendi",'Statements (Raw)'!D504)),"DIVIDEND",IF(ISNUMBER(SEARCH("Cedola",'Statements (Raw)'!D504)),"COUPON",IF(ISNUMBER(SEARCH("Ratei Pass",'Statements (Raw)'!D504)),"ACCRUED INT",IF(ISNUMBER(SEARCH("Interessi Prest",'Statements (Raw)'!D504)),"SEC LENDING",IF(ISNUMBER(SEARCH("Rimborso",'Statements (Raw)'!D504)),"REDEMPTION",IF(ISNUMBER(SEARCH("Provento",'Statements (Raw)'!D504)),"DISTRIBUTION","OTHER")))))))))))))</f>
        <v/>
      </c>
      <c r="D506" s="6" t="str">
        <f>IF(A506="","",IF(C506="Saldo Iniziale","Balance",IF(C506="CASH DEPOSIT","Deposit",IF(C506="CASH WITHDRAWAL","Withdrawal",IF(C506="STAMP DUTY","Tax",IF(C506="TOBIN TAX","Tax",IF(C506="WITHHOLDING TAX","Tax",IF(C506="DIVIDEND","Dividend",IF(C506="COUPON","Coupon",IF(C506="ACCRUED INT","Accrued Int.",IF(C506="SEC LENDING","Sec. Lending",IF(C506="REDEMPTION","Redemption",IF(C506="DISTRIBUTION","Distribution",IF(ISNUMBER(SEARCH("Rimborso",'Statements (Raw)'!D504)),"Redemption",IF(ISNUMBER(SEARCH("Cedola",'Statements (Raw)'!D504)),"Coupon",IF(ISNUMBER(SEARCH("Incasso Dividendi",'Statements (Raw)'!D504)),"Dividend",IF(ISNUMBER(SEARCH("Provento Etf",'Statements (Raw)'!D504)),"Distribution",IF(ISNUMBER(SEARCH("Rit.provento",'Statements (Raw)'!D504)),"Tax",IF(ISNUMBER(SEARCH("Ratei Pass",'Statements (Raw)'!D504)),"Accrued Int.",IF(ISNUMBER(SEARCH("Interessi Prest",'Statements (Raw)'!D504)),"Sec. Lending",IF('Statements (Raw)'!G504="","Other",IF('Statements (Raw)'!G504&gt;0,"Buy","Sell"))))))))))))))))))))))</f>
        <v/>
      </c>
      <c r="E506" s="6" t="str">
        <f t="shared" si="14"/>
        <v/>
      </c>
      <c r="F506" s="8" t="str">
        <f>IF(A506="","",IF('Statements (Raw)'!E504="","",'Statements (Raw)'!E504))</f>
        <v/>
      </c>
      <c r="G506" s="6" t="str">
        <f>IF(A506="","",IF('Statements (Raw)'!F504="","",'Statements (Raw)'!F504))</f>
        <v/>
      </c>
      <c r="H506" s="9" t="str">
        <f>IF(A506="","",IF('Statements (Raw)'!G504="","",'Statements (Raw)'!G504))</f>
        <v/>
      </c>
      <c r="I506" s="10" t="str">
        <f>IF(A506="","",IF('Statements (Raw)'!H504="","",'Statements (Raw)'!H504))</f>
        <v/>
      </c>
      <c r="J506" s="10">
        <f>IF(A506="",0,IF('Statements (Raw)'!I504="",0,'Statements (Raw)'!I504))</f>
        <v>0</v>
      </c>
      <c r="K506" s="10" t="str">
        <f t="shared" si="15"/>
        <v/>
      </c>
    </row>
    <row r="507" spans="1:11" x14ac:dyDescent="0.3">
      <c r="A507" s="171" t="str">
        <f>IF(OR('Statements (Raw)'!A505="",'Statements (Raw)'!A505&gt;Holdings!$G$3),"",'Statements (Raw)'!A505)</f>
        <v/>
      </c>
      <c r="B507" s="7" t="str">
        <f>IF(A507="","",IF('Statements (Raw)'!B505="","",'Statements (Raw)'!B505))</f>
        <v/>
      </c>
      <c r="C507" s="6" t="str">
        <f>IF(A507="","",IF('Statements (Raw)'!C505&lt;&gt;"",'Statements (Raw)'!C505,IF(ISNUMBER(SEARCH("Conferimento",'Statements (Raw)'!D505)),"CASH DEPOSIT",IF(ISNUMBER(SEARCH("Prelievo",'Statements (Raw)'!D505)),"CASH WITHDRAWAL",IF(ISNUMBER(SEARCH("Bollo",'Statements (Raw)'!D505)),"STAMP DUTY",IF(ISNUMBER(SEARCH("Tobin Tax",'Statements (Raw)'!D505)),"TOBIN TAX",IF(ISNUMBER(SEARCH("Rit.provento",'Statements (Raw)'!D505)),"WITHHOLDING TAX",IF(ISNUMBER(SEARCH("Incasso Dividendi",'Statements (Raw)'!D505)),"DIVIDEND",IF(ISNUMBER(SEARCH("Cedola",'Statements (Raw)'!D505)),"COUPON",IF(ISNUMBER(SEARCH("Ratei Pass",'Statements (Raw)'!D505)),"ACCRUED INT",IF(ISNUMBER(SEARCH("Interessi Prest",'Statements (Raw)'!D505)),"SEC LENDING",IF(ISNUMBER(SEARCH("Rimborso",'Statements (Raw)'!D505)),"REDEMPTION",IF(ISNUMBER(SEARCH("Provento",'Statements (Raw)'!D505)),"DISTRIBUTION","OTHER")))))))))))))</f>
        <v/>
      </c>
      <c r="D507" s="6" t="str">
        <f>IF(A507="","",IF(C507="Saldo Iniziale","Balance",IF(C507="CASH DEPOSIT","Deposit",IF(C507="CASH WITHDRAWAL","Withdrawal",IF(C507="STAMP DUTY","Tax",IF(C507="TOBIN TAX","Tax",IF(C507="WITHHOLDING TAX","Tax",IF(C507="DIVIDEND","Dividend",IF(C507="COUPON","Coupon",IF(C507="ACCRUED INT","Accrued Int.",IF(C507="SEC LENDING","Sec. Lending",IF(C507="REDEMPTION","Redemption",IF(C507="DISTRIBUTION","Distribution",IF(ISNUMBER(SEARCH("Rimborso",'Statements (Raw)'!D505)),"Redemption",IF(ISNUMBER(SEARCH("Cedola",'Statements (Raw)'!D505)),"Coupon",IF(ISNUMBER(SEARCH("Incasso Dividendi",'Statements (Raw)'!D505)),"Dividend",IF(ISNUMBER(SEARCH("Provento Etf",'Statements (Raw)'!D505)),"Distribution",IF(ISNUMBER(SEARCH("Rit.provento",'Statements (Raw)'!D505)),"Tax",IF(ISNUMBER(SEARCH("Ratei Pass",'Statements (Raw)'!D505)),"Accrued Int.",IF(ISNUMBER(SEARCH("Interessi Prest",'Statements (Raw)'!D505)),"Sec. Lending",IF('Statements (Raw)'!G505="","Other",IF('Statements (Raw)'!G505&gt;0,"Buy","Sell"))))))))))))))))))))))</f>
        <v/>
      </c>
      <c r="E507" s="6" t="str">
        <f t="shared" si="14"/>
        <v/>
      </c>
      <c r="F507" s="8" t="str">
        <f>IF(A507="","",IF('Statements (Raw)'!E505="","",'Statements (Raw)'!E505))</f>
        <v/>
      </c>
      <c r="G507" s="6" t="str">
        <f>IF(A507="","",IF('Statements (Raw)'!F505="","",'Statements (Raw)'!F505))</f>
        <v/>
      </c>
      <c r="H507" s="9" t="str">
        <f>IF(A507="","",IF('Statements (Raw)'!G505="","",'Statements (Raw)'!G505))</f>
        <v/>
      </c>
      <c r="I507" s="10" t="str">
        <f>IF(A507="","",IF('Statements (Raw)'!H505="","",'Statements (Raw)'!H505))</f>
        <v/>
      </c>
      <c r="J507" s="10">
        <f>IF(A507="",0,IF('Statements (Raw)'!I505="",0,'Statements (Raw)'!I505))</f>
        <v>0</v>
      </c>
      <c r="K507" s="10" t="str">
        <f t="shared" si="15"/>
        <v/>
      </c>
    </row>
    <row r="508" spans="1:11" x14ac:dyDescent="0.3">
      <c r="A508" s="171" t="str">
        <f>IF(OR('Statements (Raw)'!A506="",'Statements (Raw)'!A506&gt;Holdings!$G$3),"",'Statements (Raw)'!A506)</f>
        <v/>
      </c>
      <c r="B508" s="7" t="str">
        <f>IF(A508="","",IF('Statements (Raw)'!B506="","",'Statements (Raw)'!B506))</f>
        <v/>
      </c>
      <c r="C508" s="6" t="str">
        <f>IF(A508="","",IF('Statements (Raw)'!C506&lt;&gt;"",'Statements (Raw)'!C506,IF(ISNUMBER(SEARCH("Conferimento",'Statements (Raw)'!D506)),"CASH DEPOSIT",IF(ISNUMBER(SEARCH("Prelievo",'Statements (Raw)'!D506)),"CASH WITHDRAWAL",IF(ISNUMBER(SEARCH("Bollo",'Statements (Raw)'!D506)),"STAMP DUTY",IF(ISNUMBER(SEARCH("Tobin Tax",'Statements (Raw)'!D506)),"TOBIN TAX",IF(ISNUMBER(SEARCH("Rit.provento",'Statements (Raw)'!D506)),"WITHHOLDING TAX",IF(ISNUMBER(SEARCH("Incasso Dividendi",'Statements (Raw)'!D506)),"DIVIDEND",IF(ISNUMBER(SEARCH("Cedola",'Statements (Raw)'!D506)),"COUPON",IF(ISNUMBER(SEARCH("Ratei Pass",'Statements (Raw)'!D506)),"ACCRUED INT",IF(ISNUMBER(SEARCH("Interessi Prest",'Statements (Raw)'!D506)),"SEC LENDING",IF(ISNUMBER(SEARCH("Rimborso",'Statements (Raw)'!D506)),"REDEMPTION",IF(ISNUMBER(SEARCH("Provento",'Statements (Raw)'!D506)),"DISTRIBUTION","OTHER")))))))))))))</f>
        <v/>
      </c>
      <c r="D508" s="6" t="str">
        <f>IF(A508="","",IF(C508="Saldo Iniziale","Balance",IF(C508="CASH DEPOSIT","Deposit",IF(C508="CASH WITHDRAWAL","Withdrawal",IF(C508="STAMP DUTY","Tax",IF(C508="TOBIN TAX","Tax",IF(C508="WITHHOLDING TAX","Tax",IF(C508="DIVIDEND","Dividend",IF(C508="COUPON","Coupon",IF(C508="ACCRUED INT","Accrued Int.",IF(C508="SEC LENDING","Sec. Lending",IF(C508="REDEMPTION","Redemption",IF(C508="DISTRIBUTION","Distribution",IF(ISNUMBER(SEARCH("Rimborso",'Statements (Raw)'!D506)),"Redemption",IF(ISNUMBER(SEARCH("Cedola",'Statements (Raw)'!D506)),"Coupon",IF(ISNUMBER(SEARCH("Incasso Dividendi",'Statements (Raw)'!D506)),"Dividend",IF(ISNUMBER(SEARCH("Provento Etf",'Statements (Raw)'!D506)),"Distribution",IF(ISNUMBER(SEARCH("Rit.provento",'Statements (Raw)'!D506)),"Tax",IF(ISNUMBER(SEARCH("Ratei Pass",'Statements (Raw)'!D506)),"Accrued Int.",IF(ISNUMBER(SEARCH("Interessi Prest",'Statements (Raw)'!D506)),"Sec. Lending",IF('Statements (Raw)'!G506="","Other",IF('Statements (Raw)'!G506&gt;0,"Buy","Sell"))))))))))))))))))))))</f>
        <v/>
      </c>
      <c r="E508" s="6" t="str">
        <f t="shared" si="14"/>
        <v/>
      </c>
      <c r="F508" s="8" t="str">
        <f>IF(A508="","",IF('Statements (Raw)'!E506="","",'Statements (Raw)'!E506))</f>
        <v/>
      </c>
      <c r="G508" s="6" t="str">
        <f>IF(A508="","",IF('Statements (Raw)'!F506="","",'Statements (Raw)'!F506))</f>
        <v/>
      </c>
      <c r="H508" s="9" t="str">
        <f>IF(A508="","",IF('Statements (Raw)'!G506="","",'Statements (Raw)'!G506))</f>
        <v/>
      </c>
      <c r="I508" s="10" t="str">
        <f>IF(A508="","",IF('Statements (Raw)'!H506="","",'Statements (Raw)'!H506))</f>
        <v/>
      </c>
      <c r="J508" s="10">
        <f>IF(A508="",0,IF('Statements (Raw)'!I506="",0,'Statements (Raw)'!I506))</f>
        <v>0</v>
      </c>
      <c r="K508" s="10" t="str">
        <f t="shared" si="15"/>
        <v/>
      </c>
    </row>
    <row r="509" spans="1:11" x14ac:dyDescent="0.3">
      <c r="A509" s="171" t="str">
        <f>IF(OR('Statements (Raw)'!A507="",'Statements (Raw)'!A507&gt;Holdings!$G$3),"",'Statements (Raw)'!A507)</f>
        <v/>
      </c>
      <c r="B509" s="7" t="str">
        <f>IF(A509="","",IF('Statements (Raw)'!B507="","",'Statements (Raw)'!B507))</f>
        <v/>
      </c>
      <c r="C509" s="6" t="str">
        <f>IF(A509="","",IF('Statements (Raw)'!C507&lt;&gt;"",'Statements (Raw)'!C507,IF(ISNUMBER(SEARCH("Conferimento",'Statements (Raw)'!D507)),"CASH DEPOSIT",IF(ISNUMBER(SEARCH("Prelievo",'Statements (Raw)'!D507)),"CASH WITHDRAWAL",IF(ISNUMBER(SEARCH("Bollo",'Statements (Raw)'!D507)),"STAMP DUTY",IF(ISNUMBER(SEARCH("Tobin Tax",'Statements (Raw)'!D507)),"TOBIN TAX",IF(ISNUMBER(SEARCH("Rit.provento",'Statements (Raw)'!D507)),"WITHHOLDING TAX",IF(ISNUMBER(SEARCH("Incasso Dividendi",'Statements (Raw)'!D507)),"DIVIDEND",IF(ISNUMBER(SEARCH("Cedola",'Statements (Raw)'!D507)),"COUPON",IF(ISNUMBER(SEARCH("Ratei Pass",'Statements (Raw)'!D507)),"ACCRUED INT",IF(ISNUMBER(SEARCH("Interessi Prest",'Statements (Raw)'!D507)),"SEC LENDING",IF(ISNUMBER(SEARCH("Rimborso",'Statements (Raw)'!D507)),"REDEMPTION",IF(ISNUMBER(SEARCH("Provento",'Statements (Raw)'!D507)),"DISTRIBUTION","OTHER")))))))))))))</f>
        <v/>
      </c>
      <c r="D509" s="6" t="str">
        <f>IF(A509="","",IF(C509="Saldo Iniziale","Balance",IF(C509="CASH DEPOSIT","Deposit",IF(C509="CASH WITHDRAWAL","Withdrawal",IF(C509="STAMP DUTY","Tax",IF(C509="TOBIN TAX","Tax",IF(C509="WITHHOLDING TAX","Tax",IF(C509="DIVIDEND","Dividend",IF(C509="COUPON","Coupon",IF(C509="ACCRUED INT","Accrued Int.",IF(C509="SEC LENDING","Sec. Lending",IF(C509="REDEMPTION","Redemption",IF(C509="DISTRIBUTION","Distribution",IF(ISNUMBER(SEARCH("Rimborso",'Statements (Raw)'!D507)),"Redemption",IF(ISNUMBER(SEARCH("Cedola",'Statements (Raw)'!D507)),"Coupon",IF(ISNUMBER(SEARCH("Incasso Dividendi",'Statements (Raw)'!D507)),"Dividend",IF(ISNUMBER(SEARCH("Provento Etf",'Statements (Raw)'!D507)),"Distribution",IF(ISNUMBER(SEARCH("Rit.provento",'Statements (Raw)'!D507)),"Tax",IF(ISNUMBER(SEARCH("Ratei Pass",'Statements (Raw)'!D507)),"Accrued Int.",IF(ISNUMBER(SEARCH("Interessi Prest",'Statements (Raw)'!D507)),"Sec. Lending",IF('Statements (Raw)'!G507="","Other",IF('Statements (Raw)'!G507&gt;0,"Buy","Sell"))))))))))))))))))))))</f>
        <v/>
      </c>
      <c r="E509" s="6" t="str">
        <f t="shared" si="14"/>
        <v/>
      </c>
      <c r="F509" s="8" t="str">
        <f>IF(A509="","",IF('Statements (Raw)'!E507="","",'Statements (Raw)'!E507))</f>
        <v/>
      </c>
      <c r="G509" s="6" t="str">
        <f>IF(A509="","",IF('Statements (Raw)'!F507="","",'Statements (Raw)'!F507))</f>
        <v/>
      </c>
      <c r="H509" s="9" t="str">
        <f>IF(A509="","",IF('Statements (Raw)'!G507="","",'Statements (Raw)'!G507))</f>
        <v/>
      </c>
      <c r="I509" s="10" t="str">
        <f>IF(A509="","",IF('Statements (Raw)'!H507="","",'Statements (Raw)'!H507))</f>
        <v/>
      </c>
      <c r="J509" s="10">
        <f>IF(A509="",0,IF('Statements (Raw)'!I507="",0,'Statements (Raw)'!I507))</f>
        <v>0</v>
      </c>
      <c r="K509" s="10" t="str">
        <f t="shared" si="15"/>
        <v/>
      </c>
    </row>
    <row r="510" spans="1:11" x14ac:dyDescent="0.3">
      <c r="A510" s="171" t="str">
        <f>IF(OR('Statements (Raw)'!A508="",'Statements (Raw)'!A508&gt;Holdings!$G$3),"",'Statements (Raw)'!A508)</f>
        <v/>
      </c>
      <c r="B510" s="7" t="str">
        <f>IF(A510="","",IF('Statements (Raw)'!B508="","",'Statements (Raw)'!B508))</f>
        <v/>
      </c>
      <c r="C510" s="6" t="str">
        <f>IF(A510="","",IF('Statements (Raw)'!C508&lt;&gt;"",'Statements (Raw)'!C508,IF(ISNUMBER(SEARCH("Conferimento",'Statements (Raw)'!D508)),"CASH DEPOSIT",IF(ISNUMBER(SEARCH("Prelievo",'Statements (Raw)'!D508)),"CASH WITHDRAWAL",IF(ISNUMBER(SEARCH("Bollo",'Statements (Raw)'!D508)),"STAMP DUTY",IF(ISNUMBER(SEARCH("Tobin Tax",'Statements (Raw)'!D508)),"TOBIN TAX",IF(ISNUMBER(SEARCH("Rit.provento",'Statements (Raw)'!D508)),"WITHHOLDING TAX",IF(ISNUMBER(SEARCH("Incasso Dividendi",'Statements (Raw)'!D508)),"DIVIDEND",IF(ISNUMBER(SEARCH("Cedola",'Statements (Raw)'!D508)),"COUPON",IF(ISNUMBER(SEARCH("Ratei Pass",'Statements (Raw)'!D508)),"ACCRUED INT",IF(ISNUMBER(SEARCH("Interessi Prest",'Statements (Raw)'!D508)),"SEC LENDING",IF(ISNUMBER(SEARCH("Rimborso",'Statements (Raw)'!D508)),"REDEMPTION",IF(ISNUMBER(SEARCH("Provento",'Statements (Raw)'!D508)),"DISTRIBUTION","OTHER")))))))))))))</f>
        <v/>
      </c>
      <c r="D510" s="6" t="str">
        <f>IF(A510="","",IF(C510="Saldo Iniziale","Balance",IF(C510="CASH DEPOSIT","Deposit",IF(C510="CASH WITHDRAWAL","Withdrawal",IF(C510="STAMP DUTY","Tax",IF(C510="TOBIN TAX","Tax",IF(C510="WITHHOLDING TAX","Tax",IF(C510="DIVIDEND","Dividend",IF(C510="COUPON","Coupon",IF(C510="ACCRUED INT","Accrued Int.",IF(C510="SEC LENDING","Sec. Lending",IF(C510="REDEMPTION","Redemption",IF(C510="DISTRIBUTION","Distribution",IF(ISNUMBER(SEARCH("Rimborso",'Statements (Raw)'!D508)),"Redemption",IF(ISNUMBER(SEARCH("Cedola",'Statements (Raw)'!D508)),"Coupon",IF(ISNUMBER(SEARCH("Incasso Dividendi",'Statements (Raw)'!D508)),"Dividend",IF(ISNUMBER(SEARCH("Provento Etf",'Statements (Raw)'!D508)),"Distribution",IF(ISNUMBER(SEARCH("Rit.provento",'Statements (Raw)'!D508)),"Tax",IF(ISNUMBER(SEARCH("Ratei Pass",'Statements (Raw)'!D508)),"Accrued Int.",IF(ISNUMBER(SEARCH("Interessi Prest",'Statements (Raw)'!D508)),"Sec. Lending",IF('Statements (Raw)'!G508="","Other",IF('Statements (Raw)'!G508&gt;0,"Buy","Sell"))))))))))))))))))))))</f>
        <v/>
      </c>
      <c r="E510" s="6" t="str">
        <f t="shared" si="14"/>
        <v/>
      </c>
      <c r="F510" s="8" t="str">
        <f>IF(A510="","",IF('Statements (Raw)'!E508="","",'Statements (Raw)'!E508))</f>
        <v/>
      </c>
      <c r="G510" s="6" t="str">
        <f>IF(A510="","",IF('Statements (Raw)'!F508="","",'Statements (Raw)'!F508))</f>
        <v/>
      </c>
      <c r="H510" s="9" t="str">
        <f>IF(A510="","",IF('Statements (Raw)'!G508="","",'Statements (Raw)'!G508))</f>
        <v/>
      </c>
      <c r="I510" s="10" t="str">
        <f>IF(A510="","",IF('Statements (Raw)'!H508="","",'Statements (Raw)'!H508))</f>
        <v/>
      </c>
      <c r="J510" s="10">
        <f>IF(A510="",0,IF('Statements (Raw)'!I508="",0,'Statements (Raw)'!I508))</f>
        <v>0</v>
      </c>
      <c r="K510" s="10" t="str">
        <f t="shared" si="15"/>
        <v/>
      </c>
    </row>
    <row r="511" spans="1:11" x14ac:dyDescent="0.3">
      <c r="A511" s="171" t="str">
        <f>IF(OR('Statements (Raw)'!A509="",'Statements (Raw)'!A509&gt;Holdings!$G$3),"",'Statements (Raw)'!A509)</f>
        <v/>
      </c>
      <c r="B511" s="7" t="str">
        <f>IF(A511="","",IF('Statements (Raw)'!B509="","",'Statements (Raw)'!B509))</f>
        <v/>
      </c>
      <c r="C511" s="6" t="str">
        <f>IF(A511="","",IF('Statements (Raw)'!C509&lt;&gt;"",'Statements (Raw)'!C509,IF(ISNUMBER(SEARCH("Conferimento",'Statements (Raw)'!D509)),"CASH DEPOSIT",IF(ISNUMBER(SEARCH("Prelievo",'Statements (Raw)'!D509)),"CASH WITHDRAWAL",IF(ISNUMBER(SEARCH("Bollo",'Statements (Raw)'!D509)),"STAMP DUTY",IF(ISNUMBER(SEARCH("Tobin Tax",'Statements (Raw)'!D509)),"TOBIN TAX",IF(ISNUMBER(SEARCH("Rit.provento",'Statements (Raw)'!D509)),"WITHHOLDING TAX",IF(ISNUMBER(SEARCH("Incasso Dividendi",'Statements (Raw)'!D509)),"DIVIDEND",IF(ISNUMBER(SEARCH("Cedola",'Statements (Raw)'!D509)),"COUPON",IF(ISNUMBER(SEARCH("Ratei Pass",'Statements (Raw)'!D509)),"ACCRUED INT",IF(ISNUMBER(SEARCH("Interessi Prest",'Statements (Raw)'!D509)),"SEC LENDING",IF(ISNUMBER(SEARCH("Rimborso",'Statements (Raw)'!D509)),"REDEMPTION",IF(ISNUMBER(SEARCH("Provento",'Statements (Raw)'!D509)),"DISTRIBUTION","OTHER")))))))))))))</f>
        <v/>
      </c>
      <c r="D511" s="6" t="str">
        <f>IF(A511="","",IF(C511="Saldo Iniziale","Balance",IF(C511="CASH DEPOSIT","Deposit",IF(C511="CASH WITHDRAWAL","Withdrawal",IF(C511="STAMP DUTY","Tax",IF(C511="TOBIN TAX","Tax",IF(C511="WITHHOLDING TAX","Tax",IF(C511="DIVIDEND","Dividend",IF(C511="COUPON","Coupon",IF(C511="ACCRUED INT","Accrued Int.",IF(C511="SEC LENDING","Sec. Lending",IF(C511="REDEMPTION","Redemption",IF(C511="DISTRIBUTION","Distribution",IF(ISNUMBER(SEARCH("Rimborso",'Statements (Raw)'!D509)),"Redemption",IF(ISNUMBER(SEARCH("Cedola",'Statements (Raw)'!D509)),"Coupon",IF(ISNUMBER(SEARCH("Incasso Dividendi",'Statements (Raw)'!D509)),"Dividend",IF(ISNUMBER(SEARCH("Provento Etf",'Statements (Raw)'!D509)),"Distribution",IF(ISNUMBER(SEARCH("Rit.provento",'Statements (Raw)'!D509)),"Tax",IF(ISNUMBER(SEARCH("Ratei Pass",'Statements (Raw)'!D509)),"Accrued Int.",IF(ISNUMBER(SEARCH("Interessi Prest",'Statements (Raw)'!D509)),"Sec. Lending",IF('Statements (Raw)'!G509="","Other",IF('Statements (Raw)'!G509&gt;0,"Buy","Sell"))))))))))))))))))))))</f>
        <v/>
      </c>
      <c r="E511" s="6" t="str">
        <f t="shared" si="14"/>
        <v/>
      </c>
      <c r="F511" s="8" t="str">
        <f>IF(A511="","",IF('Statements (Raw)'!E509="","",'Statements (Raw)'!E509))</f>
        <v/>
      </c>
      <c r="G511" s="6" t="str">
        <f>IF(A511="","",IF('Statements (Raw)'!F509="","",'Statements (Raw)'!F509))</f>
        <v/>
      </c>
      <c r="H511" s="9" t="str">
        <f>IF(A511="","",IF('Statements (Raw)'!G509="","",'Statements (Raw)'!G509))</f>
        <v/>
      </c>
      <c r="I511" s="10" t="str">
        <f>IF(A511="","",IF('Statements (Raw)'!H509="","",'Statements (Raw)'!H509))</f>
        <v/>
      </c>
      <c r="J511" s="10">
        <f>IF(A511="",0,IF('Statements (Raw)'!I509="",0,'Statements (Raw)'!I509))</f>
        <v>0</v>
      </c>
      <c r="K511" s="10" t="str">
        <f t="shared" si="15"/>
        <v/>
      </c>
    </row>
    <row r="512" spans="1:11" x14ac:dyDescent="0.3">
      <c r="A512" s="171" t="str">
        <f>IF(OR('Statements (Raw)'!A510="",'Statements (Raw)'!A510&gt;Holdings!$G$3),"",'Statements (Raw)'!A510)</f>
        <v/>
      </c>
      <c r="B512" s="7" t="str">
        <f>IF(A512="","",IF('Statements (Raw)'!B510="","",'Statements (Raw)'!B510))</f>
        <v/>
      </c>
      <c r="C512" s="6" t="str">
        <f>IF(A512="","",IF('Statements (Raw)'!C510&lt;&gt;"",'Statements (Raw)'!C510,IF(ISNUMBER(SEARCH("Conferimento",'Statements (Raw)'!D510)),"CASH DEPOSIT",IF(ISNUMBER(SEARCH("Prelievo",'Statements (Raw)'!D510)),"CASH WITHDRAWAL",IF(ISNUMBER(SEARCH("Bollo",'Statements (Raw)'!D510)),"STAMP DUTY",IF(ISNUMBER(SEARCH("Tobin Tax",'Statements (Raw)'!D510)),"TOBIN TAX",IF(ISNUMBER(SEARCH("Rit.provento",'Statements (Raw)'!D510)),"WITHHOLDING TAX",IF(ISNUMBER(SEARCH("Incasso Dividendi",'Statements (Raw)'!D510)),"DIVIDEND",IF(ISNUMBER(SEARCH("Cedola",'Statements (Raw)'!D510)),"COUPON",IF(ISNUMBER(SEARCH("Ratei Pass",'Statements (Raw)'!D510)),"ACCRUED INT",IF(ISNUMBER(SEARCH("Interessi Prest",'Statements (Raw)'!D510)),"SEC LENDING",IF(ISNUMBER(SEARCH("Rimborso",'Statements (Raw)'!D510)),"REDEMPTION",IF(ISNUMBER(SEARCH("Provento",'Statements (Raw)'!D510)),"DISTRIBUTION","OTHER")))))))))))))</f>
        <v/>
      </c>
      <c r="D512" s="6" t="str">
        <f>IF(A512="","",IF(C512="Saldo Iniziale","Balance",IF(C512="CASH DEPOSIT","Deposit",IF(C512="CASH WITHDRAWAL","Withdrawal",IF(C512="STAMP DUTY","Tax",IF(C512="TOBIN TAX","Tax",IF(C512="WITHHOLDING TAX","Tax",IF(C512="DIVIDEND","Dividend",IF(C512="COUPON","Coupon",IF(C512="ACCRUED INT","Accrued Int.",IF(C512="SEC LENDING","Sec. Lending",IF(C512="REDEMPTION","Redemption",IF(C512="DISTRIBUTION","Distribution",IF(ISNUMBER(SEARCH("Rimborso",'Statements (Raw)'!D510)),"Redemption",IF(ISNUMBER(SEARCH("Cedola",'Statements (Raw)'!D510)),"Coupon",IF(ISNUMBER(SEARCH("Incasso Dividendi",'Statements (Raw)'!D510)),"Dividend",IF(ISNUMBER(SEARCH("Provento Etf",'Statements (Raw)'!D510)),"Distribution",IF(ISNUMBER(SEARCH("Rit.provento",'Statements (Raw)'!D510)),"Tax",IF(ISNUMBER(SEARCH("Ratei Pass",'Statements (Raw)'!D510)),"Accrued Int.",IF(ISNUMBER(SEARCH("Interessi Prest",'Statements (Raw)'!D510)),"Sec. Lending",IF('Statements (Raw)'!G510="","Other",IF('Statements (Raw)'!G510&gt;0,"Buy","Sell"))))))))))))))))))))))</f>
        <v/>
      </c>
      <c r="E512" s="6" t="str">
        <f t="shared" si="14"/>
        <v/>
      </c>
      <c r="F512" s="8" t="str">
        <f>IF(A512="","",IF('Statements (Raw)'!E510="","",'Statements (Raw)'!E510))</f>
        <v/>
      </c>
      <c r="G512" s="6" t="str">
        <f>IF(A512="","",IF('Statements (Raw)'!F510="","",'Statements (Raw)'!F510))</f>
        <v/>
      </c>
      <c r="H512" s="9" t="str">
        <f>IF(A512="","",IF('Statements (Raw)'!G510="","",'Statements (Raw)'!G510))</f>
        <v/>
      </c>
      <c r="I512" s="10" t="str">
        <f>IF(A512="","",IF('Statements (Raw)'!H510="","",'Statements (Raw)'!H510))</f>
        <v/>
      </c>
      <c r="J512" s="10">
        <f>IF(A512="",0,IF('Statements (Raw)'!I510="",0,'Statements (Raw)'!I510))</f>
        <v>0</v>
      </c>
      <c r="K512" s="10" t="str">
        <f t="shared" si="15"/>
        <v/>
      </c>
    </row>
    <row r="513" spans="1:11" x14ac:dyDescent="0.3">
      <c r="A513" s="171" t="str">
        <f>IF(OR('Statements (Raw)'!A511="",'Statements (Raw)'!A511&gt;Holdings!$G$3),"",'Statements (Raw)'!A511)</f>
        <v/>
      </c>
      <c r="B513" s="7" t="str">
        <f>IF(A513="","",IF('Statements (Raw)'!B511="","",'Statements (Raw)'!B511))</f>
        <v/>
      </c>
      <c r="C513" s="6" t="str">
        <f>IF(A513="","",IF('Statements (Raw)'!C511&lt;&gt;"",'Statements (Raw)'!C511,IF(ISNUMBER(SEARCH("Conferimento",'Statements (Raw)'!D511)),"CASH DEPOSIT",IF(ISNUMBER(SEARCH("Prelievo",'Statements (Raw)'!D511)),"CASH WITHDRAWAL",IF(ISNUMBER(SEARCH("Bollo",'Statements (Raw)'!D511)),"STAMP DUTY",IF(ISNUMBER(SEARCH("Tobin Tax",'Statements (Raw)'!D511)),"TOBIN TAX",IF(ISNUMBER(SEARCH("Rit.provento",'Statements (Raw)'!D511)),"WITHHOLDING TAX",IF(ISNUMBER(SEARCH("Incasso Dividendi",'Statements (Raw)'!D511)),"DIVIDEND",IF(ISNUMBER(SEARCH("Cedola",'Statements (Raw)'!D511)),"COUPON",IF(ISNUMBER(SEARCH("Ratei Pass",'Statements (Raw)'!D511)),"ACCRUED INT",IF(ISNUMBER(SEARCH("Interessi Prest",'Statements (Raw)'!D511)),"SEC LENDING",IF(ISNUMBER(SEARCH("Rimborso",'Statements (Raw)'!D511)),"REDEMPTION",IF(ISNUMBER(SEARCH("Provento",'Statements (Raw)'!D511)),"DISTRIBUTION","OTHER")))))))))))))</f>
        <v/>
      </c>
      <c r="D513" s="6" t="str">
        <f>IF(A513="","",IF(C513="Saldo Iniziale","Balance",IF(C513="CASH DEPOSIT","Deposit",IF(C513="CASH WITHDRAWAL","Withdrawal",IF(C513="STAMP DUTY","Tax",IF(C513="TOBIN TAX","Tax",IF(C513="WITHHOLDING TAX","Tax",IF(C513="DIVIDEND","Dividend",IF(C513="COUPON","Coupon",IF(C513="ACCRUED INT","Accrued Int.",IF(C513="SEC LENDING","Sec. Lending",IF(C513="REDEMPTION","Redemption",IF(C513="DISTRIBUTION","Distribution",IF(ISNUMBER(SEARCH("Rimborso",'Statements (Raw)'!D511)),"Redemption",IF(ISNUMBER(SEARCH("Cedola",'Statements (Raw)'!D511)),"Coupon",IF(ISNUMBER(SEARCH("Incasso Dividendi",'Statements (Raw)'!D511)),"Dividend",IF(ISNUMBER(SEARCH("Provento Etf",'Statements (Raw)'!D511)),"Distribution",IF(ISNUMBER(SEARCH("Rit.provento",'Statements (Raw)'!D511)),"Tax",IF(ISNUMBER(SEARCH("Ratei Pass",'Statements (Raw)'!D511)),"Accrued Int.",IF(ISNUMBER(SEARCH("Interessi Prest",'Statements (Raw)'!D511)),"Sec. Lending",IF('Statements (Raw)'!G511="","Other",IF('Statements (Raw)'!G511&gt;0,"Buy","Sell"))))))))))))))))))))))</f>
        <v/>
      </c>
      <c r="E513" s="6" t="str">
        <f t="shared" si="14"/>
        <v/>
      </c>
      <c r="F513" s="8" t="str">
        <f>IF(A513="","",IF('Statements (Raw)'!E511="","",'Statements (Raw)'!E511))</f>
        <v/>
      </c>
      <c r="G513" s="6" t="str">
        <f>IF(A513="","",IF('Statements (Raw)'!F511="","",'Statements (Raw)'!F511))</f>
        <v/>
      </c>
      <c r="H513" s="9" t="str">
        <f>IF(A513="","",IF('Statements (Raw)'!G511="","",'Statements (Raw)'!G511))</f>
        <v/>
      </c>
      <c r="I513" s="10" t="str">
        <f>IF(A513="","",IF('Statements (Raw)'!H511="","",'Statements (Raw)'!H511))</f>
        <v/>
      </c>
      <c r="J513" s="10">
        <f>IF(A513="",0,IF('Statements (Raw)'!I511="",0,'Statements (Raw)'!I511))</f>
        <v>0</v>
      </c>
      <c r="K513" s="10" t="str">
        <f t="shared" si="15"/>
        <v/>
      </c>
    </row>
    <row r="514" spans="1:11" x14ac:dyDescent="0.3">
      <c r="A514" s="171" t="str">
        <f>IF(OR('Statements (Raw)'!A512="",'Statements (Raw)'!A512&gt;Holdings!$G$3),"",'Statements (Raw)'!A512)</f>
        <v/>
      </c>
      <c r="B514" s="7" t="str">
        <f>IF(A514="","",IF('Statements (Raw)'!B512="","",'Statements (Raw)'!B512))</f>
        <v/>
      </c>
      <c r="C514" s="6" t="str">
        <f>IF(A514="","",IF('Statements (Raw)'!C512&lt;&gt;"",'Statements (Raw)'!C512,IF(ISNUMBER(SEARCH("Conferimento",'Statements (Raw)'!D512)),"CASH DEPOSIT",IF(ISNUMBER(SEARCH("Prelievo",'Statements (Raw)'!D512)),"CASH WITHDRAWAL",IF(ISNUMBER(SEARCH("Bollo",'Statements (Raw)'!D512)),"STAMP DUTY",IF(ISNUMBER(SEARCH("Tobin Tax",'Statements (Raw)'!D512)),"TOBIN TAX",IF(ISNUMBER(SEARCH("Rit.provento",'Statements (Raw)'!D512)),"WITHHOLDING TAX",IF(ISNUMBER(SEARCH("Incasso Dividendi",'Statements (Raw)'!D512)),"DIVIDEND",IF(ISNUMBER(SEARCH("Cedola",'Statements (Raw)'!D512)),"COUPON",IF(ISNUMBER(SEARCH("Ratei Pass",'Statements (Raw)'!D512)),"ACCRUED INT",IF(ISNUMBER(SEARCH("Interessi Prest",'Statements (Raw)'!D512)),"SEC LENDING",IF(ISNUMBER(SEARCH("Rimborso",'Statements (Raw)'!D512)),"REDEMPTION",IF(ISNUMBER(SEARCH("Provento",'Statements (Raw)'!D512)),"DISTRIBUTION","OTHER")))))))))))))</f>
        <v/>
      </c>
      <c r="D514" s="6" t="str">
        <f>IF(A514="","",IF(C514="Saldo Iniziale","Balance",IF(C514="CASH DEPOSIT","Deposit",IF(C514="CASH WITHDRAWAL","Withdrawal",IF(C514="STAMP DUTY","Tax",IF(C514="TOBIN TAX","Tax",IF(C514="WITHHOLDING TAX","Tax",IF(C514="DIVIDEND","Dividend",IF(C514="COUPON","Coupon",IF(C514="ACCRUED INT","Accrued Int.",IF(C514="SEC LENDING","Sec. Lending",IF(C514="REDEMPTION","Redemption",IF(C514="DISTRIBUTION","Distribution",IF(ISNUMBER(SEARCH("Rimborso",'Statements (Raw)'!D512)),"Redemption",IF(ISNUMBER(SEARCH("Cedola",'Statements (Raw)'!D512)),"Coupon",IF(ISNUMBER(SEARCH("Incasso Dividendi",'Statements (Raw)'!D512)),"Dividend",IF(ISNUMBER(SEARCH("Provento Etf",'Statements (Raw)'!D512)),"Distribution",IF(ISNUMBER(SEARCH("Rit.provento",'Statements (Raw)'!D512)),"Tax",IF(ISNUMBER(SEARCH("Ratei Pass",'Statements (Raw)'!D512)),"Accrued Int.",IF(ISNUMBER(SEARCH("Interessi Prest",'Statements (Raw)'!D512)),"Sec. Lending",IF('Statements (Raw)'!G512="","Other",IF('Statements (Raw)'!G512&gt;0,"Buy","Sell"))))))))))))))))))))))</f>
        <v/>
      </c>
      <c r="E514" s="6" t="str">
        <f t="shared" si="14"/>
        <v/>
      </c>
      <c r="F514" s="8" t="str">
        <f>IF(A514="","",IF('Statements (Raw)'!E512="","",'Statements (Raw)'!E512))</f>
        <v/>
      </c>
      <c r="G514" s="6" t="str">
        <f>IF(A514="","",IF('Statements (Raw)'!F512="","",'Statements (Raw)'!F512))</f>
        <v/>
      </c>
      <c r="H514" s="9" t="str">
        <f>IF(A514="","",IF('Statements (Raw)'!G512="","",'Statements (Raw)'!G512))</f>
        <v/>
      </c>
      <c r="I514" s="10" t="str">
        <f>IF(A514="","",IF('Statements (Raw)'!H512="","",'Statements (Raw)'!H512))</f>
        <v/>
      </c>
      <c r="J514" s="10">
        <f>IF(A514="",0,IF('Statements (Raw)'!I512="",0,'Statements (Raw)'!I512))</f>
        <v>0</v>
      </c>
      <c r="K514" s="10" t="str">
        <f t="shared" si="15"/>
        <v/>
      </c>
    </row>
    <row r="515" spans="1:11" x14ac:dyDescent="0.3">
      <c r="A515" s="171" t="str">
        <f>IF(OR('Statements (Raw)'!A513="",'Statements (Raw)'!A513&gt;Holdings!$G$3),"",'Statements (Raw)'!A513)</f>
        <v/>
      </c>
      <c r="B515" s="7" t="str">
        <f>IF(A515="","",IF('Statements (Raw)'!B513="","",'Statements (Raw)'!B513))</f>
        <v/>
      </c>
      <c r="C515" s="6" t="str">
        <f>IF(A515="","",IF('Statements (Raw)'!C513&lt;&gt;"",'Statements (Raw)'!C513,IF(ISNUMBER(SEARCH("Conferimento",'Statements (Raw)'!D513)),"CASH DEPOSIT",IF(ISNUMBER(SEARCH("Prelievo",'Statements (Raw)'!D513)),"CASH WITHDRAWAL",IF(ISNUMBER(SEARCH("Bollo",'Statements (Raw)'!D513)),"STAMP DUTY",IF(ISNUMBER(SEARCH("Tobin Tax",'Statements (Raw)'!D513)),"TOBIN TAX",IF(ISNUMBER(SEARCH("Rit.provento",'Statements (Raw)'!D513)),"WITHHOLDING TAX",IF(ISNUMBER(SEARCH("Incasso Dividendi",'Statements (Raw)'!D513)),"DIVIDEND",IF(ISNUMBER(SEARCH("Cedola",'Statements (Raw)'!D513)),"COUPON",IF(ISNUMBER(SEARCH("Ratei Pass",'Statements (Raw)'!D513)),"ACCRUED INT",IF(ISNUMBER(SEARCH("Interessi Prest",'Statements (Raw)'!D513)),"SEC LENDING",IF(ISNUMBER(SEARCH("Rimborso",'Statements (Raw)'!D513)),"REDEMPTION",IF(ISNUMBER(SEARCH("Provento",'Statements (Raw)'!D513)),"DISTRIBUTION","OTHER")))))))))))))</f>
        <v/>
      </c>
      <c r="D515" s="6" t="str">
        <f>IF(A515="","",IF(C515="Saldo Iniziale","Balance",IF(C515="CASH DEPOSIT","Deposit",IF(C515="CASH WITHDRAWAL","Withdrawal",IF(C515="STAMP DUTY","Tax",IF(C515="TOBIN TAX","Tax",IF(C515="WITHHOLDING TAX","Tax",IF(C515="DIVIDEND","Dividend",IF(C515="COUPON","Coupon",IF(C515="ACCRUED INT","Accrued Int.",IF(C515="SEC LENDING","Sec. Lending",IF(C515="REDEMPTION","Redemption",IF(C515="DISTRIBUTION","Distribution",IF(ISNUMBER(SEARCH("Rimborso",'Statements (Raw)'!D513)),"Redemption",IF(ISNUMBER(SEARCH("Cedola",'Statements (Raw)'!D513)),"Coupon",IF(ISNUMBER(SEARCH("Incasso Dividendi",'Statements (Raw)'!D513)),"Dividend",IF(ISNUMBER(SEARCH("Provento Etf",'Statements (Raw)'!D513)),"Distribution",IF(ISNUMBER(SEARCH("Rit.provento",'Statements (Raw)'!D513)),"Tax",IF(ISNUMBER(SEARCH("Ratei Pass",'Statements (Raw)'!D513)),"Accrued Int.",IF(ISNUMBER(SEARCH("Interessi Prest",'Statements (Raw)'!D513)),"Sec. Lending",IF('Statements (Raw)'!G513="","Other",IF('Statements (Raw)'!G513&gt;0,"Buy","Sell"))))))))))))))))))))))</f>
        <v/>
      </c>
      <c r="E515" s="6" t="str">
        <f t="shared" si="14"/>
        <v/>
      </c>
      <c r="F515" s="8" t="str">
        <f>IF(A515="","",IF('Statements (Raw)'!E513="","",'Statements (Raw)'!E513))</f>
        <v/>
      </c>
      <c r="G515" s="6" t="str">
        <f>IF(A515="","",IF('Statements (Raw)'!F513="","",'Statements (Raw)'!F513))</f>
        <v/>
      </c>
      <c r="H515" s="9" t="str">
        <f>IF(A515="","",IF('Statements (Raw)'!G513="","",'Statements (Raw)'!G513))</f>
        <v/>
      </c>
      <c r="I515" s="10" t="str">
        <f>IF(A515="","",IF('Statements (Raw)'!H513="","",'Statements (Raw)'!H513))</f>
        <v/>
      </c>
      <c r="J515" s="10">
        <f>IF(A515="",0,IF('Statements (Raw)'!I513="",0,'Statements (Raw)'!I513))</f>
        <v>0</v>
      </c>
      <c r="K515" s="10" t="str">
        <f t="shared" si="15"/>
        <v/>
      </c>
    </row>
    <row r="516" spans="1:11" x14ac:dyDescent="0.3">
      <c r="A516" s="171" t="str">
        <f>IF(OR('Statements (Raw)'!A514="",'Statements (Raw)'!A514&gt;Holdings!$G$3),"",'Statements (Raw)'!A514)</f>
        <v/>
      </c>
      <c r="B516" s="7" t="str">
        <f>IF(A516="","",IF('Statements (Raw)'!B514="","",'Statements (Raw)'!B514))</f>
        <v/>
      </c>
      <c r="C516" s="6" t="str">
        <f>IF(A516="","",IF('Statements (Raw)'!C514&lt;&gt;"",'Statements (Raw)'!C514,IF(ISNUMBER(SEARCH("Conferimento",'Statements (Raw)'!D514)),"CASH DEPOSIT",IF(ISNUMBER(SEARCH("Prelievo",'Statements (Raw)'!D514)),"CASH WITHDRAWAL",IF(ISNUMBER(SEARCH("Bollo",'Statements (Raw)'!D514)),"STAMP DUTY",IF(ISNUMBER(SEARCH("Tobin Tax",'Statements (Raw)'!D514)),"TOBIN TAX",IF(ISNUMBER(SEARCH("Rit.provento",'Statements (Raw)'!D514)),"WITHHOLDING TAX",IF(ISNUMBER(SEARCH("Incasso Dividendi",'Statements (Raw)'!D514)),"DIVIDEND",IF(ISNUMBER(SEARCH("Cedola",'Statements (Raw)'!D514)),"COUPON",IF(ISNUMBER(SEARCH("Ratei Pass",'Statements (Raw)'!D514)),"ACCRUED INT",IF(ISNUMBER(SEARCH("Interessi Prest",'Statements (Raw)'!D514)),"SEC LENDING",IF(ISNUMBER(SEARCH("Rimborso",'Statements (Raw)'!D514)),"REDEMPTION",IF(ISNUMBER(SEARCH("Provento",'Statements (Raw)'!D514)),"DISTRIBUTION","OTHER")))))))))))))</f>
        <v/>
      </c>
      <c r="D516" s="6" t="str">
        <f>IF(A516="","",IF(C516="Saldo Iniziale","Balance",IF(C516="CASH DEPOSIT","Deposit",IF(C516="CASH WITHDRAWAL","Withdrawal",IF(C516="STAMP DUTY","Tax",IF(C516="TOBIN TAX","Tax",IF(C516="WITHHOLDING TAX","Tax",IF(C516="DIVIDEND","Dividend",IF(C516="COUPON","Coupon",IF(C516="ACCRUED INT","Accrued Int.",IF(C516="SEC LENDING","Sec. Lending",IF(C516="REDEMPTION","Redemption",IF(C516="DISTRIBUTION","Distribution",IF(ISNUMBER(SEARCH("Rimborso",'Statements (Raw)'!D514)),"Redemption",IF(ISNUMBER(SEARCH("Cedola",'Statements (Raw)'!D514)),"Coupon",IF(ISNUMBER(SEARCH("Incasso Dividendi",'Statements (Raw)'!D514)),"Dividend",IF(ISNUMBER(SEARCH("Provento Etf",'Statements (Raw)'!D514)),"Distribution",IF(ISNUMBER(SEARCH("Rit.provento",'Statements (Raw)'!D514)),"Tax",IF(ISNUMBER(SEARCH("Ratei Pass",'Statements (Raw)'!D514)),"Accrued Int.",IF(ISNUMBER(SEARCH("Interessi Prest",'Statements (Raw)'!D514)),"Sec. Lending",IF('Statements (Raw)'!G514="","Other",IF('Statements (Raw)'!G514&gt;0,"Buy","Sell"))))))))))))))))))))))</f>
        <v/>
      </c>
      <c r="E516" s="6" t="str">
        <f t="shared" si="14"/>
        <v/>
      </c>
      <c r="F516" s="8" t="str">
        <f>IF(A516="","",IF('Statements (Raw)'!E514="","",'Statements (Raw)'!E514))</f>
        <v/>
      </c>
      <c r="G516" s="6" t="str">
        <f>IF(A516="","",IF('Statements (Raw)'!F514="","",'Statements (Raw)'!F514))</f>
        <v/>
      </c>
      <c r="H516" s="9" t="str">
        <f>IF(A516="","",IF('Statements (Raw)'!G514="","",'Statements (Raw)'!G514))</f>
        <v/>
      </c>
      <c r="I516" s="10" t="str">
        <f>IF(A516="","",IF('Statements (Raw)'!H514="","",'Statements (Raw)'!H514))</f>
        <v/>
      </c>
      <c r="J516" s="10">
        <f>IF(A516="",0,IF('Statements (Raw)'!I514="",0,'Statements (Raw)'!I514))</f>
        <v>0</v>
      </c>
      <c r="K516" s="10" t="str">
        <f t="shared" si="15"/>
        <v/>
      </c>
    </row>
    <row r="517" spans="1:11" x14ac:dyDescent="0.3">
      <c r="A517" s="171" t="str">
        <f>IF(OR('Statements (Raw)'!A515="",'Statements (Raw)'!A515&gt;Holdings!$G$3),"",'Statements (Raw)'!A515)</f>
        <v/>
      </c>
      <c r="B517" s="7" t="str">
        <f>IF(A517="","",IF('Statements (Raw)'!B515="","",'Statements (Raw)'!B515))</f>
        <v/>
      </c>
      <c r="C517" s="6" t="str">
        <f>IF(A517="","",IF('Statements (Raw)'!C515&lt;&gt;"",'Statements (Raw)'!C515,IF(ISNUMBER(SEARCH("Conferimento",'Statements (Raw)'!D515)),"CASH DEPOSIT",IF(ISNUMBER(SEARCH("Prelievo",'Statements (Raw)'!D515)),"CASH WITHDRAWAL",IF(ISNUMBER(SEARCH("Bollo",'Statements (Raw)'!D515)),"STAMP DUTY",IF(ISNUMBER(SEARCH("Tobin Tax",'Statements (Raw)'!D515)),"TOBIN TAX",IF(ISNUMBER(SEARCH("Rit.provento",'Statements (Raw)'!D515)),"WITHHOLDING TAX",IF(ISNUMBER(SEARCH("Incasso Dividendi",'Statements (Raw)'!D515)),"DIVIDEND",IF(ISNUMBER(SEARCH("Cedola",'Statements (Raw)'!D515)),"COUPON",IF(ISNUMBER(SEARCH("Ratei Pass",'Statements (Raw)'!D515)),"ACCRUED INT",IF(ISNUMBER(SEARCH("Interessi Prest",'Statements (Raw)'!D515)),"SEC LENDING",IF(ISNUMBER(SEARCH("Rimborso",'Statements (Raw)'!D515)),"REDEMPTION",IF(ISNUMBER(SEARCH("Provento",'Statements (Raw)'!D515)),"DISTRIBUTION","OTHER")))))))))))))</f>
        <v/>
      </c>
      <c r="D517" s="6" t="str">
        <f>IF(A517="","",IF(C517="Saldo Iniziale","Balance",IF(C517="CASH DEPOSIT","Deposit",IF(C517="CASH WITHDRAWAL","Withdrawal",IF(C517="STAMP DUTY","Tax",IF(C517="TOBIN TAX","Tax",IF(C517="WITHHOLDING TAX","Tax",IF(C517="DIVIDEND","Dividend",IF(C517="COUPON","Coupon",IF(C517="ACCRUED INT","Accrued Int.",IF(C517="SEC LENDING","Sec. Lending",IF(C517="REDEMPTION","Redemption",IF(C517="DISTRIBUTION","Distribution",IF(ISNUMBER(SEARCH("Rimborso",'Statements (Raw)'!D515)),"Redemption",IF(ISNUMBER(SEARCH("Cedola",'Statements (Raw)'!D515)),"Coupon",IF(ISNUMBER(SEARCH("Incasso Dividendi",'Statements (Raw)'!D515)),"Dividend",IF(ISNUMBER(SEARCH("Provento Etf",'Statements (Raw)'!D515)),"Distribution",IF(ISNUMBER(SEARCH("Rit.provento",'Statements (Raw)'!D515)),"Tax",IF(ISNUMBER(SEARCH("Ratei Pass",'Statements (Raw)'!D515)),"Accrued Int.",IF(ISNUMBER(SEARCH("Interessi Prest",'Statements (Raw)'!D515)),"Sec. Lending",IF('Statements (Raw)'!G515="","Other",IF('Statements (Raw)'!G515&gt;0,"Buy","Sell"))))))))))))))))))))))</f>
        <v/>
      </c>
      <c r="E517" s="6" t="str">
        <f t="shared" ref="E517:E580" si="16">IF(D517="","",IF(OR(D517="Balance",D517="Deposit",D517="Withdrawal"),"Cash",IF(D517="Tax","Tax/Fee",IF(OR(D517="Dividend",D517="Coupon",D517="Distribution",D517="Sec. Lending",D517="Accrued Int."),"Income",IF(D517="Redemption","Bond",IF(OR(D517="Buy",D517="Sell"),IF(OR(ISNUMBER(SEARCH("BOT ",C517)),ISNUMBER(SEARCH("BTP ",C517)),ISNUMBER(SEARCH("CARRARO",C517))),"Bond",IF(OR(ISNUMBER(SEARCH("isdom",C517)),ISNUMBER(SEARCH("ISHARES",C517)),ISNUMBER(SEARCH("iShares",C517))),"ETF/ETC",IF(OR(ISNUMBER(SEARCH("Bitwise",C517)),ISNUMBER(SEARCH("BITWISE",C517))),"Crypto ETP","Stock"))),"Other"))))))</f>
        <v/>
      </c>
      <c r="F517" s="8" t="str">
        <f>IF(A517="","",IF('Statements (Raw)'!E515="","",'Statements (Raw)'!E515))</f>
        <v/>
      </c>
      <c r="G517" s="6" t="str">
        <f>IF(A517="","",IF('Statements (Raw)'!F515="","",'Statements (Raw)'!F515))</f>
        <v/>
      </c>
      <c r="H517" s="9" t="str">
        <f>IF(A517="","",IF('Statements (Raw)'!G515="","",'Statements (Raw)'!G515))</f>
        <v/>
      </c>
      <c r="I517" s="10" t="str">
        <f>IF(A517="","",IF('Statements (Raw)'!H515="","",'Statements (Raw)'!H515))</f>
        <v/>
      </c>
      <c r="J517" s="10">
        <f>IF(A517="",0,IF('Statements (Raw)'!I515="",0,'Statements (Raw)'!I515))</f>
        <v>0</v>
      </c>
      <c r="K517" s="10" t="str">
        <f t="shared" ref="K517:K580" si="17">IF(I517="","",I517+J517)</f>
        <v/>
      </c>
    </row>
    <row r="518" spans="1:11" x14ac:dyDescent="0.3">
      <c r="A518" s="171" t="str">
        <f>IF(OR('Statements (Raw)'!A516="",'Statements (Raw)'!A516&gt;Holdings!$G$3),"",'Statements (Raw)'!A516)</f>
        <v/>
      </c>
      <c r="B518" s="7" t="str">
        <f>IF(A518="","",IF('Statements (Raw)'!B516="","",'Statements (Raw)'!B516))</f>
        <v/>
      </c>
      <c r="C518" s="6" t="str">
        <f>IF(A518="","",IF('Statements (Raw)'!C516&lt;&gt;"",'Statements (Raw)'!C516,IF(ISNUMBER(SEARCH("Conferimento",'Statements (Raw)'!D516)),"CASH DEPOSIT",IF(ISNUMBER(SEARCH("Prelievo",'Statements (Raw)'!D516)),"CASH WITHDRAWAL",IF(ISNUMBER(SEARCH("Bollo",'Statements (Raw)'!D516)),"STAMP DUTY",IF(ISNUMBER(SEARCH("Tobin Tax",'Statements (Raw)'!D516)),"TOBIN TAX",IF(ISNUMBER(SEARCH("Rit.provento",'Statements (Raw)'!D516)),"WITHHOLDING TAX",IF(ISNUMBER(SEARCH("Incasso Dividendi",'Statements (Raw)'!D516)),"DIVIDEND",IF(ISNUMBER(SEARCH("Cedola",'Statements (Raw)'!D516)),"COUPON",IF(ISNUMBER(SEARCH("Ratei Pass",'Statements (Raw)'!D516)),"ACCRUED INT",IF(ISNUMBER(SEARCH("Interessi Prest",'Statements (Raw)'!D516)),"SEC LENDING",IF(ISNUMBER(SEARCH("Rimborso",'Statements (Raw)'!D516)),"REDEMPTION",IF(ISNUMBER(SEARCH("Provento",'Statements (Raw)'!D516)),"DISTRIBUTION","OTHER")))))))))))))</f>
        <v/>
      </c>
      <c r="D518" s="6" t="str">
        <f>IF(A518="","",IF(C518="Saldo Iniziale","Balance",IF(C518="CASH DEPOSIT","Deposit",IF(C518="CASH WITHDRAWAL","Withdrawal",IF(C518="STAMP DUTY","Tax",IF(C518="TOBIN TAX","Tax",IF(C518="WITHHOLDING TAX","Tax",IF(C518="DIVIDEND","Dividend",IF(C518="COUPON","Coupon",IF(C518="ACCRUED INT","Accrued Int.",IF(C518="SEC LENDING","Sec. Lending",IF(C518="REDEMPTION","Redemption",IF(C518="DISTRIBUTION","Distribution",IF(ISNUMBER(SEARCH("Rimborso",'Statements (Raw)'!D516)),"Redemption",IF(ISNUMBER(SEARCH("Cedola",'Statements (Raw)'!D516)),"Coupon",IF(ISNUMBER(SEARCH("Incasso Dividendi",'Statements (Raw)'!D516)),"Dividend",IF(ISNUMBER(SEARCH("Provento Etf",'Statements (Raw)'!D516)),"Distribution",IF(ISNUMBER(SEARCH("Rit.provento",'Statements (Raw)'!D516)),"Tax",IF(ISNUMBER(SEARCH("Ratei Pass",'Statements (Raw)'!D516)),"Accrued Int.",IF(ISNUMBER(SEARCH("Interessi Prest",'Statements (Raw)'!D516)),"Sec. Lending",IF('Statements (Raw)'!G516="","Other",IF('Statements (Raw)'!G516&gt;0,"Buy","Sell"))))))))))))))))))))))</f>
        <v/>
      </c>
      <c r="E518" s="6" t="str">
        <f t="shared" si="16"/>
        <v/>
      </c>
      <c r="F518" s="8" t="str">
        <f>IF(A518="","",IF('Statements (Raw)'!E516="","",'Statements (Raw)'!E516))</f>
        <v/>
      </c>
      <c r="G518" s="6" t="str">
        <f>IF(A518="","",IF('Statements (Raw)'!F516="","",'Statements (Raw)'!F516))</f>
        <v/>
      </c>
      <c r="H518" s="9" t="str">
        <f>IF(A518="","",IF('Statements (Raw)'!G516="","",'Statements (Raw)'!G516))</f>
        <v/>
      </c>
      <c r="I518" s="10" t="str">
        <f>IF(A518="","",IF('Statements (Raw)'!H516="","",'Statements (Raw)'!H516))</f>
        <v/>
      </c>
      <c r="J518" s="10">
        <f>IF(A518="",0,IF('Statements (Raw)'!I516="",0,'Statements (Raw)'!I516))</f>
        <v>0</v>
      </c>
      <c r="K518" s="10" t="str">
        <f t="shared" si="17"/>
        <v/>
      </c>
    </row>
    <row r="519" spans="1:11" x14ac:dyDescent="0.3">
      <c r="A519" s="171" t="str">
        <f>IF(OR('Statements (Raw)'!A517="",'Statements (Raw)'!A517&gt;Holdings!$G$3),"",'Statements (Raw)'!A517)</f>
        <v/>
      </c>
      <c r="B519" s="7" t="str">
        <f>IF(A519="","",IF('Statements (Raw)'!B517="","",'Statements (Raw)'!B517))</f>
        <v/>
      </c>
      <c r="C519" s="6" t="str">
        <f>IF(A519="","",IF('Statements (Raw)'!C517&lt;&gt;"",'Statements (Raw)'!C517,IF(ISNUMBER(SEARCH("Conferimento",'Statements (Raw)'!D517)),"CASH DEPOSIT",IF(ISNUMBER(SEARCH("Prelievo",'Statements (Raw)'!D517)),"CASH WITHDRAWAL",IF(ISNUMBER(SEARCH("Bollo",'Statements (Raw)'!D517)),"STAMP DUTY",IF(ISNUMBER(SEARCH("Tobin Tax",'Statements (Raw)'!D517)),"TOBIN TAX",IF(ISNUMBER(SEARCH("Rit.provento",'Statements (Raw)'!D517)),"WITHHOLDING TAX",IF(ISNUMBER(SEARCH("Incasso Dividendi",'Statements (Raw)'!D517)),"DIVIDEND",IF(ISNUMBER(SEARCH("Cedola",'Statements (Raw)'!D517)),"COUPON",IF(ISNUMBER(SEARCH("Ratei Pass",'Statements (Raw)'!D517)),"ACCRUED INT",IF(ISNUMBER(SEARCH("Interessi Prest",'Statements (Raw)'!D517)),"SEC LENDING",IF(ISNUMBER(SEARCH("Rimborso",'Statements (Raw)'!D517)),"REDEMPTION",IF(ISNUMBER(SEARCH("Provento",'Statements (Raw)'!D517)),"DISTRIBUTION","OTHER")))))))))))))</f>
        <v/>
      </c>
      <c r="D519" s="6" t="str">
        <f>IF(A519="","",IF(C519="Saldo Iniziale","Balance",IF(C519="CASH DEPOSIT","Deposit",IF(C519="CASH WITHDRAWAL","Withdrawal",IF(C519="STAMP DUTY","Tax",IF(C519="TOBIN TAX","Tax",IF(C519="WITHHOLDING TAX","Tax",IF(C519="DIVIDEND","Dividend",IF(C519="COUPON","Coupon",IF(C519="ACCRUED INT","Accrued Int.",IF(C519="SEC LENDING","Sec. Lending",IF(C519="REDEMPTION","Redemption",IF(C519="DISTRIBUTION","Distribution",IF(ISNUMBER(SEARCH("Rimborso",'Statements (Raw)'!D517)),"Redemption",IF(ISNUMBER(SEARCH("Cedola",'Statements (Raw)'!D517)),"Coupon",IF(ISNUMBER(SEARCH("Incasso Dividendi",'Statements (Raw)'!D517)),"Dividend",IF(ISNUMBER(SEARCH("Provento Etf",'Statements (Raw)'!D517)),"Distribution",IF(ISNUMBER(SEARCH("Rit.provento",'Statements (Raw)'!D517)),"Tax",IF(ISNUMBER(SEARCH("Ratei Pass",'Statements (Raw)'!D517)),"Accrued Int.",IF(ISNUMBER(SEARCH("Interessi Prest",'Statements (Raw)'!D517)),"Sec. Lending",IF('Statements (Raw)'!G517="","Other",IF('Statements (Raw)'!G517&gt;0,"Buy","Sell"))))))))))))))))))))))</f>
        <v/>
      </c>
      <c r="E519" s="6" t="str">
        <f t="shared" si="16"/>
        <v/>
      </c>
      <c r="F519" s="8" t="str">
        <f>IF(A519="","",IF('Statements (Raw)'!E517="","",'Statements (Raw)'!E517))</f>
        <v/>
      </c>
      <c r="G519" s="6" t="str">
        <f>IF(A519="","",IF('Statements (Raw)'!F517="","",'Statements (Raw)'!F517))</f>
        <v/>
      </c>
      <c r="H519" s="9" t="str">
        <f>IF(A519="","",IF('Statements (Raw)'!G517="","",'Statements (Raw)'!G517))</f>
        <v/>
      </c>
      <c r="I519" s="10" t="str">
        <f>IF(A519="","",IF('Statements (Raw)'!H517="","",'Statements (Raw)'!H517))</f>
        <v/>
      </c>
      <c r="J519" s="10">
        <f>IF(A519="",0,IF('Statements (Raw)'!I517="",0,'Statements (Raw)'!I517))</f>
        <v>0</v>
      </c>
      <c r="K519" s="10" t="str">
        <f t="shared" si="17"/>
        <v/>
      </c>
    </row>
    <row r="520" spans="1:11" x14ac:dyDescent="0.3">
      <c r="A520" s="171" t="str">
        <f>IF(OR('Statements (Raw)'!A518="",'Statements (Raw)'!A518&gt;Holdings!$G$3),"",'Statements (Raw)'!A518)</f>
        <v/>
      </c>
      <c r="B520" s="7" t="str">
        <f>IF(A520="","",IF('Statements (Raw)'!B518="","",'Statements (Raw)'!B518))</f>
        <v/>
      </c>
      <c r="C520" s="6" t="str">
        <f>IF(A520="","",IF('Statements (Raw)'!C518&lt;&gt;"",'Statements (Raw)'!C518,IF(ISNUMBER(SEARCH("Conferimento",'Statements (Raw)'!D518)),"CASH DEPOSIT",IF(ISNUMBER(SEARCH("Prelievo",'Statements (Raw)'!D518)),"CASH WITHDRAWAL",IF(ISNUMBER(SEARCH("Bollo",'Statements (Raw)'!D518)),"STAMP DUTY",IF(ISNUMBER(SEARCH("Tobin Tax",'Statements (Raw)'!D518)),"TOBIN TAX",IF(ISNUMBER(SEARCH("Rit.provento",'Statements (Raw)'!D518)),"WITHHOLDING TAX",IF(ISNUMBER(SEARCH("Incasso Dividendi",'Statements (Raw)'!D518)),"DIVIDEND",IF(ISNUMBER(SEARCH("Cedola",'Statements (Raw)'!D518)),"COUPON",IF(ISNUMBER(SEARCH("Ratei Pass",'Statements (Raw)'!D518)),"ACCRUED INT",IF(ISNUMBER(SEARCH("Interessi Prest",'Statements (Raw)'!D518)),"SEC LENDING",IF(ISNUMBER(SEARCH("Rimborso",'Statements (Raw)'!D518)),"REDEMPTION",IF(ISNUMBER(SEARCH("Provento",'Statements (Raw)'!D518)),"DISTRIBUTION","OTHER")))))))))))))</f>
        <v/>
      </c>
      <c r="D520" s="6" t="str">
        <f>IF(A520="","",IF(C520="Saldo Iniziale","Balance",IF(C520="CASH DEPOSIT","Deposit",IF(C520="CASH WITHDRAWAL","Withdrawal",IF(C520="STAMP DUTY","Tax",IF(C520="TOBIN TAX","Tax",IF(C520="WITHHOLDING TAX","Tax",IF(C520="DIVIDEND","Dividend",IF(C520="COUPON","Coupon",IF(C520="ACCRUED INT","Accrued Int.",IF(C520="SEC LENDING","Sec. Lending",IF(C520="REDEMPTION","Redemption",IF(C520="DISTRIBUTION","Distribution",IF(ISNUMBER(SEARCH("Rimborso",'Statements (Raw)'!D518)),"Redemption",IF(ISNUMBER(SEARCH("Cedola",'Statements (Raw)'!D518)),"Coupon",IF(ISNUMBER(SEARCH("Incasso Dividendi",'Statements (Raw)'!D518)),"Dividend",IF(ISNUMBER(SEARCH("Provento Etf",'Statements (Raw)'!D518)),"Distribution",IF(ISNUMBER(SEARCH("Rit.provento",'Statements (Raw)'!D518)),"Tax",IF(ISNUMBER(SEARCH("Ratei Pass",'Statements (Raw)'!D518)),"Accrued Int.",IF(ISNUMBER(SEARCH("Interessi Prest",'Statements (Raw)'!D518)),"Sec. Lending",IF('Statements (Raw)'!G518="","Other",IF('Statements (Raw)'!G518&gt;0,"Buy","Sell"))))))))))))))))))))))</f>
        <v/>
      </c>
      <c r="E520" s="6" t="str">
        <f t="shared" si="16"/>
        <v/>
      </c>
      <c r="F520" s="8" t="str">
        <f>IF(A520="","",IF('Statements (Raw)'!E518="","",'Statements (Raw)'!E518))</f>
        <v/>
      </c>
      <c r="G520" s="6" t="str">
        <f>IF(A520="","",IF('Statements (Raw)'!F518="","",'Statements (Raw)'!F518))</f>
        <v/>
      </c>
      <c r="H520" s="9" t="str">
        <f>IF(A520="","",IF('Statements (Raw)'!G518="","",'Statements (Raw)'!G518))</f>
        <v/>
      </c>
      <c r="I520" s="10" t="str">
        <f>IF(A520="","",IF('Statements (Raw)'!H518="","",'Statements (Raw)'!H518))</f>
        <v/>
      </c>
      <c r="J520" s="10">
        <f>IF(A520="",0,IF('Statements (Raw)'!I518="",0,'Statements (Raw)'!I518))</f>
        <v>0</v>
      </c>
      <c r="K520" s="10" t="str">
        <f t="shared" si="17"/>
        <v/>
      </c>
    </row>
    <row r="521" spans="1:11" x14ac:dyDescent="0.3">
      <c r="A521" s="171" t="str">
        <f>IF(OR('Statements (Raw)'!A519="",'Statements (Raw)'!A519&gt;Holdings!$G$3),"",'Statements (Raw)'!A519)</f>
        <v/>
      </c>
      <c r="B521" s="7" t="str">
        <f>IF(A521="","",IF('Statements (Raw)'!B519="","",'Statements (Raw)'!B519))</f>
        <v/>
      </c>
      <c r="C521" s="6" t="str">
        <f>IF(A521="","",IF('Statements (Raw)'!C519&lt;&gt;"",'Statements (Raw)'!C519,IF(ISNUMBER(SEARCH("Conferimento",'Statements (Raw)'!D519)),"CASH DEPOSIT",IF(ISNUMBER(SEARCH("Prelievo",'Statements (Raw)'!D519)),"CASH WITHDRAWAL",IF(ISNUMBER(SEARCH("Bollo",'Statements (Raw)'!D519)),"STAMP DUTY",IF(ISNUMBER(SEARCH("Tobin Tax",'Statements (Raw)'!D519)),"TOBIN TAX",IF(ISNUMBER(SEARCH("Rit.provento",'Statements (Raw)'!D519)),"WITHHOLDING TAX",IF(ISNUMBER(SEARCH("Incasso Dividendi",'Statements (Raw)'!D519)),"DIVIDEND",IF(ISNUMBER(SEARCH("Cedola",'Statements (Raw)'!D519)),"COUPON",IF(ISNUMBER(SEARCH("Ratei Pass",'Statements (Raw)'!D519)),"ACCRUED INT",IF(ISNUMBER(SEARCH("Interessi Prest",'Statements (Raw)'!D519)),"SEC LENDING",IF(ISNUMBER(SEARCH("Rimborso",'Statements (Raw)'!D519)),"REDEMPTION",IF(ISNUMBER(SEARCH("Provento",'Statements (Raw)'!D519)),"DISTRIBUTION","OTHER")))))))))))))</f>
        <v/>
      </c>
      <c r="D521" s="6" t="str">
        <f>IF(A521="","",IF(C521="Saldo Iniziale","Balance",IF(C521="CASH DEPOSIT","Deposit",IF(C521="CASH WITHDRAWAL","Withdrawal",IF(C521="STAMP DUTY","Tax",IF(C521="TOBIN TAX","Tax",IF(C521="WITHHOLDING TAX","Tax",IF(C521="DIVIDEND","Dividend",IF(C521="COUPON","Coupon",IF(C521="ACCRUED INT","Accrued Int.",IF(C521="SEC LENDING","Sec. Lending",IF(C521="REDEMPTION","Redemption",IF(C521="DISTRIBUTION","Distribution",IF(ISNUMBER(SEARCH("Rimborso",'Statements (Raw)'!D519)),"Redemption",IF(ISNUMBER(SEARCH("Cedola",'Statements (Raw)'!D519)),"Coupon",IF(ISNUMBER(SEARCH("Incasso Dividendi",'Statements (Raw)'!D519)),"Dividend",IF(ISNUMBER(SEARCH("Provento Etf",'Statements (Raw)'!D519)),"Distribution",IF(ISNUMBER(SEARCH("Rit.provento",'Statements (Raw)'!D519)),"Tax",IF(ISNUMBER(SEARCH("Ratei Pass",'Statements (Raw)'!D519)),"Accrued Int.",IF(ISNUMBER(SEARCH("Interessi Prest",'Statements (Raw)'!D519)),"Sec. Lending",IF('Statements (Raw)'!G519="","Other",IF('Statements (Raw)'!G519&gt;0,"Buy","Sell"))))))))))))))))))))))</f>
        <v/>
      </c>
      <c r="E521" s="6" t="str">
        <f t="shared" si="16"/>
        <v/>
      </c>
      <c r="F521" s="8" t="str">
        <f>IF(A521="","",IF('Statements (Raw)'!E519="","",'Statements (Raw)'!E519))</f>
        <v/>
      </c>
      <c r="G521" s="6" t="str">
        <f>IF(A521="","",IF('Statements (Raw)'!F519="","",'Statements (Raw)'!F519))</f>
        <v/>
      </c>
      <c r="H521" s="9" t="str">
        <f>IF(A521="","",IF('Statements (Raw)'!G519="","",'Statements (Raw)'!G519))</f>
        <v/>
      </c>
      <c r="I521" s="10" t="str">
        <f>IF(A521="","",IF('Statements (Raw)'!H519="","",'Statements (Raw)'!H519))</f>
        <v/>
      </c>
      <c r="J521" s="10">
        <f>IF(A521="",0,IF('Statements (Raw)'!I519="",0,'Statements (Raw)'!I519))</f>
        <v>0</v>
      </c>
      <c r="K521" s="10" t="str">
        <f t="shared" si="17"/>
        <v/>
      </c>
    </row>
    <row r="522" spans="1:11" x14ac:dyDescent="0.3">
      <c r="A522" s="171" t="str">
        <f>IF(OR('Statements (Raw)'!A520="",'Statements (Raw)'!A520&gt;Holdings!$G$3),"",'Statements (Raw)'!A520)</f>
        <v/>
      </c>
      <c r="B522" s="7" t="str">
        <f>IF(A522="","",IF('Statements (Raw)'!B520="","",'Statements (Raw)'!B520))</f>
        <v/>
      </c>
      <c r="C522" s="6" t="str">
        <f>IF(A522="","",IF('Statements (Raw)'!C520&lt;&gt;"",'Statements (Raw)'!C520,IF(ISNUMBER(SEARCH("Conferimento",'Statements (Raw)'!D520)),"CASH DEPOSIT",IF(ISNUMBER(SEARCH("Prelievo",'Statements (Raw)'!D520)),"CASH WITHDRAWAL",IF(ISNUMBER(SEARCH("Bollo",'Statements (Raw)'!D520)),"STAMP DUTY",IF(ISNUMBER(SEARCH("Tobin Tax",'Statements (Raw)'!D520)),"TOBIN TAX",IF(ISNUMBER(SEARCH("Rit.provento",'Statements (Raw)'!D520)),"WITHHOLDING TAX",IF(ISNUMBER(SEARCH("Incasso Dividendi",'Statements (Raw)'!D520)),"DIVIDEND",IF(ISNUMBER(SEARCH("Cedola",'Statements (Raw)'!D520)),"COUPON",IF(ISNUMBER(SEARCH("Ratei Pass",'Statements (Raw)'!D520)),"ACCRUED INT",IF(ISNUMBER(SEARCH("Interessi Prest",'Statements (Raw)'!D520)),"SEC LENDING",IF(ISNUMBER(SEARCH("Rimborso",'Statements (Raw)'!D520)),"REDEMPTION",IF(ISNUMBER(SEARCH("Provento",'Statements (Raw)'!D520)),"DISTRIBUTION","OTHER")))))))))))))</f>
        <v/>
      </c>
      <c r="D522" s="6" t="str">
        <f>IF(A522="","",IF(C522="Saldo Iniziale","Balance",IF(C522="CASH DEPOSIT","Deposit",IF(C522="CASH WITHDRAWAL","Withdrawal",IF(C522="STAMP DUTY","Tax",IF(C522="TOBIN TAX","Tax",IF(C522="WITHHOLDING TAX","Tax",IF(C522="DIVIDEND","Dividend",IF(C522="COUPON","Coupon",IF(C522="ACCRUED INT","Accrued Int.",IF(C522="SEC LENDING","Sec. Lending",IF(C522="REDEMPTION","Redemption",IF(C522="DISTRIBUTION","Distribution",IF(ISNUMBER(SEARCH("Rimborso",'Statements (Raw)'!D520)),"Redemption",IF(ISNUMBER(SEARCH("Cedola",'Statements (Raw)'!D520)),"Coupon",IF(ISNUMBER(SEARCH("Incasso Dividendi",'Statements (Raw)'!D520)),"Dividend",IF(ISNUMBER(SEARCH("Provento Etf",'Statements (Raw)'!D520)),"Distribution",IF(ISNUMBER(SEARCH("Rit.provento",'Statements (Raw)'!D520)),"Tax",IF(ISNUMBER(SEARCH("Ratei Pass",'Statements (Raw)'!D520)),"Accrued Int.",IF(ISNUMBER(SEARCH("Interessi Prest",'Statements (Raw)'!D520)),"Sec. Lending",IF('Statements (Raw)'!G520="","Other",IF('Statements (Raw)'!G520&gt;0,"Buy","Sell"))))))))))))))))))))))</f>
        <v/>
      </c>
      <c r="E522" s="6" t="str">
        <f t="shared" si="16"/>
        <v/>
      </c>
      <c r="F522" s="8" t="str">
        <f>IF(A522="","",IF('Statements (Raw)'!E520="","",'Statements (Raw)'!E520))</f>
        <v/>
      </c>
      <c r="G522" s="6" t="str">
        <f>IF(A522="","",IF('Statements (Raw)'!F520="","",'Statements (Raw)'!F520))</f>
        <v/>
      </c>
      <c r="H522" s="9" t="str">
        <f>IF(A522="","",IF('Statements (Raw)'!G520="","",'Statements (Raw)'!G520))</f>
        <v/>
      </c>
      <c r="I522" s="10" t="str">
        <f>IF(A522="","",IF('Statements (Raw)'!H520="","",'Statements (Raw)'!H520))</f>
        <v/>
      </c>
      <c r="J522" s="10">
        <f>IF(A522="",0,IF('Statements (Raw)'!I520="",0,'Statements (Raw)'!I520))</f>
        <v>0</v>
      </c>
      <c r="K522" s="10" t="str">
        <f t="shared" si="17"/>
        <v/>
      </c>
    </row>
    <row r="523" spans="1:11" x14ac:dyDescent="0.3">
      <c r="A523" s="171" t="str">
        <f>IF(OR('Statements (Raw)'!A521="",'Statements (Raw)'!A521&gt;Holdings!$G$3),"",'Statements (Raw)'!A521)</f>
        <v/>
      </c>
      <c r="B523" s="7" t="str">
        <f>IF(A523="","",IF('Statements (Raw)'!B521="","",'Statements (Raw)'!B521))</f>
        <v/>
      </c>
      <c r="C523" s="6" t="str">
        <f>IF(A523="","",IF('Statements (Raw)'!C521&lt;&gt;"",'Statements (Raw)'!C521,IF(ISNUMBER(SEARCH("Conferimento",'Statements (Raw)'!D521)),"CASH DEPOSIT",IF(ISNUMBER(SEARCH("Prelievo",'Statements (Raw)'!D521)),"CASH WITHDRAWAL",IF(ISNUMBER(SEARCH("Bollo",'Statements (Raw)'!D521)),"STAMP DUTY",IF(ISNUMBER(SEARCH("Tobin Tax",'Statements (Raw)'!D521)),"TOBIN TAX",IF(ISNUMBER(SEARCH("Rit.provento",'Statements (Raw)'!D521)),"WITHHOLDING TAX",IF(ISNUMBER(SEARCH("Incasso Dividendi",'Statements (Raw)'!D521)),"DIVIDEND",IF(ISNUMBER(SEARCH("Cedola",'Statements (Raw)'!D521)),"COUPON",IF(ISNUMBER(SEARCH("Ratei Pass",'Statements (Raw)'!D521)),"ACCRUED INT",IF(ISNUMBER(SEARCH("Interessi Prest",'Statements (Raw)'!D521)),"SEC LENDING",IF(ISNUMBER(SEARCH("Rimborso",'Statements (Raw)'!D521)),"REDEMPTION",IF(ISNUMBER(SEARCH("Provento",'Statements (Raw)'!D521)),"DISTRIBUTION","OTHER")))))))))))))</f>
        <v/>
      </c>
      <c r="D523" s="6" t="str">
        <f>IF(A523="","",IF(C523="Saldo Iniziale","Balance",IF(C523="CASH DEPOSIT","Deposit",IF(C523="CASH WITHDRAWAL","Withdrawal",IF(C523="STAMP DUTY","Tax",IF(C523="TOBIN TAX","Tax",IF(C523="WITHHOLDING TAX","Tax",IF(C523="DIVIDEND","Dividend",IF(C523="COUPON","Coupon",IF(C523="ACCRUED INT","Accrued Int.",IF(C523="SEC LENDING","Sec. Lending",IF(C523="REDEMPTION","Redemption",IF(C523="DISTRIBUTION","Distribution",IF(ISNUMBER(SEARCH("Rimborso",'Statements (Raw)'!D521)),"Redemption",IF(ISNUMBER(SEARCH("Cedola",'Statements (Raw)'!D521)),"Coupon",IF(ISNUMBER(SEARCH("Incasso Dividendi",'Statements (Raw)'!D521)),"Dividend",IF(ISNUMBER(SEARCH("Provento Etf",'Statements (Raw)'!D521)),"Distribution",IF(ISNUMBER(SEARCH("Rit.provento",'Statements (Raw)'!D521)),"Tax",IF(ISNUMBER(SEARCH("Ratei Pass",'Statements (Raw)'!D521)),"Accrued Int.",IF(ISNUMBER(SEARCH("Interessi Prest",'Statements (Raw)'!D521)),"Sec. Lending",IF('Statements (Raw)'!G521="","Other",IF('Statements (Raw)'!G521&gt;0,"Buy","Sell"))))))))))))))))))))))</f>
        <v/>
      </c>
      <c r="E523" s="6" t="str">
        <f t="shared" si="16"/>
        <v/>
      </c>
      <c r="F523" s="8" t="str">
        <f>IF(A523="","",IF('Statements (Raw)'!E521="","",'Statements (Raw)'!E521))</f>
        <v/>
      </c>
      <c r="G523" s="6" t="str">
        <f>IF(A523="","",IF('Statements (Raw)'!F521="","",'Statements (Raw)'!F521))</f>
        <v/>
      </c>
      <c r="H523" s="9" t="str">
        <f>IF(A523="","",IF('Statements (Raw)'!G521="","",'Statements (Raw)'!G521))</f>
        <v/>
      </c>
      <c r="I523" s="10" t="str">
        <f>IF(A523="","",IF('Statements (Raw)'!H521="","",'Statements (Raw)'!H521))</f>
        <v/>
      </c>
      <c r="J523" s="10">
        <f>IF(A523="",0,IF('Statements (Raw)'!I521="",0,'Statements (Raw)'!I521))</f>
        <v>0</v>
      </c>
      <c r="K523" s="10" t="str">
        <f t="shared" si="17"/>
        <v/>
      </c>
    </row>
    <row r="524" spans="1:11" x14ac:dyDescent="0.3">
      <c r="A524" s="171" t="str">
        <f>IF(OR('Statements (Raw)'!A522="",'Statements (Raw)'!A522&gt;Holdings!$G$3),"",'Statements (Raw)'!A522)</f>
        <v/>
      </c>
      <c r="B524" s="7" t="str">
        <f>IF(A524="","",IF('Statements (Raw)'!B522="","",'Statements (Raw)'!B522))</f>
        <v/>
      </c>
      <c r="C524" s="6" t="str">
        <f>IF(A524="","",IF('Statements (Raw)'!C522&lt;&gt;"",'Statements (Raw)'!C522,IF(ISNUMBER(SEARCH("Conferimento",'Statements (Raw)'!D522)),"CASH DEPOSIT",IF(ISNUMBER(SEARCH("Prelievo",'Statements (Raw)'!D522)),"CASH WITHDRAWAL",IF(ISNUMBER(SEARCH("Bollo",'Statements (Raw)'!D522)),"STAMP DUTY",IF(ISNUMBER(SEARCH("Tobin Tax",'Statements (Raw)'!D522)),"TOBIN TAX",IF(ISNUMBER(SEARCH("Rit.provento",'Statements (Raw)'!D522)),"WITHHOLDING TAX",IF(ISNUMBER(SEARCH("Incasso Dividendi",'Statements (Raw)'!D522)),"DIVIDEND",IF(ISNUMBER(SEARCH("Cedola",'Statements (Raw)'!D522)),"COUPON",IF(ISNUMBER(SEARCH("Ratei Pass",'Statements (Raw)'!D522)),"ACCRUED INT",IF(ISNUMBER(SEARCH("Interessi Prest",'Statements (Raw)'!D522)),"SEC LENDING",IF(ISNUMBER(SEARCH("Rimborso",'Statements (Raw)'!D522)),"REDEMPTION",IF(ISNUMBER(SEARCH("Provento",'Statements (Raw)'!D522)),"DISTRIBUTION","OTHER")))))))))))))</f>
        <v/>
      </c>
      <c r="D524" s="6" t="str">
        <f>IF(A524="","",IF(C524="Saldo Iniziale","Balance",IF(C524="CASH DEPOSIT","Deposit",IF(C524="CASH WITHDRAWAL","Withdrawal",IF(C524="STAMP DUTY","Tax",IF(C524="TOBIN TAX","Tax",IF(C524="WITHHOLDING TAX","Tax",IF(C524="DIVIDEND","Dividend",IF(C524="COUPON","Coupon",IF(C524="ACCRUED INT","Accrued Int.",IF(C524="SEC LENDING","Sec. Lending",IF(C524="REDEMPTION","Redemption",IF(C524="DISTRIBUTION","Distribution",IF(ISNUMBER(SEARCH("Rimborso",'Statements (Raw)'!D522)),"Redemption",IF(ISNUMBER(SEARCH("Cedola",'Statements (Raw)'!D522)),"Coupon",IF(ISNUMBER(SEARCH("Incasso Dividendi",'Statements (Raw)'!D522)),"Dividend",IF(ISNUMBER(SEARCH("Provento Etf",'Statements (Raw)'!D522)),"Distribution",IF(ISNUMBER(SEARCH("Rit.provento",'Statements (Raw)'!D522)),"Tax",IF(ISNUMBER(SEARCH("Ratei Pass",'Statements (Raw)'!D522)),"Accrued Int.",IF(ISNUMBER(SEARCH("Interessi Prest",'Statements (Raw)'!D522)),"Sec. Lending",IF('Statements (Raw)'!G522="","Other",IF('Statements (Raw)'!G522&gt;0,"Buy","Sell"))))))))))))))))))))))</f>
        <v/>
      </c>
      <c r="E524" s="6" t="str">
        <f t="shared" si="16"/>
        <v/>
      </c>
      <c r="F524" s="8" t="str">
        <f>IF(A524="","",IF('Statements (Raw)'!E522="","",'Statements (Raw)'!E522))</f>
        <v/>
      </c>
      <c r="G524" s="6" t="str">
        <f>IF(A524="","",IF('Statements (Raw)'!F522="","",'Statements (Raw)'!F522))</f>
        <v/>
      </c>
      <c r="H524" s="9" t="str">
        <f>IF(A524="","",IF('Statements (Raw)'!G522="","",'Statements (Raw)'!G522))</f>
        <v/>
      </c>
      <c r="I524" s="10" t="str">
        <f>IF(A524="","",IF('Statements (Raw)'!H522="","",'Statements (Raw)'!H522))</f>
        <v/>
      </c>
      <c r="J524" s="10">
        <f>IF(A524="",0,IF('Statements (Raw)'!I522="",0,'Statements (Raw)'!I522))</f>
        <v>0</v>
      </c>
      <c r="K524" s="10" t="str">
        <f t="shared" si="17"/>
        <v/>
      </c>
    </row>
    <row r="525" spans="1:11" x14ac:dyDescent="0.3">
      <c r="A525" s="171" t="str">
        <f>IF(OR('Statements (Raw)'!A523="",'Statements (Raw)'!A523&gt;Holdings!$G$3),"",'Statements (Raw)'!A523)</f>
        <v/>
      </c>
      <c r="B525" s="7" t="str">
        <f>IF(A525="","",IF('Statements (Raw)'!B523="","",'Statements (Raw)'!B523))</f>
        <v/>
      </c>
      <c r="C525" s="6" t="str">
        <f>IF(A525="","",IF('Statements (Raw)'!C523&lt;&gt;"",'Statements (Raw)'!C523,IF(ISNUMBER(SEARCH("Conferimento",'Statements (Raw)'!D523)),"CASH DEPOSIT",IF(ISNUMBER(SEARCH("Prelievo",'Statements (Raw)'!D523)),"CASH WITHDRAWAL",IF(ISNUMBER(SEARCH("Bollo",'Statements (Raw)'!D523)),"STAMP DUTY",IF(ISNUMBER(SEARCH("Tobin Tax",'Statements (Raw)'!D523)),"TOBIN TAX",IF(ISNUMBER(SEARCH("Rit.provento",'Statements (Raw)'!D523)),"WITHHOLDING TAX",IF(ISNUMBER(SEARCH("Incasso Dividendi",'Statements (Raw)'!D523)),"DIVIDEND",IF(ISNUMBER(SEARCH("Cedola",'Statements (Raw)'!D523)),"COUPON",IF(ISNUMBER(SEARCH("Ratei Pass",'Statements (Raw)'!D523)),"ACCRUED INT",IF(ISNUMBER(SEARCH("Interessi Prest",'Statements (Raw)'!D523)),"SEC LENDING",IF(ISNUMBER(SEARCH("Rimborso",'Statements (Raw)'!D523)),"REDEMPTION",IF(ISNUMBER(SEARCH("Provento",'Statements (Raw)'!D523)),"DISTRIBUTION","OTHER")))))))))))))</f>
        <v/>
      </c>
      <c r="D525" s="6" t="str">
        <f>IF(A525="","",IF(C525="Saldo Iniziale","Balance",IF(C525="CASH DEPOSIT","Deposit",IF(C525="CASH WITHDRAWAL","Withdrawal",IF(C525="STAMP DUTY","Tax",IF(C525="TOBIN TAX","Tax",IF(C525="WITHHOLDING TAX","Tax",IF(C525="DIVIDEND","Dividend",IF(C525="COUPON","Coupon",IF(C525="ACCRUED INT","Accrued Int.",IF(C525="SEC LENDING","Sec. Lending",IF(C525="REDEMPTION","Redemption",IF(C525="DISTRIBUTION","Distribution",IF(ISNUMBER(SEARCH("Rimborso",'Statements (Raw)'!D523)),"Redemption",IF(ISNUMBER(SEARCH("Cedola",'Statements (Raw)'!D523)),"Coupon",IF(ISNUMBER(SEARCH("Incasso Dividendi",'Statements (Raw)'!D523)),"Dividend",IF(ISNUMBER(SEARCH("Provento Etf",'Statements (Raw)'!D523)),"Distribution",IF(ISNUMBER(SEARCH("Rit.provento",'Statements (Raw)'!D523)),"Tax",IF(ISNUMBER(SEARCH("Ratei Pass",'Statements (Raw)'!D523)),"Accrued Int.",IF(ISNUMBER(SEARCH("Interessi Prest",'Statements (Raw)'!D523)),"Sec. Lending",IF('Statements (Raw)'!G523="","Other",IF('Statements (Raw)'!G523&gt;0,"Buy","Sell"))))))))))))))))))))))</f>
        <v/>
      </c>
      <c r="E525" s="6" t="str">
        <f t="shared" si="16"/>
        <v/>
      </c>
      <c r="F525" s="8" t="str">
        <f>IF(A525="","",IF('Statements (Raw)'!E523="","",'Statements (Raw)'!E523))</f>
        <v/>
      </c>
      <c r="G525" s="6" t="str">
        <f>IF(A525="","",IF('Statements (Raw)'!F523="","",'Statements (Raw)'!F523))</f>
        <v/>
      </c>
      <c r="H525" s="9" t="str">
        <f>IF(A525="","",IF('Statements (Raw)'!G523="","",'Statements (Raw)'!G523))</f>
        <v/>
      </c>
      <c r="I525" s="10" t="str">
        <f>IF(A525="","",IF('Statements (Raw)'!H523="","",'Statements (Raw)'!H523))</f>
        <v/>
      </c>
      <c r="J525" s="10">
        <f>IF(A525="",0,IF('Statements (Raw)'!I523="",0,'Statements (Raw)'!I523))</f>
        <v>0</v>
      </c>
      <c r="K525" s="10" t="str">
        <f t="shared" si="17"/>
        <v/>
      </c>
    </row>
    <row r="526" spans="1:11" x14ac:dyDescent="0.3">
      <c r="A526" s="171" t="str">
        <f>IF(OR('Statements (Raw)'!A524="",'Statements (Raw)'!A524&gt;Holdings!$G$3),"",'Statements (Raw)'!A524)</f>
        <v/>
      </c>
      <c r="B526" s="7" t="str">
        <f>IF(A526="","",IF('Statements (Raw)'!B524="","",'Statements (Raw)'!B524))</f>
        <v/>
      </c>
      <c r="C526" s="6" t="str">
        <f>IF(A526="","",IF('Statements (Raw)'!C524&lt;&gt;"",'Statements (Raw)'!C524,IF(ISNUMBER(SEARCH("Conferimento",'Statements (Raw)'!D524)),"CASH DEPOSIT",IF(ISNUMBER(SEARCH("Prelievo",'Statements (Raw)'!D524)),"CASH WITHDRAWAL",IF(ISNUMBER(SEARCH("Bollo",'Statements (Raw)'!D524)),"STAMP DUTY",IF(ISNUMBER(SEARCH("Tobin Tax",'Statements (Raw)'!D524)),"TOBIN TAX",IF(ISNUMBER(SEARCH("Rit.provento",'Statements (Raw)'!D524)),"WITHHOLDING TAX",IF(ISNUMBER(SEARCH("Incasso Dividendi",'Statements (Raw)'!D524)),"DIVIDEND",IF(ISNUMBER(SEARCH("Cedola",'Statements (Raw)'!D524)),"COUPON",IF(ISNUMBER(SEARCH("Ratei Pass",'Statements (Raw)'!D524)),"ACCRUED INT",IF(ISNUMBER(SEARCH("Interessi Prest",'Statements (Raw)'!D524)),"SEC LENDING",IF(ISNUMBER(SEARCH("Rimborso",'Statements (Raw)'!D524)),"REDEMPTION",IF(ISNUMBER(SEARCH("Provento",'Statements (Raw)'!D524)),"DISTRIBUTION","OTHER")))))))))))))</f>
        <v/>
      </c>
      <c r="D526" s="6" t="str">
        <f>IF(A526="","",IF(C526="Saldo Iniziale","Balance",IF(C526="CASH DEPOSIT","Deposit",IF(C526="CASH WITHDRAWAL","Withdrawal",IF(C526="STAMP DUTY","Tax",IF(C526="TOBIN TAX","Tax",IF(C526="WITHHOLDING TAX","Tax",IF(C526="DIVIDEND","Dividend",IF(C526="COUPON","Coupon",IF(C526="ACCRUED INT","Accrued Int.",IF(C526="SEC LENDING","Sec. Lending",IF(C526="REDEMPTION","Redemption",IF(C526="DISTRIBUTION","Distribution",IF(ISNUMBER(SEARCH("Rimborso",'Statements (Raw)'!D524)),"Redemption",IF(ISNUMBER(SEARCH("Cedola",'Statements (Raw)'!D524)),"Coupon",IF(ISNUMBER(SEARCH("Incasso Dividendi",'Statements (Raw)'!D524)),"Dividend",IF(ISNUMBER(SEARCH("Provento Etf",'Statements (Raw)'!D524)),"Distribution",IF(ISNUMBER(SEARCH("Rit.provento",'Statements (Raw)'!D524)),"Tax",IF(ISNUMBER(SEARCH("Ratei Pass",'Statements (Raw)'!D524)),"Accrued Int.",IF(ISNUMBER(SEARCH("Interessi Prest",'Statements (Raw)'!D524)),"Sec. Lending",IF('Statements (Raw)'!G524="","Other",IF('Statements (Raw)'!G524&gt;0,"Buy","Sell"))))))))))))))))))))))</f>
        <v/>
      </c>
      <c r="E526" s="6" t="str">
        <f t="shared" si="16"/>
        <v/>
      </c>
      <c r="F526" s="8" t="str">
        <f>IF(A526="","",IF('Statements (Raw)'!E524="","",'Statements (Raw)'!E524))</f>
        <v/>
      </c>
      <c r="G526" s="6" t="str">
        <f>IF(A526="","",IF('Statements (Raw)'!F524="","",'Statements (Raw)'!F524))</f>
        <v/>
      </c>
      <c r="H526" s="9" t="str">
        <f>IF(A526="","",IF('Statements (Raw)'!G524="","",'Statements (Raw)'!G524))</f>
        <v/>
      </c>
      <c r="I526" s="10" t="str">
        <f>IF(A526="","",IF('Statements (Raw)'!H524="","",'Statements (Raw)'!H524))</f>
        <v/>
      </c>
      <c r="J526" s="10">
        <f>IF(A526="",0,IF('Statements (Raw)'!I524="",0,'Statements (Raw)'!I524))</f>
        <v>0</v>
      </c>
      <c r="K526" s="10" t="str">
        <f t="shared" si="17"/>
        <v/>
      </c>
    </row>
    <row r="527" spans="1:11" x14ac:dyDescent="0.3">
      <c r="A527" s="171" t="str">
        <f>IF(OR('Statements (Raw)'!A525="",'Statements (Raw)'!A525&gt;Holdings!$G$3),"",'Statements (Raw)'!A525)</f>
        <v/>
      </c>
      <c r="B527" s="7" t="str">
        <f>IF(A527="","",IF('Statements (Raw)'!B525="","",'Statements (Raw)'!B525))</f>
        <v/>
      </c>
      <c r="C527" s="6" t="str">
        <f>IF(A527="","",IF('Statements (Raw)'!C525&lt;&gt;"",'Statements (Raw)'!C525,IF(ISNUMBER(SEARCH("Conferimento",'Statements (Raw)'!D525)),"CASH DEPOSIT",IF(ISNUMBER(SEARCH("Prelievo",'Statements (Raw)'!D525)),"CASH WITHDRAWAL",IF(ISNUMBER(SEARCH("Bollo",'Statements (Raw)'!D525)),"STAMP DUTY",IF(ISNUMBER(SEARCH("Tobin Tax",'Statements (Raw)'!D525)),"TOBIN TAX",IF(ISNUMBER(SEARCH("Rit.provento",'Statements (Raw)'!D525)),"WITHHOLDING TAX",IF(ISNUMBER(SEARCH("Incasso Dividendi",'Statements (Raw)'!D525)),"DIVIDEND",IF(ISNUMBER(SEARCH("Cedola",'Statements (Raw)'!D525)),"COUPON",IF(ISNUMBER(SEARCH("Ratei Pass",'Statements (Raw)'!D525)),"ACCRUED INT",IF(ISNUMBER(SEARCH("Interessi Prest",'Statements (Raw)'!D525)),"SEC LENDING",IF(ISNUMBER(SEARCH("Rimborso",'Statements (Raw)'!D525)),"REDEMPTION",IF(ISNUMBER(SEARCH("Provento",'Statements (Raw)'!D525)),"DISTRIBUTION","OTHER")))))))))))))</f>
        <v/>
      </c>
      <c r="D527" s="6" t="str">
        <f>IF(A527="","",IF(C527="Saldo Iniziale","Balance",IF(C527="CASH DEPOSIT","Deposit",IF(C527="CASH WITHDRAWAL","Withdrawal",IF(C527="STAMP DUTY","Tax",IF(C527="TOBIN TAX","Tax",IF(C527="WITHHOLDING TAX","Tax",IF(C527="DIVIDEND","Dividend",IF(C527="COUPON","Coupon",IF(C527="ACCRUED INT","Accrued Int.",IF(C527="SEC LENDING","Sec. Lending",IF(C527="REDEMPTION","Redemption",IF(C527="DISTRIBUTION","Distribution",IF(ISNUMBER(SEARCH("Rimborso",'Statements (Raw)'!D525)),"Redemption",IF(ISNUMBER(SEARCH("Cedola",'Statements (Raw)'!D525)),"Coupon",IF(ISNUMBER(SEARCH("Incasso Dividendi",'Statements (Raw)'!D525)),"Dividend",IF(ISNUMBER(SEARCH("Provento Etf",'Statements (Raw)'!D525)),"Distribution",IF(ISNUMBER(SEARCH("Rit.provento",'Statements (Raw)'!D525)),"Tax",IF(ISNUMBER(SEARCH("Ratei Pass",'Statements (Raw)'!D525)),"Accrued Int.",IF(ISNUMBER(SEARCH("Interessi Prest",'Statements (Raw)'!D525)),"Sec. Lending",IF('Statements (Raw)'!G525="","Other",IF('Statements (Raw)'!G525&gt;0,"Buy","Sell"))))))))))))))))))))))</f>
        <v/>
      </c>
      <c r="E527" s="6" t="str">
        <f t="shared" si="16"/>
        <v/>
      </c>
      <c r="F527" s="8" t="str">
        <f>IF(A527="","",IF('Statements (Raw)'!E525="","",'Statements (Raw)'!E525))</f>
        <v/>
      </c>
      <c r="G527" s="6" t="str">
        <f>IF(A527="","",IF('Statements (Raw)'!F525="","",'Statements (Raw)'!F525))</f>
        <v/>
      </c>
      <c r="H527" s="9" t="str">
        <f>IF(A527="","",IF('Statements (Raw)'!G525="","",'Statements (Raw)'!G525))</f>
        <v/>
      </c>
      <c r="I527" s="10" t="str">
        <f>IF(A527="","",IF('Statements (Raw)'!H525="","",'Statements (Raw)'!H525))</f>
        <v/>
      </c>
      <c r="J527" s="10">
        <f>IF(A527="",0,IF('Statements (Raw)'!I525="",0,'Statements (Raw)'!I525))</f>
        <v>0</v>
      </c>
      <c r="K527" s="10" t="str">
        <f t="shared" si="17"/>
        <v/>
      </c>
    </row>
    <row r="528" spans="1:11" x14ac:dyDescent="0.3">
      <c r="A528" s="171" t="str">
        <f>IF(OR('Statements (Raw)'!A526="",'Statements (Raw)'!A526&gt;Holdings!$G$3),"",'Statements (Raw)'!A526)</f>
        <v/>
      </c>
      <c r="B528" s="7" t="str">
        <f>IF(A528="","",IF('Statements (Raw)'!B526="","",'Statements (Raw)'!B526))</f>
        <v/>
      </c>
      <c r="C528" s="6" t="str">
        <f>IF(A528="","",IF('Statements (Raw)'!C526&lt;&gt;"",'Statements (Raw)'!C526,IF(ISNUMBER(SEARCH("Conferimento",'Statements (Raw)'!D526)),"CASH DEPOSIT",IF(ISNUMBER(SEARCH("Prelievo",'Statements (Raw)'!D526)),"CASH WITHDRAWAL",IF(ISNUMBER(SEARCH("Bollo",'Statements (Raw)'!D526)),"STAMP DUTY",IF(ISNUMBER(SEARCH("Tobin Tax",'Statements (Raw)'!D526)),"TOBIN TAX",IF(ISNUMBER(SEARCH("Rit.provento",'Statements (Raw)'!D526)),"WITHHOLDING TAX",IF(ISNUMBER(SEARCH("Incasso Dividendi",'Statements (Raw)'!D526)),"DIVIDEND",IF(ISNUMBER(SEARCH("Cedola",'Statements (Raw)'!D526)),"COUPON",IF(ISNUMBER(SEARCH("Ratei Pass",'Statements (Raw)'!D526)),"ACCRUED INT",IF(ISNUMBER(SEARCH("Interessi Prest",'Statements (Raw)'!D526)),"SEC LENDING",IF(ISNUMBER(SEARCH("Rimborso",'Statements (Raw)'!D526)),"REDEMPTION",IF(ISNUMBER(SEARCH("Provento",'Statements (Raw)'!D526)),"DISTRIBUTION","OTHER")))))))))))))</f>
        <v/>
      </c>
      <c r="D528" s="6" t="str">
        <f>IF(A528="","",IF(C528="Saldo Iniziale","Balance",IF(C528="CASH DEPOSIT","Deposit",IF(C528="CASH WITHDRAWAL","Withdrawal",IF(C528="STAMP DUTY","Tax",IF(C528="TOBIN TAX","Tax",IF(C528="WITHHOLDING TAX","Tax",IF(C528="DIVIDEND","Dividend",IF(C528="COUPON","Coupon",IF(C528="ACCRUED INT","Accrued Int.",IF(C528="SEC LENDING","Sec. Lending",IF(C528="REDEMPTION","Redemption",IF(C528="DISTRIBUTION","Distribution",IF(ISNUMBER(SEARCH("Rimborso",'Statements (Raw)'!D526)),"Redemption",IF(ISNUMBER(SEARCH("Cedola",'Statements (Raw)'!D526)),"Coupon",IF(ISNUMBER(SEARCH("Incasso Dividendi",'Statements (Raw)'!D526)),"Dividend",IF(ISNUMBER(SEARCH("Provento Etf",'Statements (Raw)'!D526)),"Distribution",IF(ISNUMBER(SEARCH("Rit.provento",'Statements (Raw)'!D526)),"Tax",IF(ISNUMBER(SEARCH("Ratei Pass",'Statements (Raw)'!D526)),"Accrued Int.",IF(ISNUMBER(SEARCH("Interessi Prest",'Statements (Raw)'!D526)),"Sec. Lending",IF('Statements (Raw)'!G526="","Other",IF('Statements (Raw)'!G526&gt;0,"Buy","Sell"))))))))))))))))))))))</f>
        <v/>
      </c>
      <c r="E528" s="6" t="str">
        <f t="shared" si="16"/>
        <v/>
      </c>
      <c r="F528" s="8" t="str">
        <f>IF(A528="","",IF('Statements (Raw)'!E526="","",'Statements (Raw)'!E526))</f>
        <v/>
      </c>
      <c r="G528" s="6" t="str">
        <f>IF(A528="","",IF('Statements (Raw)'!F526="","",'Statements (Raw)'!F526))</f>
        <v/>
      </c>
      <c r="H528" s="9" t="str">
        <f>IF(A528="","",IF('Statements (Raw)'!G526="","",'Statements (Raw)'!G526))</f>
        <v/>
      </c>
      <c r="I528" s="10" t="str">
        <f>IF(A528="","",IF('Statements (Raw)'!H526="","",'Statements (Raw)'!H526))</f>
        <v/>
      </c>
      <c r="J528" s="10">
        <f>IF(A528="",0,IF('Statements (Raw)'!I526="",0,'Statements (Raw)'!I526))</f>
        <v>0</v>
      </c>
      <c r="K528" s="10" t="str">
        <f t="shared" si="17"/>
        <v/>
      </c>
    </row>
    <row r="529" spans="1:11" x14ac:dyDescent="0.3">
      <c r="A529" s="171" t="str">
        <f>IF(OR('Statements (Raw)'!A527="",'Statements (Raw)'!A527&gt;Holdings!$G$3),"",'Statements (Raw)'!A527)</f>
        <v/>
      </c>
      <c r="B529" s="7" t="str">
        <f>IF(A529="","",IF('Statements (Raw)'!B527="","",'Statements (Raw)'!B527))</f>
        <v/>
      </c>
      <c r="C529" s="6" t="str">
        <f>IF(A529="","",IF('Statements (Raw)'!C527&lt;&gt;"",'Statements (Raw)'!C527,IF(ISNUMBER(SEARCH("Conferimento",'Statements (Raw)'!D527)),"CASH DEPOSIT",IF(ISNUMBER(SEARCH("Prelievo",'Statements (Raw)'!D527)),"CASH WITHDRAWAL",IF(ISNUMBER(SEARCH("Bollo",'Statements (Raw)'!D527)),"STAMP DUTY",IF(ISNUMBER(SEARCH("Tobin Tax",'Statements (Raw)'!D527)),"TOBIN TAX",IF(ISNUMBER(SEARCH("Rit.provento",'Statements (Raw)'!D527)),"WITHHOLDING TAX",IF(ISNUMBER(SEARCH("Incasso Dividendi",'Statements (Raw)'!D527)),"DIVIDEND",IF(ISNUMBER(SEARCH("Cedola",'Statements (Raw)'!D527)),"COUPON",IF(ISNUMBER(SEARCH("Ratei Pass",'Statements (Raw)'!D527)),"ACCRUED INT",IF(ISNUMBER(SEARCH("Interessi Prest",'Statements (Raw)'!D527)),"SEC LENDING",IF(ISNUMBER(SEARCH("Rimborso",'Statements (Raw)'!D527)),"REDEMPTION",IF(ISNUMBER(SEARCH("Provento",'Statements (Raw)'!D527)),"DISTRIBUTION","OTHER")))))))))))))</f>
        <v/>
      </c>
      <c r="D529" s="6" t="str">
        <f>IF(A529="","",IF(C529="Saldo Iniziale","Balance",IF(C529="CASH DEPOSIT","Deposit",IF(C529="CASH WITHDRAWAL","Withdrawal",IF(C529="STAMP DUTY","Tax",IF(C529="TOBIN TAX","Tax",IF(C529="WITHHOLDING TAX","Tax",IF(C529="DIVIDEND","Dividend",IF(C529="COUPON","Coupon",IF(C529="ACCRUED INT","Accrued Int.",IF(C529="SEC LENDING","Sec. Lending",IF(C529="REDEMPTION","Redemption",IF(C529="DISTRIBUTION","Distribution",IF(ISNUMBER(SEARCH("Rimborso",'Statements (Raw)'!D527)),"Redemption",IF(ISNUMBER(SEARCH("Cedola",'Statements (Raw)'!D527)),"Coupon",IF(ISNUMBER(SEARCH("Incasso Dividendi",'Statements (Raw)'!D527)),"Dividend",IF(ISNUMBER(SEARCH("Provento Etf",'Statements (Raw)'!D527)),"Distribution",IF(ISNUMBER(SEARCH("Rit.provento",'Statements (Raw)'!D527)),"Tax",IF(ISNUMBER(SEARCH("Ratei Pass",'Statements (Raw)'!D527)),"Accrued Int.",IF(ISNUMBER(SEARCH("Interessi Prest",'Statements (Raw)'!D527)),"Sec. Lending",IF('Statements (Raw)'!G527="","Other",IF('Statements (Raw)'!G527&gt;0,"Buy","Sell"))))))))))))))))))))))</f>
        <v/>
      </c>
      <c r="E529" s="6" t="str">
        <f t="shared" si="16"/>
        <v/>
      </c>
      <c r="F529" s="8" t="str">
        <f>IF(A529="","",IF('Statements (Raw)'!E527="","",'Statements (Raw)'!E527))</f>
        <v/>
      </c>
      <c r="G529" s="6" t="str">
        <f>IF(A529="","",IF('Statements (Raw)'!F527="","",'Statements (Raw)'!F527))</f>
        <v/>
      </c>
      <c r="H529" s="9" t="str">
        <f>IF(A529="","",IF('Statements (Raw)'!G527="","",'Statements (Raw)'!G527))</f>
        <v/>
      </c>
      <c r="I529" s="10" t="str">
        <f>IF(A529="","",IF('Statements (Raw)'!H527="","",'Statements (Raw)'!H527))</f>
        <v/>
      </c>
      <c r="J529" s="10">
        <f>IF(A529="",0,IF('Statements (Raw)'!I527="",0,'Statements (Raw)'!I527))</f>
        <v>0</v>
      </c>
      <c r="K529" s="10" t="str">
        <f t="shared" si="17"/>
        <v/>
      </c>
    </row>
    <row r="530" spans="1:11" x14ac:dyDescent="0.3">
      <c r="A530" s="171" t="str">
        <f>IF(OR('Statements (Raw)'!A528="",'Statements (Raw)'!A528&gt;Holdings!$G$3),"",'Statements (Raw)'!A528)</f>
        <v/>
      </c>
      <c r="B530" s="7" t="str">
        <f>IF(A530="","",IF('Statements (Raw)'!B528="","",'Statements (Raw)'!B528))</f>
        <v/>
      </c>
      <c r="C530" s="6" t="str">
        <f>IF(A530="","",IF('Statements (Raw)'!C528&lt;&gt;"",'Statements (Raw)'!C528,IF(ISNUMBER(SEARCH("Conferimento",'Statements (Raw)'!D528)),"CASH DEPOSIT",IF(ISNUMBER(SEARCH("Prelievo",'Statements (Raw)'!D528)),"CASH WITHDRAWAL",IF(ISNUMBER(SEARCH("Bollo",'Statements (Raw)'!D528)),"STAMP DUTY",IF(ISNUMBER(SEARCH("Tobin Tax",'Statements (Raw)'!D528)),"TOBIN TAX",IF(ISNUMBER(SEARCH("Rit.provento",'Statements (Raw)'!D528)),"WITHHOLDING TAX",IF(ISNUMBER(SEARCH("Incasso Dividendi",'Statements (Raw)'!D528)),"DIVIDEND",IF(ISNUMBER(SEARCH("Cedola",'Statements (Raw)'!D528)),"COUPON",IF(ISNUMBER(SEARCH("Ratei Pass",'Statements (Raw)'!D528)),"ACCRUED INT",IF(ISNUMBER(SEARCH("Interessi Prest",'Statements (Raw)'!D528)),"SEC LENDING",IF(ISNUMBER(SEARCH("Rimborso",'Statements (Raw)'!D528)),"REDEMPTION",IF(ISNUMBER(SEARCH("Provento",'Statements (Raw)'!D528)),"DISTRIBUTION","OTHER")))))))))))))</f>
        <v/>
      </c>
      <c r="D530" s="6" t="str">
        <f>IF(A530="","",IF(C530="Saldo Iniziale","Balance",IF(C530="CASH DEPOSIT","Deposit",IF(C530="CASH WITHDRAWAL","Withdrawal",IF(C530="STAMP DUTY","Tax",IF(C530="TOBIN TAX","Tax",IF(C530="WITHHOLDING TAX","Tax",IF(C530="DIVIDEND","Dividend",IF(C530="COUPON","Coupon",IF(C530="ACCRUED INT","Accrued Int.",IF(C530="SEC LENDING","Sec. Lending",IF(C530="REDEMPTION","Redemption",IF(C530="DISTRIBUTION","Distribution",IF(ISNUMBER(SEARCH("Rimborso",'Statements (Raw)'!D528)),"Redemption",IF(ISNUMBER(SEARCH("Cedola",'Statements (Raw)'!D528)),"Coupon",IF(ISNUMBER(SEARCH("Incasso Dividendi",'Statements (Raw)'!D528)),"Dividend",IF(ISNUMBER(SEARCH("Provento Etf",'Statements (Raw)'!D528)),"Distribution",IF(ISNUMBER(SEARCH("Rit.provento",'Statements (Raw)'!D528)),"Tax",IF(ISNUMBER(SEARCH("Ratei Pass",'Statements (Raw)'!D528)),"Accrued Int.",IF(ISNUMBER(SEARCH("Interessi Prest",'Statements (Raw)'!D528)),"Sec. Lending",IF('Statements (Raw)'!G528="","Other",IF('Statements (Raw)'!G528&gt;0,"Buy","Sell"))))))))))))))))))))))</f>
        <v/>
      </c>
      <c r="E530" s="6" t="str">
        <f t="shared" si="16"/>
        <v/>
      </c>
      <c r="F530" s="8" t="str">
        <f>IF(A530="","",IF('Statements (Raw)'!E528="","",'Statements (Raw)'!E528))</f>
        <v/>
      </c>
      <c r="G530" s="6" t="str">
        <f>IF(A530="","",IF('Statements (Raw)'!F528="","",'Statements (Raw)'!F528))</f>
        <v/>
      </c>
      <c r="H530" s="9" t="str">
        <f>IF(A530="","",IF('Statements (Raw)'!G528="","",'Statements (Raw)'!G528))</f>
        <v/>
      </c>
      <c r="I530" s="10" t="str">
        <f>IF(A530="","",IF('Statements (Raw)'!H528="","",'Statements (Raw)'!H528))</f>
        <v/>
      </c>
      <c r="J530" s="10">
        <f>IF(A530="",0,IF('Statements (Raw)'!I528="",0,'Statements (Raw)'!I528))</f>
        <v>0</v>
      </c>
      <c r="K530" s="10" t="str">
        <f t="shared" si="17"/>
        <v/>
      </c>
    </row>
    <row r="531" spans="1:11" x14ac:dyDescent="0.3">
      <c r="A531" s="171" t="str">
        <f>IF(OR('Statements (Raw)'!A529="",'Statements (Raw)'!A529&gt;Holdings!$G$3),"",'Statements (Raw)'!A529)</f>
        <v/>
      </c>
      <c r="B531" s="7" t="str">
        <f>IF(A531="","",IF('Statements (Raw)'!B529="","",'Statements (Raw)'!B529))</f>
        <v/>
      </c>
      <c r="C531" s="6" t="str">
        <f>IF(A531="","",IF('Statements (Raw)'!C529&lt;&gt;"",'Statements (Raw)'!C529,IF(ISNUMBER(SEARCH("Conferimento",'Statements (Raw)'!D529)),"CASH DEPOSIT",IF(ISNUMBER(SEARCH("Prelievo",'Statements (Raw)'!D529)),"CASH WITHDRAWAL",IF(ISNUMBER(SEARCH("Bollo",'Statements (Raw)'!D529)),"STAMP DUTY",IF(ISNUMBER(SEARCH("Tobin Tax",'Statements (Raw)'!D529)),"TOBIN TAX",IF(ISNUMBER(SEARCH("Rit.provento",'Statements (Raw)'!D529)),"WITHHOLDING TAX",IF(ISNUMBER(SEARCH("Incasso Dividendi",'Statements (Raw)'!D529)),"DIVIDEND",IF(ISNUMBER(SEARCH("Cedola",'Statements (Raw)'!D529)),"COUPON",IF(ISNUMBER(SEARCH("Ratei Pass",'Statements (Raw)'!D529)),"ACCRUED INT",IF(ISNUMBER(SEARCH("Interessi Prest",'Statements (Raw)'!D529)),"SEC LENDING",IF(ISNUMBER(SEARCH("Rimborso",'Statements (Raw)'!D529)),"REDEMPTION",IF(ISNUMBER(SEARCH("Provento",'Statements (Raw)'!D529)),"DISTRIBUTION","OTHER")))))))))))))</f>
        <v/>
      </c>
      <c r="D531" s="6" t="str">
        <f>IF(A531="","",IF(C531="Saldo Iniziale","Balance",IF(C531="CASH DEPOSIT","Deposit",IF(C531="CASH WITHDRAWAL","Withdrawal",IF(C531="STAMP DUTY","Tax",IF(C531="TOBIN TAX","Tax",IF(C531="WITHHOLDING TAX","Tax",IF(C531="DIVIDEND","Dividend",IF(C531="COUPON","Coupon",IF(C531="ACCRUED INT","Accrued Int.",IF(C531="SEC LENDING","Sec. Lending",IF(C531="REDEMPTION","Redemption",IF(C531="DISTRIBUTION","Distribution",IF(ISNUMBER(SEARCH("Rimborso",'Statements (Raw)'!D529)),"Redemption",IF(ISNUMBER(SEARCH("Cedola",'Statements (Raw)'!D529)),"Coupon",IF(ISNUMBER(SEARCH("Incasso Dividendi",'Statements (Raw)'!D529)),"Dividend",IF(ISNUMBER(SEARCH("Provento Etf",'Statements (Raw)'!D529)),"Distribution",IF(ISNUMBER(SEARCH("Rit.provento",'Statements (Raw)'!D529)),"Tax",IF(ISNUMBER(SEARCH("Ratei Pass",'Statements (Raw)'!D529)),"Accrued Int.",IF(ISNUMBER(SEARCH("Interessi Prest",'Statements (Raw)'!D529)),"Sec. Lending",IF('Statements (Raw)'!G529="","Other",IF('Statements (Raw)'!G529&gt;0,"Buy","Sell"))))))))))))))))))))))</f>
        <v/>
      </c>
      <c r="E531" s="6" t="str">
        <f t="shared" si="16"/>
        <v/>
      </c>
      <c r="F531" s="8" t="str">
        <f>IF(A531="","",IF('Statements (Raw)'!E529="","",'Statements (Raw)'!E529))</f>
        <v/>
      </c>
      <c r="G531" s="6" t="str">
        <f>IF(A531="","",IF('Statements (Raw)'!F529="","",'Statements (Raw)'!F529))</f>
        <v/>
      </c>
      <c r="H531" s="9" t="str">
        <f>IF(A531="","",IF('Statements (Raw)'!G529="","",'Statements (Raw)'!G529))</f>
        <v/>
      </c>
      <c r="I531" s="10" t="str">
        <f>IF(A531="","",IF('Statements (Raw)'!H529="","",'Statements (Raw)'!H529))</f>
        <v/>
      </c>
      <c r="J531" s="10">
        <f>IF(A531="",0,IF('Statements (Raw)'!I529="",0,'Statements (Raw)'!I529))</f>
        <v>0</v>
      </c>
      <c r="K531" s="10" t="str">
        <f t="shared" si="17"/>
        <v/>
      </c>
    </row>
    <row r="532" spans="1:11" x14ac:dyDescent="0.3">
      <c r="A532" s="171" t="str">
        <f>IF(OR('Statements (Raw)'!A530="",'Statements (Raw)'!A530&gt;Holdings!$G$3),"",'Statements (Raw)'!A530)</f>
        <v/>
      </c>
      <c r="B532" s="7" t="str">
        <f>IF(A532="","",IF('Statements (Raw)'!B530="","",'Statements (Raw)'!B530))</f>
        <v/>
      </c>
      <c r="C532" s="6" t="str">
        <f>IF(A532="","",IF('Statements (Raw)'!C530&lt;&gt;"",'Statements (Raw)'!C530,IF(ISNUMBER(SEARCH("Conferimento",'Statements (Raw)'!D530)),"CASH DEPOSIT",IF(ISNUMBER(SEARCH("Prelievo",'Statements (Raw)'!D530)),"CASH WITHDRAWAL",IF(ISNUMBER(SEARCH("Bollo",'Statements (Raw)'!D530)),"STAMP DUTY",IF(ISNUMBER(SEARCH("Tobin Tax",'Statements (Raw)'!D530)),"TOBIN TAX",IF(ISNUMBER(SEARCH("Rit.provento",'Statements (Raw)'!D530)),"WITHHOLDING TAX",IF(ISNUMBER(SEARCH("Incasso Dividendi",'Statements (Raw)'!D530)),"DIVIDEND",IF(ISNUMBER(SEARCH("Cedola",'Statements (Raw)'!D530)),"COUPON",IF(ISNUMBER(SEARCH("Ratei Pass",'Statements (Raw)'!D530)),"ACCRUED INT",IF(ISNUMBER(SEARCH("Interessi Prest",'Statements (Raw)'!D530)),"SEC LENDING",IF(ISNUMBER(SEARCH("Rimborso",'Statements (Raw)'!D530)),"REDEMPTION",IF(ISNUMBER(SEARCH("Provento",'Statements (Raw)'!D530)),"DISTRIBUTION","OTHER")))))))))))))</f>
        <v/>
      </c>
      <c r="D532" s="6" t="str">
        <f>IF(A532="","",IF(C532="Saldo Iniziale","Balance",IF(C532="CASH DEPOSIT","Deposit",IF(C532="CASH WITHDRAWAL","Withdrawal",IF(C532="STAMP DUTY","Tax",IF(C532="TOBIN TAX","Tax",IF(C532="WITHHOLDING TAX","Tax",IF(C532="DIVIDEND","Dividend",IF(C532="COUPON","Coupon",IF(C532="ACCRUED INT","Accrued Int.",IF(C532="SEC LENDING","Sec. Lending",IF(C532="REDEMPTION","Redemption",IF(C532="DISTRIBUTION","Distribution",IF(ISNUMBER(SEARCH("Rimborso",'Statements (Raw)'!D530)),"Redemption",IF(ISNUMBER(SEARCH("Cedola",'Statements (Raw)'!D530)),"Coupon",IF(ISNUMBER(SEARCH("Incasso Dividendi",'Statements (Raw)'!D530)),"Dividend",IF(ISNUMBER(SEARCH("Provento Etf",'Statements (Raw)'!D530)),"Distribution",IF(ISNUMBER(SEARCH("Rit.provento",'Statements (Raw)'!D530)),"Tax",IF(ISNUMBER(SEARCH("Ratei Pass",'Statements (Raw)'!D530)),"Accrued Int.",IF(ISNUMBER(SEARCH("Interessi Prest",'Statements (Raw)'!D530)),"Sec. Lending",IF('Statements (Raw)'!G530="","Other",IF('Statements (Raw)'!G530&gt;0,"Buy","Sell"))))))))))))))))))))))</f>
        <v/>
      </c>
      <c r="E532" s="6" t="str">
        <f t="shared" si="16"/>
        <v/>
      </c>
      <c r="F532" s="8" t="str">
        <f>IF(A532="","",IF('Statements (Raw)'!E530="","",'Statements (Raw)'!E530))</f>
        <v/>
      </c>
      <c r="G532" s="6" t="str">
        <f>IF(A532="","",IF('Statements (Raw)'!F530="","",'Statements (Raw)'!F530))</f>
        <v/>
      </c>
      <c r="H532" s="9" t="str">
        <f>IF(A532="","",IF('Statements (Raw)'!G530="","",'Statements (Raw)'!G530))</f>
        <v/>
      </c>
      <c r="I532" s="10" t="str">
        <f>IF(A532="","",IF('Statements (Raw)'!H530="","",'Statements (Raw)'!H530))</f>
        <v/>
      </c>
      <c r="J532" s="10">
        <f>IF(A532="",0,IF('Statements (Raw)'!I530="",0,'Statements (Raw)'!I530))</f>
        <v>0</v>
      </c>
      <c r="K532" s="10" t="str">
        <f t="shared" si="17"/>
        <v/>
      </c>
    </row>
    <row r="533" spans="1:11" x14ac:dyDescent="0.3">
      <c r="A533" s="171" t="str">
        <f>IF(OR('Statements (Raw)'!A531="",'Statements (Raw)'!A531&gt;Holdings!$G$3),"",'Statements (Raw)'!A531)</f>
        <v/>
      </c>
      <c r="B533" s="7" t="str">
        <f>IF(A533="","",IF('Statements (Raw)'!B531="","",'Statements (Raw)'!B531))</f>
        <v/>
      </c>
      <c r="C533" s="6" t="str">
        <f>IF(A533="","",IF('Statements (Raw)'!C531&lt;&gt;"",'Statements (Raw)'!C531,IF(ISNUMBER(SEARCH("Conferimento",'Statements (Raw)'!D531)),"CASH DEPOSIT",IF(ISNUMBER(SEARCH("Prelievo",'Statements (Raw)'!D531)),"CASH WITHDRAWAL",IF(ISNUMBER(SEARCH("Bollo",'Statements (Raw)'!D531)),"STAMP DUTY",IF(ISNUMBER(SEARCH("Tobin Tax",'Statements (Raw)'!D531)),"TOBIN TAX",IF(ISNUMBER(SEARCH("Rit.provento",'Statements (Raw)'!D531)),"WITHHOLDING TAX",IF(ISNUMBER(SEARCH("Incasso Dividendi",'Statements (Raw)'!D531)),"DIVIDEND",IF(ISNUMBER(SEARCH("Cedola",'Statements (Raw)'!D531)),"COUPON",IF(ISNUMBER(SEARCH("Ratei Pass",'Statements (Raw)'!D531)),"ACCRUED INT",IF(ISNUMBER(SEARCH("Interessi Prest",'Statements (Raw)'!D531)),"SEC LENDING",IF(ISNUMBER(SEARCH("Rimborso",'Statements (Raw)'!D531)),"REDEMPTION",IF(ISNUMBER(SEARCH("Provento",'Statements (Raw)'!D531)),"DISTRIBUTION","OTHER")))))))))))))</f>
        <v/>
      </c>
      <c r="D533" s="6" t="str">
        <f>IF(A533="","",IF(C533="Saldo Iniziale","Balance",IF(C533="CASH DEPOSIT","Deposit",IF(C533="CASH WITHDRAWAL","Withdrawal",IF(C533="STAMP DUTY","Tax",IF(C533="TOBIN TAX","Tax",IF(C533="WITHHOLDING TAX","Tax",IF(C533="DIVIDEND","Dividend",IF(C533="COUPON","Coupon",IF(C533="ACCRUED INT","Accrued Int.",IF(C533="SEC LENDING","Sec. Lending",IF(C533="REDEMPTION","Redemption",IF(C533="DISTRIBUTION","Distribution",IF(ISNUMBER(SEARCH("Rimborso",'Statements (Raw)'!D531)),"Redemption",IF(ISNUMBER(SEARCH("Cedola",'Statements (Raw)'!D531)),"Coupon",IF(ISNUMBER(SEARCH("Incasso Dividendi",'Statements (Raw)'!D531)),"Dividend",IF(ISNUMBER(SEARCH("Provento Etf",'Statements (Raw)'!D531)),"Distribution",IF(ISNUMBER(SEARCH("Rit.provento",'Statements (Raw)'!D531)),"Tax",IF(ISNUMBER(SEARCH("Ratei Pass",'Statements (Raw)'!D531)),"Accrued Int.",IF(ISNUMBER(SEARCH("Interessi Prest",'Statements (Raw)'!D531)),"Sec. Lending",IF('Statements (Raw)'!G531="","Other",IF('Statements (Raw)'!G531&gt;0,"Buy","Sell"))))))))))))))))))))))</f>
        <v/>
      </c>
      <c r="E533" s="6" t="str">
        <f t="shared" si="16"/>
        <v/>
      </c>
      <c r="F533" s="8" t="str">
        <f>IF(A533="","",IF('Statements (Raw)'!E531="","",'Statements (Raw)'!E531))</f>
        <v/>
      </c>
      <c r="G533" s="6" t="str">
        <f>IF(A533="","",IF('Statements (Raw)'!F531="","",'Statements (Raw)'!F531))</f>
        <v/>
      </c>
      <c r="H533" s="9" t="str">
        <f>IF(A533="","",IF('Statements (Raw)'!G531="","",'Statements (Raw)'!G531))</f>
        <v/>
      </c>
      <c r="I533" s="10" t="str">
        <f>IF(A533="","",IF('Statements (Raw)'!H531="","",'Statements (Raw)'!H531))</f>
        <v/>
      </c>
      <c r="J533" s="10">
        <f>IF(A533="",0,IF('Statements (Raw)'!I531="",0,'Statements (Raw)'!I531))</f>
        <v>0</v>
      </c>
      <c r="K533" s="10" t="str">
        <f t="shared" si="17"/>
        <v/>
      </c>
    </row>
    <row r="534" spans="1:11" x14ac:dyDescent="0.3">
      <c r="A534" s="171" t="str">
        <f>IF(OR('Statements (Raw)'!A532="",'Statements (Raw)'!A532&gt;Holdings!$G$3),"",'Statements (Raw)'!A532)</f>
        <v/>
      </c>
      <c r="B534" s="7" t="str">
        <f>IF(A534="","",IF('Statements (Raw)'!B532="","",'Statements (Raw)'!B532))</f>
        <v/>
      </c>
      <c r="C534" s="6" t="str">
        <f>IF(A534="","",IF('Statements (Raw)'!C532&lt;&gt;"",'Statements (Raw)'!C532,IF(ISNUMBER(SEARCH("Conferimento",'Statements (Raw)'!D532)),"CASH DEPOSIT",IF(ISNUMBER(SEARCH("Prelievo",'Statements (Raw)'!D532)),"CASH WITHDRAWAL",IF(ISNUMBER(SEARCH("Bollo",'Statements (Raw)'!D532)),"STAMP DUTY",IF(ISNUMBER(SEARCH("Tobin Tax",'Statements (Raw)'!D532)),"TOBIN TAX",IF(ISNUMBER(SEARCH("Rit.provento",'Statements (Raw)'!D532)),"WITHHOLDING TAX",IF(ISNUMBER(SEARCH("Incasso Dividendi",'Statements (Raw)'!D532)),"DIVIDEND",IF(ISNUMBER(SEARCH("Cedola",'Statements (Raw)'!D532)),"COUPON",IF(ISNUMBER(SEARCH("Ratei Pass",'Statements (Raw)'!D532)),"ACCRUED INT",IF(ISNUMBER(SEARCH("Interessi Prest",'Statements (Raw)'!D532)),"SEC LENDING",IF(ISNUMBER(SEARCH("Rimborso",'Statements (Raw)'!D532)),"REDEMPTION",IF(ISNUMBER(SEARCH("Provento",'Statements (Raw)'!D532)),"DISTRIBUTION","OTHER")))))))))))))</f>
        <v/>
      </c>
      <c r="D534" s="6" t="str">
        <f>IF(A534="","",IF(C534="Saldo Iniziale","Balance",IF(C534="CASH DEPOSIT","Deposit",IF(C534="CASH WITHDRAWAL","Withdrawal",IF(C534="STAMP DUTY","Tax",IF(C534="TOBIN TAX","Tax",IF(C534="WITHHOLDING TAX","Tax",IF(C534="DIVIDEND","Dividend",IF(C534="COUPON","Coupon",IF(C534="ACCRUED INT","Accrued Int.",IF(C534="SEC LENDING","Sec. Lending",IF(C534="REDEMPTION","Redemption",IF(C534="DISTRIBUTION","Distribution",IF(ISNUMBER(SEARCH("Rimborso",'Statements (Raw)'!D532)),"Redemption",IF(ISNUMBER(SEARCH("Cedola",'Statements (Raw)'!D532)),"Coupon",IF(ISNUMBER(SEARCH("Incasso Dividendi",'Statements (Raw)'!D532)),"Dividend",IF(ISNUMBER(SEARCH("Provento Etf",'Statements (Raw)'!D532)),"Distribution",IF(ISNUMBER(SEARCH("Rit.provento",'Statements (Raw)'!D532)),"Tax",IF(ISNUMBER(SEARCH("Ratei Pass",'Statements (Raw)'!D532)),"Accrued Int.",IF(ISNUMBER(SEARCH("Interessi Prest",'Statements (Raw)'!D532)),"Sec. Lending",IF('Statements (Raw)'!G532="","Other",IF('Statements (Raw)'!G532&gt;0,"Buy","Sell"))))))))))))))))))))))</f>
        <v/>
      </c>
      <c r="E534" s="6" t="str">
        <f t="shared" si="16"/>
        <v/>
      </c>
      <c r="F534" s="8" t="str">
        <f>IF(A534="","",IF('Statements (Raw)'!E532="","",'Statements (Raw)'!E532))</f>
        <v/>
      </c>
      <c r="G534" s="6" t="str">
        <f>IF(A534="","",IF('Statements (Raw)'!F532="","",'Statements (Raw)'!F532))</f>
        <v/>
      </c>
      <c r="H534" s="9" t="str">
        <f>IF(A534="","",IF('Statements (Raw)'!G532="","",'Statements (Raw)'!G532))</f>
        <v/>
      </c>
      <c r="I534" s="10" t="str">
        <f>IF(A534="","",IF('Statements (Raw)'!H532="","",'Statements (Raw)'!H532))</f>
        <v/>
      </c>
      <c r="J534" s="10">
        <f>IF(A534="",0,IF('Statements (Raw)'!I532="",0,'Statements (Raw)'!I532))</f>
        <v>0</v>
      </c>
      <c r="K534" s="10" t="str">
        <f t="shared" si="17"/>
        <v/>
      </c>
    </row>
    <row r="535" spans="1:11" x14ac:dyDescent="0.3">
      <c r="A535" s="171" t="str">
        <f>IF(OR('Statements (Raw)'!A533="",'Statements (Raw)'!A533&gt;Holdings!$G$3),"",'Statements (Raw)'!A533)</f>
        <v/>
      </c>
      <c r="B535" s="7" t="str">
        <f>IF(A535="","",IF('Statements (Raw)'!B533="","",'Statements (Raw)'!B533))</f>
        <v/>
      </c>
      <c r="C535" s="6" t="str">
        <f>IF(A535="","",IF('Statements (Raw)'!C533&lt;&gt;"",'Statements (Raw)'!C533,IF(ISNUMBER(SEARCH("Conferimento",'Statements (Raw)'!D533)),"CASH DEPOSIT",IF(ISNUMBER(SEARCH("Prelievo",'Statements (Raw)'!D533)),"CASH WITHDRAWAL",IF(ISNUMBER(SEARCH("Bollo",'Statements (Raw)'!D533)),"STAMP DUTY",IF(ISNUMBER(SEARCH("Tobin Tax",'Statements (Raw)'!D533)),"TOBIN TAX",IF(ISNUMBER(SEARCH("Rit.provento",'Statements (Raw)'!D533)),"WITHHOLDING TAX",IF(ISNUMBER(SEARCH("Incasso Dividendi",'Statements (Raw)'!D533)),"DIVIDEND",IF(ISNUMBER(SEARCH("Cedola",'Statements (Raw)'!D533)),"COUPON",IF(ISNUMBER(SEARCH("Ratei Pass",'Statements (Raw)'!D533)),"ACCRUED INT",IF(ISNUMBER(SEARCH("Interessi Prest",'Statements (Raw)'!D533)),"SEC LENDING",IF(ISNUMBER(SEARCH("Rimborso",'Statements (Raw)'!D533)),"REDEMPTION",IF(ISNUMBER(SEARCH("Provento",'Statements (Raw)'!D533)),"DISTRIBUTION","OTHER")))))))))))))</f>
        <v/>
      </c>
      <c r="D535" s="6" t="str">
        <f>IF(A535="","",IF(C535="Saldo Iniziale","Balance",IF(C535="CASH DEPOSIT","Deposit",IF(C535="CASH WITHDRAWAL","Withdrawal",IF(C535="STAMP DUTY","Tax",IF(C535="TOBIN TAX","Tax",IF(C535="WITHHOLDING TAX","Tax",IF(C535="DIVIDEND","Dividend",IF(C535="COUPON","Coupon",IF(C535="ACCRUED INT","Accrued Int.",IF(C535="SEC LENDING","Sec. Lending",IF(C535="REDEMPTION","Redemption",IF(C535="DISTRIBUTION","Distribution",IF(ISNUMBER(SEARCH("Rimborso",'Statements (Raw)'!D533)),"Redemption",IF(ISNUMBER(SEARCH("Cedola",'Statements (Raw)'!D533)),"Coupon",IF(ISNUMBER(SEARCH("Incasso Dividendi",'Statements (Raw)'!D533)),"Dividend",IF(ISNUMBER(SEARCH("Provento Etf",'Statements (Raw)'!D533)),"Distribution",IF(ISNUMBER(SEARCH("Rit.provento",'Statements (Raw)'!D533)),"Tax",IF(ISNUMBER(SEARCH("Ratei Pass",'Statements (Raw)'!D533)),"Accrued Int.",IF(ISNUMBER(SEARCH("Interessi Prest",'Statements (Raw)'!D533)),"Sec. Lending",IF('Statements (Raw)'!G533="","Other",IF('Statements (Raw)'!G533&gt;0,"Buy","Sell"))))))))))))))))))))))</f>
        <v/>
      </c>
      <c r="E535" s="6" t="str">
        <f t="shared" si="16"/>
        <v/>
      </c>
      <c r="F535" s="8" t="str">
        <f>IF(A535="","",IF('Statements (Raw)'!E533="","",'Statements (Raw)'!E533))</f>
        <v/>
      </c>
      <c r="G535" s="6" t="str">
        <f>IF(A535="","",IF('Statements (Raw)'!F533="","",'Statements (Raw)'!F533))</f>
        <v/>
      </c>
      <c r="H535" s="9" t="str">
        <f>IF(A535="","",IF('Statements (Raw)'!G533="","",'Statements (Raw)'!G533))</f>
        <v/>
      </c>
      <c r="I535" s="10" t="str">
        <f>IF(A535="","",IF('Statements (Raw)'!H533="","",'Statements (Raw)'!H533))</f>
        <v/>
      </c>
      <c r="J535" s="10">
        <f>IF(A535="",0,IF('Statements (Raw)'!I533="",0,'Statements (Raw)'!I533))</f>
        <v>0</v>
      </c>
      <c r="K535" s="10" t="str">
        <f t="shared" si="17"/>
        <v/>
      </c>
    </row>
    <row r="536" spans="1:11" x14ac:dyDescent="0.3">
      <c r="A536" s="171" t="str">
        <f>IF(OR('Statements (Raw)'!A534="",'Statements (Raw)'!A534&gt;Holdings!$G$3),"",'Statements (Raw)'!A534)</f>
        <v/>
      </c>
      <c r="B536" s="7" t="str">
        <f>IF(A536="","",IF('Statements (Raw)'!B534="","",'Statements (Raw)'!B534))</f>
        <v/>
      </c>
      <c r="C536" s="6" t="str">
        <f>IF(A536="","",IF('Statements (Raw)'!C534&lt;&gt;"",'Statements (Raw)'!C534,IF(ISNUMBER(SEARCH("Conferimento",'Statements (Raw)'!D534)),"CASH DEPOSIT",IF(ISNUMBER(SEARCH("Prelievo",'Statements (Raw)'!D534)),"CASH WITHDRAWAL",IF(ISNUMBER(SEARCH("Bollo",'Statements (Raw)'!D534)),"STAMP DUTY",IF(ISNUMBER(SEARCH("Tobin Tax",'Statements (Raw)'!D534)),"TOBIN TAX",IF(ISNUMBER(SEARCH("Rit.provento",'Statements (Raw)'!D534)),"WITHHOLDING TAX",IF(ISNUMBER(SEARCH("Incasso Dividendi",'Statements (Raw)'!D534)),"DIVIDEND",IF(ISNUMBER(SEARCH("Cedola",'Statements (Raw)'!D534)),"COUPON",IF(ISNUMBER(SEARCH("Ratei Pass",'Statements (Raw)'!D534)),"ACCRUED INT",IF(ISNUMBER(SEARCH("Interessi Prest",'Statements (Raw)'!D534)),"SEC LENDING",IF(ISNUMBER(SEARCH("Rimborso",'Statements (Raw)'!D534)),"REDEMPTION",IF(ISNUMBER(SEARCH("Provento",'Statements (Raw)'!D534)),"DISTRIBUTION","OTHER")))))))))))))</f>
        <v/>
      </c>
      <c r="D536" s="6" t="str">
        <f>IF(A536="","",IF(C536="Saldo Iniziale","Balance",IF(C536="CASH DEPOSIT","Deposit",IF(C536="CASH WITHDRAWAL","Withdrawal",IF(C536="STAMP DUTY","Tax",IF(C536="TOBIN TAX","Tax",IF(C536="WITHHOLDING TAX","Tax",IF(C536="DIVIDEND","Dividend",IF(C536="COUPON","Coupon",IF(C536="ACCRUED INT","Accrued Int.",IF(C536="SEC LENDING","Sec. Lending",IF(C536="REDEMPTION","Redemption",IF(C536="DISTRIBUTION","Distribution",IF(ISNUMBER(SEARCH("Rimborso",'Statements (Raw)'!D534)),"Redemption",IF(ISNUMBER(SEARCH("Cedola",'Statements (Raw)'!D534)),"Coupon",IF(ISNUMBER(SEARCH("Incasso Dividendi",'Statements (Raw)'!D534)),"Dividend",IF(ISNUMBER(SEARCH("Provento Etf",'Statements (Raw)'!D534)),"Distribution",IF(ISNUMBER(SEARCH("Rit.provento",'Statements (Raw)'!D534)),"Tax",IF(ISNUMBER(SEARCH("Ratei Pass",'Statements (Raw)'!D534)),"Accrued Int.",IF(ISNUMBER(SEARCH("Interessi Prest",'Statements (Raw)'!D534)),"Sec. Lending",IF('Statements (Raw)'!G534="","Other",IF('Statements (Raw)'!G534&gt;0,"Buy","Sell"))))))))))))))))))))))</f>
        <v/>
      </c>
      <c r="E536" s="6" t="str">
        <f t="shared" si="16"/>
        <v/>
      </c>
      <c r="F536" s="8" t="str">
        <f>IF(A536="","",IF('Statements (Raw)'!E534="","",'Statements (Raw)'!E534))</f>
        <v/>
      </c>
      <c r="G536" s="6" t="str">
        <f>IF(A536="","",IF('Statements (Raw)'!F534="","",'Statements (Raw)'!F534))</f>
        <v/>
      </c>
      <c r="H536" s="9" t="str">
        <f>IF(A536="","",IF('Statements (Raw)'!G534="","",'Statements (Raw)'!G534))</f>
        <v/>
      </c>
      <c r="I536" s="10" t="str">
        <f>IF(A536="","",IF('Statements (Raw)'!H534="","",'Statements (Raw)'!H534))</f>
        <v/>
      </c>
      <c r="J536" s="10">
        <f>IF(A536="",0,IF('Statements (Raw)'!I534="",0,'Statements (Raw)'!I534))</f>
        <v>0</v>
      </c>
      <c r="K536" s="10" t="str">
        <f t="shared" si="17"/>
        <v/>
      </c>
    </row>
    <row r="537" spans="1:11" x14ac:dyDescent="0.3">
      <c r="A537" s="171" t="str">
        <f>IF(OR('Statements (Raw)'!A535="",'Statements (Raw)'!A535&gt;Holdings!$G$3),"",'Statements (Raw)'!A535)</f>
        <v/>
      </c>
      <c r="B537" s="7" t="str">
        <f>IF(A537="","",IF('Statements (Raw)'!B535="","",'Statements (Raw)'!B535))</f>
        <v/>
      </c>
      <c r="C537" s="6" t="str">
        <f>IF(A537="","",IF('Statements (Raw)'!C535&lt;&gt;"",'Statements (Raw)'!C535,IF(ISNUMBER(SEARCH("Conferimento",'Statements (Raw)'!D535)),"CASH DEPOSIT",IF(ISNUMBER(SEARCH("Prelievo",'Statements (Raw)'!D535)),"CASH WITHDRAWAL",IF(ISNUMBER(SEARCH("Bollo",'Statements (Raw)'!D535)),"STAMP DUTY",IF(ISNUMBER(SEARCH("Tobin Tax",'Statements (Raw)'!D535)),"TOBIN TAX",IF(ISNUMBER(SEARCH("Rit.provento",'Statements (Raw)'!D535)),"WITHHOLDING TAX",IF(ISNUMBER(SEARCH("Incasso Dividendi",'Statements (Raw)'!D535)),"DIVIDEND",IF(ISNUMBER(SEARCH("Cedola",'Statements (Raw)'!D535)),"COUPON",IF(ISNUMBER(SEARCH("Ratei Pass",'Statements (Raw)'!D535)),"ACCRUED INT",IF(ISNUMBER(SEARCH("Interessi Prest",'Statements (Raw)'!D535)),"SEC LENDING",IF(ISNUMBER(SEARCH("Rimborso",'Statements (Raw)'!D535)),"REDEMPTION",IF(ISNUMBER(SEARCH("Provento",'Statements (Raw)'!D535)),"DISTRIBUTION","OTHER")))))))))))))</f>
        <v/>
      </c>
      <c r="D537" s="6" t="str">
        <f>IF(A537="","",IF(C537="Saldo Iniziale","Balance",IF(C537="CASH DEPOSIT","Deposit",IF(C537="CASH WITHDRAWAL","Withdrawal",IF(C537="STAMP DUTY","Tax",IF(C537="TOBIN TAX","Tax",IF(C537="WITHHOLDING TAX","Tax",IF(C537="DIVIDEND","Dividend",IF(C537="COUPON","Coupon",IF(C537="ACCRUED INT","Accrued Int.",IF(C537="SEC LENDING","Sec. Lending",IF(C537="REDEMPTION","Redemption",IF(C537="DISTRIBUTION","Distribution",IF(ISNUMBER(SEARCH("Rimborso",'Statements (Raw)'!D535)),"Redemption",IF(ISNUMBER(SEARCH("Cedola",'Statements (Raw)'!D535)),"Coupon",IF(ISNUMBER(SEARCH("Incasso Dividendi",'Statements (Raw)'!D535)),"Dividend",IF(ISNUMBER(SEARCH("Provento Etf",'Statements (Raw)'!D535)),"Distribution",IF(ISNUMBER(SEARCH("Rit.provento",'Statements (Raw)'!D535)),"Tax",IF(ISNUMBER(SEARCH("Ratei Pass",'Statements (Raw)'!D535)),"Accrued Int.",IF(ISNUMBER(SEARCH("Interessi Prest",'Statements (Raw)'!D535)),"Sec. Lending",IF('Statements (Raw)'!G535="","Other",IF('Statements (Raw)'!G535&gt;0,"Buy","Sell"))))))))))))))))))))))</f>
        <v/>
      </c>
      <c r="E537" s="6" t="str">
        <f t="shared" si="16"/>
        <v/>
      </c>
      <c r="F537" s="8" t="str">
        <f>IF(A537="","",IF('Statements (Raw)'!E535="","",'Statements (Raw)'!E535))</f>
        <v/>
      </c>
      <c r="G537" s="6" t="str">
        <f>IF(A537="","",IF('Statements (Raw)'!F535="","",'Statements (Raw)'!F535))</f>
        <v/>
      </c>
      <c r="H537" s="9" t="str">
        <f>IF(A537="","",IF('Statements (Raw)'!G535="","",'Statements (Raw)'!G535))</f>
        <v/>
      </c>
      <c r="I537" s="10" t="str">
        <f>IF(A537="","",IF('Statements (Raw)'!H535="","",'Statements (Raw)'!H535))</f>
        <v/>
      </c>
      <c r="J537" s="10">
        <f>IF(A537="",0,IF('Statements (Raw)'!I535="",0,'Statements (Raw)'!I535))</f>
        <v>0</v>
      </c>
      <c r="K537" s="10" t="str">
        <f t="shared" si="17"/>
        <v/>
      </c>
    </row>
    <row r="538" spans="1:11" x14ac:dyDescent="0.3">
      <c r="A538" s="171" t="str">
        <f>IF(OR('Statements (Raw)'!A536="",'Statements (Raw)'!A536&gt;Holdings!$G$3),"",'Statements (Raw)'!A536)</f>
        <v/>
      </c>
      <c r="B538" s="7" t="str">
        <f>IF(A538="","",IF('Statements (Raw)'!B536="","",'Statements (Raw)'!B536))</f>
        <v/>
      </c>
      <c r="C538" s="6" t="str">
        <f>IF(A538="","",IF('Statements (Raw)'!C536&lt;&gt;"",'Statements (Raw)'!C536,IF(ISNUMBER(SEARCH("Conferimento",'Statements (Raw)'!D536)),"CASH DEPOSIT",IF(ISNUMBER(SEARCH("Prelievo",'Statements (Raw)'!D536)),"CASH WITHDRAWAL",IF(ISNUMBER(SEARCH("Bollo",'Statements (Raw)'!D536)),"STAMP DUTY",IF(ISNUMBER(SEARCH("Tobin Tax",'Statements (Raw)'!D536)),"TOBIN TAX",IF(ISNUMBER(SEARCH("Rit.provento",'Statements (Raw)'!D536)),"WITHHOLDING TAX",IF(ISNUMBER(SEARCH("Incasso Dividendi",'Statements (Raw)'!D536)),"DIVIDEND",IF(ISNUMBER(SEARCH("Cedola",'Statements (Raw)'!D536)),"COUPON",IF(ISNUMBER(SEARCH("Ratei Pass",'Statements (Raw)'!D536)),"ACCRUED INT",IF(ISNUMBER(SEARCH("Interessi Prest",'Statements (Raw)'!D536)),"SEC LENDING",IF(ISNUMBER(SEARCH("Rimborso",'Statements (Raw)'!D536)),"REDEMPTION",IF(ISNUMBER(SEARCH("Provento",'Statements (Raw)'!D536)),"DISTRIBUTION","OTHER")))))))))))))</f>
        <v/>
      </c>
      <c r="D538" s="6" t="str">
        <f>IF(A538="","",IF(C538="Saldo Iniziale","Balance",IF(C538="CASH DEPOSIT","Deposit",IF(C538="CASH WITHDRAWAL","Withdrawal",IF(C538="STAMP DUTY","Tax",IF(C538="TOBIN TAX","Tax",IF(C538="WITHHOLDING TAX","Tax",IF(C538="DIVIDEND","Dividend",IF(C538="COUPON","Coupon",IF(C538="ACCRUED INT","Accrued Int.",IF(C538="SEC LENDING","Sec. Lending",IF(C538="REDEMPTION","Redemption",IF(C538="DISTRIBUTION","Distribution",IF(ISNUMBER(SEARCH("Rimborso",'Statements (Raw)'!D536)),"Redemption",IF(ISNUMBER(SEARCH("Cedola",'Statements (Raw)'!D536)),"Coupon",IF(ISNUMBER(SEARCH("Incasso Dividendi",'Statements (Raw)'!D536)),"Dividend",IF(ISNUMBER(SEARCH("Provento Etf",'Statements (Raw)'!D536)),"Distribution",IF(ISNUMBER(SEARCH("Rit.provento",'Statements (Raw)'!D536)),"Tax",IF(ISNUMBER(SEARCH("Ratei Pass",'Statements (Raw)'!D536)),"Accrued Int.",IF(ISNUMBER(SEARCH("Interessi Prest",'Statements (Raw)'!D536)),"Sec. Lending",IF('Statements (Raw)'!G536="","Other",IF('Statements (Raw)'!G536&gt;0,"Buy","Sell"))))))))))))))))))))))</f>
        <v/>
      </c>
      <c r="E538" s="6" t="str">
        <f t="shared" si="16"/>
        <v/>
      </c>
      <c r="F538" s="8" t="str">
        <f>IF(A538="","",IF('Statements (Raw)'!E536="","",'Statements (Raw)'!E536))</f>
        <v/>
      </c>
      <c r="G538" s="6" t="str">
        <f>IF(A538="","",IF('Statements (Raw)'!F536="","",'Statements (Raw)'!F536))</f>
        <v/>
      </c>
      <c r="H538" s="9" t="str">
        <f>IF(A538="","",IF('Statements (Raw)'!G536="","",'Statements (Raw)'!G536))</f>
        <v/>
      </c>
      <c r="I538" s="10" t="str">
        <f>IF(A538="","",IF('Statements (Raw)'!H536="","",'Statements (Raw)'!H536))</f>
        <v/>
      </c>
      <c r="J538" s="10">
        <f>IF(A538="",0,IF('Statements (Raw)'!I536="",0,'Statements (Raw)'!I536))</f>
        <v>0</v>
      </c>
      <c r="K538" s="10" t="str">
        <f t="shared" si="17"/>
        <v/>
      </c>
    </row>
    <row r="539" spans="1:11" x14ac:dyDescent="0.3">
      <c r="A539" s="171" t="str">
        <f>IF(OR('Statements (Raw)'!A537="",'Statements (Raw)'!A537&gt;Holdings!$G$3),"",'Statements (Raw)'!A537)</f>
        <v/>
      </c>
      <c r="B539" s="7" t="str">
        <f>IF(A539="","",IF('Statements (Raw)'!B537="","",'Statements (Raw)'!B537))</f>
        <v/>
      </c>
      <c r="C539" s="6" t="str">
        <f>IF(A539="","",IF('Statements (Raw)'!C537&lt;&gt;"",'Statements (Raw)'!C537,IF(ISNUMBER(SEARCH("Conferimento",'Statements (Raw)'!D537)),"CASH DEPOSIT",IF(ISNUMBER(SEARCH("Prelievo",'Statements (Raw)'!D537)),"CASH WITHDRAWAL",IF(ISNUMBER(SEARCH("Bollo",'Statements (Raw)'!D537)),"STAMP DUTY",IF(ISNUMBER(SEARCH("Tobin Tax",'Statements (Raw)'!D537)),"TOBIN TAX",IF(ISNUMBER(SEARCH("Rit.provento",'Statements (Raw)'!D537)),"WITHHOLDING TAX",IF(ISNUMBER(SEARCH("Incasso Dividendi",'Statements (Raw)'!D537)),"DIVIDEND",IF(ISNUMBER(SEARCH("Cedola",'Statements (Raw)'!D537)),"COUPON",IF(ISNUMBER(SEARCH("Ratei Pass",'Statements (Raw)'!D537)),"ACCRUED INT",IF(ISNUMBER(SEARCH("Interessi Prest",'Statements (Raw)'!D537)),"SEC LENDING",IF(ISNUMBER(SEARCH("Rimborso",'Statements (Raw)'!D537)),"REDEMPTION",IF(ISNUMBER(SEARCH("Provento",'Statements (Raw)'!D537)),"DISTRIBUTION","OTHER")))))))))))))</f>
        <v/>
      </c>
      <c r="D539" s="6" t="str">
        <f>IF(A539="","",IF(C539="Saldo Iniziale","Balance",IF(C539="CASH DEPOSIT","Deposit",IF(C539="CASH WITHDRAWAL","Withdrawal",IF(C539="STAMP DUTY","Tax",IF(C539="TOBIN TAX","Tax",IF(C539="WITHHOLDING TAX","Tax",IF(C539="DIVIDEND","Dividend",IF(C539="COUPON","Coupon",IF(C539="ACCRUED INT","Accrued Int.",IF(C539="SEC LENDING","Sec. Lending",IF(C539="REDEMPTION","Redemption",IF(C539="DISTRIBUTION","Distribution",IF(ISNUMBER(SEARCH("Rimborso",'Statements (Raw)'!D537)),"Redemption",IF(ISNUMBER(SEARCH("Cedola",'Statements (Raw)'!D537)),"Coupon",IF(ISNUMBER(SEARCH("Incasso Dividendi",'Statements (Raw)'!D537)),"Dividend",IF(ISNUMBER(SEARCH("Provento Etf",'Statements (Raw)'!D537)),"Distribution",IF(ISNUMBER(SEARCH("Rit.provento",'Statements (Raw)'!D537)),"Tax",IF(ISNUMBER(SEARCH("Ratei Pass",'Statements (Raw)'!D537)),"Accrued Int.",IF(ISNUMBER(SEARCH("Interessi Prest",'Statements (Raw)'!D537)),"Sec. Lending",IF('Statements (Raw)'!G537="","Other",IF('Statements (Raw)'!G537&gt;0,"Buy","Sell"))))))))))))))))))))))</f>
        <v/>
      </c>
      <c r="E539" s="6" t="str">
        <f t="shared" si="16"/>
        <v/>
      </c>
      <c r="F539" s="8" t="str">
        <f>IF(A539="","",IF('Statements (Raw)'!E537="","",'Statements (Raw)'!E537))</f>
        <v/>
      </c>
      <c r="G539" s="6" t="str">
        <f>IF(A539="","",IF('Statements (Raw)'!F537="","",'Statements (Raw)'!F537))</f>
        <v/>
      </c>
      <c r="H539" s="9" t="str">
        <f>IF(A539="","",IF('Statements (Raw)'!G537="","",'Statements (Raw)'!G537))</f>
        <v/>
      </c>
      <c r="I539" s="10" t="str">
        <f>IF(A539="","",IF('Statements (Raw)'!H537="","",'Statements (Raw)'!H537))</f>
        <v/>
      </c>
      <c r="J539" s="10">
        <f>IF(A539="",0,IF('Statements (Raw)'!I537="",0,'Statements (Raw)'!I537))</f>
        <v>0</v>
      </c>
      <c r="K539" s="10" t="str">
        <f t="shared" si="17"/>
        <v/>
      </c>
    </row>
    <row r="540" spans="1:11" x14ac:dyDescent="0.3">
      <c r="A540" s="171" t="str">
        <f>IF(OR('Statements (Raw)'!A538="",'Statements (Raw)'!A538&gt;Holdings!$G$3),"",'Statements (Raw)'!A538)</f>
        <v/>
      </c>
      <c r="B540" s="7" t="str">
        <f>IF(A540="","",IF('Statements (Raw)'!B538="","",'Statements (Raw)'!B538))</f>
        <v/>
      </c>
      <c r="C540" s="6" t="str">
        <f>IF(A540="","",IF('Statements (Raw)'!C538&lt;&gt;"",'Statements (Raw)'!C538,IF(ISNUMBER(SEARCH("Conferimento",'Statements (Raw)'!D538)),"CASH DEPOSIT",IF(ISNUMBER(SEARCH("Prelievo",'Statements (Raw)'!D538)),"CASH WITHDRAWAL",IF(ISNUMBER(SEARCH("Bollo",'Statements (Raw)'!D538)),"STAMP DUTY",IF(ISNUMBER(SEARCH("Tobin Tax",'Statements (Raw)'!D538)),"TOBIN TAX",IF(ISNUMBER(SEARCH("Rit.provento",'Statements (Raw)'!D538)),"WITHHOLDING TAX",IF(ISNUMBER(SEARCH("Incasso Dividendi",'Statements (Raw)'!D538)),"DIVIDEND",IF(ISNUMBER(SEARCH("Cedola",'Statements (Raw)'!D538)),"COUPON",IF(ISNUMBER(SEARCH("Ratei Pass",'Statements (Raw)'!D538)),"ACCRUED INT",IF(ISNUMBER(SEARCH("Interessi Prest",'Statements (Raw)'!D538)),"SEC LENDING",IF(ISNUMBER(SEARCH("Rimborso",'Statements (Raw)'!D538)),"REDEMPTION",IF(ISNUMBER(SEARCH("Provento",'Statements (Raw)'!D538)),"DISTRIBUTION","OTHER")))))))))))))</f>
        <v/>
      </c>
      <c r="D540" s="6" t="str">
        <f>IF(A540="","",IF(C540="Saldo Iniziale","Balance",IF(C540="CASH DEPOSIT","Deposit",IF(C540="CASH WITHDRAWAL","Withdrawal",IF(C540="STAMP DUTY","Tax",IF(C540="TOBIN TAX","Tax",IF(C540="WITHHOLDING TAX","Tax",IF(C540="DIVIDEND","Dividend",IF(C540="COUPON","Coupon",IF(C540="ACCRUED INT","Accrued Int.",IF(C540="SEC LENDING","Sec. Lending",IF(C540="REDEMPTION","Redemption",IF(C540="DISTRIBUTION","Distribution",IF(ISNUMBER(SEARCH("Rimborso",'Statements (Raw)'!D538)),"Redemption",IF(ISNUMBER(SEARCH("Cedola",'Statements (Raw)'!D538)),"Coupon",IF(ISNUMBER(SEARCH("Incasso Dividendi",'Statements (Raw)'!D538)),"Dividend",IF(ISNUMBER(SEARCH("Provento Etf",'Statements (Raw)'!D538)),"Distribution",IF(ISNUMBER(SEARCH("Rit.provento",'Statements (Raw)'!D538)),"Tax",IF(ISNUMBER(SEARCH("Ratei Pass",'Statements (Raw)'!D538)),"Accrued Int.",IF(ISNUMBER(SEARCH("Interessi Prest",'Statements (Raw)'!D538)),"Sec. Lending",IF('Statements (Raw)'!G538="","Other",IF('Statements (Raw)'!G538&gt;0,"Buy","Sell"))))))))))))))))))))))</f>
        <v/>
      </c>
      <c r="E540" s="6" t="str">
        <f t="shared" si="16"/>
        <v/>
      </c>
      <c r="F540" s="8" t="str">
        <f>IF(A540="","",IF('Statements (Raw)'!E538="","",'Statements (Raw)'!E538))</f>
        <v/>
      </c>
      <c r="G540" s="6" t="str">
        <f>IF(A540="","",IF('Statements (Raw)'!F538="","",'Statements (Raw)'!F538))</f>
        <v/>
      </c>
      <c r="H540" s="9" t="str">
        <f>IF(A540="","",IF('Statements (Raw)'!G538="","",'Statements (Raw)'!G538))</f>
        <v/>
      </c>
      <c r="I540" s="10" t="str">
        <f>IF(A540="","",IF('Statements (Raw)'!H538="","",'Statements (Raw)'!H538))</f>
        <v/>
      </c>
      <c r="J540" s="10">
        <f>IF(A540="",0,IF('Statements (Raw)'!I538="",0,'Statements (Raw)'!I538))</f>
        <v>0</v>
      </c>
      <c r="K540" s="10" t="str">
        <f t="shared" si="17"/>
        <v/>
      </c>
    </row>
    <row r="541" spans="1:11" x14ac:dyDescent="0.3">
      <c r="A541" s="171" t="str">
        <f>IF(OR('Statements (Raw)'!A539="",'Statements (Raw)'!A539&gt;Holdings!$G$3),"",'Statements (Raw)'!A539)</f>
        <v/>
      </c>
      <c r="B541" s="7" t="str">
        <f>IF(A541="","",IF('Statements (Raw)'!B539="","",'Statements (Raw)'!B539))</f>
        <v/>
      </c>
      <c r="C541" s="6" t="str">
        <f>IF(A541="","",IF('Statements (Raw)'!C539&lt;&gt;"",'Statements (Raw)'!C539,IF(ISNUMBER(SEARCH("Conferimento",'Statements (Raw)'!D539)),"CASH DEPOSIT",IF(ISNUMBER(SEARCH("Prelievo",'Statements (Raw)'!D539)),"CASH WITHDRAWAL",IF(ISNUMBER(SEARCH("Bollo",'Statements (Raw)'!D539)),"STAMP DUTY",IF(ISNUMBER(SEARCH("Tobin Tax",'Statements (Raw)'!D539)),"TOBIN TAX",IF(ISNUMBER(SEARCH("Rit.provento",'Statements (Raw)'!D539)),"WITHHOLDING TAX",IF(ISNUMBER(SEARCH("Incasso Dividendi",'Statements (Raw)'!D539)),"DIVIDEND",IF(ISNUMBER(SEARCH("Cedola",'Statements (Raw)'!D539)),"COUPON",IF(ISNUMBER(SEARCH("Ratei Pass",'Statements (Raw)'!D539)),"ACCRUED INT",IF(ISNUMBER(SEARCH("Interessi Prest",'Statements (Raw)'!D539)),"SEC LENDING",IF(ISNUMBER(SEARCH("Rimborso",'Statements (Raw)'!D539)),"REDEMPTION",IF(ISNUMBER(SEARCH("Provento",'Statements (Raw)'!D539)),"DISTRIBUTION","OTHER")))))))))))))</f>
        <v/>
      </c>
      <c r="D541" s="6" t="str">
        <f>IF(A541="","",IF(C541="Saldo Iniziale","Balance",IF(C541="CASH DEPOSIT","Deposit",IF(C541="CASH WITHDRAWAL","Withdrawal",IF(C541="STAMP DUTY","Tax",IF(C541="TOBIN TAX","Tax",IF(C541="WITHHOLDING TAX","Tax",IF(C541="DIVIDEND","Dividend",IF(C541="COUPON","Coupon",IF(C541="ACCRUED INT","Accrued Int.",IF(C541="SEC LENDING","Sec. Lending",IF(C541="REDEMPTION","Redemption",IF(C541="DISTRIBUTION","Distribution",IF(ISNUMBER(SEARCH("Rimborso",'Statements (Raw)'!D539)),"Redemption",IF(ISNUMBER(SEARCH("Cedola",'Statements (Raw)'!D539)),"Coupon",IF(ISNUMBER(SEARCH("Incasso Dividendi",'Statements (Raw)'!D539)),"Dividend",IF(ISNUMBER(SEARCH("Provento Etf",'Statements (Raw)'!D539)),"Distribution",IF(ISNUMBER(SEARCH("Rit.provento",'Statements (Raw)'!D539)),"Tax",IF(ISNUMBER(SEARCH("Ratei Pass",'Statements (Raw)'!D539)),"Accrued Int.",IF(ISNUMBER(SEARCH("Interessi Prest",'Statements (Raw)'!D539)),"Sec. Lending",IF('Statements (Raw)'!G539="","Other",IF('Statements (Raw)'!G539&gt;0,"Buy","Sell"))))))))))))))))))))))</f>
        <v/>
      </c>
      <c r="E541" s="6" t="str">
        <f t="shared" si="16"/>
        <v/>
      </c>
      <c r="F541" s="8" t="str">
        <f>IF(A541="","",IF('Statements (Raw)'!E539="","",'Statements (Raw)'!E539))</f>
        <v/>
      </c>
      <c r="G541" s="6" t="str">
        <f>IF(A541="","",IF('Statements (Raw)'!F539="","",'Statements (Raw)'!F539))</f>
        <v/>
      </c>
      <c r="H541" s="9" t="str">
        <f>IF(A541="","",IF('Statements (Raw)'!G539="","",'Statements (Raw)'!G539))</f>
        <v/>
      </c>
      <c r="I541" s="10" t="str">
        <f>IF(A541="","",IF('Statements (Raw)'!H539="","",'Statements (Raw)'!H539))</f>
        <v/>
      </c>
      <c r="J541" s="10">
        <f>IF(A541="",0,IF('Statements (Raw)'!I539="",0,'Statements (Raw)'!I539))</f>
        <v>0</v>
      </c>
      <c r="K541" s="10" t="str">
        <f t="shared" si="17"/>
        <v/>
      </c>
    </row>
    <row r="542" spans="1:11" x14ac:dyDescent="0.3">
      <c r="A542" s="171" t="str">
        <f>IF(OR('Statements (Raw)'!A540="",'Statements (Raw)'!A540&gt;Holdings!$G$3),"",'Statements (Raw)'!A540)</f>
        <v/>
      </c>
      <c r="B542" s="7" t="str">
        <f>IF(A542="","",IF('Statements (Raw)'!B540="","",'Statements (Raw)'!B540))</f>
        <v/>
      </c>
      <c r="C542" s="6" t="str">
        <f>IF(A542="","",IF('Statements (Raw)'!C540&lt;&gt;"",'Statements (Raw)'!C540,IF(ISNUMBER(SEARCH("Conferimento",'Statements (Raw)'!D540)),"CASH DEPOSIT",IF(ISNUMBER(SEARCH("Prelievo",'Statements (Raw)'!D540)),"CASH WITHDRAWAL",IF(ISNUMBER(SEARCH("Bollo",'Statements (Raw)'!D540)),"STAMP DUTY",IF(ISNUMBER(SEARCH("Tobin Tax",'Statements (Raw)'!D540)),"TOBIN TAX",IF(ISNUMBER(SEARCH("Rit.provento",'Statements (Raw)'!D540)),"WITHHOLDING TAX",IF(ISNUMBER(SEARCH("Incasso Dividendi",'Statements (Raw)'!D540)),"DIVIDEND",IF(ISNUMBER(SEARCH("Cedola",'Statements (Raw)'!D540)),"COUPON",IF(ISNUMBER(SEARCH("Ratei Pass",'Statements (Raw)'!D540)),"ACCRUED INT",IF(ISNUMBER(SEARCH("Interessi Prest",'Statements (Raw)'!D540)),"SEC LENDING",IF(ISNUMBER(SEARCH("Rimborso",'Statements (Raw)'!D540)),"REDEMPTION",IF(ISNUMBER(SEARCH("Provento",'Statements (Raw)'!D540)),"DISTRIBUTION","OTHER")))))))))))))</f>
        <v/>
      </c>
      <c r="D542" s="6" t="str">
        <f>IF(A542="","",IF(C542="Saldo Iniziale","Balance",IF(C542="CASH DEPOSIT","Deposit",IF(C542="CASH WITHDRAWAL","Withdrawal",IF(C542="STAMP DUTY","Tax",IF(C542="TOBIN TAX","Tax",IF(C542="WITHHOLDING TAX","Tax",IF(C542="DIVIDEND","Dividend",IF(C542="COUPON","Coupon",IF(C542="ACCRUED INT","Accrued Int.",IF(C542="SEC LENDING","Sec. Lending",IF(C542="REDEMPTION","Redemption",IF(C542="DISTRIBUTION","Distribution",IF(ISNUMBER(SEARCH("Rimborso",'Statements (Raw)'!D540)),"Redemption",IF(ISNUMBER(SEARCH("Cedola",'Statements (Raw)'!D540)),"Coupon",IF(ISNUMBER(SEARCH("Incasso Dividendi",'Statements (Raw)'!D540)),"Dividend",IF(ISNUMBER(SEARCH("Provento Etf",'Statements (Raw)'!D540)),"Distribution",IF(ISNUMBER(SEARCH("Rit.provento",'Statements (Raw)'!D540)),"Tax",IF(ISNUMBER(SEARCH("Ratei Pass",'Statements (Raw)'!D540)),"Accrued Int.",IF(ISNUMBER(SEARCH("Interessi Prest",'Statements (Raw)'!D540)),"Sec. Lending",IF('Statements (Raw)'!G540="","Other",IF('Statements (Raw)'!G540&gt;0,"Buy","Sell"))))))))))))))))))))))</f>
        <v/>
      </c>
      <c r="E542" s="6" t="str">
        <f t="shared" si="16"/>
        <v/>
      </c>
      <c r="F542" s="8" t="str">
        <f>IF(A542="","",IF('Statements (Raw)'!E540="","",'Statements (Raw)'!E540))</f>
        <v/>
      </c>
      <c r="G542" s="6" t="str">
        <f>IF(A542="","",IF('Statements (Raw)'!F540="","",'Statements (Raw)'!F540))</f>
        <v/>
      </c>
      <c r="H542" s="9" t="str">
        <f>IF(A542="","",IF('Statements (Raw)'!G540="","",'Statements (Raw)'!G540))</f>
        <v/>
      </c>
      <c r="I542" s="10" t="str">
        <f>IF(A542="","",IF('Statements (Raw)'!H540="","",'Statements (Raw)'!H540))</f>
        <v/>
      </c>
      <c r="J542" s="10">
        <f>IF(A542="",0,IF('Statements (Raw)'!I540="",0,'Statements (Raw)'!I540))</f>
        <v>0</v>
      </c>
      <c r="K542" s="10" t="str">
        <f t="shared" si="17"/>
        <v/>
      </c>
    </row>
    <row r="543" spans="1:11" x14ac:dyDescent="0.3">
      <c r="A543" s="171" t="str">
        <f>IF(OR('Statements (Raw)'!A541="",'Statements (Raw)'!A541&gt;Holdings!$G$3),"",'Statements (Raw)'!A541)</f>
        <v/>
      </c>
      <c r="B543" s="7" t="str">
        <f>IF(A543="","",IF('Statements (Raw)'!B541="","",'Statements (Raw)'!B541))</f>
        <v/>
      </c>
      <c r="C543" s="6" t="str">
        <f>IF(A543="","",IF('Statements (Raw)'!C541&lt;&gt;"",'Statements (Raw)'!C541,IF(ISNUMBER(SEARCH("Conferimento",'Statements (Raw)'!D541)),"CASH DEPOSIT",IF(ISNUMBER(SEARCH("Prelievo",'Statements (Raw)'!D541)),"CASH WITHDRAWAL",IF(ISNUMBER(SEARCH("Bollo",'Statements (Raw)'!D541)),"STAMP DUTY",IF(ISNUMBER(SEARCH("Tobin Tax",'Statements (Raw)'!D541)),"TOBIN TAX",IF(ISNUMBER(SEARCH("Rit.provento",'Statements (Raw)'!D541)),"WITHHOLDING TAX",IF(ISNUMBER(SEARCH("Incasso Dividendi",'Statements (Raw)'!D541)),"DIVIDEND",IF(ISNUMBER(SEARCH("Cedola",'Statements (Raw)'!D541)),"COUPON",IF(ISNUMBER(SEARCH("Ratei Pass",'Statements (Raw)'!D541)),"ACCRUED INT",IF(ISNUMBER(SEARCH("Interessi Prest",'Statements (Raw)'!D541)),"SEC LENDING",IF(ISNUMBER(SEARCH("Rimborso",'Statements (Raw)'!D541)),"REDEMPTION",IF(ISNUMBER(SEARCH("Provento",'Statements (Raw)'!D541)),"DISTRIBUTION","OTHER")))))))))))))</f>
        <v/>
      </c>
      <c r="D543" s="6" t="str">
        <f>IF(A543="","",IF(C543="Saldo Iniziale","Balance",IF(C543="CASH DEPOSIT","Deposit",IF(C543="CASH WITHDRAWAL","Withdrawal",IF(C543="STAMP DUTY","Tax",IF(C543="TOBIN TAX","Tax",IF(C543="WITHHOLDING TAX","Tax",IF(C543="DIVIDEND","Dividend",IF(C543="COUPON","Coupon",IF(C543="ACCRUED INT","Accrued Int.",IF(C543="SEC LENDING","Sec. Lending",IF(C543="REDEMPTION","Redemption",IF(C543="DISTRIBUTION","Distribution",IF(ISNUMBER(SEARCH("Rimborso",'Statements (Raw)'!D541)),"Redemption",IF(ISNUMBER(SEARCH("Cedola",'Statements (Raw)'!D541)),"Coupon",IF(ISNUMBER(SEARCH("Incasso Dividendi",'Statements (Raw)'!D541)),"Dividend",IF(ISNUMBER(SEARCH("Provento Etf",'Statements (Raw)'!D541)),"Distribution",IF(ISNUMBER(SEARCH("Rit.provento",'Statements (Raw)'!D541)),"Tax",IF(ISNUMBER(SEARCH("Ratei Pass",'Statements (Raw)'!D541)),"Accrued Int.",IF(ISNUMBER(SEARCH("Interessi Prest",'Statements (Raw)'!D541)),"Sec. Lending",IF('Statements (Raw)'!G541="","Other",IF('Statements (Raw)'!G541&gt;0,"Buy","Sell"))))))))))))))))))))))</f>
        <v/>
      </c>
      <c r="E543" s="6" t="str">
        <f t="shared" si="16"/>
        <v/>
      </c>
      <c r="F543" s="8" t="str">
        <f>IF(A543="","",IF('Statements (Raw)'!E541="","",'Statements (Raw)'!E541))</f>
        <v/>
      </c>
      <c r="G543" s="6" t="str">
        <f>IF(A543="","",IF('Statements (Raw)'!F541="","",'Statements (Raw)'!F541))</f>
        <v/>
      </c>
      <c r="H543" s="9" t="str">
        <f>IF(A543="","",IF('Statements (Raw)'!G541="","",'Statements (Raw)'!G541))</f>
        <v/>
      </c>
      <c r="I543" s="10" t="str">
        <f>IF(A543="","",IF('Statements (Raw)'!H541="","",'Statements (Raw)'!H541))</f>
        <v/>
      </c>
      <c r="J543" s="10">
        <f>IF(A543="",0,IF('Statements (Raw)'!I541="",0,'Statements (Raw)'!I541))</f>
        <v>0</v>
      </c>
      <c r="K543" s="10" t="str">
        <f t="shared" si="17"/>
        <v/>
      </c>
    </row>
    <row r="544" spans="1:11" x14ac:dyDescent="0.3">
      <c r="A544" s="171" t="str">
        <f>IF(OR('Statements (Raw)'!A542="",'Statements (Raw)'!A542&gt;Holdings!$G$3),"",'Statements (Raw)'!A542)</f>
        <v/>
      </c>
      <c r="B544" s="7" t="str">
        <f>IF(A544="","",IF('Statements (Raw)'!B542="","",'Statements (Raw)'!B542))</f>
        <v/>
      </c>
      <c r="C544" s="6" t="str">
        <f>IF(A544="","",IF('Statements (Raw)'!C542&lt;&gt;"",'Statements (Raw)'!C542,IF(ISNUMBER(SEARCH("Conferimento",'Statements (Raw)'!D542)),"CASH DEPOSIT",IF(ISNUMBER(SEARCH("Prelievo",'Statements (Raw)'!D542)),"CASH WITHDRAWAL",IF(ISNUMBER(SEARCH("Bollo",'Statements (Raw)'!D542)),"STAMP DUTY",IF(ISNUMBER(SEARCH("Tobin Tax",'Statements (Raw)'!D542)),"TOBIN TAX",IF(ISNUMBER(SEARCH("Rit.provento",'Statements (Raw)'!D542)),"WITHHOLDING TAX",IF(ISNUMBER(SEARCH("Incasso Dividendi",'Statements (Raw)'!D542)),"DIVIDEND",IF(ISNUMBER(SEARCH("Cedola",'Statements (Raw)'!D542)),"COUPON",IF(ISNUMBER(SEARCH("Ratei Pass",'Statements (Raw)'!D542)),"ACCRUED INT",IF(ISNUMBER(SEARCH("Interessi Prest",'Statements (Raw)'!D542)),"SEC LENDING",IF(ISNUMBER(SEARCH("Rimborso",'Statements (Raw)'!D542)),"REDEMPTION",IF(ISNUMBER(SEARCH("Provento",'Statements (Raw)'!D542)),"DISTRIBUTION","OTHER")))))))))))))</f>
        <v/>
      </c>
      <c r="D544" s="6" t="str">
        <f>IF(A544="","",IF(C544="Saldo Iniziale","Balance",IF(C544="CASH DEPOSIT","Deposit",IF(C544="CASH WITHDRAWAL","Withdrawal",IF(C544="STAMP DUTY","Tax",IF(C544="TOBIN TAX","Tax",IF(C544="WITHHOLDING TAX","Tax",IF(C544="DIVIDEND","Dividend",IF(C544="COUPON","Coupon",IF(C544="ACCRUED INT","Accrued Int.",IF(C544="SEC LENDING","Sec. Lending",IF(C544="REDEMPTION","Redemption",IF(C544="DISTRIBUTION","Distribution",IF(ISNUMBER(SEARCH("Rimborso",'Statements (Raw)'!D542)),"Redemption",IF(ISNUMBER(SEARCH("Cedola",'Statements (Raw)'!D542)),"Coupon",IF(ISNUMBER(SEARCH("Incasso Dividendi",'Statements (Raw)'!D542)),"Dividend",IF(ISNUMBER(SEARCH("Provento Etf",'Statements (Raw)'!D542)),"Distribution",IF(ISNUMBER(SEARCH("Rit.provento",'Statements (Raw)'!D542)),"Tax",IF(ISNUMBER(SEARCH("Ratei Pass",'Statements (Raw)'!D542)),"Accrued Int.",IF(ISNUMBER(SEARCH("Interessi Prest",'Statements (Raw)'!D542)),"Sec. Lending",IF('Statements (Raw)'!G542="","Other",IF('Statements (Raw)'!G542&gt;0,"Buy","Sell"))))))))))))))))))))))</f>
        <v/>
      </c>
      <c r="E544" s="6" t="str">
        <f t="shared" si="16"/>
        <v/>
      </c>
      <c r="F544" s="8" t="str">
        <f>IF(A544="","",IF('Statements (Raw)'!E542="","",'Statements (Raw)'!E542))</f>
        <v/>
      </c>
      <c r="G544" s="6" t="str">
        <f>IF(A544="","",IF('Statements (Raw)'!F542="","",'Statements (Raw)'!F542))</f>
        <v/>
      </c>
      <c r="H544" s="9" t="str">
        <f>IF(A544="","",IF('Statements (Raw)'!G542="","",'Statements (Raw)'!G542))</f>
        <v/>
      </c>
      <c r="I544" s="10" t="str">
        <f>IF(A544="","",IF('Statements (Raw)'!H542="","",'Statements (Raw)'!H542))</f>
        <v/>
      </c>
      <c r="J544" s="10">
        <f>IF(A544="",0,IF('Statements (Raw)'!I542="",0,'Statements (Raw)'!I542))</f>
        <v>0</v>
      </c>
      <c r="K544" s="10" t="str">
        <f t="shared" si="17"/>
        <v/>
      </c>
    </row>
    <row r="545" spans="1:11" x14ac:dyDescent="0.3">
      <c r="A545" s="171" t="str">
        <f>IF(OR('Statements (Raw)'!A543="",'Statements (Raw)'!A543&gt;Holdings!$G$3),"",'Statements (Raw)'!A543)</f>
        <v/>
      </c>
      <c r="B545" s="7" t="str">
        <f>IF(A545="","",IF('Statements (Raw)'!B543="","",'Statements (Raw)'!B543))</f>
        <v/>
      </c>
      <c r="C545" s="6" t="str">
        <f>IF(A545="","",IF('Statements (Raw)'!C543&lt;&gt;"",'Statements (Raw)'!C543,IF(ISNUMBER(SEARCH("Conferimento",'Statements (Raw)'!D543)),"CASH DEPOSIT",IF(ISNUMBER(SEARCH("Prelievo",'Statements (Raw)'!D543)),"CASH WITHDRAWAL",IF(ISNUMBER(SEARCH("Bollo",'Statements (Raw)'!D543)),"STAMP DUTY",IF(ISNUMBER(SEARCH("Tobin Tax",'Statements (Raw)'!D543)),"TOBIN TAX",IF(ISNUMBER(SEARCH("Rit.provento",'Statements (Raw)'!D543)),"WITHHOLDING TAX",IF(ISNUMBER(SEARCH("Incasso Dividendi",'Statements (Raw)'!D543)),"DIVIDEND",IF(ISNUMBER(SEARCH("Cedola",'Statements (Raw)'!D543)),"COUPON",IF(ISNUMBER(SEARCH("Ratei Pass",'Statements (Raw)'!D543)),"ACCRUED INT",IF(ISNUMBER(SEARCH("Interessi Prest",'Statements (Raw)'!D543)),"SEC LENDING",IF(ISNUMBER(SEARCH("Rimborso",'Statements (Raw)'!D543)),"REDEMPTION",IF(ISNUMBER(SEARCH("Provento",'Statements (Raw)'!D543)),"DISTRIBUTION","OTHER")))))))))))))</f>
        <v/>
      </c>
      <c r="D545" s="6" t="str">
        <f>IF(A545="","",IF(C545="Saldo Iniziale","Balance",IF(C545="CASH DEPOSIT","Deposit",IF(C545="CASH WITHDRAWAL","Withdrawal",IF(C545="STAMP DUTY","Tax",IF(C545="TOBIN TAX","Tax",IF(C545="WITHHOLDING TAX","Tax",IF(C545="DIVIDEND","Dividend",IF(C545="COUPON","Coupon",IF(C545="ACCRUED INT","Accrued Int.",IF(C545="SEC LENDING","Sec. Lending",IF(C545="REDEMPTION","Redemption",IF(C545="DISTRIBUTION","Distribution",IF(ISNUMBER(SEARCH("Rimborso",'Statements (Raw)'!D543)),"Redemption",IF(ISNUMBER(SEARCH("Cedola",'Statements (Raw)'!D543)),"Coupon",IF(ISNUMBER(SEARCH("Incasso Dividendi",'Statements (Raw)'!D543)),"Dividend",IF(ISNUMBER(SEARCH("Provento Etf",'Statements (Raw)'!D543)),"Distribution",IF(ISNUMBER(SEARCH("Rit.provento",'Statements (Raw)'!D543)),"Tax",IF(ISNUMBER(SEARCH("Ratei Pass",'Statements (Raw)'!D543)),"Accrued Int.",IF(ISNUMBER(SEARCH("Interessi Prest",'Statements (Raw)'!D543)),"Sec. Lending",IF('Statements (Raw)'!G543="","Other",IF('Statements (Raw)'!G543&gt;0,"Buy","Sell"))))))))))))))))))))))</f>
        <v/>
      </c>
      <c r="E545" s="6" t="str">
        <f t="shared" si="16"/>
        <v/>
      </c>
      <c r="F545" s="8" t="str">
        <f>IF(A545="","",IF('Statements (Raw)'!E543="","",'Statements (Raw)'!E543))</f>
        <v/>
      </c>
      <c r="G545" s="6" t="str">
        <f>IF(A545="","",IF('Statements (Raw)'!F543="","",'Statements (Raw)'!F543))</f>
        <v/>
      </c>
      <c r="H545" s="9" t="str">
        <f>IF(A545="","",IF('Statements (Raw)'!G543="","",'Statements (Raw)'!G543))</f>
        <v/>
      </c>
      <c r="I545" s="10" t="str">
        <f>IF(A545="","",IF('Statements (Raw)'!H543="","",'Statements (Raw)'!H543))</f>
        <v/>
      </c>
      <c r="J545" s="10">
        <f>IF(A545="",0,IF('Statements (Raw)'!I543="",0,'Statements (Raw)'!I543))</f>
        <v>0</v>
      </c>
      <c r="K545" s="10" t="str">
        <f t="shared" si="17"/>
        <v/>
      </c>
    </row>
    <row r="546" spans="1:11" x14ac:dyDescent="0.3">
      <c r="A546" s="171" t="str">
        <f>IF(OR('Statements (Raw)'!A544="",'Statements (Raw)'!A544&gt;Holdings!$G$3),"",'Statements (Raw)'!A544)</f>
        <v/>
      </c>
      <c r="B546" s="7" t="str">
        <f>IF(A546="","",IF('Statements (Raw)'!B544="","",'Statements (Raw)'!B544))</f>
        <v/>
      </c>
      <c r="C546" s="6" t="str">
        <f>IF(A546="","",IF('Statements (Raw)'!C544&lt;&gt;"",'Statements (Raw)'!C544,IF(ISNUMBER(SEARCH("Conferimento",'Statements (Raw)'!D544)),"CASH DEPOSIT",IF(ISNUMBER(SEARCH("Prelievo",'Statements (Raw)'!D544)),"CASH WITHDRAWAL",IF(ISNUMBER(SEARCH("Bollo",'Statements (Raw)'!D544)),"STAMP DUTY",IF(ISNUMBER(SEARCH("Tobin Tax",'Statements (Raw)'!D544)),"TOBIN TAX",IF(ISNUMBER(SEARCH("Rit.provento",'Statements (Raw)'!D544)),"WITHHOLDING TAX",IF(ISNUMBER(SEARCH("Incasso Dividendi",'Statements (Raw)'!D544)),"DIVIDEND",IF(ISNUMBER(SEARCH("Cedola",'Statements (Raw)'!D544)),"COUPON",IF(ISNUMBER(SEARCH("Ratei Pass",'Statements (Raw)'!D544)),"ACCRUED INT",IF(ISNUMBER(SEARCH("Interessi Prest",'Statements (Raw)'!D544)),"SEC LENDING",IF(ISNUMBER(SEARCH("Rimborso",'Statements (Raw)'!D544)),"REDEMPTION",IF(ISNUMBER(SEARCH("Provento",'Statements (Raw)'!D544)),"DISTRIBUTION","OTHER")))))))))))))</f>
        <v/>
      </c>
      <c r="D546" s="6" t="str">
        <f>IF(A546="","",IF(C546="Saldo Iniziale","Balance",IF(C546="CASH DEPOSIT","Deposit",IF(C546="CASH WITHDRAWAL","Withdrawal",IF(C546="STAMP DUTY","Tax",IF(C546="TOBIN TAX","Tax",IF(C546="WITHHOLDING TAX","Tax",IF(C546="DIVIDEND","Dividend",IF(C546="COUPON","Coupon",IF(C546="ACCRUED INT","Accrued Int.",IF(C546="SEC LENDING","Sec. Lending",IF(C546="REDEMPTION","Redemption",IF(C546="DISTRIBUTION","Distribution",IF(ISNUMBER(SEARCH("Rimborso",'Statements (Raw)'!D544)),"Redemption",IF(ISNUMBER(SEARCH("Cedola",'Statements (Raw)'!D544)),"Coupon",IF(ISNUMBER(SEARCH("Incasso Dividendi",'Statements (Raw)'!D544)),"Dividend",IF(ISNUMBER(SEARCH("Provento Etf",'Statements (Raw)'!D544)),"Distribution",IF(ISNUMBER(SEARCH("Rit.provento",'Statements (Raw)'!D544)),"Tax",IF(ISNUMBER(SEARCH("Ratei Pass",'Statements (Raw)'!D544)),"Accrued Int.",IF(ISNUMBER(SEARCH("Interessi Prest",'Statements (Raw)'!D544)),"Sec. Lending",IF('Statements (Raw)'!G544="","Other",IF('Statements (Raw)'!G544&gt;0,"Buy","Sell"))))))))))))))))))))))</f>
        <v/>
      </c>
      <c r="E546" s="6" t="str">
        <f t="shared" si="16"/>
        <v/>
      </c>
      <c r="F546" s="8" t="str">
        <f>IF(A546="","",IF('Statements (Raw)'!E544="","",'Statements (Raw)'!E544))</f>
        <v/>
      </c>
      <c r="G546" s="6" t="str">
        <f>IF(A546="","",IF('Statements (Raw)'!F544="","",'Statements (Raw)'!F544))</f>
        <v/>
      </c>
      <c r="H546" s="9" t="str">
        <f>IF(A546="","",IF('Statements (Raw)'!G544="","",'Statements (Raw)'!G544))</f>
        <v/>
      </c>
      <c r="I546" s="10" t="str">
        <f>IF(A546="","",IF('Statements (Raw)'!H544="","",'Statements (Raw)'!H544))</f>
        <v/>
      </c>
      <c r="J546" s="10">
        <f>IF(A546="",0,IF('Statements (Raw)'!I544="",0,'Statements (Raw)'!I544))</f>
        <v>0</v>
      </c>
      <c r="K546" s="10" t="str">
        <f t="shared" si="17"/>
        <v/>
      </c>
    </row>
    <row r="547" spans="1:11" x14ac:dyDescent="0.3">
      <c r="A547" s="171" t="str">
        <f>IF(OR('Statements (Raw)'!A545="",'Statements (Raw)'!A545&gt;Holdings!$G$3),"",'Statements (Raw)'!A545)</f>
        <v/>
      </c>
      <c r="B547" s="7" t="str">
        <f>IF(A547="","",IF('Statements (Raw)'!B545="","",'Statements (Raw)'!B545))</f>
        <v/>
      </c>
      <c r="C547" s="6" t="str">
        <f>IF(A547="","",IF('Statements (Raw)'!C545&lt;&gt;"",'Statements (Raw)'!C545,IF(ISNUMBER(SEARCH("Conferimento",'Statements (Raw)'!D545)),"CASH DEPOSIT",IF(ISNUMBER(SEARCH("Prelievo",'Statements (Raw)'!D545)),"CASH WITHDRAWAL",IF(ISNUMBER(SEARCH("Bollo",'Statements (Raw)'!D545)),"STAMP DUTY",IF(ISNUMBER(SEARCH("Tobin Tax",'Statements (Raw)'!D545)),"TOBIN TAX",IF(ISNUMBER(SEARCH("Rit.provento",'Statements (Raw)'!D545)),"WITHHOLDING TAX",IF(ISNUMBER(SEARCH("Incasso Dividendi",'Statements (Raw)'!D545)),"DIVIDEND",IF(ISNUMBER(SEARCH("Cedola",'Statements (Raw)'!D545)),"COUPON",IF(ISNUMBER(SEARCH("Ratei Pass",'Statements (Raw)'!D545)),"ACCRUED INT",IF(ISNUMBER(SEARCH("Interessi Prest",'Statements (Raw)'!D545)),"SEC LENDING",IF(ISNUMBER(SEARCH("Rimborso",'Statements (Raw)'!D545)),"REDEMPTION",IF(ISNUMBER(SEARCH("Provento",'Statements (Raw)'!D545)),"DISTRIBUTION","OTHER")))))))))))))</f>
        <v/>
      </c>
      <c r="D547" s="6" t="str">
        <f>IF(A547="","",IF(C547="Saldo Iniziale","Balance",IF(C547="CASH DEPOSIT","Deposit",IF(C547="CASH WITHDRAWAL","Withdrawal",IF(C547="STAMP DUTY","Tax",IF(C547="TOBIN TAX","Tax",IF(C547="WITHHOLDING TAX","Tax",IF(C547="DIVIDEND","Dividend",IF(C547="COUPON","Coupon",IF(C547="ACCRUED INT","Accrued Int.",IF(C547="SEC LENDING","Sec. Lending",IF(C547="REDEMPTION","Redemption",IF(C547="DISTRIBUTION","Distribution",IF(ISNUMBER(SEARCH("Rimborso",'Statements (Raw)'!D545)),"Redemption",IF(ISNUMBER(SEARCH("Cedola",'Statements (Raw)'!D545)),"Coupon",IF(ISNUMBER(SEARCH("Incasso Dividendi",'Statements (Raw)'!D545)),"Dividend",IF(ISNUMBER(SEARCH("Provento Etf",'Statements (Raw)'!D545)),"Distribution",IF(ISNUMBER(SEARCH("Rit.provento",'Statements (Raw)'!D545)),"Tax",IF(ISNUMBER(SEARCH("Ratei Pass",'Statements (Raw)'!D545)),"Accrued Int.",IF(ISNUMBER(SEARCH("Interessi Prest",'Statements (Raw)'!D545)),"Sec. Lending",IF('Statements (Raw)'!G545="","Other",IF('Statements (Raw)'!G545&gt;0,"Buy","Sell"))))))))))))))))))))))</f>
        <v/>
      </c>
      <c r="E547" s="6" t="str">
        <f t="shared" si="16"/>
        <v/>
      </c>
      <c r="F547" s="8" t="str">
        <f>IF(A547="","",IF('Statements (Raw)'!E545="","",'Statements (Raw)'!E545))</f>
        <v/>
      </c>
      <c r="G547" s="6" t="str">
        <f>IF(A547="","",IF('Statements (Raw)'!F545="","",'Statements (Raw)'!F545))</f>
        <v/>
      </c>
      <c r="H547" s="9" t="str">
        <f>IF(A547="","",IF('Statements (Raw)'!G545="","",'Statements (Raw)'!G545))</f>
        <v/>
      </c>
      <c r="I547" s="10" t="str">
        <f>IF(A547="","",IF('Statements (Raw)'!H545="","",'Statements (Raw)'!H545))</f>
        <v/>
      </c>
      <c r="J547" s="10">
        <f>IF(A547="",0,IF('Statements (Raw)'!I545="",0,'Statements (Raw)'!I545))</f>
        <v>0</v>
      </c>
      <c r="K547" s="10" t="str">
        <f t="shared" si="17"/>
        <v/>
      </c>
    </row>
    <row r="548" spans="1:11" x14ac:dyDescent="0.3">
      <c r="A548" s="171" t="str">
        <f>IF(OR('Statements (Raw)'!A546="",'Statements (Raw)'!A546&gt;Holdings!$G$3),"",'Statements (Raw)'!A546)</f>
        <v/>
      </c>
      <c r="B548" s="7" t="str">
        <f>IF(A548="","",IF('Statements (Raw)'!B546="","",'Statements (Raw)'!B546))</f>
        <v/>
      </c>
      <c r="C548" s="6" t="str">
        <f>IF(A548="","",IF('Statements (Raw)'!C546&lt;&gt;"",'Statements (Raw)'!C546,IF(ISNUMBER(SEARCH("Conferimento",'Statements (Raw)'!D546)),"CASH DEPOSIT",IF(ISNUMBER(SEARCH("Prelievo",'Statements (Raw)'!D546)),"CASH WITHDRAWAL",IF(ISNUMBER(SEARCH("Bollo",'Statements (Raw)'!D546)),"STAMP DUTY",IF(ISNUMBER(SEARCH("Tobin Tax",'Statements (Raw)'!D546)),"TOBIN TAX",IF(ISNUMBER(SEARCH("Rit.provento",'Statements (Raw)'!D546)),"WITHHOLDING TAX",IF(ISNUMBER(SEARCH("Incasso Dividendi",'Statements (Raw)'!D546)),"DIVIDEND",IF(ISNUMBER(SEARCH("Cedola",'Statements (Raw)'!D546)),"COUPON",IF(ISNUMBER(SEARCH("Ratei Pass",'Statements (Raw)'!D546)),"ACCRUED INT",IF(ISNUMBER(SEARCH("Interessi Prest",'Statements (Raw)'!D546)),"SEC LENDING",IF(ISNUMBER(SEARCH("Rimborso",'Statements (Raw)'!D546)),"REDEMPTION",IF(ISNUMBER(SEARCH("Provento",'Statements (Raw)'!D546)),"DISTRIBUTION","OTHER")))))))))))))</f>
        <v/>
      </c>
      <c r="D548" s="6" t="str">
        <f>IF(A548="","",IF(C548="Saldo Iniziale","Balance",IF(C548="CASH DEPOSIT","Deposit",IF(C548="CASH WITHDRAWAL","Withdrawal",IF(C548="STAMP DUTY","Tax",IF(C548="TOBIN TAX","Tax",IF(C548="WITHHOLDING TAX","Tax",IF(C548="DIVIDEND","Dividend",IF(C548="COUPON","Coupon",IF(C548="ACCRUED INT","Accrued Int.",IF(C548="SEC LENDING","Sec. Lending",IF(C548="REDEMPTION","Redemption",IF(C548="DISTRIBUTION","Distribution",IF(ISNUMBER(SEARCH("Rimborso",'Statements (Raw)'!D546)),"Redemption",IF(ISNUMBER(SEARCH("Cedola",'Statements (Raw)'!D546)),"Coupon",IF(ISNUMBER(SEARCH("Incasso Dividendi",'Statements (Raw)'!D546)),"Dividend",IF(ISNUMBER(SEARCH("Provento Etf",'Statements (Raw)'!D546)),"Distribution",IF(ISNUMBER(SEARCH("Rit.provento",'Statements (Raw)'!D546)),"Tax",IF(ISNUMBER(SEARCH("Ratei Pass",'Statements (Raw)'!D546)),"Accrued Int.",IF(ISNUMBER(SEARCH("Interessi Prest",'Statements (Raw)'!D546)),"Sec. Lending",IF('Statements (Raw)'!G546="","Other",IF('Statements (Raw)'!G546&gt;0,"Buy","Sell"))))))))))))))))))))))</f>
        <v/>
      </c>
      <c r="E548" s="6" t="str">
        <f t="shared" si="16"/>
        <v/>
      </c>
      <c r="F548" s="8" t="str">
        <f>IF(A548="","",IF('Statements (Raw)'!E546="","",'Statements (Raw)'!E546))</f>
        <v/>
      </c>
      <c r="G548" s="6" t="str">
        <f>IF(A548="","",IF('Statements (Raw)'!F546="","",'Statements (Raw)'!F546))</f>
        <v/>
      </c>
      <c r="H548" s="9" t="str">
        <f>IF(A548="","",IF('Statements (Raw)'!G546="","",'Statements (Raw)'!G546))</f>
        <v/>
      </c>
      <c r="I548" s="10" t="str">
        <f>IF(A548="","",IF('Statements (Raw)'!H546="","",'Statements (Raw)'!H546))</f>
        <v/>
      </c>
      <c r="J548" s="10">
        <f>IF(A548="",0,IF('Statements (Raw)'!I546="",0,'Statements (Raw)'!I546))</f>
        <v>0</v>
      </c>
      <c r="K548" s="10" t="str">
        <f t="shared" si="17"/>
        <v/>
      </c>
    </row>
    <row r="549" spans="1:11" x14ac:dyDescent="0.3">
      <c r="A549" s="171" t="str">
        <f>IF(OR('Statements (Raw)'!A547="",'Statements (Raw)'!A547&gt;Holdings!$G$3),"",'Statements (Raw)'!A547)</f>
        <v/>
      </c>
      <c r="B549" s="7" t="str">
        <f>IF(A549="","",IF('Statements (Raw)'!B547="","",'Statements (Raw)'!B547))</f>
        <v/>
      </c>
      <c r="C549" s="6" t="str">
        <f>IF(A549="","",IF('Statements (Raw)'!C547&lt;&gt;"",'Statements (Raw)'!C547,IF(ISNUMBER(SEARCH("Conferimento",'Statements (Raw)'!D547)),"CASH DEPOSIT",IF(ISNUMBER(SEARCH("Prelievo",'Statements (Raw)'!D547)),"CASH WITHDRAWAL",IF(ISNUMBER(SEARCH("Bollo",'Statements (Raw)'!D547)),"STAMP DUTY",IF(ISNUMBER(SEARCH("Tobin Tax",'Statements (Raw)'!D547)),"TOBIN TAX",IF(ISNUMBER(SEARCH("Rit.provento",'Statements (Raw)'!D547)),"WITHHOLDING TAX",IF(ISNUMBER(SEARCH("Incasso Dividendi",'Statements (Raw)'!D547)),"DIVIDEND",IF(ISNUMBER(SEARCH("Cedola",'Statements (Raw)'!D547)),"COUPON",IF(ISNUMBER(SEARCH("Ratei Pass",'Statements (Raw)'!D547)),"ACCRUED INT",IF(ISNUMBER(SEARCH("Interessi Prest",'Statements (Raw)'!D547)),"SEC LENDING",IF(ISNUMBER(SEARCH("Rimborso",'Statements (Raw)'!D547)),"REDEMPTION",IF(ISNUMBER(SEARCH("Provento",'Statements (Raw)'!D547)),"DISTRIBUTION","OTHER")))))))))))))</f>
        <v/>
      </c>
      <c r="D549" s="6" t="str">
        <f>IF(A549="","",IF(C549="Saldo Iniziale","Balance",IF(C549="CASH DEPOSIT","Deposit",IF(C549="CASH WITHDRAWAL","Withdrawal",IF(C549="STAMP DUTY","Tax",IF(C549="TOBIN TAX","Tax",IF(C549="WITHHOLDING TAX","Tax",IF(C549="DIVIDEND","Dividend",IF(C549="COUPON","Coupon",IF(C549="ACCRUED INT","Accrued Int.",IF(C549="SEC LENDING","Sec. Lending",IF(C549="REDEMPTION","Redemption",IF(C549="DISTRIBUTION","Distribution",IF(ISNUMBER(SEARCH("Rimborso",'Statements (Raw)'!D547)),"Redemption",IF(ISNUMBER(SEARCH("Cedola",'Statements (Raw)'!D547)),"Coupon",IF(ISNUMBER(SEARCH("Incasso Dividendi",'Statements (Raw)'!D547)),"Dividend",IF(ISNUMBER(SEARCH("Provento Etf",'Statements (Raw)'!D547)),"Distribution",IF(ISNUMBER(SEARCH("Rit.provento",'Statements (Raw)'!D547)),"Tax",IF(ISNUMBER(SEARCH("Ratei Pass",'Statements (Raw)'!D547)),"Accrued Int.",IF(ISNUMBER(SEARCH("Interessi Prest",'Statements (Raw)'!D547)),"Sec. Lending",IF('Statements (Raw)'!G547="","Other",IF('Statements (Raw)'!G547&gt;0,"Buy","Sell"))))))))))))))))))))))</f>
        <v/>
      </c>
      <c r="E549" s="6" t="str">
        <f t="shared" si="16"/>
        <v/>
      </c>
      <c r="F549" s="8" t="str">
        <f>IF(A549="","",IF('Statements (Raw)'!E547="","",'Statements (Raw)'!E547))</f>
        <v/>
      </c>
      <c r="G549" s="6" t="str">
        <f>IF(A549="","",IF('Statements (Raw)'!F547="","",'Statements (Raw)'!F547))</f>
        <v/>
      </c>
      <c r="H549" s="9" t="str">
        <f>IF(A549="","",IF('Statements (Raw)'!G547="","",'Statements (Raw)'!G547))</f>
        <v/>
      </c>
      <c r="I549" s="10" t="str">
        <f>IF(A549="","",IF('Statements (Raw)'!H547="","",'Statements (Raw)'!H547))</f>
        <v/>
      </c>
      <c r="J549" s="10">
        <f>IF(A549="",0,IF('Statements (Raw)'!I547="",0,'Statements (Raw)'!I547))</f>
        <v>0</v>
      </c>
      <c r="K549" s="10" t="str">
        <f t="shared" si="17"/>
        <v/>
      </c>
    </row>
    <row r="550" spans="1:11" x14ac:dyDescent="0.3">
      <c r="A550" s="171" t="str">
        <f>IF(OR('Statements (Raw)'!A548="",'Statements (Raw)'!A548&gt;Holdings!$G$3),"",'Statements (Raw)'!A548)</f>
        <v/>
      </c>
      <c r="B550" s="7" t="str">
        <f>IF(A550="","",IF('Statements (Raw)'!B548="","",'Statements (Raw)'!B548))</f>
        <v/>
      </c>
      <c r="C550" s="6" t="str">
        <f>IF(A550="","",IF('Statements (Raw)'!C548&lt;&gt;"",'Statements (Raw)'!C548,IF(ISNUMBER(SEARCH("Conferimento",'Statements (Raw)'!D548)),"CASH DEPOSIT",IF(ISNUMBER(SEARCH("Prelievo",'Statements (Raw)'!D548)),"CASH WITHDRAWAL",IF(ISNUMBER(SEARCH("Bollo",'Statements (Raw)'!D548)),"STAMP DUTY",IF(ISNUMBER(SEARCH("Tobin Tax",'Statements (Raw)'!D548)),"TOBIN TAX",IF(ISNUMBER(SEARCH("Rit.provento",'Statements (Raw)'!D548)),"WITHHOLDING TAX",IF(ISNUMBER(SEARCH("Incasso Dividendi",'Statements (Raw)'!D548)),"DIVIDEND",IF(ISNUMBER(SEARCH("Cedola",'Statements (Raw)'!D548)),"COUPON",IF(ISNUMBER(SEARCH("Ratei Pass",'Statements (Raw)'!D548)),"ACCRUED INT",IF(ISNUMBER(SEARCH("Interessi Prest",'Statements (Raw)'!D548)),"SEC LENDING",IF(ISNUMBER(SEARCH("Rimborso",'Statements (Raw)'!D548)),"REDEMPTION",IF(ISNUMBER(SEARCH("Provento",'Statements (Raw)'!D548)),"DISTRIBUTION","OTHER")))))))))))))</f>
        <v/>
      </c>
      <c r="D550" s="6" t="str">
        <f>IF(A550="","",IF(C550="Saldo Iniziale","Balance",IF(C550="CASH DEPOSIT","Deposit",IF(C550="CASH WITHDRAWAL","Withdrawal",IF(C550="STAMP DUTY","Tax",IF(C550="TOBIN TAX","Tax",IF(C550="WITHHOLDING TAX","Tax",IF(C550="DIVIDEND","Dividend",IF(C550="COUPON","Coupon",IF(C550="ACCRUED INT","Accrued Int.",IF(C550="SEC LENDING","Sec. Lending",IF(C550="REDEMPTION","Redemption",IF(C550="DISTRIBUTION","Distribution",IF(ISNUMBER(SEARCH("Rimborso",'Statements (Raw)'!D548)),"Redemption",IF(ISNUMBER(SEARCH("Cedola",'Statements (Raw)'!D548)),"Coupon",IF(ISNUMBER(SEARCH("Incasso Dividendi",'Statements (Raw)'!D548)),"Dividend",IF(ISNUMBER(SEARCH("Provento Etf",'Statements (Raw)'!D548)),"Distribution",IF(ISNUMBER(SEARCH("Rit.provento",'Statements (Raw)'!D548)),"Tax",IF(ISNUMBER(SEARCH("Ratei Pass",'Statements (Raw)'!D548)),"Accrued Int.",IF(ISNUMBER(SEARCH("Interessi Prest",'Statements (Raw)'!D548)),"Sec. Lending",IF('Statements (Raw)'!G548="","Other",IF('Statements (Raw)'!G548&gt;0,"Buy","Sell"))))))))))))))))))))))</f>
        <v/>
      </c>
      <c r="E550" s="6" t="str">
        <f t="shared" si="16"/>
        <v/>
      </c>
      <c r="F550" s="8" t="str">
        <f>IF(A550="","",IF('Statements (Raw)'!E548="","",'Statements (Raw)'!E548))</f>
        <v/>
      </c>
      <c r="G550" s="6" t="str">
        <f>IF(A550="","",IF('Statements (Raw)'!F548="","",'Statements (Raw)'!F548))</f>
        <v/>
      </c>
      <c r="H550" s="9" t="str">
        <f>IF(A550="","",IF('Statements (Raw)'!G548="","",'Statements (Raw)'!G548))</f>
        <v/>
      </c>
      <c r="I550" s="10" t="str">
        <f>IF(A550="","",IF('Statements (Raw)'!H548="","",'Statements (Raw)'!H548))</f>
        <v/>
      </c>
      <c r="J550" s="10">
        <f>IF(A550="",0,IF('Statements (Raw)'!I548="",0,'Statements (Raw)'!I548))</f>
        <v>0</v>
      </c>
      <c r="K550" s="10" t="str">
        <f t="shared" si="17"/>
        <v/>
      </c>
    </row>
    <row r="551" spans="1:11" x14ac:dyDescent="0.3">
      <c r="A551" s="171" t="str">
        <f>IF(OR('Statements (Raw)'!A549="",'Statements (Raw)'!A549&gt;Holdings!$G$3),"",'Statements (Raw)'!A549)</f>
        <v/>
      </c>
      <c r="B551" s="7" t="str">
        <f>IF(A551="","",IF('Statements (Raw)'!B549="","",'Statements (Raw)'!B549))</f>
        <v/>
      </c>
      <c r="C551" s="6" t="str">
        <f>IF(A551="","",IF('Statements (Raw)'!C549&lt;&gt;"",'Statements (Raw)'!C549,IF(ISNUMBER(SEARCH("Conferimento",'Statements (Raw)'!D549)),"CASH DEPOSIT",IF(ISNUMBER(SEARCH("Prelievo",'Statements (Raw)'!D549)),"CASH WITHDRAWAL",IF(ISNUMBER(SEARCH("Bollo",'Statements (Raw)'!D549)),"STAMP DUTY",IF(ISNUMBER(SEARCH("Tobin Tax",'Statements (Raw)'!D549)),"TOBIN TAX",IF(ISNUMBER(SEARCH("Rit.provento",'Statements (Raw)'!D549)),"WITHHOLDING TAX",IF(ISNUMBER(SEARCH("Incasso Dividendi",'Statements (Raw)'!D549)),"DIVIDEND",IF(ISNUMBER(SEARCH("Cedola",'Statements (Raw)'!D549)),"COUPON",IF(ISNUMBER(SEARCH("Ratei Pass",'Statements (Raw)'!D549)),"ACCRUED INT",IF(ISNUMBER(SEARCH("Interessi Prest",'Statements (Raw)'!D549)),"SEC LENDING",IF(ISNUMBER(SEARCH("Rimborso",'Statements (Raw)'!D549)),"REDEMPTION",IF(ISNUMBER(SEARCH("Provento",'Statements (Raw)'!D549)),"DISTRIBUTION","OTHER")))))))))))))</f>
        <v/>
      </c>
      <c r="D551" s="6" t="str">
        <f>IF(A551="","",IF(C551="Saldo Iniziale","Balance",IF(C551="CASH DEPOSIT","Deposit",IF(C551="CASH WITHDRAWAL","Withdrawal",IF(C551="STAMP DUTY","Tax",IF(C551="TOBIN TAX","Tax",IF(C551="WITHHOLDING TAX","Tax",IF(C551="DIVIDEND","Dividend",IF(C551="COUPON","Coupon",IF(C551="ACCRUED INT","Accrued Int.",IF(C551="SEC LENDING","Sec. Lending",IF(C551="REDEMPTION","Redemption",IF(C551="DISTRIBUTION","Distribution",IF(ISNUMBER(SEARCH("Rimborso",'Statements (Raw)'!D549)),"Redemption",IF(ISNUMBER(SEARCH("Cedola",'Statements (Raw)'!D549)),"Coupon",IF(ISNUMBER(SEARCH("Incasso Dividendi",'Statements (Raw)'!D549)),"Dividend",IF(ISNUMBER(SEARCH("Provento Etf",'Statements (Raw)'!D549)),"Distribution",IF(ISNUMBER(SEARCH("Rit.provento",'Statements (Raw)'!D549)),"Tax",IF(ISNUMBER(SEARCH("Ratei Pass",'Statements (Raw)'!D549)),"Accrued Int.",IF(ISNUMBER(SEARCH("Interessi Prest",'Statements (Raw)'!D549)),"Sec. Lending",IF('Statements (Raw)'!G549="","Other",IF('Statements (Raw)'!G549&gt;0,"Buy","Sell"))))))))))))))))))))))</f>
        <v/>
      </c>
      <c r="E551" s="6" t="str">
        <f t="shared" si="16"/>
        <v/>
      </c>
      <c r="F551" s="8" t="str">
        <f>IF(A551="","",IF('Statements (Raw)'!E549="","",'Statements (Raw)'!E549))</f>
        <v/>
      </c>
      <c r="G551" s="6" t="str">
        <f>IF(A551="","",IF('Statements (Raw)'!F549="","",'Statements (Raw)'!F549))</f>
        <v/>
      </c>
      <c r="H551" s="9" t="str">
        <f>IF(A551="","",IF('Statements (Raw)'!G549="","",'Statements (Raw)'!G549))</f>
        <v/>
      </c>
      <c r="I551" s="10" t="str">
        <f>IF(A551="","",IF('Statements (Raw)'!H549="","",'Statements (Raw)'!H549))</f>
        <v/>
      </c>
      <c r="J551" s="10">
        <f>IF(A551="",0,IF('Statements (Raw)'!I549="",0,'Statements (Raw)'!I549))</f>
        <v>0</v>
      </c>
      <c r="K551" s="10" t="str">
        <f t="shared" si="17"/>
        <v/>
      </c>
    </row>
    <row r="552" spans="1:11" x14ac:dyDescent="0.3">
      <c r="A552" s="171" t="str">
        <f>IF(OR('Statements (Raw)'!A550="",'Statements (Raw)'!A550&gt;Holdings!$G$3),"",'Statements (Raw)'!A550)</f>
        <v/>
      </c>
      <c r="B552" s="7" t="str">
        <f>IF(A552="","",IF('Statements (Raw)'!B550="","",'Statements (Raw)'!B550))</f>
        <v/>
      </c>
      <c r="C552" s="6" t="str">
        <f>IF(A552="","",IF('Statements (Raw)'!C550&lt;&gt;"",'Statements (Raw)'!C550,IF(ISNUMBER(SEARCH("Conferimento",'Statements (Raw)'!D550)),"CASH DEPOSIT",IF(ISNUMBER(SEARCH("Prelievo",'Statements (Raw)'!D550)),"CASH WITHDRAWAL",IF(ISNUMBER(SEARCH("Bollo",'Statements (Raw)'!D550)),"STAMP DUTY",IF(ISNUMBER(SEARCH("Tobin Tax",'Statements (Raw)'!D550)),"TOBIN TAX",IF(ISNUMBER(SEARCH("Rit.provento",'Statements (Raw)'!D550)),"WITHHOLDING TAX",IF(ISNUMBER(SEARCH("Incasso Dividendi",'Statements (Raw)'!D550)),"DIVIDEND",IF(ISNUMBER(SEARCH("Cedola",'Statements (Raw)'!D550)),"COUPON",IF(ISNUMBER(SEARCH("Ratei Pass",'Statements (Raw)'!D550)),"ACCRUED INT",IF(ISNUMBER(SEARCH("Interessi Prest",'Statements (Raw)'!D550)),"SEC LENDING",IF(ISNUMBER(SEARCH("Rimborso",'Statements (Raw)'!D550)),"REDEMPTION",IF(ISNUMBER(SEARCH("Provento",'Statements (Raw)'!D550)),"DISTRIBUTION","OTHER")))))))))))))</f>
        <v/>
      </c>
      <c r="D552" s="6" t="str">
        <f>IF(A552="","",IF(C552="Saldo Iniziale","Balance",IF(C552="CASH DEPOSIT","Deposit",IF(C552="CASH WITHDRAWAL","Withdrawal",IF(C552="STAMP DUTY","Tax",IF(C552="TOBIN TAX","Tax",IF(C552="WITHHOLDING TAX","Tax",IF(C552="DIVIDEND","Dividend",IF(C552="COUPON","Coupon",IF(C552="ACCRUED INT","Accrued Int.",IF(C552="SEC LENDING","Sec. Lending",IF(C552="REDEMPTION","Redemption",IF(C552="DISTRIBUTION","Distribution",IF(ISNUMBER(SEARCH("Rimborso",'Statements (Raw)'!D550)),"Redemption",IF(ISNUMBER(SEARCH("Cedola",'Statements (Raw)'!D550)),"Coupon",IF(ISNUMBER(SEARCH("Incasso Dividendi",'Statements (Raw)'!D550)),"Dividend",IF(ISNUMBER(SEARCH("Provento Etf",'Statements (Raw)'!D550)),"Distribution",IF(ISNUMBER(SEARCH("Rit.provento",'Statements (Raw)'!D550)),"Tax",IF(ISNUMBER(SEARCH("Ratei Pass",'Statements (Raw)'!D550)),"Accrued Int.",IF(ISNUMBER(SEARCH("Interessi Prest",'Statements (Raw)'!D550)),"Sec. Lending",IF('Statements (Raw)'!G550="","Other",IF('Statements (Raw)'!G550&gt;0,"Buy","Sell"))))))))))))))))))))))</f>
        <v/>
      </c>
      <c r="E552" s="6" t="str">
        <f t="shared" si="16"/>
        <v/>
      </c>
      <c r="F552" s="8" t="str">
        <f>IF(A552="","",IF('Statements (Raw)'!E550="","",'Statements (Raw)'!E550))</f>
        <v/>
      </c>
      <c r="G552" s="6" t="str">
        <f>IF(A552="","",IF('Statements (Raw)'!F550="","",'Statements (Raw)'!F550))</f>
        <v/>
      </c>
      <c r="H552" s="9" t="str">
        <f>IF(A552="","",IF('Statements (Raw)'!G550="","",'Statements (Raw)'!G550))</f>
        <v/>
      </c>
      <c r="I552" s="10" t="str">
        <f>IF(A552="","",IF('Statements (Raw)'!H550="","",'Statements (Raw)'!H550))</f>
        <v/>
      </c>
      <c r="J552" s="10">
        <f>IF(A552="",0,IF('Statements (Raw)'!I550="",0,'Statements (Raw)'!I550))</f>
        <v>0</v>
      </c>
      <c r="K552" s="10" t="str">
        <f t="shared" si="17"/>
        <v/>
      </c>
    </row>
    <row r="553" spans="1:11" x14ac:dyDescent="0.3">
      <c r="A553" s="171" t="str">
        <f>IF(OR('Statements (Raw)'!A551="",'Statements (Raw)'!A551&gt;Holdings!$G$3),"",'Statements (Raw)'!A551)</f>
        <v/>
      </c>
      <c r="B553" s="7" t="str">
        <f>IF(A553="","",IF('Statements (Raw)'!B551="","",'Statements (Raw)'!B551))</f>
        <v/>
      </c>
      <c r="C553" s="6" t="str">
        <f>IF(A553="","",IF('Statements (Raw)'!C551&lt;&gt;"",'Statements (Raw)'!C551,IF(ISNUMBER(SEARCH("Conferimento",'Statements (Raw)'!D551)),"CASH DEPOSIT",IF(ISNUMBER(SEARCH("Prelievo",'Statements (Raw)'!D551)),"CASH WITHDRAWAL",IF(ISNUMBER(SEARCH("Bollo",'Statements (Raw)'!D551)),"STAMP DUTY",IF(ISNUMBER(SEARCH("Tobin Tax",'Statements (Raw)'!D551)),"TOBIN TAX",IF(ISNUMBER(SEARCH("Rit.provento",'Statements (Raw)'!D551)),"WITHHOLDING TAX",IF(ISNUMBER(SEARCH("Incasso Dividendi",'Statements (Raw)'!D551)),"DIVIDEND",IF(ISNUMBER(SEARCH("Cedola",'Statements (Raw)'!D551)),"COUPON",IF(ISNUMBER(SEARCH("Ratei Pass",'Statements (Raw)'!D551)),"ACCRUED INT",IF(ISNUMBER(SEARCH("Interessi Prest",'Statements (Raw)'!D551)),"SEC LENDING",IF(ISNUMBER(SEARCH("Rimborso",'Statements (Raw)'!D551)),"REDEMPTION",IF(ISNUMBER(SEARCH("Provento",'Statements (Raw)'!D551)),"DISTRIBUTION","OTHER")))))))))))))</f>
        <v/>
      </c>
      <c r="D553" s="6" t="str">
        <f>IF(A553="","",IF(C553="Saldo Iniziale","Balance",IF(C553="CASH DEPOSIT","Deposit",IF(C553="CASH WITHDRAWAL","Withdrawal",IF(C553="STAMP DUTY","Tax",IF(C553="TOBIN TAX","Tax",IF(C553="WITHHOLDING TAX","Tax",IF(C553="DIVIDEND","Dividend",IF(C553="COUPON","Coupon",IF(C553="ACCRUED INT","Accrued Int.",IF(C553="SEC LENDING","Sec. Lending",IF(C553="REDEMPTION","Redemption",IF(C553="DISTRIBUTION","Distribution",IF(ISNUMBER(SEARCH("Rimborso",'Statements (Raw)'!D551)),"Redemption",IF(ISNUMBER(SEARCH("Cedola",'Statements (Raw)'!D551)),"Coupon",IF(ISNUMBER(SEARCH("Incasso Dividendi",'Statements (Raw)'!D551)),"Dividend",IF(ISNUMBER(SEARCH("Provento Etf",'Statements (Raw)'!D551)),"Distribution",IF(ISNUMBER(SEARCH("Rit.provento",'Statements (Raw)'!D551)),"Tax",IF(ISNUMBER(SEARCH("Ratei Pass",'Statements (Raw)'!D551)),"Accrued Int.",IF(ISNUMBER(SEARCH("Interessi Prest",'Statements (Raw)'!D551)),"Sec. Lending",IF('Statements (Raw)'!G551="","Other",IF('Statements (Raw)'!G551&gt;0,"Buy","Sell"))))))))))))))))))))))</f>
        <v/>
      </c>
      <c r="E553" s="6" t="str">
        <f t="shared" si="16"/>
        <v/>
      </c>
      <c r="F553" s="8" t="str">
        <f>IF(A553="","",IF('Statements (Raw)'!E551="","",'Statements (Raw)'!E551))</f>
        <v/>
      </c>
      <c r="G553" s="6" t="str">
        <f>IF(A553="","",IF('Statements (Raw)'!F551="","",'Statements (Raw)'!F551))</f>
        <v/>
      </c>
      <c r="H553" s="9" t="str">
        <f>IF(A553="","",IF('Statements (Raw)'!G551="","",'Statements (Raw)'!G551))</f>
        <v/>
      </c>
      <c r="I553" s="10" t="str">
        <f>IF(A553="","",IF('Statements (Raw)'!H551="","",'Statements (Raw)'!H551))</f>
        <v/>
      </c>
      <c r="J553" s="10">
        <f>IF(A553="",0,IF('Statements (Raw)'!I551="",0,'Statements (Raw)'!I551))</f>
        <v>0</v>
      </c>
      <c r="K553" s="10" t="str">
        <f t="shared" si="17"/>
        <v/>
      </c>
    </row>
    <row r="554" spans="1:11" x14ac:dyDescent="0.3">
      <c r="A554" s="171" t="str">
        <f>IF(OR('Statements (Raw)'!A552="",'Statements (Raw)'!A552&gt;Holdings!$G$3),"",'Statements (Raw)'!A552)</f>
        <v/>
      </c>
      <c r="B554" s="7" t="str">
        <f>IF(A554="","",IF('Statements (Raw)'!B552="","",'Statements (Raw)'!B552))</f>
        <v/>
      </c>
      <c r="C554" s="6" t="str">
        <f>IF(A554="","",IF('Statements (Raw)'!C552&lt;&gt;"",'Statements (Raw)'!C552,IF(ISNUMBER(SEARCH("Conferimento",'Statements (Raw)'!D552)),"CASH DEPOSIT",IF(ISNUMBER(SEARCH("Prelievo",'Statements (Raw)'!D552)),"CASH WITHDRAWAL",IF(ISNUMBER(SEARCH("Bollo",'Statements (Raw)'!D552)),"STAMP DUTY",IF(ISNUMBER(SEARCH("Tobin Tax",'Statements (Raw)'!D552)),"TOBIN TAX",IF(ISNUMBER(SEARCH("Rit.provento",'Statements (Raw)'!D552)),"WITHHOLDING TAX",IF(ISNUMBER(SEARCH("Incasso Dividendi",'Statements (Raw)'!D552)),"DIVIDEND",IF(ISNUMBER(SEARCH("Cedola",'Statements (Raw)'!D552)),"COUPON",IF(ISNUMBER(SEARCH("Ratei Pass",'Statements (Raw)'!D552)),"ACCRUED INT",IF(ISNUMBER(SEARCH("Interessi Prest",'Statements (Raw)'!D552)),"SEC LENDING",IF(ISNUMBER(SEARCH("Rimborso",'Statements (Raw)'!D552)),"REDEMPTION",IF(ISNUMBER(SEARCH("Provento",'Statements (Raw)'!D552)),"DISTRIBUTION","OTHER")))))))))))))</f>
        <v/>
      </c>
      <c r="D554" s="6" t="str">
        <f>IF(A554="","",IF(C554="Saldo Iniziale","Balance",IF(C554="CASH DEPOSIT","Deposit",IF(C554="CASH WITHDRAWAL","Withdrawal",IF(C554="STAMP DUTY","Tax",IF(C554="TOBIN TAX","Tax",IF(C554="WITHHOLDING TAX","Tax",IF(C554="DIVIDEND","Dividend",IF(C554="COUPON","Coupon",IF(C554="ACCRUED INT","Accrued Int.",IF(C554="SEC LENDING","Sec. Lending",IF(C554="REDEMPTION","Redemption",IF(C554="DISTRIBUTION","Distribution",IF(ISNUMBER(SEARCH("Rimborso",'Statements (Raw)'!D552)),"Redemption",IF(ISNUMBER(SEARCH("Cedola",'Statements (Raw)'!D552)),"Coupon",IF(ISNUMBER(SEARCH("Incasso Dividendi",'Statements (Raw)'!D552)),"Dividend",IF(ISNUMBER(SEARCH("Provento Etf",'Statements (Raw)'!D552)),"Distribution",IF(ISNUMBER(SEARCH("Rit.provento",'Statements (Raw)'!D552)),"Tax",IF(ISNUMBER(SEARCH("Ratei Pass",'Statements (Raw)'!D552)),"Accrued Int.",IF(ISNUMBER(SEARCH("Interessi Prest",'Statements (Raw)'!D552)),"Sec. Lending",IF('Statements (Raw)'!G552="","Other",IF('Statements (Raw)'!G552&gt;0,"Buy","Sell"))))))))))))))))))))))</f>
        <v/>
      </c>
      <c r="E554" s="6" t="str">
        <f t="shared" si="16"/>
        <v/>
      </c>
      <c r="F554" s="8" t="str">
        <f>IF(A554="","",IF('Statements (Raw)'!E552="","",'Statements (Raw)'!E552))</f>
        <v/>
      </c>
      <c r="G554" s="6" t="str">
        <f>IF(A554="","",IF('Statements (Raw)'!F552="","",'Statements (Raw)'!F552))</f>
        <v/>
      </c>
      <c r="H554" s="9" t="str">
        <f>IF(A554="","",IF('Statements (Raw)'!G552="","",'Statements (Raw)'!G552))</f>
        <v/>
      </c>
      <c r="I554" s="10" t="str">
        <f>IF(A554="","",IF('Statements (Raw)'!H552="","",'Statements (Raw)'!H552))</f>
        <v/>
      </c>
      <c r="J554" s="10">
        <f>IF(A554="",0,IF('Statements (Raw)'!I552="",0,'Statements (Raw)'!I552))</f>
        <v>0</v>
      </c>
      <c r="K554" s="10" t="str">
        <f t="shared" si="17"/>
        <v/>
      </c>
    </row>
    <row r="555" spans="1:11" x14ac:dyDescent="0.3">
      <c r="A555" s="171" t="str">
        <f>IF(OR('Statements (Raw)'!A553="",'Statements (Raw)'!A553&gt;Holdings!$G$3),"",'Statements (Raw)'!A553)</f>
        <v/>
      </c>
      <c r="B555" s="7" t="str">
        <f>IF(A555="","",IF('Statements (Raw)'!B553="","",'Statements (Raw)'!B553))</f>
        <v/>
      </c>
      <c r="C555" s="6" t="str">
        <f>IF(A555="","",IF('Statements (Raw)'!C553&lt;&gt;"",'Statements (Raw)'!C553,IF(ISNUMBER(SEARCH("Conferimento",'Statements (Raw)'!D553)),"CASH DEPOSIT",IF(ISNUMBER(SEARCH("Prelievo",'Statements (Raw)'!D553)),"CASH WITHDRAWAL",IF(ISNUMBER(SEARCH("Bollo",'Statements (Raw)'!D553)),"STAMP DUTY",IF(ISNUMBER(SEARCH("Tobin Tax",'Statements (Raw)'!D553)),"TOBIN TAX",IF(ISNUMBER(SEARCH("Rit.provento",'Statements (Raw)'!D553)),"WITHHOLDING TAX",IF(ISNUMBER(SEARCH("Incasso Dividendi",'Statements (Raw)'!D553)),"DIVIDEND",IF(ISNUMBER(SEARCH("Cedola",'Statements (Raw)'!D553)),"COUPON",IF(ISNUMBER(SEARCH("Ratei Pass",'Statements (Raw)'!D553)),"ACCRUED INT",IF(ISNUMBER(SEARCH("Interessi Prest",'Statements (Raw)'!D553)),"SEC LENDING",IF(ISNUMBER(SEARCH("Rimborso",'Statements (Raw)'!D553)),"REDEMPTION",IF(ISNUMBER(SEARCH("Provento",'Statements (Raw)'!D553)),"DISTRIBUTION","OTHER")))))))))))))</f>
        <v/>
      </c>
      <c r="D555" s="6" t="str">
        <f>IF(A555="","",IF(C555="Saldo Iniziale","Balance",IF(C555="CASH DEPOSIT","Deposit",IF(C555="CASH WITHDRAWAL","Withdrawal",IF(C555="STAMP DUTY","Tax",IF(C555="TOBIN TAX","Tax",IF(C555="WITHHOLDING TAX","Tax",IF(C555="DIVIDEND","Dividend",IF(C555="COUPON","Coupon",IF(C555="ACCRUED INT","Accrued Int.",IF(C555="SEC LENDING","Sec. Lending",IF(C555="REDEMPTION","Redemption",IF(C555="DISTRIBUTION","Distribution",IF(ISNUMBER(SEARCH("Rimborso",'Statements (Raw)'!D553)),"Redemption",IF(ISNUMBER(SEARCH("Cedola",'Statements (Raw)'!D553)),"Coupon",IF(ISNUMBER(SEARCH("Incasso Dividendi",'Statements (Raw)'!D553)),"Dividend",IF(ISNUMBER(SEARCH("Provento Etf",'Statements (Raw)'!D553)),"Distribution",IF(ISNUMBER(SEARCH("Rit.provento",'Statements (Raw)'!D553)),"Tax",IF(ISNUMBER(SEARCH("Ratei Pass",'Statements (Raw)'!D553)),"Accrued Int.",IF(ISNUMBER(SEARCH("Interessi Prest",'Statements (Raw)'!D553)),"Sec. Lending",IF('Statements (Raw)'!G553="","Other",IF('Statements (Raw)'!G553&gt;0,"Buy","Sell"))))))))))))))))))))))</f>
        <v/>
      </c>
      <c r="E555" s="6" t="str">
        <f t="shared" si="16"/>
        <v/>
      </c>
      <c r="F555" s="8" t="str">
        <f>IF(A555="","",IF('Statements (Raw)'!E553="","",'Statements (Raw)'!E553))</f>
        <v/>
      </c>
      <c r="G555" s="6" t="str">
        <f>IF(A555="","",IF('Statements (Raw)'!F553="","",'Statements (Raw)'!F553))</f>
        <v/>
      </c>
      <c r="H555" s="9" t="str">
        <f>IF(A555="","",IF('Statements (Raw)'!G553="","",'Statements (Raw)'!G553))</f>
        <v/>
      </c>
      <c r="I555" s="10" t="str">
        <f>IF(A555="","",IF('Statements (Raw)'!H553="","",'Statements (Raw)'!H553))</f>
        <v/>
      </c>
      <c r="J555" s="10">
        <f>IF(A555="",0,IF('Statements (Raw)'!I553="",0,'Statements (Raw)'!I553))</f>
        <v>0</v>
      </c>
      <c r="K555" s="10" t="str">
        <f t="shared" si="17"/>
        <v/>
      </c>
    </row>
    <row r="556" spans="1:11" x14ac:dyDescent="0.3">
      <c r="A556" s="171" t="str">
        <f>IF(OR('Statements (Raw)'!A554="",'Statements (Raw)'!A554&gt;Holdings!$G$3),"",'Statements (Raw)'!A554)</f>
        <v/>
      </c>
      <c r="B556" s="7" t="str">
        <f>IF(A556="","",IF('Statements (Raw)'!B554="","",'Statements (Raw)'!B554))</f>
        <v/>
      </c>
      <c r="C556" s="6" t="str">
        <f>IF(A556="","",IF('Statements (Raw)'!C554&lt;&gt;"",'Statements (Raw)'!C554,IF(ISNUMBER(SEARCH("Conferimento",'Statements (Raw)'!D554)),"CASH DEPOSIT",IF(ISNUMBER(SEARCH("Prelievo",'Statements (Raw)'!D554)),"CASH WITHDRAWAL",IF(ISNUMBER(SEARCH("Bollo",'Statements (Raw)'!D554)),"STAMP DUTY",IF(ISNUMBER(SEARCH("Tobin Tax",'Statements (Raw)'!D554)),"TOBIN TAX",IF(ISNUMBER(SEARCH("Rit.provento",'Statements (Raw)'!D554)),"WITHHOLDING TAX",IF(ISNUMBER(SEARCH("Incasso Dividendi",'Statements (Raw)'!D554)),"DIVIDEND",IF(ISNUMBER(SEARCH("Cedola",'Statements (Raw)'!D554)),"COUPON",IF(ISNUMBER(SEARCH("Ratei Pass",'Statements (Raw)'!D554)),"ACCRUED INT",IF(ISNUMBER(SEARCH("Interessi Prest",'Statements (Raw)'!D554)),"SEC LENDING",IF(ISNUMBER(SEARCH("Rimborso",'Statements (Raw)'!D554)),"REDEMPTION",IF(ISNUMBER(SEARCH("Provento",'Statements (Raw)'!D554)),"DISTRIBUTION","OTHER")))))))))))))</f>
        <v/>
      </c>
      <c r="D556" s="6" t="str">
        <f>IF(A556="","",IF(C556="Saldo Iniziale","Balance",IF(C556="CASH DEPOSIT","Deposit",IF(C556="CASH WITHDRAWAL","Withdrawal",IF(C556="STAMP DUTY","Tax",IF(C556="TOBIN TAX","Tax",IF(C556="WITHHOLDING TAX","Tax",IF(C556="DIVIDEND","Dividend",IF(C556="COUPON","Coupon",IF(C556="ACCRUED INT","Accrued Int.",IF(C556="SEC LENDING","Sec. Lending",IF(C556="REDEMPTION","Redemption",IF(C556="DISTRIBUTION","Distribution",IF(ISNUMBER(SEARCH("Rimborso",'Statements (Raw)'!D554)),"Redemption",IF(ISNUMBER(SEARCH("Cedola",'Statements (Raw)'!D554)),"Coupon",IF(ISNUMBER(SEARCH("Incasso Dividendi",'Statements (Raw)'!D554)),"Dividend",IF(ISNUMBER(SEARCH("Provento Etf",'Statements (Raw)'!D554)),"Distribution",IF(ISNUMBER(SEARCH("Rit.provento",'Statements (Raw)'!D554)),"Tax",IF(ISNUMBER(SEARCH("Ratei Pass",'Statements (Raw)'!D554)),"Accrued Int.",IF(ISNUMBER(SEARCH("Interessi Prest",'Statements (Raw)'!D554)),"Sec. Lending",IF('Statements (Raw)'!G554="","Other",IF('Statements (Raw)'!G554&gt;0,"Buy","Sell"))))))))))))))))))))))</f>
        <v/>
      </c>
      <c r="E556" s="6" t="str">
        <f t="shared" si="16"/>
        <v/>
      </c>
      <c r="F556" s="8" t="str">
        <f>IF(A556="","",IF('Statements (Raw)'!E554="","",'Statements (Raw)'!E554))</f>
        <v/>
      </c>
      <c r="G556" s="6" t="str">
        <f>IF(A556="","",IF('Statements (Raw)'!F554="","",'Statements (Raw)'!F554))</f>
        <v/>
      </c>
      <c r="H556" s="9" t="str">
        <f>IF(A556="","",IF('Statements (Raw)'!G554="","",'Statements (Raw)'!G554))</f>
        <v/>
      </c>
      <c r="I556" s="10" t="str">
        <f>IF(A556="","",IF('Statements (Raw)'!H554="","",'Statements (Raw)'!H554))</f>
        <v/>
      </c>
      <c r="J556" s="10">
        <f>IF(A556="",0,IF('Statements (Raw)'!I554="",0,'Statements (Raw)'!I554))</f>
        <v>0</v>
      </c>
      <c r="K556" s="10" t="str">
        <f t="shared" si="17"/>
        <v/>
      </c>
    </row>
    <row r="557" spans="1:11" x14ac:dyDescent="0.3">
      <c r="A557" s="171" t="str">
        <f>IF(OR('Statements (Raw)'!A555="",'Statements (Raw)'!A555&gt;Holdings!$G$3),"",'Statements (Raw)'!A555)</f>
        <v/>
      </c>
      <c r="B557" s="7" t="str">
        <f>IF(A557="","",IF('Statements (Raw)'!B555="","",'Statements (Raw)'!B555))</f>
        <v/>
      </c>
      <c r="C557" s="6" t="str">
        <f>IF(A557="","",IF('Statements (Raw)'!C555&lt;&gt;"",'Statements (Raw)'!C555,IF(ISNUMBER(SEARCH("Conferimento",'Statements (Raw)'!D555)),"CASH DEPOSIT",IF(ISNUMBER(SEARCH("Prelievo",'Statements (Raw)'!D555)),"CASH WITHDRAWAL",IF(ISNUMBER(SEARCH("Bollo",'Statements (Raw)'!D555)),"STAMP DUTY",IF(ISNUMBER(SEARCH("Tobin Tax",'Statements (Raw)'!D555)),"TOBIN TAX",IF(ISNUMBER(SEARCH("Rit.provento",'Statements (Raw)'!D555)),"WITHHOLDING TAX",IF(ISNUMBER(SEARCH("Incasso Dividendi",'Statements (Raw)'!D555)),"DIVIDEND",IF(ISNUMBER(SEARCH("Cedola",'Statements (Raw)'!D555)),"COUPON",IF(ISNUMBER(SEARCH("Ratei Pass",'Statements (Raw)'!D555)),"ACCRUED INT",IF(ISNUMBER(SEARCH("Interessi Prest",'Statements (Raw)'!D555)),"SEC LENDING",IF(ISNUMBER(SEARCH("Rimborso",'Statements (Raw)'!D555)),"REDEMPTION",IF(ISNUMBER(SEARCH("Provento",'Statements (Raw)'!D555)),"DISTRIBUTION","OTHER")))))))))))))</f>
        <v/>
      </c>
      <c r="D557" s="6" t="str">
        <f>IF(A557="","",IF(C557="Saldo Iniziale","Balance",IF(C557="CASH DEPOSIT","Deposit",IF(C557="CASH WITHDRAWAL","Withdrawal",IF(C557="STAMP DUTY","Tax",IF(C557="TOBIN TAX","Tax",IF(C557="WITHHOLDING TAX","Tax",IF(C557="DIVIDEND","Dividend",IF(C557="COUPON","Coupon",IF(C557="ACCRUED INT","Accrued Int.",IF(C557="SEC LENDING","Sec. Lending",IF(C557="REDEMPTION","Redemption",IF(C557="DISTRIBUTION","Distribution",IF(ISNUMBER(SEARCH("Rimborso",'Statements (Raw)'!D555)),"Redemption",IF(ISNUMBER(SEARCH("Cedola",'Statements (Raw)'!D555)),"Coupon",IF(ISNUMBER(SEARCH("Incasso Dividendi",'Statements (Raw)'!D555)),"Dividend",IF(ISNUMBER(SEARCH("Provento Etf",'Statements (Raw)'!D555)),"Distribution",IF(ISNUMBER(SEARCH("Rit.provento",'Statements (Raw)'!D555)),"Tax",IF(ISNUMBER(SEARCH("Ratei Pass",'Statements (Raw)'!D555)),"Accrued Int.",IF(ISNUMBER(SEARCH("Interessi Prest",'Statements (Raw)'!D555)),"Sec. Lending",IF('Statements (Raw)'!G555="","Other",IF('Statements (Raw)'!G555&gt;0,"Buy","Sell"))))))))))))))))))))))</f>
        <v/>
      </c>
      <c r="E557" s="6" t="str">
        <f t="shared" si="16"/>
        <v/>
      </c>
      <c r="F557" s="8" t="str">
        <f>IF(A557="","",IF('Statements (Raw)'!E555="","",'Statements (Raw)'!E555))</f>
        <v/>
      </c>
      <c r="G557" s="6" t="str">
        <f>IF(A557="","",IF('Statements (Raw)'!F555="","",'Statements (Raw)'!F555))</f>
        <v/>
      </c>
      <c r="H557" s="9" t="str">
        <f>IF(A557="","",IF('Statements (Raw)'!G555="","",'Statements (Raw)'!G555))</f>
        <v/>
      </c>
      <c r="I557" s="10" t="str">
        <f>IF(A557="","",IF('Statements (Raw)'!H555="","",'Statements (Raw)'!H555))</f>
        <v/>
      </c>
      <c r="J557" s="10">
        <f>IF(A557="",0,IF('Statements (Raw)'!I555="",0,'Statements (Raw)'!I555))</f>
        <v>0</v>
      </c>
      <c r="K557" s="10" t="str">
        <f t="shared" si="17"/>
        <v/>
      </c>
    </row>
    <row r="558" spans="1:11" x14ac:dyDescent="0.3">
      <c r="A558" s="171" t="str">
        <f>IF(OR('Statements (Raw)'!A556="",'Statements (Raw)'!A556&gt;Holdings!$G$3),"",'Statements (Raw)'!A556)</f>
        <v/>
      </c>
      <c r="B558" s="7" t="str">
        <f>IF(A558="","",IF('Statements (Raw)'!B556="","",'Statements (Raw)'!B556))</f>
        <v/>
      </c>
      <c r="C558" s="6" t="str">
        <f>IF(A558="","",IF('Statements (Raw)'!C556&lt;&gt;"",'Statements (Raw)'!C556,IF(ISNUMBER(SEARCH("Conferimento",'Statements (Raw)'!D556)),"CASH DEPOSIT",IF(ISNUMBER(SEARCH("Prelievo",'Statements (Raw)'!D556)),"CASH WITHDRAWAL",IF(ISNUMBER(SEARCH("Bollo",'Statements (Raw)'!D556)),"STAMP DUTY",IF(ISNUMBER(SEARCH("Tobin Tax",'Statements (Raw)'!D556)),"TOBIN TAX",IF(ISNUMBER(SEARCH("Rit.provento",'Statements (Raw)'!D556)),"WITHHOLDING TAX",IF(ISNUMBER(SEARCH("Incasso Dividendi",'Statements (Raw)'!D556)),"DIVIDEND",IF(ISNUMBER(SEARCH("Cedola",'Statements (Raw)'!D556)),"COUPON",IF(ISNUMBER(SEARCH("Ratei Pass",'Statements (Raw)'!D556)),"ACCRUED INT",IF(ISNUMBER(SEARCH("Interessi Prest",'Statements (Raw)'!D556)),"SEC LENDING",IF(ISNUMBER(SEARCH("Rimborso",'Statements (Raw)'!D556)),"REDEMPTION",IF(ISNUMBER(SEARCH("Provento",'Statements (Raw)'!D556)),"DISTRIBUTION","OTHER")))))))))))))</f>
        <v/>
      </c>
      <c r="D558" s="6" t="str">
        <f>IF(A558="","",IF(C558="Saldo Iniziale","Balance",IF(C558="CASH DEPOSIT","Deposit",IF(C558="CASH WITHDRAWAL","Withdrawal",IF(C558="STAMP DUTY","Tax",IF(C558="TOBIN TAX","Tax",IF(C558="WITHHOLDING TAX","Tax",IF(C558="DIVIDEND","Dividend",IF(C558="COUPON","Coupon",IF(C558="ACCRUED INT","Accrued Int.",IF(C558="SEC LENDING","Sec. Lending",IF(C558="REDEMPTION","Redemption",IF(C558="DISTRIBUTION","Distribution",IF(ISNUMBER(SEARCH("Rimborso",'Statements (Raw)'!D556)),"Redemption",IF(ISNUMBER(SEARCH("Cedola",'Statements (Raw)'!D556)),"Coupon",IF(ISNUMBER(SEARCH("Incasso Dividendi",'Statements (Raw)'!D556)),"Dividend",IF(ISNUMBER(SEARCH("Provento Etf",'Statements (Raw)'!D556)),"Distribution",IF(ISNUMBER(SEARCH("Rit.provento",'Statements (Raw)'!D556)),"Tax",IF(ISNUMBER(SEARCH("Ratei Pass",'Statements (Raw)'!D556)),"Accrued Int.",IF(ISNUMBER(SEARCH("Interessi Prest",'Statements (Raw)'!D556)),"Sec. Lending",IF('Statements (Raw)'!G556="","Other",IF('Statements (Raw)'!G556&gt;0,"Buy","Sell"))))))))))))))))))))))</f>
        <v/>
      </c>
      <c r="E558" s="6" t="str">
        <f t="shared" si="16"/>
        <v/>
      </c>
      <c r="F558" s="8" t="str">
        <f>IF(A558="","",IF('Statements (Raw)'!E556="","",'Statements (Raw)'!E556))</f>
        <v/>
      </c>
      <c r="G558" s="6" t="str">
        <f>IF(A558="","",IF('Statements (Raw)'!F556="","",'Statements (Raw)'!F556))</f>
        <v/>
      </c>
      <c r="H558" s="9" t="str">
        <f>IF(A558="","",IF('Statements (Raw)'!G556="","",'Statements (Raw)'!G556))</f>
        <v/>
      </c>
      <c r="I558" s="10" t="str">
        <f>IF(A558="","",IF('Statements (Raw)'!H556="","",'Statements (Raw)'!H556))</f>
        <v/>
      </c>
      <c r="J558" s="10">
        <f>IF(A558="",0,IF('Statements (Raw)'!I556="",0,'Statements (Raw)'!I556))</f>
        <v>0</v>
      </c>
      <c r="K558" s="10" t="str">
        <f t="shared" si="17"/>
        <v/>
      </c>
    </row>
    <row r="559" spans="1:11" x14ac:dyDescent="0.3">
      <c r="A559" s="171" t="str">
        <f>IF(OR('Statements (Raw)'!A557="",'Statements (Raw)'!A557&gt;Holdings!$G$3),"",'Statements (Raw)'!A557)</f>
        <v/>
      </c>
      <c r="B559" s="7" t="str">
        <f>IF(A559="","",IF('Statements (Raw)'!B557="","",'Statements (Raw)'!B557))</f>
        <v/>
      </c>
      <c r="C559" s="6" t="str">
        <f>IF(A559="","",IF('Statements (Raw)'!C557&lt;&gt;"",'Statements (Raw)'!C557,IF(ISNUMBER(SEARCH("Conferimento",'Statements (Raw)'!D557)),"CASH DEPOSIT",IF(ISNUMBER(SEARCH("Prelievo",'Statements (Raw)'!D557)),"CASH WITHDRAWAL",IF(ISNUMBER(SEARCH("Bollo",'Statements (Raw)'!D557)),"STAMP DUTY",IF(ISNUMBER(SEARCH("Tobin Tax",'Statements (Raw)'!D557)),"TOBIN TAX",IF(ISNUMBER(SEARCH("Rit.provento",'Statements (Raw)'!D557)),"WITHHOLDING TAX",IF(ISNUMBER(SEARCH("Incasso Dividendi",'Statements (Raw)'!D557)),"DIVIDEND",IF(ISNUMBER(SEARCH("Cedola",'Statements (Raw)'!D557)),"COUPON",IF(ISNUMBER(SEARCH("Ratei Pass",'Statements (Raw)'!D557)),"ACCRUED INT",IF(ISNUMBER(SEARCH("Interessi Prest",'Statements (Raw)'!D557)),"SEC LENDING",IF(ISNUMBER(SEARCH("Rimborso",'Statements (Raw)'!D557)),"REDEMPTION",IF(ISNUMBER(SEARCH("Provento",'Statements (Raw)'!D557)),"DISTRIBUTION","OTHER")))))))))))))</f>
        <v/>
      </c>
      <c r="D559" s="6" t="str">
        <f>IF(A559="","",IF(C559="Saldo Iniziale","Balance",IF(C559="CASH DEPOSIT","Deposit",IF(C559="CASH WITHDRAWAL","Withdrawal",IF(C559="STAMP DUTY","Tax",IF(C559="TOBIN TAX","Tax",IF(C559="WITHHOLDING TAX","Tax",IF(C559="DIVIDEND","Dividend",IF(C559="COUPON","Coupon",IF(C559="ACCRUED INT","Accrued Int.",IF(C559="SEC LENDING","Sec. Lending",IF(C559="REDEMPTION","Redemption",IF(C559="DISTRIBUTION","Distribution",IF(ISNUMBER(SEARCH("Rimborso",'Statements (Raw)'!D557)),"Redemption",IF(ISNUMBER(SEARCH("Cedola",'Statements (Raw)'!D557)),"Coupon",IF(ISNUMBER(SEARCH("Incasso Dividendi",'Statements (Raw)'!D557)),"Dividend",IF(ISNUMBER(SEARCH("Provento Etf",'Statements (Raw)'!D557)),"Distribution",IF(ISNUMBER(SEARCH("Rit.provento",'Statements (Raw)'!D557)),"Tax",IF(ISNUMBER(SEARCH("Ratei Pass",'Statements (Raw)'!D557)),"Accrued Int.",IF(ISNUMBER(SEARCH("Interessi Prest",'Statements (Raw)'!D557)),"Sec. Lending",IF('Statements (Raw)'!G557="","Other",IF('Statements (Raw)'!G557&gt;0,"Buy","Sell"))))))))))))))))))))))</f>
        <v/>
      </c>
      <c r="E559" s="6" t="str">
        <f t="shared" si="16"/>
        <v/>
      </c>
      <c r="F559" s="8" t="str">
        <f>IF(A559="","",IF('Statements (Raw)'!E557="","",'Statements (Raw)'!E557))</f>
        <v/>
      </c>
      <c r="G559" s="6" t="str">
        <f>IF(A559="","",IF('Statements (Raw)'!F557="","",'Statements (Raw)'!F557))</f>
        <v/>
      </c>
      <c r="H559" s="9" t="str">
        <f>IF(A559="","",IF('Statements (Raw)'!G557="","",'Statements (Raw)'!G557))</f>
        <v/>
      </c>
      <c r="I559" s="10" t="str">
        <f>IF(A559="","",IF('Statements (Raw)'!H557="","",'Statements (Raw)'!H557))</f>
        <v/>
      </c>
      <c r="J559" s="10">
        <f>IF(A559="",0,IF('Statements (Raw)'!I557="",0,'Statements (Raw)'!I557))</f>
        <v>0</v>
      </c>
      <c r="K559" s="10" t="str">
        <f t="shared" si="17"/>
        <v/>
      </c>
    </row>
    <row r="560" spans="1:11" x14ac:dyDescent="0.3">
      <c r="A560" s="171" t="str">
        <f>IF(OR('Statements (Raw)'!A558="",'Statements (Raw)'!A558&gt;Holdings!$G$3),"",'Statements (Raw)'!A558)</f>
        <v/>
      </c>
      <c r="B560" s="7" t="str">
        <f>IF(A560="","",IF('Statements (Raw)'!B558="","",'Statements (Raw)'!B558))</f>
        <v/>
      </c>
      <c r="C560" s="6" t="str">
        <f>IF(A560="","",IF('Statements (Raw)'!C558&lt;&gt;"",'Statements (Raw)'!C558,IF(ISNUMBER(SEARCH("Conferimento",'Statements (Raw)'!D558)),"CASH DEPOSIT",IF(ISNUMBER(SEARCH("Prelievo",'Statements (Raw)'!D558)),"CASH WITHDRAWAL",IF(ISNUMBER(SEARCH("Bollo",'Statements (Raw)'!D558)),"STAMP DUTY",IF(ISNUMBER(SEARCH("Tobin Tax",'Statements (Raw)'!D558)),"TOBIN TAX",IF(ISNUMBER(SEARCH("Rit.provento",'Statements (Raw)'!D558)),"WITHHOLDING TAX",IF(ISNUMBER(SEARCH("Incasso Dividendi",'Statements (Raw)'!D558)),"DIVIDEND",IF(ISNUMBER(SEARCH("Cedola",'Statements (Raw)'!D558)),"COUPON",IF(ISNUMBER(SEARCH("Ratei Pass",'Statements (Raw)'!D558)),"ACCRUED INT",IF(ISNUMBER(SEARCH("Interessi Prest",'Statements (Raw)'!D558)),"SEC LENDING",IF(ISNUMBER(SEARCH("Rimborso",'Statements (Raw)'!D558)),"REDEMPTION",IF(ISNUMBER(SEARCH("Provento",'Statements (Raw)'!D558)),"DISTRIBUTION","OTHER")))))))))))))</f>
        <v/>
      </c>
      <c r="D560" s="6" t="str">
        <f>IF(A560="","",IF(C560="Saldo Iniziale","Balance",IF(C560="CASH DEPOSIT","Deposit",IF(C560="CASH WITHDRAWAL","Withdrawal",IF(C560="STAMP DUTY","Tax",IF(C560="TOBIN TAX","Tax",IF(C560="WITHHOLDING TAX","Tax",IF(C560="DIVIDEND","Dividend",IF(C560="COUPON","Coupon",IF(C560="ACCRUED INT","Accrued Int.",IF(C560="SEC LENDING","Sec. Lending",IF(C560="REDEMPTION","Redemption",IF(C560="DISTRIBUTION","Distribution",IF(ISNUMBER(SEARCH("Rimborso",'Statements (Raw)'!D558)),"Redemption",IF(ISNUMBER(SEARCH("Cedola",'Statements (Raw)'!D558)),"Coupon",IF(ISNUMBER(SEARCH("Incasso Dividendi",'Statements (Raw)'!D558)),"Dividend",IF(ISNUMBER(SEARCH("Provento Etf",'Statements (Raw)'!D558)),"Distribution",IF(ISNUMBER(SEARCH("Rit.provento",'Statements (Raw)'!D558)),"Tax",IF(ISNUMBER(SEARCH("Ratei Pass",'Statements (Raw)'!D558)),"Accrued Int.",IF(ISNUMBER(SEARCH("Interessi Prest",'Statements (Raw)'!D558)),"Sec. Lending",IF('Statements (Raw)'!G558="","Other",IF('Statements (Raw)'!G558&gt;0,"Buy","Sell"))))))))))))))))))))))</f>
        <v/>
      </c>
      <c r="E560" s="6" t="str">
        <f t="shared" si="16"/>
        <v/>
      </c>
      <c r="F560" s="8" t="str">
        <f>IF(A560="","",IF('Statements (Raw)'!E558="","",'Statements (Raw)'!E558))</f>
        <v/>
      </c>
      <c r="G560" s="6" t="str">
        <f>IF(A560="","",IF('Statements (Raw)'!F558="","",'Statements (Raw)'!F558))</f>
        <v/>
      </c>
      <c r="H560" s="9" t="str">
        <f>IF(A560="","",IF('Statements (Raw)'!G558="","",'Statements (Raw)'!G558))</f>
        <v/>
      </c>
      <c r="I560" s="10" t="str">
        <f>IF(A560="","",IF('Statements (Raw)'!H558="","",'Statements (Raw)'!H558))</f>
        <v/>
      </c>
      <c r="J560" s="10">
        <f>IF(A560="",0,IF('Statements (Raw)'!I558="",0,'Statements (Raw)'!I558))</f>
        <v>0</v>
      </c>
      <c r="K560" s="10" t="str">
        <f t="shared" si="17"/>
        <v/>
      </c>
    </row>
    <row r="561" spans="1:11" x14ac:dyDescent="0.3">
      <c r="A561" s="171" t="str">
        <f>IF(OR('Statements (Raw)'!A559="",'Statements (Raw)'!A559&gt;Holdings!$G$3),"",'Statements (Raw)'!A559)</f>
        <v/>
      </c>
      <c r="B561" s="7" t="str">
        <f>IF(A561="","",IF('Statements (Raw)'!B559="","",'Statements (Raw)'!B559))</f>
        <v/>
      </c>
      <c r="C561" s="6" t="str">
        <f>IF(A561="","",IF('Statements (Raw)'!C559&lt;&gt;"",'Statements (Raw)'!C559,IF(ISNUMBER(SEARCH("Conferimento",'Statements (Raw)'!D559)),"CASH DEPOSIT",IF(ISNUMBER(SEARCH("Prelievo",'Statements (Raw)'!D559)),"CASH WITHDRAWAL",IF(ISNUMBER(SEARCH("Bollo",'Statements (Raw)'!D559)),"STAMP DUTY",IF(ISNUMBER(SEARCH("Tobin Tax",'Statements (Raw)'!D559)),"TOBIN TAX",IF(ISNUMBER(SEARCH("Rit.provento",'Statements (Raw)'!D559)),"WITHHOLDING TAX",IF(ISNUMBER(SEARCH("Incasso Dividendi",'Statements (Raw)'!D559)),"DIVIDEND",IF(ISNUMBER(SEARCH("Cedola",'Statements (Raw)'!D559)),"COUPON",IF(ISNUMBER(SEARCH("Ratei Pass",'Statements (Raw)'!D559)),"ACCRUED INT",IF(ISNUMBER(SEARCH("Interessi Prest",'Statements (Raw)'!D559)),"SEC LENDING",IF(ISNUMBER(SEARCH("Rimborso",'Statements (Raw)'!D559)),"REDEMPTION",IF(ISNUMBER(SEARCH("Provento",'Statements (Raw)'!D559)),"DISTRIBUTION","OTHER")))))))))))))</f>
        <v/>
      </c>
      <c r="D561" s="6" t="str">
        <f>IF(A561="","",IF(C561="Saldo Iniziale","Balance",IF(C561="CASH DEPOSIT","Deposit",IF(C561="CASH WITHDRAWAL","Withdrawal",IF(C561="STAMP DUTY","Tax",IF(C561="TOBIN TAX","Tax",IF(C561="WITHHOLDING TAX","Tax",IF(C561="DIVIDEND","Dividend",IF(C561="COUPON","Coupon",IF(C561="ACCRUED INT","Accrued Int.",IF(C561="SEC LENDING","Sec. Lending",IF(C561="REDEMPTION","Redemption",IF(C561="DISTRIBUTION","Distribution",IF(ISNUMBER(SEARCH("Rimborso",'Statements (Raw)'!D559)),"Redemption",IF(ISNUMBER(SEARCH("Cedola",'Statements (Raw)'!D559)),"Coupon",IF(ISNUMBER(SEARCH("Incasso Dividendi",'Statements (Raw)'!D559)),"Dividend",IF(ISNUMBER(SEARCH("Provento Etf",'Statements (Raw)'!D559)),"Distribution",IF(ISNUMBER(SEARCH("Rit.provento",'Statements (Raw)'!D559)),"Tax",IF(ISNUMBER(SEARCH("Ratei Pass",'Statements (Raw)'!D559)),"Accrued Int.",IF(ISNUMBER(SEARCH("Interessi Prest",'Statements (Raw)'!D559)),"Sec. Lending",IF('Statements (Raw)'!G559="","Other",IF('Statements (Raw)'!G559&gt;0,"Buy","Sell"))))))))))))))))))))))</f>
        <v/>
      </c>
      <c r="E561" s="6" t="str">
        <f t="shared" si="16"/>
        <v/>
      </c>
      <c r="F561" s="8" t="str">
        <f>IF(A561="","",IF('Statements (Raw)'!E559="","",'Statements (Raw)'!E559))</f>
        <v/>
      </c>
      <c r="G561" s="6" t="str">
        <f>IF(A561="","",IF('Statements (Raw)'!F559="","",'Statements (Raw)'!F559))</f>
        <v/>
      </c>
      <c r="H561" s="9" t="str">
        <f>IF(A561="","",IF('Statements (Raw)'!G559="","",'Statements (Raw)'!G559))</f>
        <v/>
      </c>
      <c r="I561" s="10" t="str">
        <f>IF(A561="","",IF('Statements (Raw)'!H559="","",'Statements (Raw)'!H559))</f>
        <v/>
      </c>
      <c r="J561" s="10">
        <f>IF(A561="",0,IF('Statements (Raw)'!I559="",0,'Statements (Raw)'!I559))</f>
        <v>0</v>
      </c>
      <c r="K561" s="10" t="str">
        <f t="shared" si="17"/>
        <v/>
      </c>
    </row>
    <row r="562" spans="1:11" x14ac:dyDescent="0.3">
      <c r="A562" s="171" t="str">
        <f>IF(OR('Statements (Raw)'!A560="",'Statements (Raw)'!A560&gt;Holdings!$G$3),"",'Statements (Raw)'!A560)</f>
        <v/>
      </c>
      <c r="B562" s="7" t="str">
        <f>IF(A562="","",IF('Statements (Raw)'!B560="","",'Statements (Raw)'!B560))</f>
        <v/>
      </c>
      <c r="C562" s="6" t="str">
        <f>IF(A562="","",IF('Statements (Raw)'!C560&lt;&gt;"",'Statements (Raw)'!C560,IF(ISNUMBER(SEARCH("Conferimento",'Statements (Raw)'!D560)),"CASH DEPOSIT",IF(ISNUMBER(SEARCH("Prelievo",'Statements (Raw)'!D560)),"CASH WITHDRAWAL",IF(ISNUMBER(SEARCH("Bollo",'Statements (Raw)'!D560)),"STAMP DUTY",IF(ISNUMBER(SEARCH("Tobin Tax",'Statements (Raw)'!D560)),"TOBIN TAX",IF(ISNUMBER(SEARCH("Rit.provento",'Statements (Raw)'!D560)),"WITHHOLDING TAX",IF(ISNUMBER(SEARCH("Incasso Dividendi",'Statements (Raw)'!D560)),"DIVIDEND",IF(ISNUMBER(SEARCH("Cedola",'Statements (Raw)'!D560)),"COUPON",IF(ISNUMBER(SEARCH("Ratei Pass",'Statements (Raw)'!D560)),"ACCRUED INT",IF(ISNUMBER(SEARCH("Interessi Prest",'Statements (Raw)'!D560)),"SEC LENDING",IF(ISNUMBER(SEARCH("Rimborso",'Statements (Raw)'!D560)),"REDEMPTION",IF(ISNUMBER(SEARCH("Provento",'Statements (Raw)'!D560)),"DISTRIBUTION","OTHER")))))))))))))</f>
        <v/>
      </c>
      <c r="D562" s="6" t="str">
        <f>IF(A562="","",IF(C562="Saldo Iniziale","Balance",IF(C562="CASH DEPOSIT","Deposit",IF(C562="CASH WITHDRAWAL","Withdrawal",IF(C562="STAMP DUTY","Tax",IF(C562="TOBIN TAX","Tax",IF(C562="WITHHOLDING TAX","Tax",IF(C562="DIVIDEND","Dividend",IF(C562="COUPON","Coupon",IF(C562="ACCRUED INT","Accrued Int.",IF(C562="SEC LENDING","Sec. Lending",IF(C562="REDEMPTION","Redemption",IF(C562="DISTRIBUTION","Distribution",IF(ISNUMBER(SEARCH("Rimborso",'Statements (Raw)'!D560)),"Redemption",IF(ISNUMBER(SEARCH("Cedola",'Statements (Raw)'!D560)),"Coupon",IF(ISNUMBER(SEARCH("Incasso Dividendi",'Statements (Raw)'!D560)),"Dividend",IF(ISNUMBER(SEARCH("Provento Etf",'Statements (Raw)'!D560)),"Distribution",IF(ISNUMBER(SEARCH("Rit.provento",'Statements (Raw)'!D560)),"Tax",IF(ISNUMBER(SEARCH("Ratei Pass",'Statements (Raw)'!D560)),"Accrued Int.",IF(ISNUMBER(SEARCH("Interessi Prest",'Statements (Raw)'!D560)),"Sec. Lending",IF('Statements (Raw)'!G560="","Other",IF('Statements (Raw)'!G560&gt;0,"Buy","Sell"))))))))))))))))))))))</f>
        <v/>
      </c>
      <c r="E562" s="6" t="str">
        <f t="shared" si="16"/>
        <v/>
      </c>
      <c r="F562" s="8" t="str">
        <f>IF(A562="","",IF('Statements (Raw)'!E560="","",'Statements (Raw)'!E560))</f>
        <v/>
      </c>
      <c r="G562" s="6" t="str">
        <f>IF(A562="","",IF('Statements (Raw)'!F560="","",'Statements (Raw)'!F560))</f>
        <v/>
      </c>
      <c r="H562" s="9" t="str">
        <f>IF(A562="","",IF('Statements (Raw)'!G560="","",'Statements (Raw)'!G560))</f>
        <v/>
      </c>
      <c r="I562" s="10" t="str">
        <f>IF(A562="","",IF('Statements (Raw)'!H560="","",'Statements (Raw)'!H560))</f>
        <v/>
      </c>
      <c r="J562" s="10">
        <f>IF(A562="",0,IF('Statements (Raw)'!I560="",0,'Statements (Raw)'!I560))</f>
        <v>0</v>
      </c>
      <c r="K562" s="10" t="str">
        <f t="shared" si="17"/>
        <v/>
      </c>
    </row>
    <row r="563" spans="1:11" x14ac:dyDescent="0.3">
      <c r="A563" s="171" t="str">
        <f>IF(OR('Statements (Raw)'!A561="",'Statements (Raw)'!A561&gt;Holdings!$G$3),"",'Statements (Raw)'!A561)</f>
        <v/>
      </c>
      <c r="B563" s="7" t="str">
        <f>IF(A563="","",IF('Statements (Raw)'!B561="","",'Statements (Raw)'!B561))</f>
        <v/>
      </c>
      <c r="C563" s="6" t="str">
        <f>IF(A563="","",IF('Statements (Raw)'!C561&lt;&gt;"",'Statements (Raw)'!C561,IF(ISNUMBER(SEARCH("Conferimento",'Statements (Raw)'!D561)),"CASH DEPOSIT",IF(ISNUMBER(SEARCH("Prelievo",'Statements (Raw)'!D561)),"CASH WITHDRAWAL",IF(ISNUMBER(SEARCH("Bollo",'Statements (Raw)'!D561)),"STAMP DUTY",IF(ISNUMBER(SEARCH("Tobin Tax",'Statements (Raw)'!D561)),"TOBIN TAX",IF(ISNUMBER(SEARCH("Rit.provento",'Statements (Raw)'!D561)),"WITHHOLDING TAX",IF(ISNUMBER(SEARCH("Incasso Dividendi",'Statements (Raw)'!D561)),"DIVIDEND",IF(ISNUMBER(SEARCH("Cedola",'Statements (Raw)'!D561)),"COUPON",IF(ISNUMBER(SEARCH("Ratei Pass",'Statements (Raw)'!D561)),"ACCRUED INT",IF(ISNUMBER(SEARCH("Interessi Prest",'Statements (Raw)'!D561)),"SEC LENDING",IF(ISNUMBER(SEARCH("Rimborso",'Statements (Raw)'!D561)),"REDEMPTION",IF(ISNUMBER(SEARCH("Provento",'Statements (Raw)'!D561)),"DISTRIBUTION","OTHER")))))))))))))</f>
        <v/>
      </c>
      <c r="D563" s="6" t="str">
        <f>IF(A563="","",IF(C563="Saldo Iniziale","Balance",IF(C563="CASH DEPOSIT","Deposit",IF(C563="CASH WITHDRAWAL","Withdrawal",IF(C563="STAMP DUTY","Tax",IF(C563="TOBIN TAX","Tax",IF(C563="WITHHOLDING TAX","Tax",IF(C563="DIVIDEND","Dividend",IF(C563="COUPON","Coupon",IF(C563="ACCRUED INT","Accrued Int.",IF(C563="SEC LENDING","Sec. Lending",IF(C563="REDEMPTION","Redemption",IF(C563="DISTRIBUTION","Distribution",IF(ISNUMBER(SEARCH("Rimborso",'Statements (Raw)'!D561)),"Redemption",IF(ISNUMBER(SEARCH("Cedola",'Statements (Raw)'!D561)),"Coupon",IF(ISNUMBER(SEARCH("Incasso Dividendi",'Statements (Raw)'!D561)),"Dividend",IF(ISNUMBER(SEARCH("Provento Etf",'Statements (Raw)'!D561)),"Distribution",IF(ISNUMBER(SEARCH("Rit.provento",'Statements (Raw)'!D561)),"Tax",IF(ISNUMBER(SEARCH("Ratei Pass",'Statements (Raw)'!D561)),"Accrued Int.",IF(ISNUMBER(SEARCH("Interessi Prest",'Statements (Raw)'!D561)),"Sec. Lending",IF('Statements (Raw)'!G561="","Other",IF('Statements (Raw)'!G561&gt;0,"Buy","Sell"))))))))))))))))))))))</f>
        <v/>
      </c>
      <c r="E563" s="6" t="str">
        <f t="shared" si="16"/>
        <v/>
      </c>
      <c r="F563" s="8" t="str">
        <f>IF(A563="","",IF('Statements (Raw)'!E561="","",'Statements (Raw)'!E561))</f>
        <v/>
      </c>
      <c r="G563" s="6" t="str">
        <f>IF(A563="","",IF('Statements (Raw)'!F561="","",'Statements (Raw)'!F561))</f>
        <v/>
      </c>
      <c r="H563" s="9" t="str">
        <f>IF(A563="","",IF('Statements (Raw)'!G561="","",'Statements (Raw)'!G561))</f>
        <v/>
      </c>
      <c r="I563" s="10" t="str">
        <f>IF(A563="","",IF('Statements (Raw)'!H561="","",'Statements (Raw)'!H561))</f>
        <v/>
      </c>
      <c r="J563" s="10">
        <f>IF(A563="",0,IF('Statements (Raw)'!I561="",0,'Statements (Raw)'!I561))</f>
        <v>0</v>
      </c>
      <c r="K563" s="10" t="str">
        <f t="shared" si="17"/>
        <v/>
      </c>
    </row>
    <row r="564" spans="1:11" x14ac:dyDescent="0.3">
      <c r="A564" s="171" t="str">
        <f>IF(OR('Statements (Raw)'!A562="",'Statements (Raw)'!A562&gt;Holdings!$G$3),"",'Statements (Raw)'!A562)</f>
        <v/>
      </c>
      <c r="B564" s="7" t="str">
        <f>IF(A564="","",IF('Statements (Raw)'!B562="","",'Statements (Raw)'!B562))</f>
        <v/>
      </c>
      <c r="C564" s="6" t="str">
        <f>IF(A564="","",IF('Statements (Raw)'!C562&lt;&gt;"",'Statements (Raw)'!C562,IF(ISNUMBER(SEARCH("Conferimento",'Statements (Raw)'!D562)),"CASH DEPOSIT",IF(ISNUMBER(SEARCH("Prelievo",'Statements (Raw)'!D562)),"CASH WITHDRAWAL",IF(ISNUMBER(SEARCH("Bollo",'Statements (Raw)'!D562)),"STAMP DUTY",IF(ISNUMBER(SEARCH("Tobin Tax",'Statements (Raw)'!D562)),"TOBIN TAX",IF(ISNUMBER(SEARCH("Rit.provento",'Statements (Raw)'!D562)),"WITHHOLDING TAX",IF(ISNUMBER(SEARCH("Incasso Dividendi",'Statements (Raw)'!D562)),"DIVIDEND",IF(ISNUMBER(SEARCH("Cedola",'Statements (Raw)'!D562)),"COUPON",IF(ISNUMBER(SEARCH("Ratei Pass",'Statements (Raw)'!D562)),"ACCRUED INT",IF(ISNUMBER(SEARCH("Interessi Prest",'Statements (Raw)'!D562)),"SEC LENDING",IF(ISNUMBER(SEARCH("Rimborso",'Statements (Raw)'!D562)),"REDEMPTION",IF(ISNUMBER(SEARCH("Provento",'Statements (Raw)'!D562)),"DISTRIBUTION","OTHER")))))))))))))</f>
        <v/>
      </c>
      <c r="D564" s="6" t="str">
        <f>IF(A564="","",IF(C564="Saldo Iniziale","Balance",IF(C564="CASH DEPOSIT","Deposit",IF(C564="CASH WITHDRAWAL","Withdrawal",IF(C564="STAMP DUTY","Tax",IF(C564="TOBIN TAX","Tax",IF(C564="WITHHOLDING TAX","Tax",IF(C564="DIVIDEND","Dividend",IF(C564="COUPON","Coupon",IF(C564="ACCRUED INT","Accrued Int.",IF(C564="SEC LENDING","Sec. Lending",IF(C564="REDEMPTION","Redemption",IF(C564="DISTRIBUTION","Distribution",IF(ISNUMBER(SEARCH("Rimborso",'Statements (Raw)'!D562)),"Redemption",IF(ISNUMBER(SEARCH("Cedola",'Statements (Raw)'!D562)),"Coupon",IF(ISNUMBER(SEARCH("Incasso Dividendi",'Statements (Raw)'!D562)),"Dividend",IF(ISNUMBER(SEARCH("Provento Etf",'Statements (Raw)'!D562)),"Distribution",IF(ISNUMBER(SEARCH("Rit.provento",'Statements (Raw)'!D562)),"Tax",IF(ISNUMBER(SEARCH("Ratei Pass",'Statements (Raw)'!D562)),"Accrued Int.",IF(ISNUMBER(SEARCH("Interessi Prest",'Statements (Raw)'!D562)),"Sec. Lending",IF('Statements (Raw)'!G562="","Other",IF('Statements (Raw)'!G562&gt;0,"Buy","Sell"))))))))))))))))))))))</f>
        <v/>
      </c>
      <c r="E564" s="6" t="str">
        <f t="shared" si="16"/>
        <v/>
      </c>
      <c r="F564" s="8" t="str">
        <f>IF(A564="","",IF('Statements (Raw)'!E562="","",'Statements (Raw)'!E562))</f>
        <v/>
      </c>
      <c r="G564" s="6" t="str">
        <f>IF(A564="","",IF('Statements (Raw)'!F562="","",'Statements (Raw)'!F562))</f>
        <v/>
      </c>
      <c r="H564" s="9" t="str">
        <f>IF(A564="","",IF('Statements (Raw)'!G562="","",'Statements (Raw)'!G562))</f>
        <v/>
      </c>
      <c r="I564" s="10" t="str">
        <f>IF(A564="","",IF('Statements (Raw)'!H562="","",'Statements (Raw)'!H562))</f>
        <v/>
      </c>
      <c r="J564" s="10">
        <f>IF(A564="",0,IF('Statements (Raw)'!I562="",0,'Statements (Raw)'!I562))</f>
        <v>0</v>
      </c>
      <c r="K564" s="10" t="str">
        <f t="shared" si="17"/>
        <v/>
      </c>
    </row>
    <row r="565" spans="1:11" x14ac:dyDescent="0.3">
      <c r="A565" s="171" t="str">
        <f>IF(OR('Statements (Raw)'!A563="",'Statements (Raw)'!A563&gt;Holdings!$G$3),"",'Statements (Raw)'!A563)</f>
        <v/>
      </c>
      <c r="B565" s="7" t="str">
        <f>IF(A565="","",IF('Statements (Raw)'!B563="","",'Statements (Raw)'!B563))</f>
        <v/>
      </c>
      <c r="C565" s="6" t="str">
        <f>IF(A565="","",IF('Statements (Raw)'!C563&lt;&gt;"",'Statements (Raw)'!C563,IF(ISNUMBER(SEARCH("Conferimento",'Statements (Raw)'!D563)),"CASH DEPOSIT",IF(ISNUMBER(SEARCH("Prelievo",'Statements (Raw)'!D563)),"CASH WITHDRAWAL",IF(ISNUMBER(SEARCH("Bollo",'Statements (Raw)'!D563)),"STAMP DUTY",IF(ISNUMBER(SEARCH("Tobin Tax",'Statements (Raw)'!D563)),"TOBIN TAX",IF(ISNUMBER(SEARCH("Rit.provento",'Statements (Raw)'!D563)),"WITHHOLDING TAX",IF(ISNUMBER(SEARCH("Incasso Dividendi",'Statements (Raw)'!D563)),"DIVIDEND",IF(ISNUMBER(SEARCH("Cedola",'Statements (Raw)'!D563)),"COUPON",IF(ISNUMBER(SEARCH("Ratei Pass",'Statements (Raw)'!D563)),"ACCRUED INT",IF(ISNUMBER(SEARCH("Interessi Prest",'Statements (Raw)'!D563)),"SEC LENDING",IF(ISNUMBER(SEARCH("Rimborso",'Statements (Raw)'!D563)),"REDEMPTION",IF(ISNUMBER(SEARCH("Provento",'Statements (Raw)'!D563)),"DISTRIBUTION","OTHER")))))))))))))</f>
        <v/>
      </c>
      <c r="D565" s="6" t="str">
        <f>IF(A565="","",IF(C565="Saldo Iniziale","Balance",IF(C565="CASH DEPOSIT","Deposit",IF(C565="CASH WITHDRAWAL","Withdrawal",IF(C565="STAMP DUTY","Tax",IF(C565="TOBIN TAX","Tax",IF(C565="WITHHOLDING TAX","Tax",IF(C565="DIVIDEND","Dividend",IF(C565="COUPON","Coupon",IF(C565="ACCRUED INT","Accrued Int.",IF(C565="SEC LENDING","Sec. Lending",IF(C565="REDEMPTION","Redemption",IF(C565="DISTRIBUTION","Distribution",IF(ISNUMBER(SEARCH("Rimborso",'Statements (Raw)'!D563)),"Redemption",IF(ISNUMBER(SEARCH("Cedola",'Statements (Raw)'!D563)),"Coupon",IF(ISNUMBER(SEARCH("Incasso Dividendi",'Statements (Raw)'!D563)),"Dividend",IF(ISNUMBER(SEARCH("Provento Etf",'Statements (Raw)'!D563)),"Distribution",IF(ISNUMBER(SEARCH("Rit.provento",'Statements (Raw)'!D563)),"Tax",IF(ISNUMBER(SEARCH("Ratei Pass",'Statements (Raw)'!D563)),"Accrued Int.",IF(ISNUMBER(SEARCH("Interessi Prest",'Statements (Raw)'!D563)),"Sec. Lending",IF('Statements (Raw)'!G563="","Other",IF('Statements (Raw)'!G563&gt;0,"Buy","Sell"))))))))))))))))))))))</f>
        <v/>
      </c>
      <c r="E565" s="6" t="str">
        <f t="shared" si="16"/>
        <v/>
      </c>
      <c r="F565" s="8" t="str">
        <f>IF(A565="","",IF('Statements (Raw)'!E563="","",'Statements (Raw)'!E563))</f>
        <v/>
      </c>
      <c r="G565" s="6" t="str">
        <f>IF(A565="","",IF('Statements (Raw)'!F563="","",'Statements (Raw)'!F563))</f>
        <v/>
      </c>
      <c r="H565" s="9" t="str">
        <f>IF(A565="","",IF('Statements (Raw)'!G563="","",'Statements (Raw)'!G563))</f>
        <v/>
      </c>
      <c r="I565" s="10" t="str">
        <f>IF(A565="","",IF('Statements (Raw)'!H563="","",'Statements (Raw)'!H563))</f>
        <v/>
      </c>
      <c r="J565" s="10">
        <f>IF(A565="",0,IF('Statements (Raw)'!I563="",0,'Statements (Raw)'!I563))</f>
        <v>0</v>
      </c>
      <c r="K565" s="10" t="str">
        <f t="shared" si="17"/>
        <v/>
      </c>
    </row>
    <row r="566" spans="1:11" x14ac:dyDescent="0.3">
      <c r="A566" s="171" t="str">
        <f>IF(OR('Statements (Raw)'!A564="",'Statements (Raw)'!A564&gt;Holdings!$G$3),"",'Statements (Raw)'!A564)</f>
        <v/>
      </c>
      <c r="B566" s="7" t="str">
        <f>IF(A566="","",IF('Statements (Raw)'!B564="","",'Statements (Raw)'!B564))</f>
        <v/>
      </c>
      <c r="C566" s="6" t="str">
        <f>IF(A566="","",IF('Statements (Raw)'!C564&lt;&gt;"",'Statements (Raw)'!C564,IF(ISNUMBER(SEARCH("Conferimento",'Statements (Raw)'!D564)),"CASH DEPOSIT",IF(ISNUMBER(SEARCH("Prelievo",'Statements (Raw)'!D564)),"CASH WITHDRAWAL",IF(ISNUMBER(SEARCH("Bollo",'Statements (Raw)'!D564)),"STAMP DUTY",IF(ISNUMBER(SEARCH("Tobin Tax",'Statements (Raw)'!D564)),"TOBIN TAX",IF(ISNUMBER(SEARCH("Rit.provento",'Statements (Raw)'!D564)),"WITHHOLDING TAX",IF(ISNUMBER(SEARCH("Incasso Dividendi",'Statements (Raw)'!D564)),"DIVIDEND",IF(ISNUMBER(SEARCH("Cedola",'Statements (Raw)'!D564)),"COUPON",IF(ISNUMBER(SEARCH("Ratei Pass",'Statements (Raw)'!D564)),"ACCRUED INT",IF(ISNUMBER(SEARCH("Interessi Prest",'Statements (Raw)'!D564)),"SEC LENDING",IF(ISNUMBER(SEARCH("Rimborso",'Statements (Raw)'!D564)),"REDEMPTION",IF(ISNUMBER(SEARCH("Provento",'Statements (Raw)'!D564)),"DISTRIBUTION","OTHER")))))))))))))</f>
        <v/>
      </c>
      <c r="D566" s="6" t="str">
        <f>IF(A566="","",IF(C566="Saldo Iniziale","Balance",IF(C566="CASH DEPOSIT","Deposit",IF(C566="CASH WITHDRAWAL","Withdrawal",IF(C566="STAMP DUTY","Tax",IF(C566="TOBIN TAX","Tax",IF(C566="WITHHOLDING TAX","Tax",IF(C566="DIVIDEND","Dividend",IF(C566="COUPON","Coupon",IF(C566="ACCRUED INT","Accrued Int.",IF(C566="SEC LENDING","Sec. Lending",IF(C566="REDEMPTION","Redemption",IF(C566="DISTRIBUTION","Distribution",IF(ISNUMBER(SEARCH("Rimborso",'Statements (Raw)'!D564)),"Redemption",IF(ISNUMBER(SEARCH("Cedola",'Statements (Raw)'!D564)),"Coupon",IF(ISNUMBER(SEARCH("Incasso Dividendi",'Statements (Raw)'!D564)),"Dividend",IF(ISNUMBER(SEARCH("Provento Etf",'Statements (Raw)'!D564)),"Distribution",IF(ISNUMBER(SEARCH("Rit.provento",'Statements (Raw)'!D564)),"Tax",IF(ISNUMBER(SEARCH("Ratei Pass",'Statements (Raw)'!D564)),"Accrued Int.",IF(ISNUMBER(SEARCH("Interessi Prest",'Statements (Raw)'!D564)),"Sec. Lending",IF('Statements (Raw)'!G564="","Other",IF('Statements (Raw)'!G564&gt;0,"Buy","Sell"))))))))))))))))))))))</f>
        <v/>
      </c>
      <c r="E566" s="6" t="str">
        <f t="shared" si="16"/>
        <v/>
      </c>
      <c r="F566" s="8" t="str">
        <f>IF(A566="","",IF('Statements (Raw)'!E564="","",'Statements (Raw)'!E564))</f>
        <v/>
      </c>
      <c r="G566" s="6" t="str">
        <f>IF(A566="","",IF('Statements (Raw)'!F564="","",'Statements (Raw)'!F564))</f>
        <v/>
      </c>
      <c r="H566" s="9" t="str">
        <f>IF(A566="","",IF('Statements (Raw)'!G564="","",'Statements (Raw)'!G564))</f>
        <v/>
      </c>
      <c r="I566" s="10" t="str">
        <f>IF(A566="","",IF('Statements (Raw)'!H564="","",'Statements (Raw)'!H564))</f>
        <v/>
      </c>
      <c r="J566" s="10">
        <f>IF(A566="",0,IF('Statements (Raw)'!I564="",0,'Statements (Raw)'!I564))</f>
        <v>0</v>
      </c>
      <c r="K566" s="10" t="str">
        <f t="shared" si="17"/>
        <v/>
      </c>
    </row>
    <row r="567" spans="1:11" x14ac:dyDescent="0.3">
      <c r="A567" s="171" t="str">
        <f>IF(OR('Statements (Raw)'!A565="",'Statements (Raw)'!A565&gt;Holdings!$G$3),"",'Statements (Raw)'!A565)</f>
        <v/>
      </c>
      <c r="B567" s="7" t="str">
        <f>IF(A567="","",IF('Statements (Raw)'!B565="","",'Statements (Raw)'!B565))</f>
        <v/>
      </c>
      <c r="C567" s="6" t="str">
        <f>IF(A567="","",IF('Statements (Raw)'!C565&lt;&gt;"",'Statements (Raw)'!C565,IF(ISNUMBER(SEARCH("Conferimento",'Statements (Raw)'!D565)),"CASH DEPOSIT",IF(ISNUMBER(SEARCH("Prelievo",'Statements (Raw)'!D565)),"CASH WITHDRAWAL",IF(ISNUMBER(SEARCH("Bollo",'Statements (Raw)'!D565)),"STAMP DUTY",IF(ISNUMBER(SEARCH("Tobin Tax",'Statements (Raw)'!D565)),"TOBIN TAX",IF(ISNUMBER(SEARCH("Rit.provento",'Statements (Raw)'!D565)),"WITHHOLDING TAX",IF(ISNUMBER(SEARCH("Incasso Dividendi",'Statements (Raw)'!D565)),"DIVIDEND",IF(ISNUMBER(SEARCH("Cedola",'Statements (Raw)'!D565)),"COUPON",IF(ISNUMBER(SEARCH("Ratei Pass",'Statements (Raw)'!D565)),"ACCRUED INT",IF(ISNUMBER(SEARCH("Interessi Prest",'Statements (Raw)'!D565)),"SEC LENDING",IF(ISNUMBER(SEARCH("Rimborso",'Statements (Raw)'!D565)),"REDEMPTION",IF(ISNUMBER(SEARCH("Provento",'Statements (Raw)'!D565)),"DISTRIBUTION","OTHER")))))))))))))</f>
        <v/>
      </c>
      <c r="D567" s="6" t="str">
        <f>IF(A567="","",IF(C567="Saldo Iniziale","Balance",IF(C567="CASH DEPOSIT","Deposit",IF(C567="CASH WITHDRAWAL","Withdrawal",IF(C567="STAMP DUTY","Tax",IF(C567="TOBIN TAX","Tax",IF(C567="WITHHOLDING TAX","Tax",IF(C567="DIVIDEND","Dividend",IF(C567="COUPON","Coupon",IF(C567="ACCRUED INT","Accrued Int.",IF(C567="SEC LENDING","Sec. Lending",IF(C567="REDEMPTION","Redemption",IF(C567="DISTRIBUTION","Distribution",IF(ISNUMBER(SEARCH("Rimborso",'Statements (Raw)'!D565)),"Redemption",IF(ISNUMBER(SEARCH("Cedola",'Statements (Raw)'!D565)),"Coupon",IF(ISNUMBER(SEARCH("Incasso Dividendi",'Statements (Raw)'!D565)),"Dividend",IF(ISNUMBER(SEARCH("Provento Etf",'Statements (Raw)'!D565)),"Distribution",IF(ISNUMBER(SEARCH("Rit.provento",'Statements (Raw)'!D565)),"Tax",IF(ISNUMBER(SEARCH("Ratei Pass",'Statements (Raw)'!D565)),"Accrued Int.",IF(ISNUMBER(SEARCH("Interessi Prest",'Statements (Raw)'!D565)),"Sec. Lending",IF('Statements (Raw)'!G565="","Other",IF('Statements (Raw)'!G565&gt;0,"Buy","Sell"))))))))))))))))))))))</f>
        <v/>
      </c>
      <c r="E567" s="6" t="str">
        <f t="shared" si="16"/>
        <v/>
      </c>
      <c r="F567" s="8" t="str">
        <f>IF(A567="","",IF('Statements (Raw)'!E565="","",'Statements (Raw)'!E565))</f>
        <v/>
      </c>
      <c r="G567" s="6" t="str">
        <f>IF(A567="","",IF('Statements (Raw)'!F565="","",'Statements (Raw)'!F565))</f>
        <v/>
      </c>
      <c r="H567" s="9" t="str">
        <f>IF(A567="","",IF('Statements (Raw)'!G565="","",'Statements (Raw)'!G565))</f>
        <v/>
      </c>
      <c r="I567" s="10" t="str">
        <f>IF(A567="","",IF('Statements (Raw)'!H565="","",'Statements (Raw)'!H565))</f>
        <v/>
      </c>
      <c r="J567" s="10">
        <f>IF(A567="",0,IF('Statements (Raw)'!I565="",0,'Statements (Raw)'!I565))</f>
        <v>0</v>
      </c>
      <c r="K567" s="10" t="str">
        <f t="shared" si="17"/>
        <v/>
      </c>
    </row>
    <row r="568" spans="1:11" x14ac:dyDescent="0.3">
      <c r="A568" s="171" t="str">
        <f>IF(OR('Statements (Raw)'!A566="",'Statements (Raw)'!A566&gt;Holdings!$G$3),"",'Statements (Raw)'!A566)</f>
        <v/>
      </c>
      <c r="B568" s="7" t="str">
        <f>IF(A568="","",IF('Statements (Raw)'!B566="","",'Statements (Raw)'!B566))</f>
        <v/>
      </c>
      <c r="C568" s="6" t="str">
        <f>IF(A568="","",IF('Statements (Raw)'!C566&lt;&gt;"",'Statements (Raw)'!C566,IF(ISNUMBER(SEARCH("Conferimento",'Statements (Raw)'!D566)),"CASH DEPOSIT",IF(ISNUMBER(SEARCH("Prelievo",'Statements (Raw)'!D566)),"CASH WITHDRAWAL",IF(ISNUMBER(SEARCH("Bollo",'Statements (Raw)'!D566)),"STAMP DUTY",IF(ISNUMBER(SEARCH("Tobin Tax",'Statements (Raw)'!D566)),"TOBIN TAX",IF(ISNUMBER(SEARCH("Rit.provento",'Statements (Raw)'!D566)),"WITHHOLDING TAX",IF(ISNUMBER(SEARCH("Incasso Dividendi",'Statements (Raw)'!D566)),"DIVIDEND",IF(ISNUMBER(SEARCH("Cedola",'Statements (Raw)'!D566)),"COUPON",IF(ISNUMBER(SEARCH("Ratei Pass",'Statements (Raw)'!D566)),"ACCRUED INT",IF(ISNUMBER(SEARCH("Interessi Prest",'Statements (Raw)'!D566)),"SEC LENDING",IF(ISNUMBER(SEARCH("Rimborso",'Statements (Raw)'!D566)),"REDEMPTION",IF(ISNUMBER(SEARCH("Provento",'Statements (Raw)'!D566)),"DISTRIBUTION","OTHER")))))))))))))</f>
        <v/>
      </c>
      <c r="D568" s="6" t="str">
        <f>IF(A568="","",IF(C568="Saldo Iniziale","Balance",IF(C568="CASH DEPOSIT","Deposit",IF(C568="CASH WITHDRAWAL","Withdrawal",IF(C568="STAMP DUTY","Tax",IF(C568="TOBIN TAX","Tax",IF(C568="WITHHOLDING TAX","Tax",IF(C568="DIVIDEND","Dividend",IF(C568="COUPON","Coupon",IF(C568="ACCRUED INT","Accrued Int.",IF(C568="SEC LENDING","Sec. Lending",IF(C568="REDEMPTION","Redemption",IF(C568="DISTRIBUTION","Distribution",IF(ISNUMBER(SEARCH("Rimborso",'Statements (Raw)'!D566)),"Redemption",IF(ISNUMBER(SEARCH("Cedola",'Statements (Raw)'!D566)),"Coupon",IF(ISNUMBER(SEARCH("Incasso Dividendi",'Statements (Raw)'!D566)),"Dividend",IF(ISNUMBER(SEARCH("Provento Etf",'Statements (Raw)'!D566)),"Distribution",IF(ISNUMBER(SEARCH("Rit.provento",'Statements (Raw)'!D566)),"Tax",IF(ISNUMBER(SEARCH("Ratei Pass",'Statements (Raw)'!D566)),"Accrued Int.",IF(ISNUMBER(SEARCH("Interessi Prest",'Statements (Raw)'!D566)),"Sec. Lending",IF('Statements (Raw)'!G566="","Other",IF('Statements (Raw)'!G566&gt;0,"Buy","Sell"))))))))))))))))))))))</f>
        <v/>
      </c>
      <c r="E568" s="6" t="str">
        <f t="shared" si="16"/>
        <v/>
      </c>
      <c r="F568" s="8" t="str">
        <f>IF(A568="","",IF('Statements (Raw)'!E566="","",'Statements (Raw)'!E566))</f>
        <v/>
      </c>
      <c r="G568" s="6" t="str">
        <f>IF(A568="","",IF('Statements (Raw)'!F566="","",'Statements (Raw)'!F566))</f>
        <v/>
      </c>
      <c r="H568" s="9" t="str">
        <f>IF(A568="","",IF('Statements (Raw)'!G566="","",'Statements (Raw)'!G566))</f>
        <v/>
      </c>
      <c r="I568" s="10" t="str">
        <f>IF(A568="","",IF('Statements (Raw)'!H566="","",'Statements (Raw)'!H566))</f>
        <v/>
      </c>
      <c r="J568" s="10">
        <f>IF(A568="",0,IF('Statements (Raw)'!I566="",0,'Statements (Raw)'!I566))</f>
        <v>0</v>
      </c>
      <c r="K568" s="10" t="str">
        <f t="shared" si="17"/>
        <v/>
      </c>
    </row>
    <row r="569" spans="1:11" x14ac:dyDescent="0.3">
      <c r="A569" s="171" t="str">
        <f>IF(OR('Statements (Raw)'!A567="",'Statements (Raw)'!A567&gt;Holdings!$G$3),"",'Statements (Raw)'!A567)</f>
        <v/>
      </c>
      <c r="B569" s="7" t="str">
        <f>IF(A569="","",IF('Statements (Raw)'!B567="","",'Statements (Raw)'!B567))</f>
        <v/>
      </c>
      <c r="C569" s="6" t="str">
        <f>IF(A569="","",IF('Statements (Raw)'!C567&lt;&gt;"",'Statements (Raw)'!C567,IF(ISNUMBER(SEARCH("Conferimento",'Statements (Raw)'!D567)),"CASH DEPOSIT",IF(ISNUMBER(SEARCH("Prelievo",'Statements (Raw)'!D567)),"CASH WITHDRAWAL",IF(ISNUMBER(SEARCH("Bollo",'Statements (Raw)'!D567)),"STAMP DUTY",IF(ISNUMBER(SEARCH("Tobin Tax",'Statements (Raw)'!D567)),"TOBIN TAX",IF(ISNUMBER(SEARCH("Rit.provento",'Statements (Raw)'!D567)),"WITHHOLDING TAX",IF(ISNUMBER(SEARCH("Incasso Dividendi",'Statements (Raw)'!D567)),"DIVIDEND",IF(ISNUMBER(SEARCH("Cedola",'Statements (Raw)'!D567)),"COUPON",IF(ISNUMBER(SEARCH("Ratei Pass",'Statements (Raw)'!D567)),"ACCRUED INT",IF(ISNUMBER(SEARCH("Interessi Prest",'Statements (Raw)'!D567)),"SEC LENDING",IF(ISNUMBER(SEARCH("Rimborso",'Statements (Raw)'!D567)),"REDEMPTION",IF(ISNUMBER(SEARCH("Provento",'Statements (Raw)'!D567)),"DISTRIBUTION","OTHER")))))))))))))</f>
        <v/>
      </c>
      <c r="D569" s="6" t="str">
        <f>IF(A569="","",IF(C569="Saldo Iniziale","Balance",IF(C569="CASH DEPOSIT","Deposit",IF(C569="CASH WITHDRAWAL","Withdrawal",IF(C569="STAMP DUTY","Tax",IF(C569="TOBIN TAX","Tax",IF(C569="WITHHOLDING TAX","Tax",IF(C569="DIVIDEND","Dividend",IF(C569="COUPON","Coupon",IF(C569="ACCRUED INT","Accrued Int.",IF(C569="SEC LENDING","Sec. Lending",IF(C569="REDEMPTION","Redemption",IF(C569="DISTRIBUTION","Distribution",IF(ISNUMBER(SEARCH("Rimborso",'Statements (Raw)'!D567)),"Redemption",IF(ISNUMBER(SEARCH("Cedola",'Statements (Raw)'!D567)),"Coupon",IF(ISNUMBER(SEARCH("Incasso Dividendi",'Statements (Raw)'!D567)),"Dividend",IF(ISNUMBER(SEARCH("Provento Etf",'Statements (Raw)'!D567)),"Distribution",IF(ISNUMBER(SEARCH("Rit.provento",'Statements (Raw)'!D567)),"Tax",IF(ISNUMBER(SEARCH("Ratei Pass",'Statements (Raw)'!D567)),"Accrued Int.",IF(ISNUMBER(SEARCH("Interessi Prest",'Statements (Raw)'!D567)),"Sec. Lending",IF('Statements (Raw)'!G567="","Other",IF('Statements (Raw)'!G567&gt;0,"Buy","Sell"))))))))))))))))))))))</f>
        <v/>
      </c>
      <c r="E569" s="6" t="str">
        <f t="shared" si="16"/>
        <v/>
      </c>
      <c r="F569" s="8" t="str">
        <f>IF(A569="","",IF('Statements (Raw)'!E567="","",'Statements (Raw)'!E567))</f>
        <v/>
      </c>
      <c r="G569" s="6" t="str">
        <f>IF(A569="","",IF('Statements (Raw)'!F567="","",'Statements (Raw)'!F567))</f>
        <v/>
      </c>
      <c r="H569" s="9" t="str">
        <f>IF(A569="","",IF('Statements (Raw)'!G567="","",'Statements (Raw)'!G567))</f>
        <v/>
      </c>
      <c r="I569" s="10" t="str">
        <f>IF(A569="","",IF('Statements (Raw)'!H567="","",'Statements (Raw)'!H567))</f>
        <v/>
      </c>
      <c r="J569" s="10">
        <f>IF(A569="",0,IF('Statements (Raw)'!I567="",0,'Statements (Raw)'!I567))</f>
        <v>0</v>
      </c>
      <c r="K569" s="10" t="str">
        <f t="shared" si="17"/>
        <v/>
      </c>
    </row>
    <row r="570" spans="1:11" x14ac:dyDescent="0.3">
      <c r="A570" s="171" t="str">
        <f>IF(OR('Statements (Raw)'!A568="",'Statements (Raw)'!A568&gt;Holdings!$G$3),"",'Statements (Raw)'!A568)</f>
        <v/>
      </c>
      <c r="B570" s="7" t="str">
        <f>IF(A570="","",IF('Statements (Raw)'!B568="","",'Statements (Raw)'!B568))</f>
        <v/>
      </c>
      <c r="C570" s="6" t="str">
        <f>IF(A570="","",IF('Statements (Raw)'!C568&lt;&gt;"",'Statements (Raw)'!C568,IF(ISNUMBER(SEARCH("Conferimento",'Statements (Raw)'!D568)),"CASH DEPOSIT",IF(ISNUMBER(SEARCH("Prelievo",'Statements (Raw)'!D568)),"CASH WITHDRAWAL",IF(ISNUMBER(SEARCH("Bollo",'Statements (Raw)'!D568)),"STAMP DUTY",IF(ISNUMBER(SEARCH("Tobin Tax",'Statements (Raw)'!D568)),"TOBIN TAX",IF(ISNUMBER(SEARCH("Rit.provento",'Statements (Raw)'!D568)),"WITHHOLDING TAX",IF(ISNUMBER(SEARCH("Incasso Dividendi",'Statements (Raw)'!D568)),"DIVIDEND",IF(ISNUMBER(SEARCH("Cedola",'Statements (Raw)'!D568)),"COUPON",IF(ISNUMBER(SEARCH("Ratei Pass",'Statements (Raw)'!D568)),"ACCRUED INT",IF(ISNUMBER(SEARCH("Interessi Prest",'Statements (Raw)'!D568)),"SEC LENDING",IF(ISNUMBER(SEARCH("Rimborso",'Statements (Raw)'!D568)),"REDEMPTION",IF(ISNUMBER(SEARCH("Provento",'Statements (Raw)'!D568)),"DISTRIBUTION","OTHER")))))))))))))</f>
        <v/>
      </c>
      <c r="D570" s="6" t="str">
        <f>IF(A570="","",IF(C570="Saldo Iniziale","Balance",IF(C570="CASH DEPOSIT","Deposit",IF(C570="CASH WITHDRAWAL","Withdrawal",IF(C570="STAMP DUTY","Tax",IF(C570="TOBIN TAX","Tax",IF(C570="WITHHOLDING TAX","Tax",IF(C570="DIVIDEND","Dividend",IF(C570="COUPON","Coupon",IF(C570="ACCRUED INT","Accrued Int.",IF(C570="SEC LENDING","Sec. Lending",IF(C570="REDEMPTION","Redemption",IF(C570="DISTRIBUTION","Distribution",IF(ISNUMBER(SEARCH("Rimborso",'Statements (Raw)'!D568)),"Redemption",IF(ISNUMBER(SEARCH("Cedola",'Statements (Raw)'!D568)),"Coupon",IF(ISNUMBER(SEARCH("Incasso Dividendi",'Statements (Raw)'!D568)),"Dividend",IF(ISNUMBER(SEARCH("Provento Etf",'Statements (Raw)'!D568)),"Distribution",IF(ISNUMBER(SEARCH("Rit.provento",'Statements (Raw)'!D568)),"Tax",IF(ISNUMBER(SEARCH("Ratei Pass",'Statements (Raw)'!D568)),"Accrued Int.",IF(ISNUMBER(SEARCH("Interessi Prest",'Statements (Raw)'!D568)),"Sec. Lending",IF('Statements (Raw)'!G568="","Other",IF('Statements (Raw)'!G568&gt;0,"Buy","Sell"))))))))))))))))))))))</f>
        <v/>
      </c>
      <c r="E570" s="6" t="str">
        <f t="shared" si="16"/>
        <v/>
      </c>
      <c r="F570" s="8" t="str">
        <f>IF(A570="","",IF('Statements (Raw)'!E568="","",'Statements (Raw)'!E568))</f>
        <v/>
      </c>
      <c r="G570" s="6" t="str">
        <f>IF(A570="","",IF('Statements (Raw)'!F568="","",'Statements (Raw)'!F568))</f>
        <v/>
      </c>
      <c r="H570" s="9" t="str">
        <f>IF(A570="","",IF('Statements (Raw)'!G568="","",'Statements (Raw)'!G568))</f>
        <v/>
      </c>
      <c r="I570" s="10" t="str">
        <f>IF(A570="","",IF('Statements (Raw)'!H568="","",'Statements (Raw)'!H568))</f>
        <v/>
      </c>
      <c r="J570" s="10">
        <f>IF(A570="",0,IF('Statements (Raw)'!I568="",0,'Statements (Raw)'!I568))</f>
        <v>0</v>
      </c>
      <c r="K570" s="10" t="str">
        <f t="shared" si="17"/>
        <v/>
      </c>
    </row>
    <row r="571" spans="1:11" x14ac:dyDescent="0.3">
      <c r="A571" s="171" t="str">
        <f>IF(OR('Statements (Raw)'!A569="",'Statements (Raw)'!A569&gt;Holdings!$G$3),"",'Statements (Raw)'!A569)</f>
        <v/>
      </c>
      <c r="B571" s="7" t="str">
        <f>IF(A571="","",IF('Statements (Raw)'!B569="","",'Statements (Raw)'!B569))</f>
        <v/>
      </c>
      <c r="C571" s="6" t="str">
        <f>IF(A571="","",IF('Statements (Raw)'!C569&lt;&gt;"",'Statements (Raw)'!C569,IF(ISNUMBER(SEARCH("Conferimento",'Statements (Raw)'!D569)),"CASH DEPOSIT",IF(ISNUMBER(SEARCH("Prelievo",'Statements (Raw)'!D569)),"CASH WITHDRAWAL",IF(ISNUMBER(SEARCH("Bollo",'Statements (Raw)'!D569)),"STAMP DUTY",IF(ISNUMBER(SEARCH("Tobin Tax",'Statements (Raw)'!D569)),"TOBIN TAX",IF(ISNUMBER(SEARCH("Rit.provento",'Statements (Raw)'!D569)),"WITHHOLDING TAX",IF(ISNUMBER(SEARCH("Incasso Dividendi",'Statements (Raw)'!D569)),"DIVIDEND",IF(ISNUMBER(SEARCH("Cedola",'Statements (Raw)'!D569)),"COUPON",IF(ISNUMBER(SEARCH("Ratei Pass",'Statements (Raw)'!D569)),"ACCRUED INT",IF(ISNUMBER(SEARCH("Interessi Prest",'Statements (Raw)'!D569)),"SEC LENDING",IF(ISNUMBER(SEARCH("Rimborso",'Statements (Raw)'!D569)),"REDEMPTION",IF(ISNUMBER(SEARCH("Provento",'Statements (Raw)'!D569)),"DISTRIBUTION","OTHER")))))))))))))</f>
        <v/>
      </c>
      <c r="D571" s="6" t="str">
        <f>IF(A571="","",IF(C571="Saldo Iniziale","Balance",IF(C571="CASH DEPOSIT","Deposit",IF(C571="CASH WITHDRAWAL","Withdrawal",IF(C571="STAMP DUTY","Tax",IF(C571="TOBIN TAX","Tax",IF(C571="WITHHOLDING TAX","Tax",IF(C571="DIVIDEND","Dividend",IF(C571="COUPON","Coupon",IF(C571="ACCRUED INT","Accrued Int.",IF(C571="SEC LENDING","Sec. Lending",IF(C571="REDEMPTION","Redemption",IF(C571="DISTRIBUTION","Distribution",IF(ISNUMBER(SEARCH("Rimborso",'Statements (Raw)'!D569)),"Redemption",IF(ISNUMBER(SEARCH("Cedola",'Statements (Raw)'!D569)),"Coupon",IF(ISNUMBER(SEARCH("Incasso Dividendi",'Statements (Raw)'!D569)),"Dividend",IF(ISNUMBER(SEARCH("Provento Etf",'Statements (Raw)'!D569)),"Distribution",IF(ISNUMBER(SEARCH("Rit.provento",'Statements (Raw)'!D569)),"Tax",IF(ISNUMBER(SEARCH("Ratei Pass",'Statements (Raw)'!D569)),"Accrued Int.",IF(ISNUMBER(SEARCH("Interessi Prest",'Statements (Raw)'!D569)),"Sec. Lending",IF('Statements (Raw)'!G569="","Other",IF('Statements (Raw)'!G569&gt;0,"Buy","Sell"))))))))))))))))))))))</f>
        <v/>
      </c>
      <c r="E571" s="6" t="str">
        <f t="shared" si="16"/>
        <v/>
      </c>
      <c r="F571" s="8" t="str">
        <f>IF(A571="","",IF('Statements (Raw)'!E569="","",'Statements (Raw)'!E569))</f>
        <v/>
      </c>
      <c r="G571" s="6" t="str">
        <f>IF(A571="","",IF('Statements (Raw)'!F569="","",'Statements (Raw)'!F569))</f>
        <v/>
      </c>
      <c r="H571" s="9" t="str">
        <f>IF(A571="","",IF('Statements (Raw)'!G569="","",'Statements (Raw)'!G569))</f>
        <v/>
      </c>
      <c r="I571" s="10" t="str">
        <f>IF(A571="","",IF('Statements (Raw)'!H569="","",'Statements (Raw)'!H569))</f>
        <v/>
      </c>
      <c r="J571" s="10">
        <f>IF(A571="",0,IF('Statements (Raw)'!I569="",0,'Statements (Raw)'!I569))</f>
        <v>0</v>
      </c>
      <c r="K571" s="10" t="str">
        <f t="shared" si="17"/>
        <v/>
      </c>
    </row>
    <row r="572" spans="1:11" x14ac:dyDescent="0.3">
      <c r="A572" s="171" t="str">
        <f>IF(OR('Statements (Raw)'!A570="",'Statements (Raw)'!A570&gt;Holdings!$G$3),"",'Statements (Raw)'!A570)</f>
        <v/>
      </c>
      <c r="B572" s="7" t="str">
        <f>IF(A572="","",IF('Statements (Raw)'!B570="","",'Statements (Raw)'!B570))</f>
        <v/>
      </c>
      <c r="C572" s="6" t="str">
        <f>IF(A572="","",IF('Statements (Raw)'!C570&lt;&gt;"",'Statements (Raw)'!C570,IF(ISNUMBER(SEARCH("Conferimento",'Statements (Raw)'!D570)),"CASH DEPOSIT",IF(ISNUMBER(SEARCH("Prelievo",'Statements (Raw)'!D570)),"CASH WITHDRAWAL",IF(ISNUMBER(SEARCH("Bollo",'Statements (Raw)'!D570)),"STAMP DUTY",IF(ISNUMBER(SEARCH("Tobin Tax",'Statements (Raw)'!D570)),"TOBIN TAX",IF(ISNUMBER(SEARCH("Rit.provento",'Statements (Raw)'!D570)),"WITHHOLDING TAX",IF(ISNUMBER(SEARCH("Incasso Dividendi",'Statements (Raw)'!D570)),"DIVIDEND",IF(ISNUMBER(SEARCH("Cedola",'Statements (Raw)'!D570)),"COUPON",IF(ISNUMBER(SEARCH("Ratei Pass",'Statements (Raw)'!D570)),"ACCRUED INT",IF(ISNUMBER(SEARCH("Interessi Prest",'Statements (Raw)'!D570)),"SEC LENDING",IF(ISNUMBER(SEARCH("Rimborso",'Statements (Raw)'!D570)),"REDEMPTION",IF(ISNUMBER(SEARCH("Provento",'Statements (Raw)'!D570)),"DISTRIBUTION","OTHER")))))))))))))</f>
        <v/>
      </c>
      <c r="D572" s="6" t="str">
        <f>IF(A572="","",IF(C572="Saldo Iniziale","Balance",IF(C572="CASH DEPOSIT","Deposit",IF(C572="CASH WITHDRAWAL","Withdrawal",IF(C572="STAMP DUTY","Tax",IF(C572="TOBIN TAX","Tax",IF(C572="WITHHOLDING TAX","Tax",IF(C572="DIVIDEND","Dividend",IF(C572="COUPON","Coupon",IF(C572="ACCRUED INT","Accrued Int.",IF(C572="SEC LENDING","Sec. Lending",IF(C572="REDEMPTION","Redemption",IF(C572="DISTRIBUTION","Distribution",IF(ISNUMBER(SEARCH("Rimborso",'Statements (Raw)'!D570)),"Redemption",IF(ISNUMBER(SEARCH("Cedola",'Statements (Raw)'!D570)),"Coupon",IF(ISNUMBER(SEARCH("Incasso Dividendi",'Statements (Raw)'!D570)),"Dividend",IF(ISNUMBER(SEARCH("Provento Etf",'Statements (Raw)'!D570)),"Distribution",IF(ISNUMBER(SEARCH("Rit.provento",'Statements (Raw)'!D570)),"Tax",IF(ISNUMBER(SEARCH("Ratei Pass",'Statements (Raw)'!D570)),"Accrued Int.",IF(ISNUMBER(SEARCH("Interessi Prest",'Statements (Raw)'!D570)),"Sec. Lending",IF('Statements (Raw)'!G570="","Other",IF('Statements (Raw)'!G570&gt;0,"Buy","Sell"))))))))))))))))))))))</f>
        <v/>
      </c>
      <c r="E572" s="6" t="str">
        <f t="shared" si="16"/>
        <v/>
      </c>
      <c r="F572" s="8" t="str">
        <f>IF(A572="","",IF('Statements (Raw)'!E570="","",'Statements (Raw)'!E570))</f>
        <v/>
      </c>
      <c r="G572" s="6" t="str">
        <f>IF(A572="","",IF('Statements (Raw)'!F570="","",'Statements (Raw)'!F570))</f>
        <v/>
      </c>
      <c r="H572" s="9" t="str">
        <f>IF(A572="","",IF('Statements (Raw)'!G570="","",'Statements (Raw)'!G570))</f>
        <v/>
      </c>
      <c r="I572" s="10" t="str">
        <f>IF(A572="","",IF('Statements (Raw)'!H570="","",'Statements (Raw)'!H570))</f>
        <v/>
      </c>
      <c r="J572" s="10">
        <f>IF(A572="",0,IF('Statements (Raw)'!I570="",0,'Statements (Raw)'!I570))</f>
        <v>0</v>
      </c>
      <c r="K572" s="10" t="str">
        <f t="shared" si="17"/>
        <v/>
      </c>
    </row>
    <row r="573" spans="1:11" x14ac:dyDescent="0.3">
      <c r="A573" s="171" t="str">
        <f>IF(OR('Statements (Raw)'!A571="",'Statements (Raw)'!A571&gt;Holdings!$G$3),"",'Statements (Raw)'!A571)</f>
        <v/>
      </c>
      <c r="B573" s="7" t="str">
        <f>IF(A573="","",IF('Statements (Raw)'!B571="","",'Statements (Raw)'!B571))</f>
        <v/>
      </c>
      <c r="C573" s="6" t="str">
        <f>IF(A573="","",IF('Statements (Raw)'!C571&lt;&gt;"",'Statements (Raw)'!C571,IF(ISNUMBER(SEARCH("Conferimento",'Statements (Raw)'!D571)),"CASH DEPOSIT",IF(ISNUMBER(SEARCH("Prelievo",'Statements (Raw)'!D571)),"CASH WITHDRAWAL",IF(ISNUMBER(SEARCH("Bollo",'Statements (Raw)'!D571)),"STAMP DUTY",IF(ISNUMBER(SEARCH("Tobin Tax",'Statements (Raw)'!D571)),"TOBIN TAX",IF(ISNUMBER(SEARCH("Rit.provento",'Statements (Raw)'!D571)),"WITHHOLDING TAX",IF(ISNUMBER(SEARCH("Incasso Dividendi",'Statements (Raw)'!D571)),"DIVIDEND",IF(ISNUMBER(SEARCH("Cedola",'Statements (Raw)'!D571)),"COUPON",IF(ISNUMBER(SEARCH("Ratei Pass",'Statements (Raw)'!D571)),"ACCRUED INT",IF(ISNUMBER(SEARCH("Interessi Prest",'Statements (Raw)'!D571)),"SEC LENDING",IF(ISNUMBER(SEARCH("Rimborso",'Statements (Raw)'!D571)),"REDEMPTION",IF(ISNUMBER(SEARCH("Provento",'Statements (Raw)'!D571)),"DISTRIBUTION","OTHER")))))))))))))</f>
        <v/>
      </c>
      <c r="D573" s="6" t="str">
        <f>IF(A573="","",IF(C573="Saldo Iniziale","Balance",IF(C573="CASH DEPOSIT","Deposit",IF(C573="CASH WITHDRAWAL","Withdrawal",IF(C573="STAMP DUTY","Tax",IF(C573="TOBIN TAX","Tax",IF(C573="WITHHOLDING TAX","Tax",IF(C573="DIVIDEND","Dividend",IF(C573="COUPON","Coupon",IF(C573="ACCRUED INT","Accrued Int.",IF(C573="SEC LENDING","Sec. Lending",IF(C573="REDEMPTION","Redemption",IF(C573="DISTRIBUTION","Distribution",IF(ISNUMBER(SEARCH("Rimborso",'Statements (Raw)'!D571)),"Redemption",IF(ISNUMBER(SEARCH("Cedola",'Statements (Raw)'!D571)),"Coupon",IF(ISNUMBER(SEARCH("Incasso Dividendi",'Statements (Raw)'!D571)),"Dividend",IF(ISNUMBER(SEARCH("Provento Etf",'Statements (Raw)'!D571)),"Distribution",IF(ISNUMBER(SEARCH("Rit.provento",'Statements (Raw)'!D571)),"Tax",IF(ISNUMBER(SEARCH("Ratei Pass",'Statements (Raw)'!D571)),"Accrued Int.",IF(ISNUMBER(SEARCH("Interessi Prest",'Statements (Raw)'!D571)),"Sec. Lending",IF('Statements (Raw)'!G571="","Other",IF('Statements (Raw)'!G571&gt;0,"Buy","Sell"))))))))))))))))))))))</f>
        <v/>
      </c>
      <c r="E573" s="6" t="str">
        <f t="shared" si="16"/>
        <v/>
      </c>
      <c r="F573" s="8" t="str">
        <f>IF(A573="","",IF('Statements (Raw)'!E571="","",'Statements (Raw)'!E571))</f>
        <v/>
      </c>
      <c r="G573" s="6" t="str">
        <f>IF(A573="","",IF('Statements (Raw)'!F571="","",'Statements (Raw)'!F571))</f>
        <v/>
      </c>
      <c r="H573" s="9" t="str">
        <f>IF(A573="","",IF('Statements (Raw)'!G571="","",'Statements (Raw)'!G571))</f>
        <v/>
      </c>
      <c r="I573" s="10" t="str">
        <f>IF(A573="","",IF('Statements (Raw)'!H571="","",'Statements (Raw)'!H571))</f>
        <v/>
      </c>
      <c r="J573" s="10">
        <f>IF(A573="",0,IF('Statements (Raw)'!I571="",0,'Statements (Raw)'!I571))</f>
        <v>0</v>
      </c>
      <c r="K573" s="10" t="str">
        <f t="shared" si="17"/>
        <v/>
      </c>
    </row>
    <row r="574" spans="1:11" x14ac:dyDescent="0.3">
      <c r="A574" s="171" t="str">
        <f>IF(OR('Statements (Raw)'!A572="",'Statements (Raw)'!A572&gt;Holdings!$G$3),"",'Statements (Raw)'!A572)</f>
        <v/>
      </c>
      <c r="B574" s="7" t="str">
        <f>IF(A574="","",IF('Statements (Raw)'!B572="","",'Statements (Raw)'!B572))</f>
        <v/>
      </c>
      <c r="C574" s="6" t="str">
        <f>IF(A574="","",IF('Statements (Raw)'!C572&lt;&gt;"",'Statements (Raw)'!C572,IF(ISNUMBER(SEARCH("Conferimento",'Statements (Raw)'!D572)),"CASH DEPOSIT",IF(ISNUMBER(SEARCH("Prelievo",'Statements (Raw)'!D572)),"CASH WITHDRAWAL",IF(ISNUMBER(SEARCH("Bollo",'Statements (Raw)'!D572)),"STAMP DUTY",IF(ISNUMBER(SEARCH("Tobin Tax",'Statements (Raw)'!D572)),"TOBIN TAX",IF(ISNUMBER(SEARCH("Rit.provento",'Statements (Raw)'!D572)),"WITHHOLDING TAX",IF(ISNUMBER(SEARCH("Incasso Dividendi",'Statements (Raw)'!D572)),"DIVIDEND",IF(ISNUMBER(SEARCH("Cedola",'Statements (Raw)'!D572)),"COUPON",IF(ISNUMBER(SEARCH("Ratei Pass",'Statements (Raw)'!D572)),"ACCRUED INT",IF(ISNUMBER(SEARCH("Interessi Prest",'Statements (Raw)'!D572)),"SEC LENDING",IF(ISNUMBER(SEARCH("Rimborso",'Statements (Raw)'!D572)),"REDEMPTION",IF(ISNUMBER(SEARCH("Provento",'Statements (Raw)'!D572)),"DISTRIBUTION","OTHER")))))))))))))</f>
        <v/>
      </c>
      <c r="D574" s="6" t="str">
        <f>IF(A574="","",IF(C574="Saldo Iniziale","Balance",IF(C574="CASH DEPOSIT","Deposit",IF(C574="CASH WITHDRAWAL","Withdrawal",IF(C574="STAMP DUTY","Tax",IF(C574="TOBIN TAX","Tax",IF(C574="WITHHOLDING TAX","Tax",IF(C574="DIVIDEND","Dividend",IF(C574="COUPON","Coupon",IF(C574="ACCRUED INT","Accrued Int.",IF(C574="SEC LENDING","Sec. Lending",IF(C574="REDEMPTION","Redemption",IF(C574="DISTRIBUTION","Distribution",IF(ISNUMBER(SEARCH("Rimborso",'Statements (Raw)'!D572)),"Redemption",IF(ISNUMBER(SEARCH("Cedola",'Statements (Raw)'!D572)),"Coupon",IF(ISNUMBER(SEARCH("Incasso Dividendi",'Statements (Raw)'!D572)),"Dividend",IF(ISNUMBER(SEARCH("Provento Etf",'Statements (Raw)'!D572)),"Distribution",IF(ISNUMBER(SEARCH("Rit.provento",'Statements (Raw)'!D572)),"Tax",IF(ISNUMBER(SEARCH("Ratei Pass",'Statements (Raw)'!D572)),"Accrued Int.",IF(ISNUMBER(SEARCH("Interessi Prest",'Statements (Raw)'!D572)),"Sec. Lending",IF('Statements (Raw)'!G572="","Other",IF('Statements (Raw)'!G572&gt;0,"Buy","Sell"))))))))))))))))))))))</f>
        <v/>
      </c>
      <c r="E574" s="6" t="str">
        <f t="shared" si="16"/>
        <v/>
      </c>
      <c r="F574" s="8" t="str">
        <f>IF(A574="","",IF('Statements (Raw)'!E572="","",'Statements (Raw)'!E572))</f>
        <v/>
      </c>
      <c r="G574" s="6" t="str">
        <f>IF(A574="","",IF('Statements (Raw)'!F572="","",'Statements (Raw)'!F572))</f>
        <v/>
      </c>
      <c r="H574" s="9" t="str">
        <f>IF(A574="","",IF('Statements (Raw)'!G572="","",'Statements (Raw)'!G572))</f>
        <v/>
      </c>
      <c r="I574" s="10" t="str">
        <f>IF(A574="","",IF('Statements (Raw)'!H572="","",'Statements (Raw)'!H572))</f>
        <v/>
      </c>
      <c r="J574" s="10">
        <f>IF(A574="",0,IF('Statements (Raw)'!I572="",0,'Statements (Raw)'!I572))</f>
        <v>0</v>
      </c>
      <c r="K574" s="10" t="str">
        <f t="shared" si="17"/>
        <v/>
      </c>
    </row>
    <row r="575" spans="1:11" x14ac:dyDescent="0.3">
      <c r="A575" s="171" t="str">
        <f>IF(OR('Statements (Raw)'!A573="",'Statements (Raw)'!A573&gt;Holdings!$G$3),"",'Statements (Raw)'!A573)</f>
        <v/>
      </c>
      <c r="B575" s="7" t="str">
        <f>IF(A575="","",IF('Statements (Raw)'!B573="","",'Statements (Raw)'!B573))</f>
        <v/>
      </c>
      <c r="C575" s="6" t="str">
        <f>IF(A575="","",IF('Statements (Raw)'!C573&lt;&gt;"",'Statements (Raw)'!C573,IF(ISNUMBER(SEARCH("Conferimento",'Statements (Raw)'!D573)),"CASH DEPOSIT",IF(ISNUMBER(SEARCH("Prelievo",'Statements (Raw)'!D573)),"CASH WITHDRAWAL",IF(ISNUMBER(SEARCH("Bollo",'Statements (Raw)'!D573)),"STAMP DUTY",IF(ISNUMBER(SEARCH("Tobin Tax",'Statements (Raw)'!D573)),"TOBIN TAX",IF(ISNUMBER(SEARCH("Rit.provento",'Statements (Raw)'!D573)),"WITHHOLDING TAX",IF(ISNUMBER(SEARCH("Incasso Dividendi",'Statements (Raw)'!D573)),"DIVIDEND",IF(ISNUMBER(SEARCH("Cedola",'Statements (Raw)'!D573)),"COUPON",IF(ISNUMBER(SEARCH("Ratei Pass",'Statements (Raw)'!D573)),"ACCRUED INT",IF(ISNUMBER(SEARCH("Interessi Prest",'Statements (Raw)'!D573)),"SEC LENDING",IF(ISNUMBER(SEARCH("Rimborso",'Statements (Raw)'!D573)),"REDEMPTION",IF(ISNUMBER(SEARCH("Provento",'Statements (Raw)'!D573)),"DISTRIBUTION","OTHER")))))))))))))</f>
        <v/>
      </c>
      <c r="D575" s="6" t="str">
        <f>IF(A575="","",IF(C575="Saldo Iniziale","Balance",IF(C575="CASH DEPOSIT","Deposit",IF(C575="CASH WITHDRAWAL","Withdrawal",IF(C575="STAMP DUTY","Tax",IF(C575="TOBIN TAX","Tax",IF(C575="WITHHOLDING TAX","Tax",IF(C575="DIVIDEND","Dividend",IF(C575="COUPON","Coupon",IF(C575="ACCRUED INT","Accrued Int.",IF(C575="SEC LENDING","Sec. Lending",IF(C575="REDEMPTION","Redemption",IF(C575="DISTRIBUTION","Distribution",IF(ISNUMBER(SEARCH("Rimborso",'Statements (Raw)'!D573)),"Redemption",IF(ISNUMBER(SEARCH("Cedola",'Statements (Raw)'!D573)),"Coupon",IF(ISNUMBER(SEARCH("Incasso Dividendi",'Statements (Raw)'!D573)),"Dividend",IF(ISNUMBER(SEARCH("Provento Etf",'Statements (Raw)'!D573)),"Distribution",IF(ISNUMBER(SEARCH("Rit.provento",'Statements (Raw)'!D573)),"Tax",IF(ISNUMBER(SEARCH("Ratei Pass",'Statements (Raw)'!D573)),"Accrued Int.",IF(ISNUMBER(SEARCH("Interessi Prest",'Statements (Raw)'!D573)),"Sec. Lending",IF('Statements (Raw)'!G573="","Other",IF('Statements (Raw)'!G573&gt;0,"Buy","Sell"))))))))))))))))))))))</f>
        <v/>
      </c>
      <c r="E575" s="6" t="str">
        <f t="shared" si="16"/>
        <v/>
      </c>
      <c r="F575" s="8" t="str">
        <f>IF(A575="","",IF('Statements (Raw)'!E573="","",'Statements (Raw)'!E573))</f>
        <v/>
      </c>
      <c r="G575" s="6" t="str">
        <f>IF(A575="","",IF('Statements (Raw)'!F573="","",'Statements (Raw)'!F573))</f>
        <v/>
      </c>
      <c r="H575" s="9" t="str">
        <f>IF(A575="","",IF('Statements (Raw)'!G573="","",'Statements (Raw)'!G573))</f>
        <v/>
      </c>
      <c r="I575" s="10" t="str">
        <f>IF(A575="","",IF('Statements (Raw)'!H573="","",'Statements (Raw)'!H573))</f>
        <v/>
      </c>
      <c r="J575" s="10">
        <f>IF(A575="",0,IF('Statements (Raw)'!I573="",0,'Statements (Raw)'!I573))</f>
        <v>0</v>
      </c>
      <c r="K575" s="10" t="str">
        <f t="shared" si="17"/>
        <v/>
      </c>
    </row>
    <row r="576" spans="1:11" x14ac:dyDescent="0.3">
      <c r="A576" s="171" t="str">
        <f>IF(OR('Statements (Raw)'!A574="",'Statements (Raw)'!A574&gt;Holdings!$G$3),"",'Statements (Raw)'!A574)</f>
        <v/>
      </c>
      <c r="B576" s="7" t="str">
        <f>IF(A576="","",IF('Statements (Raw)'!B574="","",'Statements (Raw)'!B574))</f>
        <v/>
      </c>
      <c r="C576" s="6" t="str">
        <f>IF(A576="","",IF('Statements (Raw)'!C574&lt;&gt;"",'Statements (Raw)'!C574,IF(ISNUMBER(SEARCH("Conferimento",'Statements (Raw)'!D574)),"CASH DEPOSIT",IF(ISNUMBER(SEARCH("Prelievo",'Statements (Raw)'!D574)),"CASH WITHDRAWAL",IF(ISNUMBER(SEARCH("Bollo",'Statements (Raw)'!D574)),"STAMP DUTY",IF(ISNUMBER(SEARCH("Tobin Tax",'Statements (Raw)'!D574)),"TOBIN TAX",IF(ISNUMBER(SEARCH("Rit.provento",'Statements (Raw)'!D574)),"WITHHOLDING TAX",IF(ISNUMBER(SEARCH("Incasso Dividendi",'Statements (Raw)'!D574)),"DIVIDEND",IF(ISNUMBER(SEARCH("Cedola",'Statements (Raw)'!D574)),"COUPON",IF(ISNUMBER(SEARCH("Ratei Pass",'Statements (Raw)'!D574)),"ACCRUED INT",IF(ISNUMBER(SEARCH("Interessi Prest",'Statements (Raw)'!D574)),"SEC LENDING",IF(ISNUMBER(SEARCH("Rimborso",'Statements (Raw)'!D574)),"REDEMPTION",IF(ISNUMBER(SEARCH("Provento",'Statements (Raw)'!D574)),"DISTRIBUTION","OTHER")))))))))))))</f>
        <v/>
      </c>
      <c r="D576" s="6" t="str">
        <f>IF(A576="","",IF(C576="Saldo Iniziale","Balance",IF(C576="CASH DEPOSIT","Deposit",IF(C576="CASH WITHDRAWAL","Withdrawal",IF(C576="STAMP DUTY","Tax",IF(C576="TOBIN TAX","Tax",IF(C576="WITHHOLDING TAX","Tax",IF(C576="DIVIDEND","Dividend",IF(C576="COUPON","Coupon",IF(C576="ACCRUED INT","Accrued Int.",IF(C576="SEC LENDING","Sec. Lending",IF(C576="REDEMPTION","Redemption",IF(C576="DISTRIBUTION","Distribution",IF(ISNUMBER(SEARCH("Rimborso",'Statements (Raw)'!D574)),"Redemption",IF(ISNUMBER(SEARCH("Cedola",'Statements (Raw)'!D574)),"Coupon",IF(ISNUMBER(SEARCH("Incasso Dividendi",'Statements (Raw)'!D574)),"Dividend",IF(ISNUMBER(SEARCH("Provento Etf",'Statements (Raw)'!D574)),"Distribution",IF(ISNUMBER(SEARCH("Rit.provento",'Statements (Raw)'!D574)),"Tax",IF(ISNUMBER(SEARCH("Ratei Pass",'Statements (Raw)'!D574)),"Accrued Int.",IF(ISNUMBER(SEARCH("Interessi Prest",'Statements (Raw)'!D574)),"Sec. Lending",IF('Statements (Raw)'!G574="","Other",IF('Statements (Raw)'!G574&gt;0,"Buy","Sell"))))))))))))))))))))))</f>
        <v/>
      </c>
      <c r="E576" s="6" t="str">
        <f t="shared" si="16"/>
        <v/>
      </c>
      <c r="F576" s="8" t="str">
        <f>IF(A576="","",IF('Statements (Raw)'!E574="","",'Statements (Raw)'!E574))</f>
        <v/>
      </c>
      <c r="G576" s="6" t="str">
        <f>IF(A576="","",IF('Statements (Raw)'!F574="","",'Statements (Raw)'!F574))</f>
        <v/>
      </c>
      <c r="H576" s="9" t="str">
        <f>IF(A576="","",IF('Statements (Raw)'!G574="","",'Statements (Raw)'!G574))</f>
        <v/>
      </c>
      <c r="I576" s="10" t="str">
        <f>IF(A576="","",IF('Statements (Raw)'!H574="","",'Statements (Raw)'!H574))</f>
        <v/>
      </c>
      <c r="J576" s="10">
        <f>IF(A576="",0,IF('Statements (Raw)'!I574="",0,'Statements (Raw)'!I574))</f>
        <v>0</v>
      </c>
      <c r="K576" s="10" t="str">
        <f t="shared" si="17"/>
        <v/>
      </c>
    </row>
    <row r="577" spans="1:11" x14ac:dyDescent="0.3">
      <c r="A577" s="171" t="str">
        <f>IF(OR('Statements (Raw)'!A575="",'Statements (Raw)'!A575&gt;Holdings!$G$3),"",'Statements (Raw)'!A575)</f>
        <v/>
      </c>
      <c r="B577" s="7" t="str">
        <f>IF(A577="","",IF('Statements (Raw)'!B575="","",'Statements (Raw)'!B575))</f>
        <v/>
      </c>
      <c r="C577" s="6" t="str">
        <f>IF(A577="","",IF('Statements (Raw)'!C575&lt;&gt;"",'Statements (Raw)'!C575,IF(ISNUMBER(SEARCH("Conferimento",'Statements (Raw)'!D575)),"CASH DEPOSIT",IF(ISNUMBER(SEARCH("Prelievo",'Statements (Raw)'!D575)),"CASH WITHDRAWAL",IF(ISNUMBER(SEARCH("Bollo",'Statements (Raw)'!D575)),"STAMP DUTY",IF(ISNUMBER(SEARCH("Tobin Tax",'Statements (Raw)'!D575)),"TOBIN TAX",IF(ISNUMBER(SEARCH("Rit.provento",'Statements (Raw)'!D575)),"WITHHOLDING TAX",IF(ISNUMBER(SEARCH("Incasso Dividendi",'Statements (Raw)'!D575)),"DIVIDEND",IF(ISNUMBER(SEARCH("Cedola",'Statements (Raw)'!D575)),"COUPON",IF(ISNUMBER(SEARCH("Ratei Pass",'Statements (Raw)'!D575)),"ACCRUED INT",IF(ISNUMBER(SEARCH("Interessi Prest",'Statements (Raw)'!D575)),"SEC LENDING",IF(ISNUMBER(SEARCH("Rimborso",'Statements (Raw)'!D575)),"REDEMPTION",IF(ISNUMBER(SEARCH("Provento",'Statements (Raw)'!D575)),"DISTRIBUTION","OTHER")))))))))))))</f>
        <v/>
      </c>
      <c r="D577" s="6" t="str">
        <f>IF(A577="","",IF(C577="Saldo Iniziale","Balance",IF(C577="CASH DEPOSIT","Deposit",IF(C577="CASH WITHDRAWAL","Withdrawal",IF(C577="STAMP DUTY","Tax",IF(C577="TOBIN TAX","Tax",IF(C577="WITHHOLDING TAX","Tax",IF(C577="DIVIDEND","Dividend",IF(C577="COUPON","Coupon",IF(C577="ACCRUED INT","Accrued Int.",IF(C577="SEC LENDING","Sec. Lending",IF(C577="REDEMPTION","Redemption",IF(C577="DISTRIBUTION","Distribution",IF(ISNUMBER(SEARCH("Rimborso",'Statements (Raw)'!D575)),"Redemption",IF(ISNUMBER(SEARCH("Cedola",'Statements (Raw)'!D575)),"Coupon",IF(ISNUMBER(SEARCH("Incasso Dividendi",'Statements (Raw)'!D575)),"Dividend",IF(ISNUMBER(SEARCH("Provento Etf",'Statements (Raw)'!D575)),"Distribution",IF(ISNUMBER(SEARCH("Rit.provento",'Statements (Raw)'!D575)),"Tax",IF(ISNUMBER(SEARCH("Ratei Pass",'Statements (Raw)'!D575)),"Accrued Int.",IF(ISNUMBER(SEARCH("Interessi Prest",'Statements (Raw)'!D575)),"Sec. Lending",IF('Statements (Raw)'!G575="","Other",IF('Statements (Raw)'!G575&gt;0,"Buy","Sell"))))))))))))))))))))))</f>
        <v/>
      </c>
      <c r="E577" s="6" t="str">
        <f t="shared" si="16"/>
        <v/>
      </c>
      <c r="F577" s="8" t="str">
        <f>IF(A577="","",IF('Statements (Raw)'!E575="","",'Statements (Raw)'!E575))</f>
        <v/>
      </c>
      <c r="G577" s="6" t="str">
        <f>IF(A577="","",IF('Statements (Raw)'!F575="","",'Statements (Raw)'!F575))</f>
        <v/>
      </c>
      <c r="H577" s="9" t="str">
        <f>IF(A577="","",IF('Statements (Raw)'!G575="","",'Statements (Raw)'!G575))</f>
        <v/>
      </c>
      <c r="I577" s="10" t="str">
        <f>IF(A577="","",IF('Statements (Raw)'!H575="","",'Statements (Raw)'!H575))</f>
        <v/>
      </c>
      <c r="J577" s="10">
        <f>IF(A577="",0,IF('Statements (Raw)'!I575="",0,'Statements (Raw)'!I575))</f>
        <v>0</v>
      </c>
      <c r="K577" s="10" t="str">
        <f t="shared" si="17"/>
        <v/>
      </c>
    </row>
    <row r="578" spans="1:11" x14ac:dyDescent="0.3">
      <c r="A578" s="171" t="str">
        <f>IF(OR('Statements (Raw)'!A576="",'Statements (Raw)'!A576&gt;Holdings!$G$3),"",'Statements (Raw)'!A576)</f>
        <v/>
      </c>
      <c r="B578" s="7" t="str">
        <f>IF(A578="","",IF('Statements (Raw)'!B576="","",'Statements (Raw)'!B576))</f>
        <v/>
      </c>
      <c r="C578" s="6" t="str">
        <f>IF(A578="","",IF('Statements (Raw)'!C576&lt;&gt;"",'Statements (Raw)'!C576,IF(ISNUMBER(SEARCH("Conferimento",'Statements (Raw)'!D576)),"CASH DEPOSIT",IF(ISNUMBER(SEARCH("Prelievo",'Statements (Raw)'!D576)),"CASH WITHDRAWAL",IF(ISNUMBER(SEARCH("Bollo",'Statements (Raw)'!D576)),"STAMP DUTY",IF(ISNUMBER(SEARCH("Tobin Tax",'Statements (Raw)'!D576)),"TOBIN TAX",IF(ISNUMBER(SEARCH("Rit.provento",'Statements (Raw)'!D576)),"WITHHOLDING TAX",IF(ISNUMBER(SEARCH("Incasso Dividendi",'Statements (Raw)'!D576)),"DIVIDEND",IF(ISNUMBER(SEARCH("Cedola",'Statements (Raw)'!D576)),"COUPON",IF(ISNUMBER(SEARCH("Ratei Pass",'Statements (Raw)'!D576)),"ACCRUED INT",IF(ISNUMBER(SEARCH("Interessi Prest",'Statements (Raw)'!D576)),"SEC LENDING",IF(ISNUMBER(SEARCH("Rimborso",'Statements (Raw)'!D576)),"REDEMPTION",IF(ISNUMBER(SEARCH("Provento",'Statements (Raw)'!D576)),"DISTRIBUTION","OTHER")))))))))))))</f>
        <v/>
      </c>
      <c r="D578" s="6" t="str">
        <f>IF(A578="","",IF(C578="Saldo Iniziale","Balance",IF(C578="CASH DEPOSIT","Deposit",IF(C578="CASH WITHDRAWAL","Withdrawal",IF(C578="STAMP DUTY","Tax",IF(C578="TOBIN TAX","Tax",IF(C578="WITHHOLDING TAX","Tax",IF(C578="DIVIDEND","Dividend",IF(C578="COUPON","Coupon",IF(C578="ACCRUED INT","Accrued Int.",IF(C578="SEC LENDING","Sec. Lending",IF(C578="REDEMPTION","Redemption",IF(C578="DISTRIBUTION","Distribution",IF(ISNUMBER(SEARCH("Rimborso",'Statements (Raw)'!D576)),"Redemption",IF(ISNUMBER(SEARCH("Cedola",'Statements (Raw)'!D576)),"Coupon",IF(ISNUMBER(SEARCH("Incasso Dividendi",'Statements (Raw)'!D576)),"Dividend",IF(ISNUMBER(SEARCH("Provento Etf",'Statements (Raw)'!D576)),"Distribution",IF(ISNUMBER(SEARCH("Rit.provento",'Statements (Raw)'!D576)),"Tax",IF(ISNUMBER(SEARCH("Ratei Pass",'Statements (Raw)'!D576)),"Accrued Int.",IF(ISNUMBER(SEARCH("Interessi Prest",'Statements (Raw)'!D576)),"Sec. Lending",IF('Statements (Raw)'!G576="","Other",IF('Statements (Raw)'!G576&gt;0,"Buy","Sell"))))))))))))))))))))))</f>
        <v/>
      </c>
      <c r="E578" s="6" t="str">
        <f t="shared" si="16"/>
        <v/>
      </c>
      <c r="F578" s="8" t="str">
        <f>IF(A578="","",IF('Statements (Raw)'!E576="","",'Statements (Raw)'!E576))</f>
        <v/>
      </c>
      <c r="G578" s="6" t="str">
        <f>IF(A578="","",IF('Statements (Raw)'!F576="","",'Statements (Raw)'!F576))</f>
        <v/>
      </c>
      <c r="H578" s="9" t="str">
        <f>IF(A578="","",IF('Statements (Raw)'!G576="","",'Statements (Raw)'!G576))</f>
        <v/>
      </c>
      <c r="I578" s="10" t="str">
        <f>IF(A578="","",IF('Statements (Raw)'!H576="","",'Statements (Raw)'!H576))</f>
        <v/>
      </c>
      <c r="J578" s="10">
        <f>IF(A578="",0,IF('Statements (Raw)'!I576="",0,'Statements (Raw)'!I576))</f>
        <v>0</v>
      </c>
      <c r="K578" s="10" t="str">
        <f t="shared" si="17"/>
        <v/>
      </c>
    </row>
    <row r="579" spans="1:11" x14ac:dyDescent="0.3">
      <c r="A579" s="171" t="str">
        <f>IF(OR('Statements (Raw)'!A577="",'Statements (Raw)'!A577&gt;Holdings!$G$3),"",'Statements (Raw)'!A577)</f>
        <v/>
      </c>
      <c r="B579" s="7" t="str">
        <f>IF(A579="","",IF('Statements (Raw)'!B577="","",'Statements (Raw)'!B577))</f>
        <v/>
      </c>
      <c r="C579" s="6" t="str">
        <f>IF(A579="","",IF('Statements (Raw)'!C577&lt;&gt;"",'Statements (Raw)'!C577,IF(ISNUMBER(SEARCH("Conferimento",'Statements (Raw)'!D577)),"CASH DEPOSIT",IF(ISNUMBER(SEARCH("Prelievo",'Statements (Raw)'!D577)),"CASH WITHDRAWAL",IF(ISNUMBER(SEARCH("Bollo",'Statements (Raw)'!D577)),"STAMP DUTY",IF(ISNUMBER(SEARCH("Tobin Tax",'Statements (Raw)'!D577)),"TOBIN TAX",IF(ISNUMBER(SEARCH("Rit.provento",'Statements (Raw)'!D577)),"WITHHOLDING TAX",IF(ISNUMBER(SEARCH("Incasso Dividendi",'Statements (Raw)'!D577)),"DIVIDEND",IF(ISNUMBER(SEARCH("Cedola",'Statements (Raw)'!D577)),"COUPON",IF(ISNUMBER(SEARCH("Ratei Pass",'Statements (Raw)'!D577)),"ACCRUED INT",IF(ISNUMBER(SEARCH("Interessi Prest",'Statements (Raw)'!D577)),"SEC LENDING",IF(ISNUMBER(SEARCH("Rimborso",'Statements (Raw)'!D577)),"REDEMPTION",IF(ISNUMBER(SEARCH("Provento",'Statements (Raw)'!D577)),"DISTRIBUTION","OTHER")))))))))))))</f>
        <v/>
      </c>
      <c r="D579" s="6" t="str">
        <f>IF(A579="","",IF(C579="Saldo Iniziale","Balance",IF(C579="CASH DEPOSIT","Deposit",IF(C579="CASH WITHDRAWAL","Withdrawal",IF(C579="STAMP DUTY","Tax",IF(C579="TOBIN TAX","Tax",IF(C579="WITHHOLDING TAX","Tax",IF(C579="DIVIDEND","Dividend",IF(C579="COUPON","Coupon",IF(C579="ACCRUED INT","Accrued Int.",IF(C579="SEC LENDING","Sec. Lending",IF(C579="REDEMPTION","Redemption",IF(C579="DISTRIBUTION","Distribution",IF(ISNUMBER(SEARCH("Rimborso",'Statements (Raw)'!D577)),"Redemption",IF(ISNUMBER(SEARCH("Cedola",'Statements (Raw)'!D577)),"Coupon",IF(ISNUMBER(SEARCH("Incasso Dividendi",'Statements (Raw)'!D577)),"Dividend",IF(ISNUMBER(SEARCH("Provento Etf",'Statements (Raw)'!D577)),"Distribution",IF(ISNUMBER(SEARCH("Rit.provento",'Statements (Raw)'!D577)),"Tax",IF(ISNUMBER(SEARCH("Ratei Pass",'Statements (Raw)'!D577)),"Accrued Int.",IF(ISNUMBER(SEARCH("Interessi Prest",'Statements (Raw)'!D577)),"Sec. Lending",IF('Statements (Raw)'!G577="","Other",IF('Statements (Raw)'!G577&gt;0,"Buy","Sell"))))))))))))))))))))))</f>
        <v/>
      </c>
      <c r="E579" s="6" t="str">
        <f t="shared" si="16"/>
        <v/>
      </c>
      <c r="F579" s="8" t="str">
        <f>IF(A579="","",IF('Statements (Raw)'!E577="","",'Statements (Raw)'!E577))</f>
        <v/>
      </c>
      <c r="G579" s="6" t="str">
        <f>IF(A579="","",IF('Statements (Raw)'!F577="","",'Statements (Raw)'!F577))</f>
        <v/>
      </c>
      <c r="H579" s="9" t="str">
        <f>IF(A579="","",IF('Statements (Raw)'!G577="","",'Statements (Raw)'!G577))</f>
        <v/>
      </c>
      <c r="I579" s="10" t="str">
        <f>IF(A579="","",IF('Statements (Raw)'!H577="","",'Statements (Raw)'!H577))</f>
        <v/>
      </c>
      <c r="J579" s="10">
        <f>IF(A579="",0,IF('Statements (Raw)'!I577="",0,'Statements (Raw)'!I577))</f>
        <v>0</v>
      </c>
      <c r="K579" s="10" t="str">
        <f t="shared" si="17"/>
        <v/>
      </c>
    </row>
    <row r="580" spans="1:11" x14ac:dyDescent="0.3">
      <c r="A580" s="171" t="str">
        <f>IF(OR('Statements (Raw)'!A578="",'Statements (Raw)'!A578&gt;Holdings!$G$3),"",'Statements (Raw)'!A578)</f>
        <v/>
      </c>
      <c r="B580" s="7" t="str">
        <f>IF(A580="","",IF('Statements (Raw)'!B578="","",'Statements (Raw)'!B578))</f>
        <v/>
      </c>
      <c r="C580" s="6" t="str">
        <f>IF(A580="","",IF('Statements (Raw)'!C578&lt;&gt;"",'Statements (Raw)'!C578,IF(ISNUMBER(SEARCH("Conferimento",'Statements (Raw)'!D578)),"CASH DEPOSIT",IF(ISNUMBER(SEARCH("Prelievo",'Statements (Raw)'!D578)),"CASH WITHDRAWAL",IF(ISNUMBER(SEARCH("Bollo",'Statements (Raw)'!D578)),"STAMP DUTY",IF(ISNUMBER(SEARCH("Tobin Tax",'Statements (Raw)'!D578)),"TOBIN TAX",IF(ISNUMBER(SEARCH("Rit.provento",'Statements (Raw)'!D578)),"WITHHOLDING TAX",IF(ISNUMBER(SEARCH("Incasso Dividendi",'Statements (Raw)'!D578)),"DIVIDEND",IF(ISNUMBER(SEARCH("Cedola",'Statements (Raw)'!D578)),"COUPON",IF(ISNUMBER(SEARCH("Ratei Pass",'Statements (Raw)'!D578)),"ACCRUED INT",IF(ISNUMBER(SEARCH("Interessi Prest",'Statements (Raw)'!D578)),"SEC LENDING",IF(ISNUMBER(SEARCH("Rimborso",'Statements (Raw)'!D578)),"REDEMPTION",IF(ISNUMBER(SEARCH("Provento",'Statements (Raw)'!D578)),"DISTRIBUTION","OTHER")))))))))))))</f>
        <v/>
      </c>
      <c r="D580" s="6" t="str">
        <f>IF(A580="","",IF(C580="Saldo Iniziale","Balance",IF(C580="CASH DEPOSIT","Deposit",IF(C580="CASH WITHDRAWAL","Withdrawal",IF(C580="STAMP DUTY","Tax",IF(C580="TOBIN TAX","Tax",IF(C580="WITHHOLDING TAX","Tax",IF(C580="DIVIDEND","Dividend",IF(C580="COUPON","Coupon",IF(C580="ACCRUED INT","Accrued Int.",IF(C580="SEC LENDING","Sec. Lending",IF(C580="REDEMPTION","Redemption",IF(C580="DISTRIBUTION","Distribution",IF(ISNUMBER(SEARCH("Rimborso",'Statements (Raw)'!D578)),"Redemption",IF(ISNUMBER(SEARCH("Cedola",'Statements (Raw)'!D578)),"Coupon",IF(ISNUMBER(SEARCH("Incasso Dividendi",'Statements (Raw)'!D578)),"Dividend",IF(ISNUMBER(SEARCH("Provento Etf",'Statements (Raw)'!D578)),"Distribution",IF(ISNUMBER(SEARCH("Rit.provento",'Statements (Raw)'!D578)),"Tax",IF(ISNUMBER(SEARCH("Ratei Pass",'Statements (Raw)'!D578)),"Accrued Int.",IF(ISNUMBER(SEARCH("Interessi Prest",'Statements (Raw)'!D578)),"Sec. Lending",IF('Statements (Raw)'!G578="","Other",IF('Statements (Raw)'!G578&gt;0,"Buy","Sell"))))))))))))))))))))))</f>
        <v/>
      </c>
      <c r="E580" s="6" t="str">
        <f t="shared" si="16"/>
        <v/>
      </c>
      <c r="F580" s="8" t="str">
        <f>IF(A580="","",IF('Statements (Raw)'!E578="","",'Statements (Raw)'!E578))</f>
        <v/>
      </c>
      <c r="G580" s="6" t="str">
        <f>IF(A580="","",IF('Statements (Raw)'!F578="","",'Statements (Raw)'!F578))</f>
        <v/>
      </c>
      <c r="H580" s="9" t="str">
        <f>IF(A580="","",IF('Statements (Raw)'!G578="","",'Statements (Raw)'!G578))</f>
        <v/>
      </c>
      <c r="I580" s="10" t="str">
        <f>IF(A580="","",IF('Statements (Raw)'!H578="","",'Statements (Raw)'!H578))</f>
        <v/>
      </c>
      <c r="J580" s="10">
        <f>IF(A580="",0,IF('Statements (Raw)'!I578="",0,'Statements (Raw)'!I578))</f>
        <v>0</v>
      </c>
      <c r="K580" s="10" t="str">
        <f t="shared" si="17"/>
        <v/>
      </c>
    </row>
    <row r="581" spans="1:11" x14ac:dyDescent="0.3">
      <c r="A581" s="171" t="str">
        <f>IF(OR('Statements (Raw)'!A579="",'Statements (Raw)'!A579&gt;Holdings!$G$3),"",'Statements (Raw)'!A579)</f>
        <v/>
      </c>
      <c r="B581" s="7" t="str">
        <f>IF(A581="","",IF('Statements (Raw)'!B579="","",'Statements (Raw)'!B579))</f>
        <v/>
      </c>
      <c r="C581" s="6" t="str">
        <f>IF(A581="","",IF('Statements (Raw)'!C579&lt;&gt;"",'Statements (Raw)'!C579,IF(ISNUMBER(SEARCH("Conferimento",'Statements (Raw)'!D579)),"CASH DEPOSIT",IF(ISNUMBER(SEARCH("Prelievo",'Statements (Raw)'!D579)),"CASH WITHDRAWAL",IF(ISNUMBER(SEARCH("Bollo",'Statements (Raw)'!D579)),"STAMP DUTY",IF(ISNUMBER(SEARCH("Tobin Tax",'Statements (Raw)'!D579)),"TOBIN TAX",IF(ISNUMBER(SEARCH("Rit.provento",'Statements (Raw)'!D579)),"WITHHOLDING TAX",IF(ISNUMBER(SEARCH("Incasso Dividendi",'Statements (Raw)'!D579)),"DIVIDEND",IF(ISNUMBER(SEARCH("Cedola",'Statements (Raw)'!D579)),"COUPON",IF(ISNUMBER(SEARCH("Ratei Pass",'Statements (Raw)'!D579)),"ACCRUED INT",IF(ISNUMBER(SEARCH("Interessi Prest",'Statements (Raw)'!D579)),"SEC LENDING",IF(ISNUMBER(SEARCH("Rimborso",'Statements (Raw)'!D579)),"REDEMPTION",IF(ISNUMBER(SEARCH("Provento",'Statements (Raw)'!D579)),"DISTRIBUTION","OTHER")))))))))))))</f>
        <v/>
      </c>
      <c r="D581" s="6" t="str">
        <f>IF(A581="","",IF(C581="Saldo Iniziale","Balance",IF(C581="CASH DEPOSIT","Deposit",IF(C581="CASH WITHDRAWAL","Withdrawal",IF(C581="STAMP DUTY","Tax",IF(C581="TOBIN TAX","Tax",IF(C581="WITHHOLDING TAX","Tax",IF(C581="DIVIDEND","Dividend",IF(C581="COUPON","Coupon",IF(C581="ACCRUED INT","Accrued Int.",IF(C581="SEC LENDING","Sec. Lending",IF(C581="REDEMPTION","Redemption",IF(C581="DISTRIBUTION","Distribution",IF(ISNUMBER(SEARCH("Rimborso",'Statements (Raw)'!D579)),"Redemption",IF(ISNUMBER(SEARCH("Cedola",'Statements (Raw)'!D579)),"Coupon",IF(ISNUMBER(SEARCH("Incasso Dividendi",'Statements (Raw)'!D579)),"Dividend",IF(ISNUMBER(SEARCH("Provento Etf",'Statements (Raw)'!D579)),"Distribution",IF(ISNUMBER(SEARCH("Rit.provento",'Statements (Raw)'!D579)),"Tax",IF(ISNUMBER(SEARCH("Ratei Pass",'Statements (Raw)'!D579)),"Accrued Int.",IF(ISNUMBER(SEARCH("Interessi Prest",'Statements (Raw)'!D579)),"Sec. Lending",IF('Statements (Raw)'!G579="","Other",IF('Statements (Raw)'!G579&gt;0,"Buy","Sell"))))))))))))))))))))))</f>
        <v/>
      </c>
      <c r="E581" s="6" t="str">
        <f t="shared" ref="E581:E644" si="18">IF(D581="","",IF(OR(D581="Balance",D581="Deposit",D581="Withdrawal"),"Cash",IF(D581="Tax","Tax/Fee",IF(OR(D581="Dividend",D581="Coupon",D581="Distribution",D581="Sec. Lending",D581="Accrued Int."),"Income",IF(D581="Redemption","Bond",IF(OR(D581="Buy",D581="Sell"),IF(OR(ISNUMBER(SEARCH("BOT ",C581)),ISNUMBER(SEARCH("BTP ",C581)),ISNUMBER(SEARCH("CARRARO",C581))),"Bond",IF(OR(ISNUMBER(SEARCH("isdom",C581)),ISNUMBER(SEARCH("ISHARES",C581)),ISNUMBER(SEARCH("iShares",C581))),"ETF/ETC",IF(OR(ISNUMBER(SEARCH("Bitwise",C581)),ISNUMBER(SEARCH("BITWISE",C581))),"Crypto ETP","Stock"))),"Other"))))))</f>
        <v/>
      </c>
      <c r="F581" s="8" t="str">
        <f>IF(A581="","",IF('Statements (Raw)'!E579="","",'Statements (Raw)'!E579))</f>
        <v/>
      </c>
      <c r="G581" s="6" t="str">
        <f>IF(A581="","",IF('Statements (Raw)'!F579="","",'Statements (Raw)'!F579))</f>
        <v/>
      </c>
      <c r="H581" s="9" t="str">
        <f>IF(A581="","",IF('Statements (Raw)'!G579="","",'Statements (Raw)'!G579))</f>
        <v/>
      </c>
      <c r="I581" s="10" t="str">
        <f>IF(A581="","",IF('Statements (Raw)'!H579="","",'Statements (Raw)'!H579))</f>
        <v/>
      </c>
      <c r="J581" s="10">
        <f>IF(A581="",0,IF('Statements (Raw)'!I579="",0,'Statements (Raw)'!I579))</f>
        <v>0</v>
      </c>
      <c r="K581" s="10" t="str">
        <f t="shared" ref="K581:K644" si="19">IF(I581="","",I581+J581)</f>
        <v/>
      </c>
    </row>
    <row r="582" spans="1:11" x14ac:dyDescent="0.3">
      <c r="A582" s="171" t="str">
        <f>IF(OR('Statements (Raw)'!A580="",'Statements (Raw)'!A580&gt;Holdings!$G$3),"",'Statements (Raw)'!A580)</f>
        <v/>
      </c>
      <c r="B582" s="7" t="str">
        <f>IF(A582="","",IF('Statements (Raw)'!B580="","",'Statements (Raw)'!B580))</f>
        <v/>
      </c>
      <c r="C582" s="6" t="str">
        <f>IF(A582="","",IF('Statements (Raw)'!C580&lt;&gt;"",'Statements (Raw)'!C580,IF(ISNUMBER(SEARCH("Conferimento",'Statements (Raw)'!D580)),"CASH DEPOSIT",IF(ISNUMBER(SEARCH("Prelievo",'Statements (Raw)'!D580)),"CASH WITHDRAWAL",IF(ISNUMBER(SEARCH("Bollo",'Statements (Raw)'!D580)),"STAMP DUTY",IF(ISNUMBER(SEARCH("Tobin Tax",'Statements (Raw)'!D580)),"TOBIN TAX",IF(ISNUMBER(SEARCH("Rit.provento",'Statements (Raw)'!D580)),"WITHHOLDING TAX",IF(ISNUMBER(SEARCH("Incasso Dividendi",'Statements (Raw)'!D580)),"DIVIDEND",IF(ISNUMBER(SEARCH("Cedola",'Statements (Raw)'!D580)),"COUPON",IF(ISNUMBER(SEARCH("Ratei Pass",'Statements (Raw)'!D580)),"ACCRUED INT",IF(ISNUMBER(SEARCH("Interessi Prest",'Statements (Raw)'!D580)),"SEC LENDING",IF(ISNUMBER(SEARCH("Rimborso",'Statements (Raw)'!D580)),"REDEMPTION",IF(ISNUMBER(SEARCH("Provento",'Statements (Raw)'!D580)),"DISTRIBUTION","OTHER")))))))))))))</f>
        <v/>
      </c>
      <c r="D582" s="6" t="str">
        <f>IF(A582="","",IF(C582="Saldo Iniziale","Balance",IF(C582="CASH DEPOSIT","Deposit",IF(C582="CASH WITHDRAWAL","Withdrawal",IF(C582="STAMP DUTY","Tax",IF(C582="TOBIN TAX","Tax",IF(C582="WITHHOLDING TAX","Tax",IF(C582="DIVIDEND","Dividend",IF(C582="COUPON","Coupon",IF(C582="ACCRUED INT","Accrued Int.",IF(C582="SEC LENDING","Sec. Lending",IF(C582="REDEMPTION","Redemption",IF(C582="DISTRIBUTION","Distribution",IF(ISNUMBER(SEARCH("Rimborso",'Statements (Raw)'!D580)),"Redemption",IF(ISNUMBER(SEARCH("Cedola",'Statements (Raw)'!D580)),"Coupon",IF(ISNUMBER(SEARCH("Incasso Dividendi",'Statements (Raw)'!D580)),"Dividend",IF(ISNUMBER(SEARCH("Provento Etf",'Statements (Raw)'!D580)),"Distribution",IF(ISNUMBER(SEARCH("Rit.provento",'Statements (Raw)'!D580)),"Tax",IF(ISNUMBER(SEARCH("Ratei Pass",'Statements (Raw)'!D580)),"Accrued Int.",IF(ISNUMBER(SEARCH("Interessi Prest",'Statements (Raw)'!D580)),"Sec. Lending",IF('Statements (Raw)'!G580="","Other",IF('Statements (Raw)'!G580&gt;0,"Buy","Sell"))))))))))))))))))))))</f>
        <v/>
      </c>
      <c r="E582" s="6" t="str">
        <f t="shared" si="18"/>
        <v/>
      </c>
      <c r="F582" s="8" t="str">
        <f>IF(A582="","",IF('Statements (Raw)'!E580="","",'Statements (Raw)'!E580))</f>
        <v/>
      </c>
      <c r="G582" s="6" t="str">
        <f>IF(A582="","",IF('Statements (Raw)'!F580="","",'Statements (Raw)'!F580))</f>
        <v/>
      </c>
      <c r="H582" s="9" t="str">
        <f>IF(A582="","",IF('Statements (Raw)'!G580="","",'Statements (Raw)'!G580))</f>
        <v/>
      </c>
      <c r="I582" s="10" t="str">
        <f>IF(A582="","",IF('Statements (Raw)'!H580="","",'Statements (Raw)'!H580))</f>
        <v/>
      </c>
      <c r="J582" s="10">
        <f>IF(A582="",0,IF('Statements (Raw)'!I580="",0,'Statements (Raw)'!I580))</f>
        <v>0</v>
      </c>
      <c r="K582" s="10" t="str">
        <f t="shared" si="19"/>
        <v/>
      </c>
    </row>
    <row r="583" spans="1:11" x14ac:dyDescent="0.3">
      <c r="A583" s="171" t="str">
        <f>IF(OR('Statements (Raw)'!A581="",'Statements (Raw)'!A581&gt;Holdings!$G$3),"",'Statements (Raw)'!A581)</f>
        <v/>
      </c>
      <c r="B583" s="7" t="str">
        <f>IF(A583="","",IF('Statements (Raw)'!B581="","",'Statements (Raw)'!B581))</f>
        <v/>
      </c>
      <c r="C583" s="6" t="str">
        <f>IF(A583="","",IF('Statements (Raw)'!C581&lt;&gt;"",'Statements (Raw)'!C581,IF(ISNUMBER(SEARCH("Conferimento",'Statements (Raw)'!D581)),"CASH DEPOSIT",IF(ISNUMBER(SEARCH("Prelievo",'Statements (Raw)'!D581)),"CASH WITHDRAWAL",IF(ISNUMBER(SEARCH("Bollo",'Statements (Raw)'!D581)),"STAMP DUTY",IF(ISNUMBER(SEARCH("Tobin Tax",'Statements (Raw)'!D581)),"TOBIN TAX",IF(ISNUMBER(SEARCH("Rit.provento",'Statements (Raw)'!D581)),"WITHHOLDING TAX",IF(ISNUMBER(SEARCH("Incasso Dividendi",'Statements (Raw)'!D581)),"DIVIDEND",IF(ISNUMBER(SEARCH("Cedola",'Statements (Raw)'!D581)),"COUPON",IF(ISNUMBER(SEARCH("Ratei Pass",'Statements (Raw)'!D581)),"ACCRUED INT",IF(ISNUMBER(SEARCH("Interessi Prest",'Statements (Raw)'!D581)),"SEC LENDING",IF(ISNUMBER(SEARCH("Rimborso",'Statements (Raw)'!D581)),"REDEMPTION",IF(ISNUMBER(SEARCH("Provento",'Statements (Raw)'!D581)),"DISTRIBUTION","OTHER")))))))))))))</f>
        <v/>
      </c>
      <c r="D583" s="6" t="str">
        <f>IF(A583="","",IF(C583="Saldo Iniziale","Balance",IF(C583="CASH DEPOSIT","Deposit",IF(C583="CASH WITHDRAWAL","Withdrawal",IF(C583="STAMP DUTY","Tax",IF(C583="TOBIN TAX","Tax",IF(C583="WITHHOLDING TAX","Tax",IF(C583="DIVIDEND","Dividend",IF(C583="COUPON","Coupon",IF(C583="ACCRUED INT","Accrued Int.",IF(C583="SEC LENDING","Sec. Lending",IF(C583="REDEMPTION","Redemption",IF(C583="DISTRIBUTION","Distribution",IF(ISNUMBER(SEARCH("Rimborso",'Statements (Raw)'!D581)),"Redemption",IF(ISNUMBER(SEARCH("Cedola",'Statements (Raw)'!D581)),"Coupon",IF(ISNUMBER(SEARCH("Incasso Dividendi",'Statements (Raw)'!D581)),"Dividend",IF(ISNUMBER(SEARCH("Provento Etf",'Statements (Raw)'!D581)),"Distribution",IF(ISNUMBER(SEARCH("Rit.provento",'Statements (Raw)'!D581)),"Tax",IF(ISNUMBER(SEARCH("Ratei Pass",'Statements (Raw)'!D581)),"Accrued Int.",IF(ISNUMBER(SEARCH("Interessi Prest",'Statements (Raw)'!D581)),"Sec. Lending",IF('Statements (Raw)'!G581="","Other",IF('Statements (Raw)'!G581&gt;0,"Buy","Sell"))))))))))))))))))))))</f>
        <v/>
      </c>
      <c r="E583" s="6" t="str">
        <f t="shared" si="18"/>
        <v/>
      </c>
      <c r="F583" s="8" t="str">
        <f>IF(A583="","",IF('Statements (Raw)'!E581="","",'Statements (Raw)'!E581))</f>
        <v/>
      </c>
      <c r="G583" s="6" t="str">
        <f>IF(A583="","",IF('Statements (Raw)'!F581="","",'Statements (Raw)'!F581))</f>
        <v/>
      </c>
      <c r="H583" s="9" t="str">
        <f>IF(A583="","",IF('Statements (Raw)'!G581="","",'Statements (Raw)'!G581))</f>
        <v/>
      </c>
      <c r="I583" s="10" t="str">
        <f>IF(A583="","",IF('Statements (Raw)'!H581="","",'Statements (Raw)'!H581))</f>
        <v/>
      </c>
      <c r="J583" s="10">
        <f>IF(A583="",0,IF('Statements (Raw)'!I581="",0,'Statements (Raw)'!I581))</f>
        <v>0</v>
      </c>
      <c r="K583" s="10" t="str">
        <f t="shared" si="19"/>
        <v/>
      </c>
    </row>
    <row r="584" spans="1:11" x14ac:dyDescent="0.3">
      <c r="A584" s="171" t="str">
        <f>IF(OR('Statements (Raw)'!A582="",'Statements (Raw)'!A582&gt;Holdings!$G$3),"",'Statements (Raw)'!A582)</f>
        <v/>
      </c>
      <c r="B584" s="7" t="str">
        <f>IF(A584="","",IF('Statements (Raw)'!B582="","",'Statements (Raw)'!B582))</f>
        <v/>
      </c>
      <c r="C584" s="6" t="str">
        <f>IF(A584="","",IF('Statements (Raw)'!C582&lt;&gt;"",'Statements (Raw)'!C582,IF(ISNUMBER(SEARCH("Conferimento",'Statements (Raw)'!D582)),"CASH DEPOSIT",IF(ISNUMBER(SEARCH("Prelievo",'Statements (Raw)'!D582)),"CASH WITHDRAWAL",IF(ISNUMBER(SEARCH("Bollo",'Statements (Raw)'!D582)),"STAMP DUTY",IF(ISNUMBER(SEARCH("Tobin Tax",'Statements (Raw)'!D582)),"TOBIN TAX",IF(ISNUMBER(SEARCH("Rit.provento",'Statements (Raw)'!D582)),"WITHHOLDING TAX",IF(ISNUMBER(SEARCH("Incasso Dividendi",'Statements (Raw)'!D582)),"DIVIDEND",IF(ISNUMBER(SEARCH("Cedola",'Statements (Raw)'!D582)),"COUPON",IF(ISNUMBER(SEARCH("Ratei Pass",'Statements (Raw)'!D582)),"ACCRUED INT",IF(ISNUMBER(SEARCH("Interessi Prest",'Statements (Raw)'!D582)),"SEC LENDING",IF(ISNUMBER(SEARCH("Rimborso",'Statements (Raw)'!D582)),"REDEMPTION",IF(ISNUMBER(SEARCH("Provento",'Statements (Raw)'!D582)),"DISTRIBUTION","OTHER")))))))))))))</f>
        <v/>
      </c>
      <c r="D584" s="6" t="str">
        <f>IF(A584="","",IF(C584="Saldo Iniziale","Balance",IF(C584="CASH DEPOSIT","Deposit",IF(C584="CASH WITHDRAWAL","Withdrawal",IF(C584="STAMP DUTY","Tax",IF(C584="TOBIN TAX","Tax",IF(C584="WITHHOLDING TAX","Tax",IF(C584="DIVIDEND","Dividend",IF(C584="COUPON","Coupon",IF(C584="ACCRUED INT","Accrued Int.",IF(C584="SEC LENDING","Sec. Lending",IF(C584="REDEMPTION","Redemption",IF(C584="DISTRIBUTION","Distribution",IF(ISNUMBER(SEARCH("Rimborso",'Statements (Raw)'!D582)),"Redemption",IF(ISNUMBER(SEARCH("Cedola",'Statements (Raw)'!D582)),"Coupon",IF(ISNUMBER(SEARCH("Incasso Dividendi",'Statements (Raw)'!D582)),"Dividend",IF(ISNUMBER(SEARCH("Provento Etf",'Statements (Raw)'!D582)),"Distribution",IF(ISNUMBER(SEARCH("Rit.provento",'Statements (Raw)'!D582)),"Tax",IF(ISNUMBER(SEARCH("Ratei Pass",'Statements (Raw)'!D582)),"Accrued Int.",IF(ISNUMBER(SEARCH("Interessi Prest",'Statements (Raw)'!D582)),"Sec. Lending",IF('Statements (Raw)'!G582="","Other",IF('Statements (Raw)'!G582&gt;0,"Buy","Sell"))))))))))))))))))))))</f>
        <v/>
      </c>
      <c r="E584" s="6" t="str">
        <f t="shared" si="18"/>
        <v/>
      </c>
      <c r="F584" s="8" t="str">
        <f>IF(A584="","",IF('Statements (Raw)'!E582="","",'Statements (Raw)'!E582))</f>
        <v/>
      </c>
      <c r="G584" s="6" t="str">
        <f>IF(A584="","",IF('Statements (Raw)'!F582="","",'Statements (Raw)'!F582))</f>
        <v/>
      </c>
      <c r="H584" s="9" t="str">
        <f>IF(A584="","",IF('Statements (Raw)'!G582="","",'Statements (Raw)'!G582))</f>
        <v/>
      </c>
      <c r="I584" s="10" t="str">
        <f>IF(A584="","",IF('Statements (Raw)'!H582="","",'Statements (Raw)'!H582))</f>
        <v/>
      </c>
      <c r="J584" s="10">
        <f>IF(A584="",0,IF('Statements (Raw)'!I582="",0,'Statements (Raw)'!I582))</f>
        <v>0</v>
      </c>
      <c r="K584" s="10" t="str">
        <f t="shared" si="19"/>
        <v/>
      </c>
    </row>
    <row r="585" spans="1:11" x14ac:dyDescent="0.3">
      <c r="A585" s="171" t="str">
        <f>IF(OR('Statements (Raw)'!A583="",'Statements (Raw)'!A583&gt;Holdings!$G$3),"",'Statements (Raw)'!A583)</f>
        <v/>
      </c>
      <c r="B585" s="7" t="str">
        <f>IF(A585="","",IF('Statements (Raw)'!B583="","",'Statements (Raw)'!B583))</f>
        <v/>
      </c>
      <c r="C585" s="6" t="str">
        <f>IF(A585="","",IF('Statements (Raw)'!C583&lt;&gt;"",'Statements (Raw)'!C583,IF(ISNUMBER(SEARCH("Conferimento",'Statements (Raw)'!D583)),"CASH DEPOSIT",IF(ISNUMBER(SEARCH("Prelievo",'Statements (Raw)'!D583)),"CASH WITHDRAWAL",IF(ISNUMBER(SEARCH("Bollo",'Statements (Raw)'!D583)),"STAMP DUTY",IF(ISNUMBER(SEARCH("Tobin Tax",'Statements (Raw)'!D583)),"TOBIN TAX",IF(ISNUMBER(SEARCH("Rit.provento",'Statements (Raw)'!D583)),"WITHHOLDING TAX",IF(ISNUMBER(SEARCH("Incasso Dividendi",'Statements (Raw)'!D583)),"DIVIDEND",IF(ISNUMBER(SEARCH("Cedola",'Statements (Raw)'!D583)),"COUPON",IF(ISNUMBER(SEARCH("Ratei Pass",'Statements (Raw)'!D583)),"ACCRUED INT",IF(ISNUMBER(SEARCH("Interessi Prest",'Statements (Raw)'!D583)),"SEC LENDING",IF(ISNUMBER(SEARCH("Rimborso",'Statements (Raw)'!D583)),"REDEMPTION",IF(ISNUMBER(SEARCH("Provento",'Statements (Raw)'!D583)),"DISTRIBUTION","OTHER")))))))))))))</f>
        <v/>
      </c>
      <c r="D585" s="6" t="str">
        <f>IF(A585="","",IF(C585="Saldo Iniziale","Balance",IF(C585="CASH DEPOSIT","Deposit",IF(C585="CASH WITHDRAWAL","Withdrawal",IF(C585="STAMP DUTY","Tax",IF(C585="TOBIN TAX","Tax",IF(C585="WITHHOLDING TAX","Tax",IF(C585="DIVIDEND","Dividend",IF(C585="COUPON","Coupon",IF(C585="ACCRUED INT","Accrued Int.",IF(C585="SEC LENDING","Sec. Lending",IF(C585="REDEMPTION","Redemption",IF(C585="DISTRIBUTION","Distribution",IF(ISNUMBER(SEARCH("Rimborso",'Statements (Raw)'!D583)),"Redemption",IF(ISNUMBER(SEARCH("Cedola",'Statements (Raw)'!D583)),"Coupon",IF(ISNUMBER(SEARCH("Incasso Dividendi",'Statements (Raw)'!D583)),"Dividend",IF(ISNUMBER(SEARCH("Provento Etf",'Statements (Raw)'!D583)),"Distribution",IF(ISNUMBER(SEARCH("Rit.provento",'Statements (Raw)'!D583)),"Tax",IF(ISNUMBER(SEARCH("Ratei Pass",'Statements (Raw)'!D583)),"Accrued Int.",IF(ISNUMBER(SEARCH("Interessi Prest",'Statements (Raw)'!D583)),"Sec. Lending",IF('Statements (Raw)'!G583="","Other",IF('Statements (Raw)'!G583&gt;0,"Buy","Sell"))))))))))))))))))))))</f>
        <v/>
      </c>
      <c r="E585" s="6" t="str">
        <f t="shared" si="18"/>
        <v/>
      </c>
      <c r="F585" s="8" t="str">
        <f>IF(A585="","",IF('Statements (Raw)'!E583="","",'Statements (Raw)'!E583))</f>
        <v/>
      </c>
      <c r="G585" s="6" t="str">
        <f>IF(A585="","",IF('Statements (Raw)'!F583="","",'Statements (Raw)'!F583))</f>
        <v/>
      </c>
      <c r="H585" s="9" t="str">
        <f>IF(A585="","",IF('Statements (Raw)'!G583="","",'Statements (Raw)'!G583))</f>
        <v/>
      </c>
      <c r="I585" s="10" t="str">
        <f>IF(A585="","",IF('Statements (Raw)'!H583="","",'Statements (Raw)'!H583))</f>
        <v/>
      </c>
      <c r="J585" s="10">
        <f>IF(A585="",0,IF('Statements (Raw)'!I583="",0,'Statements (Raw)'!I583))</f>
        <v>0</v>
      </c>
      <c r="K585" s="10" t="str">
        <f t="shared" si="19"/>
        <v/>
      </c>
    </row>
    <row r="586" spans="1:11" x14ac:dyDescent="0.3">
      <c r="A586" s="171" t="str">
        <f>IF(OR('Statements (Raw)'!A584="",'Statements (Raw)'!A584&gt;Holdings!$G$3),"",'Statements (Raw)'!A584)</f>
        <v/>
      </c>
      <c r="B586" s="7" t="str">
        <f>IF(A586="","",IF('Statements (Raw)'!B584="","",'Statements (Raw)'!B584))</f>
        <v/>
      </c>
      <c r="C586" s="6" t="str">
        <f>IF(A586="","",IF('Statements (Raw)'!C584&lt;&gt;"",'Statements (Raw)'!C584,IF(ISNUMBER(SEARCH("Conferimento",'Statements (Raw)'!D584)),"CASH DEPOSIT",IF(ISNUMBER(SEARCH("Prelievo",'Statements (Raw)'!D584)),"CASH WITHDRAWAL",IF(ISNUMBER(SEARCH("Bollo",'Statements (Raw)'!D584)),"STAMP DUTY",IF(ISNUMBER(SEARCH("Tobin Tax",'Statements (Raw)'!D584)),"TOBIN TAX",IF(ISNUMBER(SEARCH("Rit.provento",'Statements (Raw)'!D584)),"WITHHOLDING TAX",IF(ISNUMBER(SEARCH("Incasso Dividendi",'Statements (Raw)'!D584)),"DIVIDEND",IF(ISNUMBER(SEARCH("Cedola",'Statements (Raw)'!D584)),"COUPON",IF(ISNUMBER(SEARCH("Ratei Pass",'Statements (Raw)'!D584)),"ACCRUED INT",IF(ISNUMBER(SEARCH("Interessi Prest",'Statements (Raw)'!D584)),"SEC LENDING",IF(ISNUMBER(SEARCH("Rimborso",'Statements (Raw)'!D584)),"REDEMPTION",IF(ISNUMBER(SEARCH("Provento",'Statements (Raw)'!D584)),"DISTRIBUTION","OTHER")))))))))))))</f>
        <v/>
      </c>
      <c r="D586" s="6" t="str">
        <f>IF(A586="","",IF(C586="Saldo Iniziale","Balance",IF(C586="CASH DEPOSIT","Deposit",IF(C586="CASH WITHDRAWAL","Withdrawal",IF(C586="STAMP DUTY","Tax",IF(C586="TOBIN TAX","Tax",IF(C586="WITHHOLDING TAX","Tax",IF(C586="DIVIDEND","Dividend",IF(C586="COUPON","Coupon",IF(C586="ACCRUED INT","Accrued Int.",IF(C586="SEC LENDING","Sec. Lending",IF(C586="REDEMPTION","Redemption",IF(C586="DISTRIBUTION","Distribution",IF(ISNUMBER(SEARCH("Rimborso",'Statements (Raw)'!D584)),"Redemption",IF(ISNUMBER(SEARCH("Cedola",'Statements (Raw)'!D584)),"Coupon",IF(ISNUMBER(SEARCH("Incasso Dividendi",'Statements (Raw)'!D584)),"Dividend",IF(ISNUMBER(SEARCH("Provento Etf",'Statements (Raw)'!D584)),"Distribution",IF(ISNUMBER(SEARCH("Rit.provento",'Statements (Raw)'!D584)),"Tax",IF(ISNUMBER(SEARCH("Ratei Pass",'Statements (Raw)'!D584)),"Accrued Int.",IF(ISNUMBER(SEARCH("Interessi Prest",'Statements (Raw)'!D584)),"Sec. Lending",IF('Statements (Raw)'!G584="","Other",IF('Statements (Raw)'!G584&gt;0,"Buy","Sell"))))))))))))))))))))))</f>
        <v/>
      </c>
      <c r="E586" s="6" t="str">
        <f t="shared" si="18"/>
        <v/>
      </c>
      <c r="F586" s="8" t="str">
        <f>IF(A586="","",IF('Statements (Raw)'!E584="","",'Statements (Raw)'!E584))</f>
        <v/>
      </c>
      <c r="G586" s="6" t="str">
        <f>IF(A586="","",IF('Statements (Raw)'!F584="","",'Statements (Raw)'!F584))</f>
        <v/>
      </c>
      <c r="H586" s="9" t="str">
        <f>IF(A586="","",IF('Statements (Raw)'!G584="","",'Statements (Raw)'!G584))</f>
        <v/>
      </c>
      <c r="I586" s="10" t="str">
        <f>IF(A586="","",IF('Statements (Raw)'!H584="","",'Statements (Raw)'!H584))</f>
        <v/>
      </c>
      <c r="J586" s="10">
        <f>IF(A586="",0,IF('Statements (Raw)'!I584="",0,'Statements (Raw)'!I584))</f>
        <v>0</v>
      </c>
      <c r="K586" s="10" t="str">
        <f t="shared" si="19"/>
        <v/>
      </c>
    </row>
    <row r="587" spans="1:11" x14ac:dyDescent="0.3">
      <c r="A587" s="171" t="str">
        <f>IF(OR('Statements (Raw)'!A585="",'Statements (Raw)'!A585&gt;Holdings!$G$3),"",'Statements (Raw)'!A585)</f>
        <v/>
      </c>
      <c r="B587" s="7" t="str">
        <f>IF(A587="","",IF('Statements (Raw)'!B585="","",'Statements (Raw)'!B585))</f>
        <v/>
      </c>
      <c r="C587" s="6" t="str">
        <f>IF(A587="","",IF('Statements (Raw)'!C585&lt;&gt;"",'Statements (Raw)'!C585,IF(ISNUMBER(SEARCH("Conferimento",'Statements (Raw)'!D585)),"CASH DEPOSIT",IF(ISNUMBER(SEARCH("Prelievo",'Statements (Raw)'!D585)),"CASH WITHDRAWAL",IF(ISNUMBER(SEARCH("Bollo",'Statements (Raw)'!D585)),"STAMP DUTY",IF(ISNUMBER(SEARCH("Tobin Tax",'Statements (Raw)'!D585)),"TOBIN TAX",IF(ISNUMBER(SEARCH("Rit.provento",'Statements (Raw)'!D585)),"WITHHOLDING TAX",IF(ISNUMBER(SEARCH("Incasso Dividendi",'Statements (Raw)'!D585)),"DIVIDEND",IF(ISNUMBER(SEARCH("Cedola",'Statements (Raw)'!D585)),"COUPON",IF(ISNUMBER(SEARCH("Ratei Pass",'Statements (Raw)'!D585)),"ACCRUED INT",IF(ISNUMBER(SEARCH("Interessi Prest",'Statements (Raw)'!D585)),"SEC LENDING",IF(ISNUMBER(SEARCH("Rimborso",'Statements (Raw)'!D585)),"REDEMPTION",IF(ISNUMBER(SEARCH("Provento",'Statements (Raw)'!D585)),"DISTRIBUTION","OTHER")))))))))))))</f>
        <v/>
      </c>
      <c r="D587" s="6" t="str">
        <f>IF(A587="","",IF(C587="Saldo Iniziale","Balance",IF(C587="CASH DEPOSIT","Deposit",IF(C587="CASH WITHDRAWAL","Withdrawal",IF(C587="STAMP DUTY","Tax",IF(C587="TOBIN TAX","Tax",IF(C587="WITHHOLDING TAX","Tax",IF(C587="DIVIDEND","Dividend",IF(C587="COUPON","Coupon",IF(C587="ACCRUED INT","Accrued Int.",IF(C587="SEC LENDING","Sec. Lending",IF(C587="REDEMPTION","Redemption",IF(C587="DISTRIBUTION","Distribution",IF(ISNUMBER(SEARCH("Rimborso",'Statements (Raw)'!D585)),"Redemption",IF(ISNUMBER(SEARCH("Cedola",'Statements (Raw)'!D585)),"Coupon",IF(ISNUMBER(SEARCH("Incasso Dividendi",'Statements (Raw)'!D585)),"Dividend",IF(ISNUMBER(SEARCH("Provento Etf",'Statements (Raw)'!D585)),"Distribution",IF(ISNUMBER(SEARCH("Rit.provento",'Statements (Raw)'!D585)),"Tax",IF(ISNUMBER(SEARCH("Ratei Pass",'Statements (Raw)'!D585)),"Accrued Int.",IF(ISNUMBER(SEARCH("Interessi Prest",'Statements (Raw)'!D585)),"Sec. Lending",IF('Statements (Raw)'!G585="","Other",IF('Statements (Raw)'!G585&gt;0,"Buy","Sell"))))))))))))))))))))))</f>
        <v/>
      </c>
      <c r="E587" s="6" t="str">
        <f t="shared" si="18"/>
        <v/>
      </c>
      <c r="F587" s="8" t="str">
        <f>IF(A587="","",IF('Statements (Raw)'!E585="","",'Statements (Raw)'!E585))</f>
        <v/>
      </c>
      <c r="G587" s="6" t="str">
        <f>IF(A587="","",IF('Statements (Raw)'!F585="","",'Statements (Raw)'!F585))</f>
        <v/>
      </c>
      <c r="H587" s="9" t="str">
        <f>IF(A587="","",IF('Statements (Raw)'!G585="","",'Statements (Raw)'!G585))</f>
        <v/>
      </c>
      <c r="I587" s="10" t="str">
        <f>IF(A587="","",IF('Statements (Raw)'!H585="","",'Statements (Raw)'!H585))</f>
        <v/>
      </c>
      <c r="J587" s="10">
        <f>IF(A587="",0,IF('Statements (Raw)'!I585="",0,'Statements (Raw)'!I585))</f>
        <v>0</v>
      </c>
      <c r="K587" s="10" t="str">
        <f t="shared" si="19"/>
        <v/>
      </c>
    </row>
    <row r="588" spans="1:11" x14ac:dyDescent="0.3">
      <c r="A588" s="171" t="str">
        <f>IF(OR('Statements (Raw)'!A586="",'Statements (Raw)'!A586&gt;Holdings!$G$3),"",'Statements (Raw)'!A586)</f>
        <v/>
      </c>
      <c r="B588" s="7" t="str">
        <f>IF(A588="","",IF('Statements (Raw)'!B586="","",'Statements (Raw)'!B586))</f>
        <v/>
      </c>
      <c r="C588" s="6" t="str">
        <f>IF(A588="","",IF('Statements (Raw)'!C586&lt;&gt;"",'Statements (Raw)'!C586,IF(ISNUMBER(SEARCH("Conferimento",'Statements (Raw)'!D586)),"CASH DEPOSIT",IF(ISNUMBER(SEARCH("Prelievo",'Statements (Raw)'!D586)),"CASH WITHDRAWAL",IF(ISNUMBER(SEARCH("Bollo",'Statements (Raw)'!D586)),"STAMP DUTY",IF(ISNUMBER(SEARCH("Tobin Tax",'Statements (Raw)'!D586)),"TOBIN TAX",IF(ISNUMBER(SEARCH("Rit.provento",'Statements (Raw)'!D586)),"WITHHOLDING TAX",IF(ISNUMBER(SEARCH("Incasso Dividendi",'Statements (Raw)'!D586)),"DIVIDEND",IF(ISNUMBER(SEARCH("Cedola",'Statements (Raw)'!D586)),"COUPON",IF(ISNUMBER(SEARCH("Ratei Pass",'Statements (Raw)'!D586)),"ACCRUED INT",IF(ISNUMBER(SEARCH("Interessi Prest",'Statements (Raw)'!D586)),"SEC LENDING",IF(ISNUMBER(SEARCH("Rimborso",'Statements (Raw)'!D586)),"REDEMPTION",IF(ISNUMBER(SEARCH("Provento",'Statements (Raw)'!D586)),"DISTRIBUTION","OTHER")))))))))))))</f>
        <v/>
      </c>
      <c r="D588" s="6" t="str">
        <f>IF(A588="","",IF(C588="Saldo Iniziale","Balance",IF(C588="CASH DEPOSIT","Deposit",IF(C588="CASH WITHDRAWAL","Withdrawal",IF(C588="STAMP DUTY","Tax",IF(C588="TOBIN TAX","Tax",IF(C588="WITHHOLDING TAX","Tax",IF(C588="DIVIDEND","Dividend",IF(C588="COUPON","Coupon",IF(C588="ACCRUED INT","Accrued Int.",IF(C588="SEC LENDING","Sec. Lending",IF(C588="REDEMPTION","Redemption",IF(C588="DISTRIBUTION","Distribution",IF(ISNUMBER(SEARCH("Rimborso",'Statements (Raw)'!D586)),"Redemption",IF(ISNUMBER(SEARCH("Cedola",'Statements (Raw)'!D586)),"Coupon",IF(ISNUMBER(SEARCH("Incasso Dividendi",'Statements (Raw)'!D586)),"Dividend",IF(ISNUMBER(SEARCH("Provento Etf",'Statements (Raw)'!D586)),"Distribution",IF(ISNUMBER(SEARCH("Rit.provento",'Statements (Raw)'!D586)),"Tax",IF(ISNUMBER(SEARCH("Ratei Pass",'Statements (Raw)'!D586)),"Accrued Int.",IF(ISNUMBER(SEARCH("Interessi Prest",'Statements (Raw)'!D586)),"Sec. Lending",IF('Statements (Raw)'!G586="","Other",IF('Statements (Raw)'!G586&gt;0,"Buy","Sell"))))))))))))))))))))))</f>
        <v/>
      </c>
      <c r="E588" s="6" t="str">
        <f t="shared" si="18"/>
        <v/>
      </c>
      <c r="F588" s="8" t="str">
        <f>IF(A588="","",IF('Statements (Raw)'!E586="","",'Statements (Raw)'!E586))</f>
        <v/>
      </c>
      <c r="G588" s="6" t="str">
        <f>IF(A588="","",IF('Statements (Raw)'!F586="","",'Statements (Raw)'!F586))</f>
        <v/>
      </c>
      <c r="H588" s="9" t="str">
        <f>IF(A588="","",IF('Statements (Raw)'!G586="","",'Statements (Raw)'!G586))</f>
        <v/>
      </c>
      <c r="I588" s="10" t="str">
        <f>IF(A588="","",IF('Statements (Raw)'!H586="","",'Statements (Raw)'!H586))</f>
        <v/>
      </c>
      <c r="J588" s="10">
        <f>IF(A588="",0,IF('Statements (Raw)'!I586="",0,'Statements (Raw)'!I586))</f>
        <v>0</v>
      </c>
      <c r="K588" s="10" t="str">
        <f t="shared" si="19"/>
        <v/>
      </c>
    </row>
    <row r="589" spans="1:11" x14ac:dyDescent="0.3">
      <c r="A589" s="171" t="str">
        <f>IF(OR('Statements (Raw)'!A587="",'Statements (Raw)'!A587&gt;Holdings!$G$3),"",'Statements (Raw)'!A587)</f>
        <v/>
      </c>
      <c r="B589" s="7" t="str">
        <f>IF(A589="","",IF('Statements (Raw)'!B587="","",'Statements (Raw)'!B587))</f>
        <v/>
      </c>
      <c r="C589" s="6" t="str">
        <f>IF(A589="","",IF('Statements (Raw)'!C587&lt;&gt;"",'Statements (Raw)'!C587,IF(ISNUMBER(SEARCH("Conferimento",'Statements (Raw)'!D587)),"CASH DEPOSIT",IF(ISNUMBER(SEARCH("Prelievo",'Statements (Raw)'!D587)),"CASH WITHDRAWAL",IF(ISNUMBER(SEARCH("Bollo",'Statements (Raw)'!D587)),"STAMP DUTY",IF(ISNUMBER(SEARCH("Tobin Tax",'Statements (Raw)'!D587)),"TOBIN TAX",IF(ISNUMBER(SEARCH("Rit.provento",'Statements (Raw)'!D587)),"WITHHOLDING TAX",IF(ISNUMBER(SEARCH("Incasso Dividendi",'Statements (Raw)'!D587)),"DIVIDEND",IF(ISNUMBER(SEARCH("Cedola",'Statements (Raw)'!D587)),"COUPON",IF(ISNUMBER(SEARCH("Ratei Pass",'Statements (Raw)'!D587)),"ACCRUED INT",IF(ISNUMBER(SEARCH("Interessi Prest",'Statements (Raw)'!D587)),"SEC LENDING",IF(ISNUMBER(SEARCH("Rimborso",'Statements (Raw)'!D587)),"REDEMPTION",IF(ISNUMBER(SEARCH("Provento",'Statements (Raw)'!D587)),"DISTRIBUTION","OTHER")))))))))))))</f>
        <v/>
      </c>
      <c r="D589" s="6" t="str">
        <f>IF(A589="","",IF(C589="Saldo Iniziale","Balance",IF(C589="CASH DEPOSIT","Deposit",IF(C589="CASH WITHDRAWAL","Withdrawal",IF(C589="STAMP DUTY","Tax",IF(C589="TOBIN TAX","Tax",IF(C589="WITHHOLDING TAX","Tax",IF(C589="DIVIDEND","Dividend",IF(C589="COUPON","Coupon",IF(C589="ACCRUED INT","Accrued Int.",IF(C589="SEC LENDING","Sec. Lending",IF(C589="REDEMPTION","Redemption",IF(C589="DISTRIBUTION","Distribution",IF(ISNUMBER(SEARCH("Rimborso",'Statements (Raw)'!D587)),"Redemption",IF(ISNUMBER(SEARCH("Cedola",'Statements (Raw)'!D587)),"Coupon",IF(ISNUMBER(SEARCH("Incasso Dividendi",'Statements (Raw)'!D587)),"Dividend",IF(ISNUMBER(SEARCH("Provento Etf",'Statements (Raw)'!D587)),"Distribution",IF(ISNUMBER(SEARCH("Rit.provento",'Statements (Raw)'!D587)),"Tax",IF(ISNUMBER(SEARCH("Ratei Pass",'Statements (Raw)'!D587)),"Accrued Int.",IF(ISNUMBER(SEARCH("Interessi Prest",'Statements (Raw)'!D587)),"Sec. Lending",IF('Statements (Raw)'!G587="","Other",IF('Statements (Raw)'!G587&gt;0,"Buy","Sell"))))))))))))))))))))))</f>
        <v/>
      </c>
      <c r="E589" s="6" t="str">
        <f t="shared" si="18"/>
        <v/>
      </c>
      <c r="F589" s="8" t="str">
        <f>IF(A589="","",IF('Statements (Raw)'!E587="","",'Statements (Raw)'!E587))</f>
        <v/>
      </c>
      <c r="G589" s="6" t="str">
        <f>IF(A589="","",IF('Statements (Raw)'!F587="","",'Statements (Raw)'!F587))</f>
        <v/>
      </c>
      <c r="H589" s="9" t="str">
        <f>IF(A589="","",IF('Statements (Raw)'!G587="","",'Statements (Raw)'!G587))</f>
        <v/>
      </c>
      <c r="I589" s="10" t="str">
        <f>IF(A589="","",IF('Statements (Raw)'!H587="","",'Statements (Raw)'!H587))</f>
        <v/>
      </c>
      <c r="J589" s="10">
        <f>IF(A589="",0,IF('Statements (Raw)'!I587="",0,'Statements (Raw)'!I587))</f>
        <v>0</v>
      </c>
      <c r="K589" s="10" t="str">
        <f t="shared" si="19"/>
        <v/>
      </c>
    </row>
    <row r="590" spans="1:11" x14ac:dyDescent="0.3">
      <c r="A590" s="171" t="str">
        <f>IF(OR('Statements (Raw)'!A588="",'Statements (Raw)'!A588&gt;Holdings!$G$3),"",'Statements (Raw)'!A588)</f>
        <v/>
      </c>
      <c r="B590" s="7" t="str">
        <f>IF(A590="","",IF('Statements (Raw)'!B588="","",'Statements (Raw)'!B588))</f>
        <v/>
      </c>
      <c r="C590" s="6" t="str">
        <f>IF(A590="","",IF('Statements (Raw)'!C588&lt;&gt;"",'Statements (Raw)'!C588,IF(ISNUMBER(SEARCH("Conferimento",'Statements (Raw)'!D588)),"CASH DEPOSIT",IF(ISNUMBER(SEARCH("Prelievo",'Statements (Raw)'!D588)),"CASH WITHDRAWAL",IF(ISNUMBER(SEARCH("Bollo",'Statements (Raw)'!D588)),"STAMP DUTY",IF(ISNUMBER(SEARCH("Tobin Tax",'Statements (Raw)'!D588)),"TOBIN TAX",IF(ISNUMBER(SEARCH("Rit.provento",'Statements (Raw)'!D588)),"WITHHOLDING TAX",IF(ISNUMBER(SEARCH("Incasso Dividendi",'Statements (Raw)'!D588)),"DIVIDEND",IF(ISNUMBER(SEARCH("Cedola",'Statements (Raw)'!D588)),"COUPON",IF(ISNUMBER(SEARCH("Ratei Pass",'Statements (Raw)'!D588)),"ACCRUED INT",IF(ISNUMBER(SEARCH("Interessi Prest",'Statements (Raw)'!D588)),"SEC LENDING",IF(ISNUMBER(SEARCH("Rimborso",'Statements (Raw)'!D588)),"REDEMPTION",IF(ISNUMBER(SEARCH("Provento",'Statements (Raw)'!D588)),"DISTRIBUTION","OTHER")))))))))))))</f>
        <v/>
      </c>
      <c r="D590" s="6" t="str">
        <f>IF(A590="","",IF(C590="Saldo Iniziale","Balance",IF(C590="CASH DEPOSIT","Deposit",IF(C590="CASH WITHDRAWAL","Withdrawal",IF(C590="STAMP DUTY","Tax",IF(C590="TOBIN TAX","Tax",IF(C590="WITHHOLDING TAX","Tax",IF(C590="DIVIDEND","Dividend",IF(C590="COUPON","Coupon",IF(C590="ACCRUED INT","Accrued Int.",IF(C590="SEC LENDING","Sec. Lending",IF(C590="REDEMPTION","Redemption",IF(C590="DISTRIBUTION","Distribution",IF(ISNUMBER(SEARCH("Rimborso",'Statements (Raw)'!D588)),"Redemption",IF(ISNUMBER(SEARCH("Cedola",'Statements (Raw)'!D588)),"Coupon",IF(ISNUMBER(SEARCH("Incasso Dividendi",'Statements (Raw)'!D588)),"Dividend",IF(ISNUMBER(SEARCH("Provento Etf",'Statements (Raw)'!D588)),"Distribution",IF(ISNUMBER(SEARCH("Rit.provento",'Statements (Raw)'!D588)),"Tax",IF(ISNUMBER(SEARCH("Ratei Pass",'Statements (Raw)'!D588)),"Accrued Int.",IF(ISNUMBER(SEARCH("Interessi Prest",'Statements (Raw)'!D588)),"Sec. Lending",IF('Statements (Raw)'!G588="","Other",IF('Statements (Raw)'!G588&gt;0,"Buy","Sell"))))))))))))))))))))))</f>
        <v/>
      </c>
      <c r="E590" s="6" t="str">
        <f t="shared" si="18"/>
        <v/>
      </c>
      <c r="F590" s="8" t="str">
        <f>IF(A590="","",IF('Statements (Raw)'!E588="","",'Statements (Raw)'!E588))</f>
        <v/>
      </c>
      <c r="G590" s="6" t="str">
        <f>IF(A590="","",IF('Statements (Raw)'!F588="","",'Statements (Raw)'!F588))</f>
        <v/>
      </c>
      <c r="H590" s="9" t="str">
        <f>IF(A590="","",IF('Statements (Raw)'!G588="","",'Statements (Raw)'!G588))</f>
        <v/>
      </c>
      <c r="I590" s="10" t="str">
        <f>IF(A590="","",IF('Statements (Raw)'!H588="","",'Statements (Raw)'!H588))</f>
        <v/>
      </c>
      <c r="J590" s="10">
        <f>IF(A590="",0,IF('Statements (Raw)'!I588="",0,'Statements (Raw)'!I588))</f>
        <v>0</v>
      </c>
      <c r="K590" s="10" t="str">
        <f t="shared" si="19"/>
        <v/>
      </c>
    </row>
    <row r="591" spans="1:11" x14ac:dyDescent="0.3">
      <c r="A591" s="171" t="str">
        <f>IF(OR('Statements (Raw)'!A589="",'Statements (Raw)'!A589&gt;Holdings!$G$3),"",'Statements (Raw)'!A589)</f>
        <v/>
      </c>
      <c r="B591" s="7" t="str">
        <f>IF(A591="","",IF('Statements (Raw)'!B589="","",'Statements (Raw)'!B589))</f>
        <v/>
      </c>
      <c r="C591" s="6" t="str">
        <f>IF(A591="","",IF('Statements (Raw)'!C589&lt;&gt;"",'Statements (Raw)'!C589,IF(ISNUMBER(SEARCH("Conferimento",'Statements (Raw)'!D589)),"CASH DEPOSIT",IF(ISNUMBER(SEARCH("Prelievo",'Statements (Raw)'!D589)),"CASH WITHDRAWAL",IF(ISNUMBER(SEARCH("Bollo",'Statements (Raw)'!D589)),"STAMP DUTY",IF(ISNUMBER(SEARCH("Tobin Tax",'Statements (Raw)'!D589)),"TOBIN TAX",IF(ISNUMBER(SEARCH("Rit.provento",'Statements (Raw)'!D589)),"WITHHOLDING TAX",IF(ISNUMBER(SEARCH("Incasso Dividendi",'Statements (Raw)'!D589)),"DIVIDEND",IF(ISNUMBER(SEARCH("Cedola",'Statements (Raw)'!D589)),"COUPON",IF(ISNUMBER(SEARCH("Ratei Pass",'Statements (Raw)'!D589)),"ACCRUED INT",IF(ISNUMBER(SEARCH("Interessi Prest",'Statements (Raw)'!D589)),"SEC LENDING",IF(ISNUMBER(SEARCH("Rimborso",'Statements (Raw)'!D589)),"REDEMPTION",IF(ISNUMBER(SEARCH("Provento",'Statements (Raw)'!D589)),"DISTRIBUTION","OTHER")))))))))))))</f>
        <v/>
      </c>
      <c r="D591" s="6" t="str">
        <f>IF(A591="","",IF(C591="Saldo Iniziale","Balance",IF(C591="CASH DEPOSIT","Deposit",IF(C591="CASH WITHDRAWAL","Withdrawal",IF(C591="STAMP DUTY","Tax",IF(C591="TOBIN TAX","Tax",IF(C591="WITHHOLDING TAX","Tax",IF(C591="DIVIDEND","Dividend",IF(C591="COUPON","Coupon",IF(C591="ACCRUED INT","Accrued Int.",IF(C591="SEC LENDING","Sec. Lending",IF(C591="REDEMPTION","Redemption",IF(C591="DISTRIBUTION","Distribution",IF(ISNUMBER(SEARCH("Rimborso",'Statements (Raw)'!D589)),"Redemption",IF(ISNUMBER(SEARCH("Cedola",'Statements (Raw)'!D589)),"Coupon",IF(ISNUMBER(SEARCH("Incasso Dividendi",'Statements (Raw)'!D589)),"Dividend",IF(ISNUMBER(SEARCH("Provento Etf",'Statements (Raw)'!D589)),"Distribution",IF(ISNUMBER(SEARCH("Rit.provento",'Statements (Raw)'!D589)),"Tax",IF(ISNUMBER(SEARCH("Ratei Pass",'Statements (Raw)'!D589)),"Accrued Int.",IF(ISNUMBER(SEARCH("Interessi Prest",'Statements (Raw)'!D589)),"Sec. Lending",IF('Statements (Raw)'!G589="","Other",IF('Statements (Raw)'!G589&gt;0,"Buy","Sell"))))))))))))))))))))))</f>
        <v/>
      </c>
      <c r="E591" s="6" t="str">
        <f t="shared" si="18"/>
        <v/>
      </c>
      <c r="F591" s="8" t="str">
        <f>IF(A591="","",IF('Statements (Raw)'!E589="","",'Statements (Raw)'!E589))</f>
        <v/>
      </c>
      <c r="G591" s="6" t="str">
        <f>IF(A591="","",IF('Statements (Raw)'!F589="","",'Statements (Raw)'!F589))</f>
        <v/>
      </c>
      <c r="H591" s="9" t="str">
        <f>IF(A591="","",IF('Statements (Raw)'!G589="","",'Statements (Raw)'!G589))</f>
        <v/>
      </c>
      <c r="I591" s="10" t="str">
        <f>IF(A591="","",IF('Statements (Raw)'!H589="","",'Statements (Raw)'!H589))</f>
        <v/>
      </c>
      <c r="J591" s="10">
        <f>IF(A591="",0,IF('Statements (Raw)'!I589="",0,'Statements (Raw)'!I589))</f>
        <v>0</v>
      </c>
      <c r="K591" s="10" t="str">
        <f t="shared" si="19"/>
        <v/>
      </c>
    </row>
    <row r="592" spans="1:11" x14ac:dyDescent="0.3">
      <c r="A592" s="171" t="str">
        <f>IF(OR('Statements (Raw)'!A590="",'Statements (Raw)'!A590&gt;Holdings!$G$3),"",'Statements (Raw)'!A590)</f>
        <v/>
      </c>
      <c r="B592" s="7" t="str">
        <f>IF(A592="","",IF('Statements (Raw)'!B590="","",'Statements (Raw)'!B590))</f>
        <v/>
      </c>
      <c r="C592" s="6" t="str">
        <f>IF(A592="","",IF('Statements (Raw)'!C590&lt;&gt;"",'Statements (Raw)'!C590,IF(ISNUMBER(SEARCH("Conferimento",'Statements (Raw)'!D590)),"CASH DEPOSIT",IF(ISNUMBER(SEARCH("Prelievo",'Statements (Raw)'!D590)),"CASH WITHDRAWAL",IF(ISNUMBER(SEARCH("Bollo",'Statements (Raw)'!D590)),"STAMP DUTY",IF(ISNUMBER(SEARCH("Tobin Tax",'Statements (Raw)'!D590)),"TOBIN TAX",IF(ISNUMBER(SEARCH("Rit.provento",'Statements (Raw)'!D590)),"WITHHOLDING TAX",IF(ISNUMBER(SEARCH("Incasso Dividendi",'Statements (Raw)'!D590)),"DIVIDEND",IF(ISNUMBER(SEARCH("Cedola",'Statements (Raw)'!D590)),"COUPON",IF(ISNUMBER(SEARCH("Ratei Pass",'Statements (Raw)'!D590)),"ACCRUED INT",IF(ISNUMBER(SEARCH("Interessi Prest",'Statements (Raw)'!D590)),"SEC LENDING",IF(ISNUMBER(SEARCH("Rimborso",'Statements (Raw)'!D590)),"REDEMPTION",IF(ISNUMBER(SEARCH("Provento",'Statements (Raw)'!D590)),"DISTRIBUTION","OTHER")))))))))))))</f>
        <v/>
      </c>
      <c r="D592" s="6" t="str">
        <f>IF(A592="","",IF(C592="Saldo Iniziale","Balance",IF(C592="CASH DEPOSIT","Deposit",IF(C592="CASH WITHDRAWAL","Withdrawal",IF(C592="STAMP DUTY","Tax",IF(C592="TOBIN TAX","Tax",IF(C592="WITHHOLDING TAX","Tax",IF(C592="DIVIDEND","Dividend",IF(C592="COUPON","Coupon",IF(C592="ACCRUED INT","Accrued Int.",IF(C592="SEC LENDING","Sec. Lending",IF(C592="REDEMPTION","Redemption",IF(C592="DISTRIBUTION","Distribution",IF(ISNUMBER(SEARCH("Rimborso",'Statements (Raw)'!D590)),"Redemption",IF(ISNUMBER(SEARCH("Cedola",'Statements (Raw)'!D590)),"Coupon",IF(ISNUMBER(SEARCH("Incasso Dividendi",'Statements (Raw)'!D590)),"Dividend",IF(ISNUMBER(SEARCH("Provento Etf",'Statements (Raw)'!D590)),"Distribution",IF(ISNUMBER(SEARCH("Rit.provento",'Statements (Raw)'!D590)),"Tax",IF(ISNUMBER(SEARCH("Ratei Pass",'Statements (Raw)'!D590)),"Accrued Int.",IF(ISNUMBER(SEARCH("Interessi Prest",'Statements (Raw)'!D590)),"Sec. Lending",IF('Statements (Raw)'!G590="","Other",IF('Statements (Raw)'!G590&gt;0,"Buy","Sell"))))))))))))))))))))))</f>
        <v/>
      </c>
      <c r="E592" s="6" t="str">
        <f t="shared" si="18"/>
        <v/>
      </c>
      <c r="F592" s="8" t="str">
        <f>IF(A592="","",IF('Statements (Raw)'!E590="","",'Statements (Raw)'!E590))</f>
        <v/>
      </c>
      <c r="G592" s="6" t="str">
        <f>IF(A592="","",IF('Statements (Raw)'!F590="","",'Statements (Raw)'!F590))</f>
        <v/>
      </c>
      <c r="H592" s="9" t="str">
        <f>IF(A592="","",IF('Statements (Raw)'!G590="","",'Statements (Raw)'!G590))</f>
        <v/>
      </c>
      <c r="I592" s="10" t="str">
        <f>IF(A592="","",IF('Statements (Raw)'!H590="","",'Statements (Raw)'!H590))</f>
        <v/>
      </c>
      <c r="J592" s="10">
        <f>IF(A592="",0,IF('Statements (Raw)'!I590="",0,'Statements (Raw)'!I590))</f>
        <v>0</v>
      </c>
      <c r="K592" s="10" t="str">
        <f t="shared" si="19"/>
        <v/>
      </c>
    </row>
    <row r="593" spans="1:11" x14ac:dyDescent="0.3">
      <c r="A593" s="171" t="str">
        <f>IF(OR('Statements (Raw)'!A591="",'Statements (Raw)'!A591&gt;Holdings!$G$3),"",'Statements (Raw)'!A591)</f>
        <v/>
      </c>
      <c r="B593" s="7" t="str">
        <f>IF(A593="","",IF('Statements (Raw)'!B591="","",'Statements (Raw)'!B591))</f>
        <v/>
      </c>
      <c r="C593" s="6" t="str">
        <f>IF(A593="","",IF('Statements (Raw)'!C591&lt;&gt;"",'Statements (Raw)'!C591,IF(ISNUMBER(SEARCH("Conferimento",'Statements (Raw)'!D591)),"CASH DEPOSIT",IF(ISNUMBER(SEARCH("Prelievo",'Statements (Raw)'!D591)),"CASH WITHDRAWAL",IF(ISNUMBER(SEARCH("Bollo",'Statements (Raw)'!D591)),"STAMP DUTY",IF(ISNUMBER(SEARCH("Tobin Tax",'Statements (Raw)'!D591)),"TOBIN TAX",IF(ISNUMBER(SEARCH("Rit.provento",'Statements (Raw)'!D591)),"WITHHOLDING TAX",IF(ISNUMBER(SEARCH("Incasso Dividendi",'Statements (Raw)'!D591)),"DIVIDEND",IF(ISNUMBER(SEARCH("Cedola",'Statements (Raw)'!D591)),"COUPON",IF(ISNUMBER(SEARCH("Ratei Pass",'Statements (Raw)'!D591)),"ACCRUED INT",IF(ISNUMBER(SEARCH("Interessi Prest",'Statements (Raw)'!D591)),"SEC LENDING",IF(ISNUMBER(SEARCH("Rimborso",'Statements (Raw)'!D591)),"REDEMPTION",IF(ISNUMBER(SEARCH("Provento",'Statements (Raw)'!D591)),"DISTRIBUTION","OTHER")))))))))))))</f>
        <v/>
      </c>
      <c r="D593" s="6" t="str">
        <f>IF(A593="","",IF(C593="Saldo Iniziale","Balance",IF(C593="CASH DEPOSIT","Deposit",IF(C593="CASH WITHDRAWAL","Withdrawal",IF(C593="STAMP DUTY","Tax",IF(C593="TOBIN TAX","Tax",IF(C593="WITHHOLDING TAX","Tax",IF(C593="DIVIDEND","Dividend",IF(C593="COUPON","Coupon",IF(C593="ACCRUED INT","Accrued Int.",IF(C593="SEC LENDING","Sec. Lending",IF(C593="REDEMPTION","Redemption",IF(C593="DISTRIBUTION","Distribution",IF(ISNUMBER(SEARCH("Rimborso",'Statements (Raw)'!D591)),"Redemption",IF(ISNUMBER(SEARCH("Cedola",'Statements (Raw)'!D591)),"Coupon",IF(ISNUMBER(SEARCH("Incasso Dividendi",'Statements (Raw)'!D591)),"Dividend",IF(ISNUMBER(SEARCH("Provento Etf",'Statements (Raw)'!D591)),"Distribution",IF(ISNUMBER(SEARCH("Rit.provento",'Statements (Raw)'!D591)),"Tax",IF(ISNUMBER(SEARCH("Ratei Pass",'Statements (Raw)'!D591)),"Accrued Int.",IF(ISNUMBER(SEARCH("Interessi Prest",'Statements (Raw)'!D591)),"Sec. Lending",IF('Statements (Raw)'!G591="","Other",IF('Statements (Raw)'!G591&gt;0,"Buy","Sell"))))))))))))))))))))))</f>
        <v/>
      </c>
      <c r="E593" s="6" t="str">
        <f t="shared" si="18"/>
        <v/>
      </c>
      <c r="F593" s="8" t="str">
        <f>IF(A593="","",IF('Statements (Raw)'!E591="","",'Statements (Raw)'!E591))</f>
        <v/>
      </c>
      <c r="G593" s="6" t="str">
        <f>IF(A593="","",IF('Statements (Raw)'!F591="","",'Statements (Raw)'!F591))</f>
        <v/>
      </c>
      <c r="H593" s="9" t="str">
        <f>IF(A593="","",IF('Statements (Raw)'!G591="","",'Statements (Raw)'!G591))</f>
        <v/>
      </c>
      <c r="I593" s="10" t="str">
        <f>IF(A593="","",IF('Statements (Raw)'!H591="","",'Statements (Raw)'!H591))</f>
        <v/>
      </c>
      <c r="J593" s="10">
        <f>IF(A593="",0,IF('Statements (Raw)'!I591="",0,'Statements (Raw)'!I591))</f>
        <v>0</v>
      </c>
      <c r="K593" s="10" t="str">
        <f t="shared" si="19"/>
        <v/>
      </c>
    </row>
    <row r="594" spans="1:11" x14ac:dyDescent="0.3">
      <c r="A594" s="171" t="str">
        <f>IF(OR('Statements (Raw)'!A592="",'Statements (Raw)'!A592&gt;Holdings!$G$3),"",'Statements (Raw)'!A592)</f>
        <v/>
      </c>
      <c r="B594" s="7" t="str">
        <f>IF(A594="","",IF('Statements (Raw)'!B592="","",'Statements (Raw)'!B592))</f>
        <v/>
      </c>
      <c r="C594" s="6" t="str">
        <f>IF(A594="","",IF('Statements (Raw)'!C592&lt;&gt;"",'Statements (Raw)'!C592,IF(ISNUMBER(SEARCH("Conferimento",'Statements (Raw)'!D592)),"CASH DEPOSIT",IF(ISNUMBER(SEARCH("Prelievo",'Statements (Raw)'!D592)),"CASH WITHDRAWAL",IF(ISNUMBER(SEARCH("Bollo",'Statements (Raw)'!D592)),"STAMP DUTY",IF(ISNUMBER(SEARCH("Tobin Tax",'Statements (Raw)'!D592)),"TOBIN TAX",IF(ISNUMBER(SEARCH("Rit.provento",'Statements (Raw)'!D592)),"WITHHOLDING TAX",IF(ISNUMBER(SEARCH("Incasso Dividendi",'Statements (Raw)'!D592)),"DIVIDEND",IF(ISNUMBER(SEARCH("Cedola",'Statements (Raw)'!D592)),"COUPON",IF(ISNUMBER(SEARCH("Ratei Pass",'Statements (Raw)'!D592)),"ACCRUED INT",IF(ISNUMBER(SEARCH("Interessi Prest",'Statements (Raw)'!D592)),"SEC LENDING",IF(ISNUMBER(SEARCH("Rimborso",'Statements (Raw)'!D592)),"REDEMPTION",IF(ISNUMBER(SEARCH("Provento",'Statements (Raw)'!D592)),"DISTRIBUTION","OTHER")))))))))))))</f>
        <v/>
      </c>
      <c r="D594" s="6" t="str">
        <f>IF(A594="","",IF(C594="Saldo Iniziale","Balance",IF(C594="CASH DEPOSIT","Deposit",IF(C594="CASH WITHDRAWAL","Withdrawal",IF(C594="STAMP DUTY","Tax",IF(C594="TOBIN TAX","Tax",IF(C594="WITHHOLDING TAX","Tax",IF(C594="DIVIDEND","Dividend",IF(C594="COUPON","Coupon",IF(C594="ACCRUED INT","Accrued Int.",IF(C594="SEC LENDING","Sec. Lending",IF(C594="REDEMPTION","Redemption",IF(C594="DISTRIBUTION","Distribution",IF(ISNUMBER(SEARCH("Rimborso",'Statements (Raw)'!D592)),"Redemption",IF(ISNUMBER(SEARCH("Cedola",'Statements (Raw)'!D592)),"Coupon",IF(ISNUMBER(SEARCH("Incasso Dividendi",'Statements (Raw)'!D592)),"Dividend",IF(ISNUMBER(SEARCH("Provento Etf",'Statements (Raw)'!D592)),"Distribution",IF(ISNUMBER(SEARCH("Rit.provento",'Statements (Raw)'!D592)),"Tax",IF(ISNUMBER(SEARCH("Ratei Pass",'Statements (Raw)'!D592)),"Accrued Int.",IF(ISNUMBER(SEARCH("Interessi Prest",'Statements (Raw)'!D592)),"Sec. Lending",IF('Statements (Raw)'!G592="","Other",IF('Statements (Raw)'!G592&gt;0,"Buy","Sell"))))))))))))))))))))))</f>
        <v/>
      </c>
      <c r="E594" s="6" t="str">
        <f t="shared" si="18"/>
        <v/>
      </c>
      <c r="F594" s="8" t="str">
        <f>IF(A594="","",IF('Statements (Raw)'!E592="","",'Statements (Raw)'!E592))</f>
        <v/>
      </c>
      <c r="G594" s="6" t="str">
        <f>IF(A594="","",IF('Statements (Raw)'!F592="","",'Statements (Raw)'!F592))</f>
        <v/>
      </c>
      <c r="H594" s="9" t="str">
        <f>IF(A594="","",IF('Statements (Raw)'!G592="","",'Statements (Raw)'!G592))</f>
        <v/>
      </c>
      <c r="I594" s="10" t="str">
        <f>IF(A594="","",IF('Statements (Raw)'!H592="","",'Statements (Raw)'!H592))</f>
        <v/>
      </c>
      <c r="J594" s="10">
        <f>IF(A594="",0,IF('Statements (Raw)'!I592="",0,'Statements (Raw)'!I592))</f>
        <v>0</v>
      </c>
      <c r="K594" s="10" t="str">
        <f t="shared" si="19"/>
        <v/>
      </c>
    </row>
    <row r="595" spans="1:11" x14ac:dyDescent="0.3">
      <c r="A595" s="171" t="str">
        <f>IF(OR('Statements (Raw)'!A593="",'Statements (Raw)'!A593&gt;Holdings!$G$3),"",'Statements (Raw)'!A593)</f>
        <v/>
      </c>
      <c r="B595" s="7" t="str">
        <f>IF(A595="","",IF('Statements (Raw)'!B593="","",'Statements (Raw)'!B593))</f>
        <v/>
      </c>
      <c r="C595" s="6" t="str">
        <f>IF(A595="","",IF('Statements (Raw)'!C593&lt;&gt;"",'Statements (Raw)'!C593,IF(ISNUMBER(SEARCH("Conferimento",'Statements (Raw)'!D593)),"CASH DEPOSIT",IF(ISNUMBER(SEARCH("Prelievo",'Statements (Raw)'!D593)),"CASH WITHDRAWAL",IF(ISNUMBER(SEARCH("Bollo",'Statements (Raw)'!D593)),"STAMP DUTY",IF(ISNUMBER(SEARCH("Tobin Tax",'Statements (Raw)'!D593)),"TOBIN TAX",IF(ISNUMBER(SEARCH("Rit.provento",'Statements (Raw)'!D593)),"WITHHOLDING TAX",IF(ISNUMBER(SEARCH("Incasso Dividendi",'Statements (Raw)'!D593)),"DIVIDEND",IF(ISNUMBER(SEARCH("Cedola",'Statements (Raw)'!D593)),"COUPON",IF(ISNUMBER(SEARCH("Ratei Pass",'Statements (Raw)'!D593)),"ACCRUED INT",IF(ISNUMBER(SEARCH("Interessi Prest",'Statements (Raw)'!D593)),"SEC LENDING",IF(ISNUMBER(SEARCH("Rimborso",'Statements (Raw)'!D593)),"REDEMPTION",IF(ISNUMBER(SEARCH("Provento",'Statements (Raw)'!D593)),"DISTRIBUTION","OTHER")))))))))))))</f>
        <v/>
      </c>
      <c r="D595" s="6" t="str">
        <f>IF(A595="","",IF(C595="Saldo Iniziale","Balance",IF(C595="CASH DEPOSIT","Deposit",IF(C595="CASH WITHDRAWAL","Withdrawal",IF(C595="STAMP DUTY","Tax",IF(C595="TOBIN TAX","Tax",IF(C595="WITHHOLDING TAX","Tax",IF(C595="DIVIDEND","Dividend",IF(C595="COUPON","Coupon",IF(C595="ACCRUED INT","Accrued Int.",IF(C595="SEC LENDING","Sec. Lending",IF(C595="REDEMPTION","Redemption",IF(C595="DISTRIBUTION","Distribution",IF(ISNUMBER(SEARCH("Rimborso",'Statements (Raw)'!D593)),"Redemption",IF(ISNUMBER(SEARCH("Cedola",'Statements (Raw)'!D593)),"Coupon",IF(ISNUMBER(SEARCH("Incasso Dividendi",'Statements (Raw)'!D593)),"Dividend",IF(ISNUMBER(SEARCH("Provento Etf",'Statements (Raw)'!D593)),"Distribution",IF(ISNUMBER(SEARCH("Rit.provento",'Statements (Raw)'!D593)),"Tax",IF(ISNUMBER(SEARCH("Ratei Pass",'Statements (Raw)'!D593)),"Accrued Int.",IF(ISNUMBER(SEARCH("Interessi Prest",'Statements (Raw)'!D593)),"Sec. Lending",IF('Statements (Raw)'!G593="","Other",IF('Statements (Raw)'!G593&gt;0,"Buy","Sell"))))))))))))))))))))))</f>
        <v/>
      </c>
      <c r="E595" s="6" t="str">
        <f t="shared" si="18"/>
        <v/>
      </c>
      <c r="F595" s="8" t="str">
        <f>IF(A595="","",IF('Statements (Raw)'!E593="","",'Statements (Raw)'!E593))</f>
        <v/>
      </c>
      <c r="G595" s="6" t="str">
        <f>IF(A595="","",IF('Statements (Raw)'!F593="","",'Statements (Raw)'!F593))</f>
        <v/>
      </c>
      <c r="H595" s="9" t="str">
        <f>IF(A595="","",IF('Statements (Raw)'!G593="","",'Statements (Raw)'!G593))</f>
        <v/>
      </c>
      <c r="I595" s="10" t="str">
        <f>IF(A595="","",IF('Statements (Raw)'!H593="","",'Statements (Raw)'!H593))</f>
        <v/>
      </c>
      <c r="J595" s="10">
        <f>IF(A595="",0,IF('Statements (Raw)'!I593="",0,'Statements (Raw)'!I593))</f>
        <v>0</v>
      </c>
      <c r="K595" s="10" t="str">
        <f t="shared" si="19"/>
        <v/>
      </c>
    </row>
    <row r="596" spans="1:11" x14ac:dyDescent="0.3">
      <c r="A596" s="171" t="str">
        <f>IF(OR('Statements (Raw)'!A594="",'Statements (Raw)'!A594&gt;Holdings!$G$3),"",'Statements (Raw)'!A594)</f>
        <v/>
      </c>
      <c r="B596" s="7" t="str">
        <f>IF(A596="","",IF('Statements (Raw)'!B594="","",'Statements (Raw)'!B594))</f>
        <v/>
      </c>
      <c r="C596" s="6" t="str">
        <f>IF(A596="","",IF('Statements (Raw)'!C594&lt;&gt;"",'Statements (Raw)'!C594,IF(ISNUMBER(SEARCH("Conferimento",'Statements (Raw)'!D594)),"CASH DEPOSIT",IF(ISNUMBER(SEARCH("Prelievo",'Statements (Raw)'!D594)),"CASH WITHDRAWAL",IF(ISNUMBER(SEARCH("Bollo",'Statements (Raw)'!D594)),"STAMP DUTY",IF(ISNUMBER(SEARCH("Tobin Tax",'Statements (Raw)'!D594)),"TOBIN TAX",IF(ISNUMBER(SEARCH("Rit.provento",'Statements (Raw)'!D594)),"WITHHOLDING TAX",IF(ISNUMBER(SEARCH("Incasso Dividendi",'Statements (Raw)'!D594)),"DIVIDEND",IF(ISNUMBER(SEARCH("Cedola",'Statements (Raw)'!D594)),"COUPON",IF(ISNUMBER(SEARCH("Ratei Pass",'Statements (Raw)'!D594)),"ACCRUED INT",IF(ISNUMBER(SEARCH("Interessi Prest",'Statements (Raw)'!D594)),"SEC LENDING",IF(ISNUMBER(SEARCH("Rimborso",'Statements (Raw)'!D594)),"REDEMPTION",IF(ISNUMBER(SEARCH("Provento",'Statements (Raw)'!D594)),"DISTRIBUTION","OTHER")))))))))))))</f>
        <v/>
      </c>
      <c r="D596" s="6" t="str">
        <f>IF(A596="","",IF(C596="Saldo Iniziale","Balance",IF(C596="CASH DEPOSIT","Deposit",IF(C596="CASH WITHDRAWAL","Withdrawal",IF(C596="STAMP DUTY","Tax",IF(C596="TOBIN TAX","Tax",IF(C596="WITHHOLDING TAX","Tax",IF(C596="DIVIDEND","Dividend",IF(C596="COUPON","Coupon",IF(C596="ACCRUED INT","Accrued Int.",IF(C596="SEC LENDING","Sec. Lending",IF(C596="REDEMPTION","Redemption",IF(C596="DISTRIBUTION","Distribution",IF(ISNUMBER(SEARCH("Rimborso",'Statements (Raw)'!D594)),"Redemption",IF(ISNUMBER(SEARCH("Cedola",'Statements (Raw)'!D594)),"Coupon",IF(ISNUMBER(SEARCH("Incasso Dividendi",'Statements (Raw)'!D594)),"Dividend",IF(ISNUMBER(SEARCH("Provento Etf",'Statements (Raw)'!D594)),"Distribution",IF(ISNUMBER(SEARCH("Rit.provento",'Statements (Raw)'!D594)),"Tax",IF(ISNUMBER(SEARCH("Ratei Pass",'Statements (Raw)'!D594)),"Accrued Int.",IF(ISNUMBER(SEARCH("Interessi Prest",'Statements (Raw)'!D594)),"Sec. Lending",IF('Statements (Raw)'!G594="","Other",IF('Statements (Raw)'!G594&gt;0,"Buy","Sell"))))))))))))))))))))))</f>
        <v/>
      </c>
      <c r="E596" s="6" t="str">
        <f t="shared" si="18"/>
        <v/>
      </c>
      <c r="F596" s="8" t="str">
        <f>IF(A596="","",IF('Statements (Raw)'!E594="","",'Statements (Raw)'!E594))</f>
        <v/>
      </c>
      <c r="G596" s="6" t="str">
        <f>IF(A596="","",IF('Statements (Raw)'!F594="","",'Statements (Raw)'!F594))</f>
        <v/>
      </c>
      <c r="H596" s="9" t="str">
        <f>IF(A596="","",IF('Statements (Raw)'!G594="","",'Statements (Raw)'!G594))</f>
        <v/>
      </c>
      <c r="I596" s="10" t="str">
        <f>IF(A596="","",IF('Statements (Raw)'!H594="","",'Statements (Raw)'!H594))</f>
        <v/>
      </c>
      <c r="J596" s="10">
        <f>IF(A596="",0,IF('Statements (Raw)'!I594="",0,'Statements (Raw)'!I594))</f>
        <v>0</v>
      </c>
      <c r="K596" s="10" t="str">
        <f t="shared" si="19"/>
        <v/>
      </c>
    </row>
    <row r="597" spans="1:11" x14ac:dyDescent="0.3">
      <c r="A597" s="171" t="str">
        <f>IF(OR('Statements (Raw)'!A595="",'Statements (Raw)'!A595&gt;Holdings!$G$3),"",'Statements (Raw)'!A595)</f>
        <v/>
      </c>
      <c r="B597" s="7" t="str">
        <f>IF(A597="","",IF('Statements (Raw)'!B595="","",'Statements (Raw)'!B595))</f>
        <v/>
      </c>
      <c r="C597" s="6" t="str">
        <f>IF(A597="","",IF('Statements (Raw)'!C595&lt;&gt;"",'Statements (Raw)'!C595,IF(ISNUMBER(SEARCH("Conferimento",'Statements (Raw)'!D595)),"CASH DEPOSIT",IF(ISNUMBER(SEARCH("Prelievo",'Statements (Raw)'!D595)),"CASH WITHDRAWAL",IF(ISNUMBER(SEARCH("Bollo",'Statements (Raw)'!D595)),"STAMP DUTY",IF(ISNUMBER(SEARCH("Tobin Tax",'Statements (Raw)'!D595)),"TOBIN TAX",IF(ISNUMBER(SEARCH("Rit.provento",'Statements (Raw)'!D595)),"WITHHOLDING TAX",IF(ISNUMBER(SEARCH("Incasso Dividendi",'Statements (Raw)'!D595)),"DIVIDEND",IF(ISNUMBER(SEARCH("Cedola",'Statements (Raw)'!D595)),"COUPON",IF(ISNUMBER(SEARCH("Ratei Pass",'Statements (Raw)'!D595)),"ACCRUED INT",IF(ISNUMBER(SEARCH("Interessi Prest",'Statements (Raw)'!D595)),"SEC LENDING",IF(ISNUMBER(SEARCH("Rimborso",'Statements (Raw)'!D595)),"REDEMPTION",IF(ISNUMBER(SEARCH("Provento",'Statements (Raw)'!D595)),"DISTRIBUTION","OTHER")))))))))))))</f>
        <v/>
      </c>
      <c r="D597" s="6" t="str">
        <f>IF(A597="","",IF(C597="Saldo Iniziale","Balance",IF(C597="CASH DEPOSIT","Deposit",IF(C597="CASH WITHDRAWAL","Withdrawal",IF(C597="STAMP DUTY","Tax",IF(C597="TOBIN TAX","Tax",IF(C597="WITHHOLDING TAX","Tax",IF(C597="DIVIDEND","Dividend",IF(C597="COUPON","Coupon",IF(C597="ACCRUED INT","Accrued Int.",IF(C597="SEC LENDING","Sec. Lending",IF(C597="REDEMPTION","Redemption",IF(C597="DISTRIBUTION","Distribution",IF(ISNUMBER(SEARCH("Rimborso",'Statements (Raw)'!D595)),"Redemption",IF(ISNUMBER(SEARCH("Cedola",'Statements (Raw)'!D595)),"Coupon",IF(ISNUMBER(SEARCH("Incasso Dividendi",'Statements (Raw)'!D595)),"Dividend",IF(ISNUMBER(SEARCH("Provento Etf",'Statements (Raw)'!D595)),"Distribution",IF(ISNUMBER(SEARCH("Rit.provento",'Statements (Raw)'!D595)),"Tax",IF(ISNUMBER(SEARCH("Ratei Pass",'Statements (Raw)'!D595)),"Accrued Int.",IF(ISNUMBER(SEARCH("Interessi Prest",'Statements (Raw)'!D595)),"Sec. Lending",IF('Statements (Raw)'!G595="","Other",IF('Statements (Raw)'!G595&gt;0,"Buy","Sell"))))))))))))))))))))))</f>
        <v/>
      </c>
      <c r="E597" s="6" t="str">
        <f t="shared" si="18"/>
        <v/>
      </c>
      <c r="F597" s="8" t="str">
        <f>IF(A597="","",IF('Statements (Raw)'!E595="","",'Statements (Raw)'!E595))</f>
        <v/>
      </c>
      <c r="G597" s="6" t="str">
        <f>IF(A597="","",IF('Statements (Raw)'!F595="","",'Statements (Raw)'!F595))</f>
        <v/>
      </c>
      <c r="H597" s="9" t="str">
        <f>IF(A597="","",IF('Statements (Raw)'!G595="","",'Statements (Raw)'!G595))</f>
        <v/>
      </c>
      <c r="I597" s="10" t="str">
        <f>IF(A597="","",IF('Statements (Raw)'!H595="","",'Statements (Raw)'!H595))</f>
        <v/>
      </c>
      <c r="J597" s="10">
        <f>IF(A597="",0,IF('Statements (Raw)'!I595="",0,'Statements (Raw)'!I595))</f>
        <v>0</v>
      </c>
      <c r="K597" s="10" t="str">
        <f t="shared" si="19"/>
        <v/>
      </c>
    </row>
    <row r="598" spans="1:11" x14ac:dyDescent="0.3">
      <c r="A598" s="171" t="str">
        <f>IF(OR('Statements (Raw)'!A596="",'Statements (Raw)'!A596&gt;Holdings!$G$3),"",'Statements (Raw)'!A596)</f>
        <v/>
      </c>
      <c r="B598" s="7" t="str">
        <f>IF(A598="","",IF('Statements (Raw)'!B596="","",'Statements (Raw)'!B596))</f>
        <v/>
      </c>
      <c r="C598" s="6" t="str">
        <f>IF(A598="","",IF('Statements (Raw)'!C596&lt;&gt;"",'Statements (Raw)'!C596,IF(ISNUMBER(SEARCH("Conferimento",'Statements (Raw)'!D596)),"CASH DEPOSIT",IF(ISNUMBER(SEARCH("Prelievo",'Statements (Raw)'!D596)),"CASH WITHDRAWAL",IF(ISNUMBER(SEARCH("Bollo",'Statements (Raw)'!D596)),"STAMP DUTY",IF(ISNUMBER(SEARCH("Tobin Tax",'Statements (Raw)'!D596)),"TOBIN TAX",IF(ISNUMBER(SEARCH("Rit.provento",'Statements (Raw)'!D596)),"WITHHOLDING TAX",IF(ISNUMBER(SEARCH("Incasso Dividendi",'Statements (Raw)'!D596)),"DIVIDEND",IF(ISNUMBER(SEARCH("Cedola",'Statements (Raw)'!D596)),"COUPON",IF(ISNUMBER(SEARCH("Ratei Pass",'Statements (Raw)'!D596)),"ACCRUED INT",IF(ISNUMBER(SEARCH("Interessi Prest",'Statements (Raw)'!D596)),"SEC LENDING",IF(ISNUMBER(SEARCH("Rimborso",'Statements (Raw)'!D596)),"REDEMPTION",IF(ISNUMBER(SEARCH("Provento",'Statements (Raw)'!D596)),"DISTRIBUTION","OTHER")))))))))))))</f>
        <v/>
      </c>
      <c r="D598" s="6" t="str">
        <f>IF(A598="","",IF(C598="Saldo Iniziale","Balance",IF(C598="CASH DEPOSIT","Deposit",IF(C598="CASH WITHDRAWAL","Withdrawal",IF(C598="STAMP DUTY","Tax",IF(C598="TOBIN TAX","Tax",IF(C598="WITHHOLDING TAX","Tax",IF(C598="DIVIDEND","Dividend",IF(C598="COUPON","Coupon",IF(C598="ACCRUED INT","Accrued Int.",IF(C598="SEC LENDING","Sec. Lending",IF(C598="REDEMPTION","Redemption",IF(C598="DISTRIBUTION","Distribution",IF(ISNUMBER(SEARCH("Rimborso",'Statements (Raw)'!D596)),"Redemption",IF(ISNUMBER(SEARCH("Cedola",'Statements (Raw)'!D596)),"Coupon",IF(ISNUMBER(SEARCH("Incasso Dividendi",'Statements (Raw)'!D596)),"Dividend",IF(ISNUMBER(SEARCH("Provento Etf",'Statements (Raw)'!D596)),"Distribution",IF(ISNUMBER(SEARCH("Rit.provento",'Statements (Raw)'!D596)),"Tax",IF(ISNUMBER(SEARCH("Ratei Pass",'Statements (Raw)'!D596)),"Accrued Int.",IF(ISNUMBER(SEARCH("Interessi Prest",'Statements (Raw)'!D596)),"Sec. Lending",IF('Statements (Raw)'!G596="","Other",IF('Statements (Raw)'!G596&gt;0,"Buy","Sell"))))))))))))))))))))))</f>
        <v/>
      </c>
      <c r="E598" s="6" t="str">
        <f t="shared" si="18"/>
        <v/>
      </c>
      <c r="F598" s="8" t="str">
        <f>IF(A598="","",IF('Statements (Raw)'!E596="","",'Statements (Raw)'!E596))</f>
        <v/>
      </c>
      <c r="G598" s="6" t="str">
        <f>IF(A598="","",IF('Statements (Raw)'!F596="","",'Statements (Raw)'!F596))</f>
        <v/>
      </c>
      <c r="H598" s="9" t="str">
        <f>IF(A598="","",IF('Statements (Raw)'!G596="","",'Statements (Raw)'!G596))</f>
        <v/>
      </c>
      <c r="I598" s="10" t="str">
        <f>IF(A598="","",IF('Statements (Raw)'!H596="","",'Statements (Raw)'!H596))</f>
        <v/>
      </c>
      <c r="J598" s="10">
        <f>IF(A598="",0,IF('Statements (Raw)'!I596="",0,'Statements (Raw)'!I596))</f>
        <v>0</v>
      </c>
      <c r="K598" s="10" t="str">
        <f t="shared" si="19"/>
        <v/>
      </c>
    </row>
    <row r="599" spans="1:11" x14ac:dyDescent="0.3">
      <c r="A599" s="171" t="str">
        <f>IF(OR('Statements (Raw)'!A597="",'Statements (Raw)'!A597&gt;Holdings!$G$3),"",'Statements (Raw)'!A597)</f>
        <v/>
      </c>
      <c r="B599" s="7" t="str">
        <f>IF(A599="","",IF('Statements (Raw)'!B597="","",'Statements (Raw)'!B597))</f>
        <v/>
      </c>
      <c r="C599" s="6" t="str">
        <f>IF(A599="","",IF('Statements (Raw)'!C597&lt;&gt;"",'Statements (Raw)'!C597,IF(ISNUMBER(SEARCH("Conferimento",'Statements (Raw)'!D597)),"CASH DEPOSIT",IF(ISNUMBER(SEARCH("Prelievo",'Statements (Raw)'!D597)),"CASH WITHDRAWAL",IF(ISNUMBER(SEARCH("Bollo",'Statements (Raw)'!D597)),"STAMP DUTY",IF(ISNUMBER(SEARCH("Tobin Tax",'Statements (Raw)'!D597)),"TOBIN TAX",IF(ISNUMBER(SEARCH("Rit.provento",'Statements (Raw)'!D597)),"WITHHOLDING TAX",IF(ISNUMBER(SEARCH("Incasso Dividendi",'Statements (Raw)'!D597)),"DIVIDEND",IF(ISNUMBER(SEARCH("Cedola",'Statements (Raw)'!D597)),"COUPON",IF(ISNUMBER(SEARCH("Ratei Pass",'Statements (Raw)'!D597)),"ACCRUED INT",IF(ISNUMBER(SEARCH("Interessi Prest",'Statements (Raw)'!D597)),"SEC LENDING",IF(ISNUMBER(SEARCH("Rimborso",'Statements (Raw)'!D597)),"REDEMPTION",IF(ISNUMBER(SEARCH("Provento",'Statements (Raw)'!D597)),"DISTRIBUTION","OTHER")))))))))))))</f>
        <v/>
      </c>
      <c r="D599" s="6" t="str">
        <f>IF(A599="","",IF(C599="Saldo Iniziale","Balance",IF(C599="CASH DEPOSIT","Deposit",IF(C599="CASH WITHDRAWAL","Withdrawal",IF(C599="STAMP DUTY","Tax",IF(C599="TOBIN TAX","Tax",IF(C599="WITHHOLDING TAX","Tax",IF(C599="DIVIDEND","Dividend",IF(C599="COUPON","Coupon",IF(C599="ACCRUED INT","Accrued Int.",IF(C599="SEC LENDING","Sec. Lending",IF(C599="REDEMPTION","Redemption",IF(C599="DISTRIBUTION","Distribution",IF(ISNUMBER(SEARCH("Rimborso",'Statements (Raw)'!D597)),"Redemption",IF(ISNUMBER(SEARCH("Cedola",'Statements (Raw)'!D597)),"Coupon",IF(ISNUMBER(SEARCH("Incasso Dividendi",'Statements (Raw)'!D597)),"Dividend",IF(ISNUMBER(SEARCH("Provento Etf",'Statements (Raw)'!D597)),"Distribution",IF(ISNUMBER(SEARCH("Rit.provento",'Statements (Raw)'!D597)),"Tax",IF(ISNUMBER(SEARCH("Ratei Pass",'Statements (Raw)'!D597)),"Accrued Int.",IF(ISNUMBER(SEARCH("Interessi Prest",'Statements (Raw)'!D597)),"Sec. Lending",IF('Statements (Raw)'!G597="","Other",IF('Statements (Raw)'!G597&gt;0,"Buy","Sell"))))))))))))))))))))))</f>
        <v/>
      </c>
      <c r="E599" s="6" t="str">
        <f t="shared" si="18"/>
        <v/>
      </c>
      <c r="F599" s="8" t="str">
        <f>IF(A599="","",IF('Statements (Raw)'!E597="","",'Statements (Raw)'!E597))</f>
        <v/>
      </c>
      <c r="G599" s="6" t="str">
        <f>IF(A599="","",IF('Statements (Raw)'!F597="","",'Statements (Raw)'!F597))</f>
        <v/>
      </c>
      <c r="H599" s="9" t="str">
        <f>IF(A599="","",IF('Statements (Raw)'!G597="","",'Statements (Raw)'!G597))</f>
        <v/>
      </c>
      <c r="I599" s="10" t="str">
        <f>IF(A599="","",IF('Statements (Raw)'!H597="","",'Statements (Raw)'!H597))</f>
        <v/>
      </c>
      <c r="J599" s="10">
        <f>IF(A599="",0,IF('Statements (Raw)'!I597="",0,'Statements (Raw)'!I597))</f>
        <v>0</v>
      </c>
      <c r="K599" s="10" t="str">
        <f t="shared" si="19"/>
        <v/>
      </c>
    </row>
    <row r="600" spans="1:11" x14ac:dyDescent="0.3">
      <c r="A600" s="171" t="str">
        <f>IF(OR('Statements (Raw)'!A598="",'Statements (Raw)'!A598&gt;Holdings!$G$3),"",'Statements (Raw)'!A598)</f>
        <v/>
      </c>
      <c r="B600" s="7" t="str">
        <f>IF(A600="","",IF('Statements (Raw)'!B598="","",'Statements (Raw)'!B598))</f>
        <v/>
      </c>
      <c r="C600" s="6" t="str">
        <f>IF(A600="","",IF('Statements (Raw)'!C598&lt;&gt;"",'Statements (Raw)'!C598,IF(ISNUMBER(SEARCH("Conferimento",'Statements (Raw)'!D598)),"CASH DEPOSIT",IF(ISNUMBER(SEARCH("Prelievo",'Statements (Raw)'!D598)),"CASH WITHDRAWAL",IF(ISNUMBER(SEARCH("Bollo",'Statements (Raw)'!D598)),"STAMP DUTY",IF(ISNUMBER(SEARCH("Tobin Tax",'Statements (Raw)'!D598)),"TOBIN TAX",IF(ISNUMBER(SEARCH("Rit.provento",'Statements (Raw)'!D598)),"WITHHOLDING TAX",IF(ISNUMBER(SEARCH("Incasso Dividendi",'Statements (Raw)'!D598)),"DIVIDEND",IF(ISNUMBER(SEARCH("Cedola",'Statements (Raw)'!D598)),"COUPON",IF(ISNUMBER(SEARCH("Ratei Pass",'Statements (Raw)'!D598)),"ACCRUED INT",IF(ISNUMBER(SEARCH("Interessi Prest",'Statements (Raw)'!D598)),"SEC LENDING",IF(ISNUMBER(SEARCH("Rimborso",'Statements (Raw)'!D598)),"REDEMPTION",IF(ISNUMBER(SEARCH("Provento",'Statements (Raw)'!D598)),"DISTRIBUTION","OTHER")))))))))))))</f>
        <v/>
      </c>
      <c r="D600" s="6" t="str">
        <f>IF(A600="","",IF(C600="Saldo Iniziale","Balance",IF(C600="CASH DEPOSIT","Deposit",IF(C600="CASH WITHDRAWAL","Withdrawal",IF(C600="STAMP DUTY","Tax",IF(C600="TOBIN TAX","Tax",IF(C600="WITHHOLDING TAX","Tax",IF(C600="DIVIDEND","Dividend",IF(C600="COUPON","Coupon",IF(C600="ACCRUED INT","Accrued Int.",IF(C600="SEC LENDING","Sec. Lending",IF(C600="REDEMPTION","Redemption",IF(C600="DISTRIBUTION","Distribution",IF(ISNUMBER(SEARCH("Rimborso",'Statements (Raw)'!D598)),"Redemption",IF(ISNUMBER(SEARCH("Cedola",'Statements (Raw)'!D598)),"Coupon",IF(ISNUMBER(SEARCH("Incasso Dividendi",'Statements (Raw)'!D598)),"Dividend",IF(ISNUMBER(SEARCH("Provento Etf",'Statements (Raw)'!D598)),"Distribution",IF(ISNUMBER(SEARCH("Rit.provento",'Statements (Raw)'!D598)),"Tax",IF(ISNUMBER(SEARCH("Ratei Pass",'Statements (Raw)'!D598)),"Accrued Int.",IF(ISNUMBER(SEARCH("Interessi Prest",'Statements (Raw)'!D598)),"Sec. Lending",IF('Statements (Raw)'!G598="","Other",IF('Statements (Raw)'!G598&gt;0,"Buy","Sell"))))))))))))))))))))))</f>
        <v/>
      </c>
      <c r="E600" s="6" t="str">
        <f t="shared" si="18"/>
        <v/>
      </c>
      <c r="F600" s="8" t="str">
        <f>IF(A600="","",IF('Statements (Raw)'!E598="","",'Statements (Raw)'!E598))</f>
        <v/>
      </c>
      <c r="G600" s="6" t="str">
        <f>IF(A600="","",IF('Statements (Raw)'!F598="","",'Statements (Raw)'!F598))</f>
        <v/>
      </c>
      <c r="H600" s="9" t="str">
        <f>IF(A600="","",IF('Statements (Raw)'!G598="","",'Statements (Raw)'!G598))</f>
        <v/>
      </c>
      <c r="I600" s="10" t="str">
        <f>IF(A600="","",IF('Statements (Raw)'!H598="","",'Statements (Raw)'!H598))</f>
        <v/>
      </c>
      <c r="J600" s="10">
        <f>IF(A600="",0,IF('Statements (Raw)'!I598="",0,'Statements (Raw)'!I598))</f>
        <v>0</v>
      </c>
      <c r="K600" s="10" t="str">
        <f t="shared" si="19"/>
        <v/>
      </c>
    </row>
    <row r="601" spans="1:11" x14ac:dyDescent="0.3">
      <c r="A601" s="171" t="str">
        <f>IF(OR('Statements (Raw)'!A599="",'Statements (Raw)'!A599&gt;Holdings!$G$3),"",'Statements (Raw)'!A599)</f>
        <v/>
      </c>
      <c r="B601" s="7" t="str">
        <f>IF(A601="","",IF('Statements (Raw)'!B599="","",'Statements (Raw)'!B599))</f>
        <v/>
      </c>
      <c r="C601" s="6" t="str">
        <f>IF(A601="","",IF('Statements (Raw)'!C599&lt;&gt;"",'Statements (Raw)'!C599,IF(ISNUMBER(SEARCH("Conferimento",'Statements (Raw)'!D599)),"CASH DEPOSIT",IF(ISNUMBER(SEARCH("Prelievo",'Statements (Raw)'!D599)),"CASH WITHDRAWAL",IF(ISNUMBER(SEARCH("Bollo",'Statements (Raw)'!D599)),"STAMP DUTY",IF(ISNUMBER(SEARCH("Tobin Tax",'Statements (Raw)'!D599)),"TOBIN TAX",IF(ISNUMBER(SEARCH("Rit.provento",'Statements (Raw)'!D599)),"WITHHOLDING TAX",IF(ISNUMBER(SEARCH("Incasso Dividendi",'Statements (Raw)'!D599)),"DIVIDEND",IF(ISNUMBER(SEARCH("Cedola",'Statements (Raw)'!D599)),"COUPON",IF(ISNUMBER(SEARCH("Ratei Pass",'Statements (Raw)'!D599)),"ACCRUED INT",IF(ISNUMBER(SEARCH("Interessi Prest",'Statements (Raw)'!D599)),"SEC LENDING",IF(ISNUMBER(SEARCH("Rimborso",'Statements (Raw)'!D599)),"REDEMPTION",IF(ISNUMBER(SEARCH("Provento",'Statements (Raw)'!D599)),"DISTRIBUTION","OTHER")))))))))))))</f>
        <v/>
      </c>
      <c r="D601" s="6" t="str">
        <f>IF(A601="","",IF(C601="Saldo Iniziale","Balance",IF(C601="CASH DEPOSIT","Deposit",IF(C601="CASH WITHDRAWAL","Withdrawal",IF(C601="STAMP DUTY","Tax",IF(C601="TOBIN TAX","Tax",IF(C601="WITHHOLDING TAX","Tax",IF(C601="DIVIDEND","Dividend",IF(C601="COUPON","Coupon",IF(C601="ACCRUED INT","Accrued Int.",IF(C601="SEC LENDING","Sec. Lending",IF(C601="REDEMPTION","Redemption",IF(C601="DISTRIBUTION","Distribution",IF(ISNUMBER(SEARCH("Rimborso",'Statements (Raw)'!D599)),"Redemption",IF(ISNUMBER(SEARCH("Cedola",'Statements (Raw)'!D599)),"Coupon",IF(ISNUMBER(SEARCH("Incasso Dividendi",'Statements (Raw)'!D599)),"Dividend",IF(ISNUMBER(SEARCH("Provento Etf",'Statements (Raw)'!D599)),"Distribution",IF(ISNUMBER(SEARCH("Rit.provento",'Statements (Raw)'!D599)),"Tax",IF(ISNUMBER(SEARCH("Ratei Pass",'Statements (Raw)'!D599)),"Accrued Int.",IF(ISNUMBER(SEARCH("Interessi Prest",'Statements (Raw)'!D599)),"Sec. Lending",IF('Statements (Raw)'!G599="","Other",IF('Statements (Raw)'!G599&gt;0,"Buy","Sell"))))))))))))))))))))))</f>
        <v/>
      </c>
      <c r="E601" s="6" t="str">
        <f t="shared" si="18"/>
        <v/>
      </c>
      <c r="F601" s="8" t="str">
        <f>IF(A601="","",IF('Statements (Raw)'!E599="","",'Statements (Raw)'!E599))</f>
        <v/>
      </c>
      <c r="G601" s="6" t="str">
        <f>IF(A601="","",IF('Statements (Raw)'!F599="","",'Statements (Raw)'!F599))</f>
        <v/>
      </c>
      <c r="H601" s="9" t="str">
        <f>IF(A601="","",IF('Statements (Raw)'!G599="","",'Statements (Raw)'!G599))</f>
        <v/>
      </c>
      <c r="I601" s="10" t="str">
        <f>IF(A601="","",IF('Statements (Raw)'!H599="","",'Statements (Raw)'!H599))</f>
        <v/>
      </c>
      <c r="J601" s="10">
        <f>IF(A601="",0,IF('Statements (Raw)'!I599="",0,'Statements (Raw)'!I599))</f>
        <v>0</v>
      </c>
      <c r="K601" s="10" t="str">
        <f t="shared" si="19"/>
        <v/>
      </c>
    </row>
    <row r="602" spans="1:11" x14ac:dyDescent="0.3">
      <c r="A602" s="171" t="str">
        <f>IF(OR('Statements (Raw)'!A600="",'Statements (Raw)'!A600&gt;Holdings!$G$3),"",'Statements (Raw)'!A600)</f>
        <v/>
      </c>
      <c r="B602" s="7" t="str">
        <f>IF(A602="","",IF('Statements (Raw)'!B600="","",'Statements (Raw)'!B600))</f>
        <v/>
      </c>
      <c r="C602" s="6" t="str">
        <f>IF(A602="","",IF('Statements (Raw)'!C600&lt;&gt;"",'Statements (Raw)'!C600,IF(ISNUMBER(SEARCH("Conferimento",'Statements (Raw)'!D600)),"CASH DEPOSIT",IF(ISNUMBER(SEARCH("Prelievo",'Statements (Raw)'!D600)),"CASH WITHDRAWAL",IF(ISNUMBER(SEARCH("Bollo",'Statements (Raw)'!D600)),"STAMP DUTY",IF(ISNUMBER(SEARCH("Tobin Tax",'Statements (Raw)'!D600)),"TOBIN TAX",IF(ISNUMBER(SEARCH("Rit.provento",'Statements (Raw)'!D600)),"WITHHOLDING TAX",IF(ISNUMBER(SEARCH("Incasso Dividendi",'Statements (Raw)'!D600)),"DIVIDEND",IF(ISNUMBER(SEARCH("Cedola",'Statements (Raw)'!D600)),"COUPON",IF(ISNUMBER(SEARCH("Ratei Pass",'Statements (Raw)'!D600)),"ACCRUED INT",IF(ISNUMBER(SEARCH("Interessi Prest",'Statements (Raw)'!D600)),"SEC LENDING",IF(ISNUMBER(SEARCH("Rimborso",'Statements (Raw)'!D600)),"REDEMPTION",IF(ISNUMBER(SEARCH("Provento",'Statements (Raw)'!D600)),"DISTRIBUTION","OTHER")))))))))))))</f>
        <v/>
      </c>
      <c r="D602" s="6" t="str">
        <f>IF(A602="","",IF(C602="Saldo Iniziale","Balance",IF(C602="CASH DEPOSIT","Deposit",IF(C602="CASH WITHDRAWAL","Withdrawal",IF(C602="STAMP DUTY","Tax",IF(C602="TOBIN TAX","Tax",IF(C602="WITHHOLDING TAX","Tax",IF(C602="DIVIDEND","Dividend",IF(C602="COUPON","Coupon",IF(C602="ACCRUED INT","Accrued Int.",IF(C602="SEC LENDING","Sec. Lending",IF(C602="REDEMPTION","Redemption",IF(C602="DISTRIBUTION","Distribution",IF(ISNUMBER(SEARCH("Rimborso",'Statements (Raw)'!D600)),"Redemption",IF(ISNUMBER(SEARCH("Cedola",'Statements (Raw)'!D600)),"Coupon",IF(ISNUMBER(SEARCH("Incasso Dividendi",'Statements (Raw)'!D600)),"Dividend",IF(ISNUMBER(SEARCH("Provento Etf",'Statements (Raw)'!D600)),"Distribution",IF(ISNUMBER(SEARCH("Rit.provento",'Statements (Raw)'!D600)),"Tax",IF(ISNUMBER(SEARCH("Ratei Pass",'Statements (Raw)'!D600)),"Accrued Int.",IF(ISNUMBER(SEARCH("Interessi Prest",'Statements (Raw)'!D600)),"Sec. Lending",IF('Statements (Raw)'!G600="","Other",IF('Statements (Raw)'!G600&gt;0,"Buy","Sell"))))))))))))))))))))))</f>
        <v/>
      </c>
      <c r="E602" s="6" t="str">
        <f t="shared" si="18"/>
        <v/>
      </c>
      <c r="F602" s="8" t="str">
        <f>IF(A602="","",IF('Statements (Raw)'!E600="","",'Statements (Raw)'!E600))</f>
        <v/>
      </c>
      <c r="G602" s="6" t="str">
        <f>IF(A602="","",IF('Statements (Raw)'!F600="","",'Statements (Raw)'!F600))</f>
        <v/>
      </c>
      <c r="H602" s="9" t="str">
        <f>IF(A602="","",IF('Statements (Raw)'!G600="","",'Statements (Raw)'!G600))</f>
        <v/>
      </c>
      <c r="I602" s="10" t="str">
        <f>IF(A602="","",IF('Statements (Raw)'!H600="","",'Statements (Raw)'!H600))</f>
        <v/>
      </c>
      <c r="J602" s="10">
        <f>IF(A602="",0,IF('Statements (Raw)'!I600="",0,'Statements (Raw)'!I600))</f>
        <v>0</v>
      </c>
      <c r="K602" s="10" t="str">
        <f t="shared" si="19"/>
        <v/>
      </c>
    </row>
    <row r="603" spans="1:11" x14ac:dyDescent="0.3">
      <c r="A603" s="171" t="str">
        <f>IF(OR('Statements (Raw)'!A601="",'Statements (Raw)'!A601&gt;Holdings!$G$3),"",'Statements (Raw)'!A601)</f>
        <v/>
      </c>
      <c r="B603" s="7" t="str">
        <f>IF(A603="","",IF('Statements (Raw)'!B601="","",'Statements (Raw)'!B601))</f>
        <v/>
      </c>
      <c r="C603" s="6" t="str">
        <f>IF(A603="","",IF('Statements (Raw)'!C601&lt;&gt;"",'Statements (Raw)'!C601,IF(ISNUMBER(SEARCH("Conferimento",'Statements (Raw)'!D601)),"CASH DEPOSIT",IF(ISNUMBER(SEARCH("Prelievo",'Statements (Raw)'!D601)),"CASH WITHDRAWAL",IF(ISNUMBER(SEARCH("Bollo",'Statements (Raw)'!D601)),"STAMP DUTY",IF(ISNUMBER(SEARCH("Tobin Tax",'Statements (Raw)'!D601)),"TOBIN TAX",IF(ISNUMBER(SEARCH("Rit.provento",'Statements (Raw)'!D601)),"WITHHOLDING TAX",IF(ISNUMBER(SEARCH("Incasso Dividendi",'Statements (Raw)'!D601)),"DIVIDEND",IF(ISNUMBER(SEARCH("Cedola",'Statements (Raw)'!D601)),"COUPON",IF(ISNUMBER(SEARCH("Ratei Pass",'Statements (Raw)'!D601)),"ACCRUED INT",IF(ISNUMBER(SEARCH("Interessi Prest",'Statements (Raw)'!D601)),"SEC LENDING",IF(ISNUMBER(SEARCH("Rimborso",'Statements (Raw)'!D601)),"REDEMPTION",IF(ISNUMBER(SEARCH("Provento",'Statements (Raw)'!D601)),"DISTRIBUTION","OTHER")))))))))))))</f>
        <v/>
      </c>
      <c r="D603" s="6" t="str">
        <f>IF(A603="","",IF(C603="Saldo Iniziale","Balance",IF(C603="CASH DEPOSIT","Deposit",IF(C603="CASH WITHDRAWAL","Withdrawal",IF(C603="STAMP DUTY","Tax",IF(C603="TOBIN TAX","Tax",IF(C603="WITHHOLDING TAX","Tax",IF(C603="DIVIDEND","Dividend",IF(C603="COUPON","Coupon",IF(C603="ACCRUED INT","Accrued Int.",IF(C603="SEC LENDING","Sec. Lending",IF(C603="REDEMPTION","Redemption",IF(C603="DISTRIBUTION","Distribution",IF(ISNUMBER(SEARCH("Rimborso",'Statements (Raw)'!D601)),"Redemption",IF(ISNUMBER(SEARCH("Cedola",'Statements (Raw)'!D601)),"Coupon",IF(ISNUMBER(SEARCH("Incasso Dividendi",'Statements (Raw)'!D601)),"Dividend",IF(ISNUMBER(SEARCH("Provento Etf",'Statements (Raw)'!D601)),"Distribution",IF(ISNUMBER(SEARCH("Rit.provento",'Statements (Raw)'!D601)),"Tax",IF(ISNUMBER(SEARCH("Ratei Pass",'Statements (Raw)'!D601)),"Accrued Int.",IF(ISNUMBER(SEARCH("Interessi Prest",'Statements (Raw)'!D601)),"Sec. Lending",IF('Statements (Raw)'!G601="","Other",IF('Statements (Raw)'!G601&gt;0,"Buy","Sell"))))))))))))))))))))))</f>
        <v/>
      </c>
      <c r="E603" s="6" t="str">
        <f t="shared" si="18"/>
        <v/>
      </c>
      <c r="F603" s="8" t="str">
        <f>IF(A603="","",IF('Statements (Raw)'!E601="","",'Statements (Raw)'!E601))</f>
        <v/>
      </c>
      <c r="G603" s="6" t="str">
        <f>IF(A603="","",IF('Statements (Raw)'!F601="","",'Statements (Raw)'!F601))</f>
        <v/>
      </c>
      <c r="H603" s="9" t="str">
        <f>IF(A603="","",IF('Statements (Raw)'!G601="","",'Statements (Raw)'!G601))</f>
        <v/>
      </c>
      <c r="I603" s="10" t="str">
        <f>IF(A603="","",IF('Statements (Raw)'!H601="","",'Statements (Raw)'!H601))</f>
        <v/>
      </c>
      <c r="J603" s="10">
        <f>IF(A603="",0,IF('Statements (Raw)'!I601="",0,'Statements (Raw)'!I601))</f>
        <v>0</v>
      </c>
      <c r="K603" s="10" t="str">
        <f t="shared" si="19"/>
        <v/>
      </c>
    </row>
    <row r="604" spans="1:11" x14ac:dyDescent="0.3">
      <c r="A604" s="171" t="str">
        <f>IF(OR('Statements (Raw)'!A602="",'Statements (Raw)'!A602&gt;Holdings!$G$3),"",'Statements (Raw)'!A602)</f>
        <v/>
      </c>
      <c r="B604" s="7" t="str">
        <f>IF(A604="","",IF('Statements (Raw)'!B602="","",'Statements (Raw)'!B602))</f>
        <v/>
      </c>
      <c r="C604" s="6" t="str">
        <f>IF(A604="","",IF('Statements (Raw)'!C602&lt;&gt;"",'Statements (Raw)'!C602,IF(ISNUMBER(SEARCH("Conferimento",'Statements (Raw)'!D602)),"CASH DEPOSIT",IF(ISNUMBER(SEARCH("Prelievo",'Statements (Raw)'!D602)),"CASH WITHDRAWAL",IF(ISNUMBER(SEARCH("Bollo",'Statements (Raw)'!D602)),"STAMP DUTY",IF(ISNUMBER(SEARCH("Tobin Tax",'Statements (Raw)'!D602)),"TOBIN TAX",IF(ISNUMBER(SEARCH("Rit.provento",'Statements (Raw)'!D602)),"WITHHOLDING TAX",IF(ISNUMBER(SEARCH("Incasso Dividendi",'Statements (Raw)'!D602)),"DIVIDEND",IF(ISNUMBER(SEARCH("Cedola",'Statements (Raw)'!D602)),"COUPON",IF(ISNUMBER(SEARCH("Ratei Pass",'Statements (Raw)'!D602)),"ACCRUED INT",IF(ISNUMBER(SEARCH("Interessi Prest",'Statements (Raw)'!D602)),"SEC LENDING",IF(ISNUMBER(SEARCH("Rimborso",'Statements (Raw)'!D602)),"REDEMPTION",IF(ISNUMBER(SEARCH("Provento",'Statements (Raw)'!D602)),"DISTRIBUTION","OTHER")))))))))))))</f>
        <v/>
      </c>
      <c r="D604" s="6" t="str">
        <f>IF(A604="","",IF(C604="Saldo Iniziale","Balance",IF(C604="CASH DEPOSIT","Deposit",IF(C604="CASH WITHDRAWAL","Withdrawal",IF(C604="STAMP DUTY","Tax",IF(C604="TOBIN TAX","Tax",IF(C604="WITHHOLDING TAX","Tax",IF(C604="DIVIDEND","Dividend",IF(C604="COUPON","Coupon",IF(C604="ACCRUED INT","Accrued Int.",IF(C604="SEC LENDING","Sec. Lending",IF(C604="REDEMPTION","Redemption",IF(C604="DISTRIBUTION","Distribution",IF(ISNUMBER(SEARCH("Rimborso",'Statements (Raw)'!D602)),"Redemption",IF(ISNUMBER(SEARCH("Cedola",'Statements (Raw)'!D602)),"Coupon",IF(ISNUMBER(SEARCH("Incasso Dividendi",'Statements (Raw)'!D602)),"Dividend",IF(ISNUMBER(SEARCH("Provento Etf",'Statements (Raw)'!D602)),"Distribution",IF(ISNUMBER(SEARCH("Rit.provento",'Statements (Raw)'!D602)),"Tax",IF(ISNUMBER(SEARCH("Ratei Pass",'Statements (Raw)'!D602)),"Accrued Int.",IF(ISNUMBER(SEARCH("Interessi Prest",'Statements (Raw)'!D602)),"Sec. Lending",IF('Statements (Raw)'!G602="","Other",IF('Statements (Raw)'!G602&gt;0,"Buy","Sell"))))))))))))))))))))))</f>
        <v/>
      </c>
      <c r="E604" s="6" t="str">
        <f t="shared" si="18"/>
        <v/>
      </c>
      <c r="F604" s="8" t="str">
        <f>IF(A604="","",IF('Statements (Raw)'!E602="","",'Statements (Raw)'!E602))</f>
        <v/>
      </c>
      <c r="G604" s="6" t="str">
        <f>IF(A604="","",IF('Statements (Raw)'!F602="","",'Statements (Raw)'!F602))</f>
        <v/>
      </c>
      <c r="H604" s="9" t="str">
        <f>IF(A604="","",IF('Statements (Raw)'!G602="","",'Statements (Raw)'!G602))</f>
        <v/>
      </c>
      <c r="I604" s="10" t="str">
        <f>IF(A604="","",IF('Statements (Raw)'!H602="","",'Statements (Raw)'!H602))</f>
        <v/>
      </c>
      <c r="J604" s="10">
        <f>IF(A604="",0,IF('Statements (Raw)'!I602="",0,'Statements (Raw)'!I602))</f>
        <v>0</v>
      </c>
      <c r="K604" s="10" t="str">
        <f t="shared" si="19"/>
        <v/>
      </c>
    </row>
    <row r="605" spans="1:11" x14ac:dyDescent="0.3">
      <c r="A605" s="171" t="str">
        <f>IF(OR('Statements (Raw)'!A603="",'Statements (Raw)'!A603&gt;Holdings!$G$3),"",'Statements (Raw)'!A603)</f>
        <v/>
      </c>
      <c r="B605" s="7" t="str">
        <f>IF(A605="","",IF('Statements (Raw)'!B603="","",'Statements (Raw)'!B603))</f>
        <v/>
      </c>
      <c r="C605" s="6" t="str">
        <f>IF(A605="","",IF('Statements (Raw)'!C603&lt;&gt;"",'Statements (Raw)'!C603,IF(ISNUMBER(SEARCH("Conferimento",'Statements (Raw)'!D603)),"CASH DEPOSIT",IF(ISNUMBER(SEARCH("Prelievo",'Statements (Raw)'!D603)),"CASH WITHDRAWAL",IF(ISNUMBER(SEARCH("Bollo",'Statements (Raw)'!D603)),"STAMP DUTY",IF(ISNUMBER(SEARCH("Tobin Tax",'Statements (Raw)'!D603)),"TOBIN TAX",IF(ISNUMBER(SEARCH("Rit.provento",'Statements (Raw)'!D603)),"WITHHOLDING TAX",IF(ISNUMBER(SEARCH("Incasso Dividendi",'Statements (Raw)'!D603)),"DIVIDEND",IF(ISNUMBER(SEARCH("Cedola",'Statements (Raw)'!D603)),"COUPON",IF(ISNUMBER(SEARCH("Ratei Pass",'Statements (Raw)'!D603)),"ACCRUED INT",IF(ISNUMBER(SEARCH("Interessi Prest",'Statements (Raw)'!D603)),"SEC LENDING",IF(ISNUMBER(SEARCH("Rimborso",'Statements (Raw)'!D603)),"REDEMPTION",IF(ISNUMBER(SEARCH("Provento",'Statements (Raw)'!D603)),"DISTRIBUTION","OTHER")))))))))))))</f>
        <v/>
      </c>
      <c r="D605" s="6" t="str">
        <f>IF(A605="","",IF(C605="Saldo Iniziale","Balance",IF(C605="CASH DEPOSIT","Deposit",IF(C605="CASH WITHDRAWAL","Withdrawal",IF(C605="STAMP DUTY","Tax",IF(C605="TOBIN TAX","Tax",IF(C605="WITHHOLDING TAX","Tax",IF(C605="DIVIDEND","Dividend",IF(C605="COUPON","Coupon",IF(C605="ACCRUED INT","Accrued Int.",IF(C605="SEC LENDING","Sec. Lending",IF(C605="REDEMPTION","Redemption",IF(C605="DISTRIBUTION","Distribution",IF(ISNUMBER(SEARCH("Rimborso",'Statements (Raw)'!D603)),"Redemption",IF(ISNUMBER(SEARCH("Cedola",'Statements (Raw)'!D603)),"Coupon",IF(ISNUMBER(SEARCH("Incasso Dividendi",'Statements (Raw)'!D603)),"Dividend",IF(ISNUMBER(SEARCH("Provento Etf",'Statements (Raw)'!D603)),"Distribution",IF(ISNUMBER(SEARCH("Rit.provento",'Statements (Raw)'!D603)),"Tax",IF(ISNUMBER(SEARCH("Ratei Pass",'Statements (Raw)'!D603)),"Accrued Int.",IF(ISNUMBER(SEARCH("Interessi Prest",'Statements (Raw)'!D603)),"Sec. Lending",IF('Statements (Raw)'!G603="","Other",IF('Statements (Raw)'!G603&gt;0,"Buy","Sell"))))))))))))))))))))))</f>
        <v/>
      </c>
      <c r="E605" s="6" t="str">
        <f t="shared" si="18"/>
        <v/>
      </c>
      <c r="F605" s="8" t="str">
        <f>IF(A605="","",IF('Statements (Raw)'!E603="","",'Statements (Raw)'!E603))</f>
        <v/>
      </c>
      <c r="G605" s="6" t="str">
        <f>IF(A605="","",IF('Statements (Raw)'!F603="","",'Statements (Raw)'!F603))</f>
        <v/>
      </c>
      <c r="H605" s="9" t="str">
        <f>IF(A605="","",IF('Statements (Raw)'!G603="","",'Statements (Raw)'!G603))</f>
        <v/>
      </c>
      <c r="I605" s="10" t="str">
        <f>IF(A605="","",IF('Statements (Raw)'!H603="","",'Statements (Raw)'!H603))</f>
        <v/>
      </c>
      <c r="J605" s="10">
        <f>IF(A605="",0,IF('Statements (Raw)'!I603="",0,'Statements (Raw)'!I603))</f>
        <v>0</v>
      </c>
      <c r="K605" s="10" t="str">
        <f t="shared" si="19"/>
        <v/>
      </c>
    </row>
    <row r="606" spans="1:11" x14ac:dyDescent="0.3">
      <c r="A606" s="171" t="str">
        <f>IF(OR('Statements (Raw)'!A604="",'Statements (Raw)'!A604&gt;Holdings!$G$3),"",'Statements (Raw)'!A604)</f>
        <v/>
      </c>
      <c r="B606" s="7" t="str">
        <f>IF(A606="","",IF('Statements (Raw)'!B604="","",'Statements (Raw)'!B604))</f>
        <v/>
      </c>
      <c r="C606" s="6" t="str">
        <f>IF(A606="","",IF('Statements (Raw)'!C604&lt;&gt;"",'Statements (Raw)'!C604,IF(ISNUMBER(SEARCH("Conferimento",'Statements (Raw)'!D604)),"CASH DEPOSIT",IF(ISNUMBER(SEARCH("Prelievo",'Statements (Raw)'!D604)),"CASH WITHDRAWAL",IF(ISNUMBER(SEARCH("Bollo",'Statements (Raw)'!D604)),"STAMP DUTY",IF(ISNUMBER(SEARCH("Tobin Tax",'Statements (Raw)'!D604)),"TOBIN TAX",IF(ISNUMBER(SEARCH("Rit.provento",'Statements (Raw)'!D604)),"WITHHOLDING TAX",IF(ISNUMBER(SEARCH("Incasso Dividendi",'Statements (Raw)'!D604)),"DIVIDEND",IF(ISNUMBER(SEARCH("Cedola",'Statements (Raw)'!D604)),"COUPON",IF(ISNUMBER(SEARCH("Ratei Pass",'Statements (Raw)'!D604)),"ACCRUED INT",IF(ISNUMBER(SEARCH("Interessi Prest",'Statements (Raw)'!D604)),"SEC LENDING",IF(ISNUMBER(SEARCH("Rimborso",'Statements (Raw)'!D604)),"REDEMPTION",IF(ISNUMBER(SEARCH("Provento",'Statements (Raw)'!D604)),"DISTRIBUTION","OTHER")))))))))))))</f>
        <v/>
      </c>
      <c r="D606" s="6" t="str">
        <f>IF(A606="","",IF(C606="Saldo Iniziale","Balance",IF(C606="CASH DEPOSIT","Deposit",IF(C606="CASH WITHDRAWAL","Withdrawal",IF(C606="STAMP DUTY","Tax",IF(C606="TOBIN TAX","Tax",IF(C606="WITHHOLDING TAX","Tax",IF(C606="DIVIDEND","Dividend",IF(C606="COUPON","Coupon",IF(C606="ACCRUED INT","Accrued Int.",IF(C606="SEC LENDING","Sec. Lending",IF(C606="REDEMPTION","Redemption",IF(C606="DISTRIBUTION","Distribution",IF(ISNUMBER(SEARCH("Rimborso",'Statements (Raw)'!D604)),"Redemption",IF(ISNUMBER(SEARCH("Cedola",'Statements (Raw)'!D604)),"Coupon",IF(ISNUMBER(SEARCH("Incasso Dividendi",'Statements (Raw)'!D604)),"Dividend",IF(ISNUMBER(SEARCH("Provento Etf",'Statements (Raw)'!D604)),"Distribution",IF(ISNUMBER(SEARCH("Rit.provento",'Statements (Raw)'!D604)),"Tax",IF(ISNUMBER(SEARCH("Ratei Pass",'Statements (Raw)'!D604)),"Accrued Int.",IF(ISNUMBER(SEARCH("Interessi Prest",'Statements (Raw)'!D604)),"Sec. Lending",IF('Statements (Raw)'!G604="","Other",IF('Statements (Raw)'!G604&gt;0,"Buy","Sell"))))))))))))))))))))))</f>
        <v/>
      </c>
      <c r="E606" s="6" t="str">
        <f t="shared" si="18"/>
        <v/>
      </c>
      <c r="F606" s="8" t="str">
        <f>IF(A606="","",IF('Statements (Raw)'!E604="","",'Statements (Raw)'!E604))</f>
        <v/>
      </c>
      <c r="G606" s="6" t="str">
        <f>IF(A606="","",IF('Statements (Raw)'!F604="","",'Statements (Raw)'!F604))</f>
        <v/>
      </c>
      <c r="H606" s="9" t="str">
        <f>IF(A606="","",IF('Statements (Raw)'!G604="","",'Statements (Raw)'!G604))</f>
        <v/>
      </c>
      <c r="I606" s="10" t="str">
        <f>IF(A606="","",IF('Statements (Raw)'!H604="","",'Statements (Raw)'!H604))</f>
        <v/>
      </c>
      <c r="J606" s="10">
        <f>IF(A606="",0,IF('Statements (Raw)'!I604="",0,'Statements (Raw)'!I604))</f>
        <v>0</v>
      </c>
      <c r="K606" s="10" t="str">
        <f t="shared" si="19"/>
        <v/>
      </c>
    </row>
    <row r="607" spans="1:11" x14ac:dyDescent="0.3">
      <c r="A607" s="171" t="str">
        <f>IF(OR('Statements (Raw)'!A605="",'Statements (Raw)'!A605&gt;Holdings!$G$3),"",'Statements (Raw)'!A605)</f>
        <v/>
      </c>
      <c r="B607" s="7" t="str">
        <f>IF(A607="","",IF('Statements (Raw)'!B605="","",'Statements (Raw)'!B605))</f>
        <v/>
      </c>
      <c r="C607" s="6" t="str">
        <f>IF(A607="","",IF('Statements (Raw)'!C605&lt;&gt;"",'Statements (Raw)'!C605,IF(ISNUMBER(SEARCH("Conferimento",'Statements (Raw)'!D605)),"CASH DEPOSIT",IF(ISNUMBER(SEARCH("Prelievo",'Statements (Raw)'!D605)),"CASH WITHDRAWAL",IF(ISNUMBER(SEARCH("Bollo",'Statements (Raw)'!D605)),"STAMP DUTY",IF(ISNUMBER(SEARCH("Tobin Tax",'Statements (Raw)'!D605)),"TOBIN TAX",IF(ISNUMBER(SEARCH("Rit.provento",'Statements (Raw)'!D605)),"WITHHOLDING TAX",IF(ISNUMBER(SEARCH("Incasso Dividendi",'Statements (Raw)'!D605)),"DIVIDEND",IF(ISNUMBER(SEARCH("Cedola",'Statements (Raw)'!D605)),"COUPON",IF(ISNUMBER(SEARCH("Ratei Pass",'Statements (Raw)'!D605)),"ACCRUED INT",IF(ISNUMBER(SEARCH("Interessi Prest",'Statements (Raw)'!D605)),"SEC LENDING",IF(ISNUMBER(SEARCH("Rimborso",'Statements (Raw)'!D605)),"REDEMPTION",IF(ISNUMBER(SEARCH("Provento",'Statements (Raw)'!D605)),"DISTRIBUTION","OTHER")))))))))))))</f>
        <v/>
      </c>
      <c r="D607" s="6" t="str">
        <f>IF(A607="","",IF(C607="Saldo Iniziale","Balance",IF(C607="CASH DEPOSIT","Deposit",IF(C607="CASH WITHDRAWAL","Withdrawal",IF(C607="STAMP DUTY","Tax",IF(C607="TOBIN TAX","Tax",IF(C607="WITHHOLDING TAX","Tax",IF(C607="DIVIDEND","Dividend",IF(C607="COUPON","Coupon",IF(C607="ACCRUED INT","Accrued Int.",IF(C607="SEC LENDING","Sec. Lending",IF(C607="REDEMPTION","Redemption",IF(C607="DISTRIBUTION","Distribution",IF(ISNUMBER(SEARCH("Rimborso",'Statements (Raw)'!D605)),"Redemption",IF(ISNUMBER(SEARCH("Cedola",'Statements (Raw)'!D605)),"Coupon",IF(ISNUMBER(SEARCH("Incasso Dividendi",'Statements (Raw)'!D605)),"Dividend",IF(ISNUMBER(SEARCH("Provento Etf",'Statements (Raw)'!D605)),"Distribution",IF(ISNUMBER(SEARCH("Rit.provento",'Statements (Raw)'!D605)),"Tax",IF(ISNUMBER(SEARCH("Ratei Pass",'Statements (Raw)'!D605)),"Accrued Int.",IF(ISNUMBER(SEARCH("Interessi Prest",'Statements (Raw)'!D605)),"Sec. Lending",IF('Statements (Raw)'!G605="","Other",IF('Statements (Raw)'!G605&gt;0,"Buy","Sell"))))))))))))))))))))))</f>
        <v/>
      </c>
      <c r="E607" s="6" t="str">
        <f t="shared" si="18"/>
        <v/>
      </c>
      <c r="F607" s="8" t="str">
        <f>IF(A607="","",IF('Statements (Raw)'!E605="","",'Statements (Raw)'!E605))</f>
        <v/>
      </c>
      <c r="G607" s="6" t="str">
        <f>IF(A607="","",IF('Statements (Raw)'!F605="","",'Statements (Raw)'!F605))</f>
        <v/>
      </c>
      <c r="H607" s="9" t="str">
        <f>IF(A607="","",IF('Statements (Raw)'!G605="","",'Statements (Raw)'!G605))</f>
        <v/>
      </c>
      <c r="I607" s="10" t="str">
        <f>IF(A607="","",IF('Statements (Raw)'!H605="","",'Statements (Raw)'!H605))</f>
        <v/>
      </c>
      <c r="J607" s="10">
        <f>IF(A607="",0,IF('Statements (Raw)'!I605="",0,'Statements (Raw)'!I605))</f>
        <v>0</v>
      </c>
      <c r="K607" s="10" t="str">
        <f t="shared" si="19"/>
        <v/>
      </c>
    </row>
    <row r="608" spans="1:11" x14ac:dyDescent="0.3">
      <c r="A608" s="171" t="str">
        <f>IF(OR('Statements (Raw)'!A606="",'Statements (Raw)'!A606&gt;Holdings!$G$3),"",'Statements (Raw)'!A606)</f>
        <v/>
      </c>
      <c r="B608" s="7" t="str">
        <f>IF(A608="","",IF('Statements (Raw)'!B606="","",'Statements (Raw)'!B606))</f>
        <v/>
      </c>
      <c r="C608" s="6" t="str">
        <f>IF(A608="","",IF('Statements (Raw)'!C606&lt;&gt;"",'Statements (Raw)'!C606,IF(ISNUMBER(SEARCH("Conferimento",'Statements (Raw)'!D606)),"CASH DEPOSIT",IF(ISNUMBER(SEARCH("Prelievo",'Statements (Raw)'!D606)),"CASH WITHDRAWAL",IF(ISNUMBER(SEARCH("Bollo",'Statements (Raw)'!D606)),"STAMP DUTY",IF(ISNUMBER(SEARCH("Tobin Tax",'Statements (Raw)'!D606)),"TOBIN TAX",IF(ISNUMBER(SEARCH("Rit.provento",'Statements (Raw)'!D606)),"WITHHOLDING TAX",IF(ISNUMBER(SEARCH("Incasso Dividendi",'Statements (Raw)'!D606)),"DIVIDEND",IF(ISNUMBER(SEARCH("Cedola",'Statements (Raw)'!D606)),"COUPON",IF(ISNUMBER(SEARCH("Ratei Pass",'Statements (Raw)'!D606)),"ACCRUED INT",IF(ISNUMBER(SEARCH("Interessi Prest",'Statements (Raw)'!D606)),"SEC LENDING",IF(ISNUMBER(SEARCH("Rimborso",'Statements (Raw)'!D606)),"REDEMPTION",IF(ISNUMBER(SEARCH("Provento",'Statements (Raw)'!D606)),"DISTRIBUTION","OTHER")))))))))))))</f>
        <v/>
      </c>
      <c r="D608" s="6" t="str">
        <f>IF(A608="","",IF(C608="Saldo Iniziale","Balance",IF(C608="CASH DEPOSIT","Deposit",IF(C608="CASH WITHDRAWAL","Withdrawal",IF(C608="STAMP DUTY","Tax",IF(C608="TOBIN TAX","Tax",IF(C608="WITHHOLDING TAX","Tax",IF(C608="DIVIDEND","Dividend",IF(C608="COUPON","Coupon",IF(C608="ACCRUED INT","Accrued Int.",IF(C608="SEC LENDING","Sec. Lending",IF(C608="REDEMPTION","Redemption",IF(C608="DISTRIBUTION","Distribution",IF(ISNUMBER(SEARCH("Rimborso",'Statements (Raw)'!D606)),"Redemption",IF(ISNUMBER(SEARCH("Cedola",'Statements (Raw)'!D606)),"Coupon",IF(ISNUMBER(SEARCH("Incasso Dividendi",'Statements (Raw)'!D606)),"Dividend",IF(ISNUMBER(SEARCH("Provento Etf",'Statements (Raw)'!D606)),"Distribution",IF(ISNUMBER(SEARCH("Rit.provento",'Statements (Raw)'!D606)),"Tax",IF(ISNUMBER(SEARCH("Ratei Pass",'Statements (Raw)'!D606)),"Accrued Int.",IF(ISNUMBER(SEARCH("Interessi Prest",'Statements (Raw)'!D606)),"Sec. Lending",IF('Statements (Raw)'!G606="","Other",IF('Statements (Raw)'!G606&gt;0,"Buy","Sell"))))))))))))))))))))))</f>
        <v/>
      </c>
      <c r="E608" s="6" t="str">
        <f t="shared" si="18"/>
        <v/>
      </c>
      <c r="F608" s="8" t="str">
        <f>IF(A608="","",IF('Statements (Raw)'!E606="","",'Statements (Raw)'!E606))</f>
        <v/>
      </c>
      <c r="G608" s="6" t="str">
        <f>IF(A608="","",IF('Statements (Raw)'!F606="","",'Statements (Raw)'!F606))</f>
        <v/>
      </c>
      <c r="H608" s="9" t="str">
        <f>IF(A608="","",IF('Statements (Raw)'!G606="","",'Statements (Raw)'!G606))</f>
        <v/>
      </c>
      <c r="I608" s="10" t="str">
        <f>IF(A608="","",IF('Statements (Raw)'!H606="","",'Statements (Raw)'!H606))</f>
        <v/>
      </c>
      <c r="J608" s="10">
        <f>IF(A608="",0,IF('Statements (Raw)'!I606="",0,'Statements (Raw)'!I606))</f>
        <v>0</v>
      </c>
      <c r="K608" s="10" t="str">
        <f t="shared" si="19"/>
        <v/>
      </c>
    </row>
    <row r="609" spans="1:11" x14ac:dyDescent="0.3">
      <c r="A609" s="171" t="str">
        <f>IF(OR('Statements (Raw)'!A607="",'Statements (Raw)'!A607&gt;Holdings!$G$3),"",'Statements (Raw)'!A607)</f>
        <v/>
      </c>
      <c r="B609" s="7" t="str">
        <f>IF(A609="","",IF('Statements (Raw)'!B607="","",'Statements (Raw)'!B607))</f>
        <v/>
      </c>
      <c r="C609" s="6" t="str">
        <f>IF(A609="","",IF('Statements (Raw)'!C607&lt;&gt;"",'Statements (Raw)'!C607,IF(ISNUMBER(SEARCH("Conferimento",'Statements (Raw)'!D607)),"CASH DEPOSIT",IF(ISNUMBER(SEARCH("Prelievo",'Statements (Raw)'!D607)),"CASH WITHDRAWAL",IF(ISNUMBER(SEARCH("Bollo",'Statements (Raw)'!D607)),"STAMP DUTY",IF(ISNUMBER(SEARCH("Tobin Tax",'Statements (Raw)'!D607)),"TOBIN TAX",IF(ISNUMBER(SEARCH("Rit.provento",'Statements (Raw)'!D607)),"WITHHOLDING TAX",IF(ISNUMBER(SEARCH("Incasso Dividendi",'Statements (Raw)'!D607)),"DIVIDEND",IF(ISNUMBER(SEARCH("Cedola",'Statements (Raw)'!D607)),"COUPON",IF(ISNUMBER(SEARCH("Ratei Pass",'Statements (Raw)'!D607)),"ACCRUED INT",IF(ISNUMBER(SEARCH("Interessi Prest",'Statements (Raw)'!D607)),"SEC LENDING",IF(ISNUMBER(SEARCH("Rimborso",'Statements (Raw)'!D607)),"REDEMPTION",IF(ISNUMBER(SEARCH("Provento",'Statements (Raw)'!D607)),"DISTRIBUTION","OTHER")))))))))))))</f>
        <v/>
      </c>
      <c r="D609" s="6" t="str">
        <f>IF(A609="","",IF(C609="Saldo Iniziale","Balance",IF(C609="CASH DEPOSIT","Deposit",IF(C609="CASH WITHDRAWAL","Withdrawal",IF(C609="STAMP DUTY","Tax",IF(C609="TOBIN TAX","Tax",IF(C609="WITHHOLDING TAX","Tax",IF(C609="DIVIDEND","Dividend",IF(C609="COUPON","Coupon",IF(C609="ACCRUED INT","Accrued Int.",IF(C609="SEC LENDING","Sec. Lending",IF(C609="REDEMPTION","Redemption",IF(C609="DISTRIBUTION","Distribution",IF(ISNUMBER(SEARCH("Rimborso",'Statements (Raw)'!D607)),"Redemption",IF(ISNUMBER(SEARCH("Cedola",'Statements (Raw)'!D607)),"Coupon",IF(ISNUMBER(SEARCH("Incasso Dividendi",'Statements (Raw)'!D607)),"Dividend",IF(ISNUMBER(SEARCH("Provento Etf",'Statements (Raw)'!D607)),"Distribution",IF(ISNUMBER(SEARCH("Rit.provento",'Statements (Raw)'!D607)),"Tax",IF(ISNUMBER(SEARCH("Ratei Pass",'Statements (Raw)'!D607)),"Accrued Int.",IF(ISNUMBER(SEARCH("Interessi Prest",'Statements (Raw)'!D607)),"Sec. Lending",IF('Statements (Raw)'!G607="","Other",IF('Statements (Raw)'!G607&gt;0,"Buy","Sell"))))))))))))))))))))))</f>
        <v/>
      </c>
      <c r="E609" s="6" t="str">
        <f t="shared" si="18"/>
        <v/>
      </c>
      <c r="F609" s="8" t="str">
        <f>IF(A609="","",IF('Statements (Raw)'!E607="","",'Statements (Raw)'!E607))</f>
        <v/>
      </c>
      <c r="G609" s="6" t="str">
        <f>IF(A609="","",IF('Statements (Raw)'!F607="","",'Statements (Raw)'!F607))</f>
        <v/>
      </c>
      <c r="H609" s="9" t="str">
        <f>IF(A609="","",IF('Statements (Raw)'!G607="","",'Statements (Raw)'!G607))</f>
        <v/>
      </c>
      <c r="I609" s="10" t="str">
        <f>IF(A609="","",IF('Statements (Raw)'!H607="","",'Statements (Raw)'!H607))</f>
        <v/>
      </c>
      <c r="J609" s="10">
        <f>IF(A609="",0,IF('Statements (Raw)'!I607="",0,'Statements (Raw)'!I607))</f>
        <v>0</v>
      </c>
      <c r="K609" s="10" t="str">
        <f t="shared" si="19"/>
        <v/>
      </c>
    </row>
    <row r="610" spans="1:11" x14ac:dyDescent="0.3">
      <c r="A610" s="171" t="str">
        <f>IF(OR('Statements (Raw)'!A608="",'Statements (Raw)'!A608&gt;Holdings!$G$3),"",'Statements (Raw)'!A608)</f>
        <v/>
      </c>
      <c r="B610" s="7" t="str">
        <f>IF(A610="","",IF('Statements (Raw)'!B608="","",'Statements (Raw)'!B608))</f>
        <v/>
      </c>
      <c r="C610" s="6" t="str">
        <f>IF(A610="","",IF('Statements (Raw)'!C608&lt;&gt;"",'Statements (Raw)'!C608,IF(ISNUMBER(SEARCH("Conferimento",'Statements (Raw)'!D608)),"CASH DEPOSIT",IF(ISNUMBER(SEARCH("Prelievo",'Statements (Raw)'!D608)),"CASH WITHDRAWAL",IF(ISNUMBER(SEARCH("Bollo",'Statements (Raw)'!D608)),"STAMP DUTY",IF(ISNUMBER(SEARCH("Tobin Tax",'Statements (Raw)'!D608)),"TOBIN TAX",IF(ISNUMBER(SEARCH("Rit.provento",'Statements (Raw)'!D608)),"WITHHOLDING TAX",IF(ISNUMBER(SEARCH("Incasso Dividendi",'Statements (Raw)'!D608)),"DIVIDEND",IF(ISNUMBER(SEARCH("Cedola",'Statements (Raw)'!D608)),"COUPON",IF(ISNUMBER(SEARCH("Ratei Pass",'Statements (Raw)'!D608)),"ACCRUED INT",IF(ISNUMBER(SEARCH("Interessi Prest",'Statements (Raw)'!D608)),"SEC LENDING",IF(ISNUMBER(SEARCH("Rimborso",'Statements (Raw)'!D608)),"REDEMPTION",IF(ISNUMBER(SEARCH("Provento",'Statements (Raw)'!D608)),"DISTRIBUTION","OTHER")))))))))))))</f>
        <v/>
      </c>
      <c r="D610" s="6" t="str">
        <f>IF(A610="","",IF(C610="Saldo Iniziale","Balance",IF(C610="CASH DEPOSIT","Deposit",IF(C610="CASH WITHDRAWAL","Withdrawal",IF(C610="STAMP DUTY","Tax",IF(C610="TOBIN TAX","Tax",IF(C610="WITHHOLDING TAX","Tax",IF(C610="DIVIDEND","Dividend",IF(C610="COUPON","Coupon",IF(C610="ACCRUED INT","Accrued Int.",IF(C610="SEC LENDING","Sec. Lending",IF(C610="REDEMPTION","Redemption",IF(C610="DISTRIBUTION","Distribution",IF(ISNUMBER(SEARCH("Rimborso",'Statements (Raw)'!D608)),"Redemption",IF(ISNUMBER(SEARCH("Cedola",'Statements (Raw)'!D608)),"Coupon",IF(ISNUMBER(SEARCH("Incasso Dividendi",'Statements (Raw)'!D608)),"Dividend",IF(ISNUMBER(SEARCH("Provento Etf",'Statements (Raw)'!D608)),"Distribution",IF(ISNUMBER(SEARCH("Rit.provento",'Statements (Raw)'!D608)),"Tax",IF(ISNUMBER(SEARCH("Ratei Pass",'Statements (Raw)'!D608)),"Accrued Int.",IF(ISNUMBER(SEARCH("Interessi Prest",'Statements (Raw)'!D608)),"Sec. Lending",IF('Statements (Raw)'!G608="","Other",IF('Statements (Raw)'!G608&gt;0,"Buy","Sell"))))))))))))))))))))))</f>
        <v/>
      </c>
      <c r="E610" s="6" t="str">
        <f t="shared" si="18"/>
        <v/>
      </c>
      <c r="F610" s="8" t="str">
        <f>IF(A610="","",IF('Statements (Raw)'!E608="","",'Statements (Raw)'!E608))</f>
        <v/>
      </c>
      <c r="G610" s="6" t="str">
        <f>IF(A610="","",IF('Statements (Raw)'!F608="","",'Statements (Raw)'!F608))</f>
        <v/>
      </c>
      <c r="H610" s="9" t="str">
        <f>IF(A610="","",IF('Statements (Raw)'!G608="","",'Statements (Raw)'!G608))</f>
        <v/>
      </c>
      <c r="I610" s="10" t="str">
        <f>IF(A610="","",IF('Statements (Raw)'!H608="","",'Statements (Raw)'!H608))</f>
        <v/>
      </c>
      <c r="J610" s="10">
        <f>IF(A610="",0,IF('Statements (Raw)'!I608="",0,'Statements (Raw)'!I608))</f>
        <v>0</v>
      </c>
      <c r="K610" s="10" t="str">
        <f t="shared" si="19"/>
        <v/>
      </c>
    </row>
    <row r="611" spans="1:11" x14ac:dyDescent="0.3">
      <c r="A611" s="171" t="str">
        <f>IF(OR('Statements (Raw)'!A609="",'Statements (Raw)'!A609&gt;Holdings!$G$3),"",'Statements (Raw)'!A609)</f>
        <v/>
      </c>
      <c r="B611" s="7" t="str">
        <f>IF(A611="","",IF('Statements (Raw)'!B609="","",'Statements (Raw)'!B609))</f>
        <v/>
      </c>
      <c r="C611" s="6" t="str">
        <f>IF(A611="","",IF('Statements (Raw)'!C609&lt;&gt;"",'Statements (Raw)'!C609,IF(ISNUMBER(SEARCH("Conferimento",'Statements (Raw)'!D609)),"CASH DEPOSIT",IF(ISNUMBER(SEARCH("Prelievo",'Statements (Raw)'!D609)),"CASH WITHDRAWAL",IF(ISNUMBER(SEARCH("Bollo",'Statements (Raw)'!D609)),"STAMP DUTY",IF(ISNUMBER(SEARCH("Tobin Tax",'Statements (Raw)'!D609)),"TOBIN TAX",IF(ISNUMBER(SEARCH("Rit.provento",'Statements (Raw)'!D609)),"WITHHOLDING TAX",IF(ISNUMBER(SEARCH("Incasso Dividendi",'Statements (Raw)'!D609)),"DIVIDEND",IF(ISNUMBER(SEARCH("Cedola",'Statements (Raw)'!D609)),"COUPON",IF(ISNUMBER(SEARCH("Ratei Pass",'Statements (Raw)'!D609)),"ACCRUED INT",IF(ISNUMBER(SEARCH("Interessi Prest",'Statements (Raw)'!D609)),"SEC LENDING",IF(ISNUMBER(SEARCH("Rimborso",'Statements (Raw)'!D609)),"REDEMPTION",IF(ISNUMBER(SEARCH("Provento",'Statements (Raw)'!D609)),"DISTRIBUTION","OTHER")))))))))))))</f>
        <v/>
      </c>
      <c r="D611" s="6" t="str">
        <f>IF(A611="","",IF(C611="Saldo Iniziale","Balance",IF(C611="CASH DEPOSIT","Deposit",IF(C611="CASH WITHDRAWAL","Withdrawal",IF(C611="STAMP DUTY","Tax",IF(C611="TOBIN TAX","Tax",IF(C611="WITHHOLDING TAX","Tax",IF(C611="DIVIDEND","Dividend",IF(C611="COUPON","Coupon",IF(C611="ACCRUED INT","Accrued Int.",IF(C611="SEC LENDING","Sec. Lending",IF(C611="REDEMPTION","Redemption",IF(C611="DISTRIBUTION","Distribution",IF(ISNUMBER(SEARCH("Rimborso",'Statements (Raw)'!D609)),"Redemption",IF(ISNUMBER(SEARCH("Cedola",'Statements (Raw)'!D609)),"Coupon",IF(ISNUMBER(SEARCH("Incasso Dividendi",'Statements (Raw)'!D609)),"Dividend",IF(ISNUMBER(SEARCH("Provento Etf",'Statements (Raw)'!D609)),"Distribution",IF(ISNUMBER(SEARCH("Rit.provento",'Statements (Raw)'!D609)),"Tax",IF(ISNUMBER(SEARCH("Ratei Pass",'Statements (Raw)'!D609)),"Accrued Int.",IF(ISNUMBER(SEARCH("Interessi Prest",'Statements (Raw)'!D609)),"Sec. Lending",IF('Statements (Raw)'!G609="","Other",IF('Statements (Raw)'!G609&gt;0,"Buy","Sell"))))))))))))))))))))))</f>
        <v/>
      </c>
      <c r="E611" s="6" t="str">
        <f t="shared" si="18"/>
        <v/>
      </c>
      <c r="F611" s="8" t="str">
        <f>IF(A611="","",IF('Statements (Raw)'!E609="","",'Statements (Raw)'!E609))</f>
        <v/>
      </c>
      <c r="G611" s="6" t="str">
        <f>IF(A611="","",IF('Statements (Raw)'!F609="","",'Statements (Raw)'!F609))</f>
        <v/>
      </c>
      <c r="H611" s="9" t="str">
        <f>IF(A611="","",IF('Statements (Raw)'!G609="","",'Statements (Raw)'!G609))</f>
        <v/>
      </c>
      <c r="I611" s="10" t="str">
        <f>IF(A611="","",IF('Statements (Raw)'!H609="","",'Statements (Raw)'!H609))</f>
        <v/>
      </c>
      <c r="J611" s="10">
        <f>IF(A611="",0,IF('Statements (Raw)'!I609="",0,'Statements (Raw)'!I609))</f>
        <v>0</v>
      </c>
      <c r="K611" s="10" t="str">
        <f t="shared" si="19"/>
        <v/>
      </c>
    </row>
    <row r="612" spans="1:11" x14ac:dyDescent="0.3">
      <c r="A612" s="171" t="str">
        <f>IF(OR('Statements (Raw)'!A610="",'Statements (Raw)'!A610&gt;Holdings!$G$3),"",'Statements (Raw)'!A610)</f>
        <v/>
      </c>
      <c r="B612" s="7" t="str">
        <f>IF(A612="","",IF('Statements (Raw)'!B610="","",'Statements (Raw)'!B610))</f>
        <v/>
      </c>
      <c r="C612" s="6" t="str">
        <f>IF(A612="","",IF('Statements (Raw)'!C610&lt;&gt;"",'Statements (Raw)'!C610,IF(ISNUMBER(SEARCH("Conferimento",'Statements (Raw)'!D610)),"CASH DEPOSIT",IF(ISNUMBER(SEARCH("Prelievo",'Statements (Raw)'!D610)),"CASH WITHDRAWAL",IF(ISNUMBER(SEARCH("Bollo",'Statements (Raw)'!D610)),"STAMP DUTY",IF(ISNUMBER(SEARCH("Tobin Tax",'Statements (Raw)'!D610)),"TOBIN TAX",IF(ISNUMBER(SEARCH("Rit.provento",'Statements (Raw)'!D610)),"WITHHOLDING TAX",IF(ISNUMBER(SEARCH("Incasso Dividendi",'Statements (Raw)'!D610)),"DIVIDEND",IF(ISNUMBER(SEARCH("Cedola",'Statements (Raw)'!D610)),"COUPON",IF(ISNUMBER(SEARCH("Ratei Pass",'Statements (Raw)'!D610)),"ACCRUED INT",IF(ISNUMBER(SEARCH("Interessi Prest",'Statements (Raw)'!D610)),"SEC LENDING",IF(ISNUMBER(SEARCH("Rimborso",'Statements (Raw)'!D610)),"REDEMPTION",IF(ISNUMBER(SEARCH("Provento",'Statements (Raw)'!D610)),"DISTRIBUTION","OTHER")))))))))))))</f>
        <v/>
      </c>
      <c r="D612" s="6" t="str">
        <f>IF(A612="","",IF(C612="Saldo Iniziale","Balance",IF(C612="CASH DEPOSIT","Deposit",IF(C612="CASH WITHDRAWAL","Withdrawal",IF(C612="STAMP DUTY","Tax",IF(C612="TOBIN TAX","Tax",IF(C612="WITHHOLDING TAX","Tax",IF(C612="DIVIDEND","Dividend",IF(C612="COUPON","Coupon",IF(C612="ACCRUED INT","Accrued Int.",IF(C612="SEC LENDING","Sec. Lending",IF(C612="REDEMPTION","Redemption",IF(C612="DISTRIBUTION","Distribution",IF(ISNUMBER(SEARCH("Rimborso",'Statements (Raw)'!D610)),"Redemption",IF(ISNUMBER(SEARCH("Cedola",'Statements (Raw)'!D610)),"Coupon",IF(ISNUMBER(SEARCH("Incasso Dividendi",'Statements (Raw)'!D610)),"Dividend",IF(ISNUMBER(SEARCH("Provento Etf",'Statements (Raw)'!D610)),"Distribution",IF(ISNUMBER(SEARCH("Rit.provento",'Statements (Raw)'!D610)),"Tax",IF(ISNUMBER(SEARCH("Ratei Pass",'Statements (Raw)'!D610)),"Accrued Int.",IF(ISNUMBER(SEARCH("Interessi Prest",'Statements (Raw)'!D610)),"Sec. Lending",IF('Statements (Raw)'!G610="","Other",IF('Statements (Raw)'!G610&gt;0,"Buy","Sell"))))))))))))))))))))))</f>
        <v/>
      </c>
      <c r="E612" s="6" t="str">
        <f t="shared" si="18"/>
        <v/>
      </c>
      <c r="F612" s="8" t="str">
        <f>IF(A612="","",IF('Statements (Raw)'!E610="","",'Statements (Raw)'!E610))</f>
        <v/>
      </c>
      <c r="G612" s="6" t="str">
        <f>IF(A612="","",IF('Statements (Raw)'!F610="","",'Statements (Raw)'!F610))</f>
        <v/>
      </c>
      <c r="H612" s="9" t="str">
        <f>IF(A612="","",IF('Statements (Raw)'!G610="","",'Statements (Raw)'!G610))</f>
        <v/>
      </c>
      <c r="I612" s="10" t="str">
        <f>IF(A612="","",IF('Statements (Raw)'!H610="","",'Statements (Raw)'!H610))</f>
        <v/>
      </c>
      <c r="J612" s="10">
        <f>IF(A612="",0,IF('Statements (Raw)'!I610="",0,'Statements (Raw)'!I610))</f>
        <v>0</v>
      </c>
      <c r="K612" s="10" t="str">
        <f t="shared" si="19"/>
        <v/>
      </c>
    </row>
    <row r="613" spans="1:11" x14ac:dyDescent="0.3">
      <c r="A613" s="171" t="str">
        <f>IF(OR('Statements (Raw)'!A611="",'Statements (Raw)'!A611&gt;Holdings!$G$3),"",'Statements (Raw)'!A611)</f>
        <v/>
      </c>
      <c r="B613" s="7" t="str">
        <f>IF(A613="","",IF('Statements (Raw)'!B611="","",'Statements (Raw)'!B611))</f>
        <v/>
      </c>
      <c r="C613" s="6" t="str">
        <f>IF(A613="","",IF('Statements (Raw)'!C611&lt;&gt;"",'Statements (Raw)'!C611,IF(ISNUMBER(SEARCH("Conferimento",'Statements (Raw)'!D611)),"CASH DEPOSIT",IF(ISNUMBER(SEARCH("Prelievo",'Statements (Raw)'!D611)),"CASH WITHDRAWAL",IF(ISNUMBER(SEARCH("Bollo",'Statements (Raw)'!D611)),"STAMP DUTY",IF(ISNUMBER(SEARCH("Tobin Tax",'Statements (Raw)'!D611)),"TOBIN TAX",IF(ISNUMBER(SEARCH("Rit.provento",'Statements (Raw)'!D611)),"WITHHOLDING TAX",IF(ISNUMBER(SEARCH("Incasso Dividendi",'Statements (Raw)'!D611)),"DIVIDEND",IF(ISNUMBER(SEARCH("Cedola",'Statements (Raw)'!D611)),"COUPON",IF(ISNUMBER(SEARCH("Ratei Pass",'Statements (Raw)'!D611)),"ACCRUED INT",IF(ISNUMBER(SEARCH("Interessi Prest",'Statements (Raw)'!D611)),"SEC LENDING",IF(ISNUMBER(SEARCH("Rimborso",'Statements (Raw)'!D611)),"REDEMPTION",IF(ISNUMBER(SEARCH("Provento",'Statements (Raw)'!D611)),"DISTRIBUTION","OTHER")))))))))))))</f>
        <v/>
      </c>
      <c r="D613" s="6" t="str">
        <f>IF(A613="","",IF(C613="Saldo Iniziale","Balance",IF(C613="CASH DEPOSIT","Deposit",IF(C613="CASH WITHDRAWAL","Withdrawal",IF(C613="STAMP DUTY","Tax",IF(C613="TOBIN TAX","Tax",IF(C613="WITHHOLDING TAX","Tax",IF(C613="DIVIDEND","Dividend",IF(C613="COUPON","Coupon",IF(C613="ACCRUED INT","Accrued Int.",IF(C613="SEC LENDING","Sec. Lending",IF(C613="REDEMPTION","Redemption",IF(C613="DISTRIBUTION","Distribution",IF(ISNUMBER(SEARCH("Rimborso",'Statements (Raw)'!D611)),"Redemption",IF(ISNUMBER(SEARCH("Cedola",'Statements (Raw)'!D611)),"Coupon",IF(ISNUMBER(SEARCH("Incasso Dividendi",'Statements (Raw)'!D611)),"Dividend",IF(ISNUMBER(SEARCH("Provento Etf",'Statements (Raw)'!D611)),"Distribution",IF(ISNUMBER(SEARCH("Rit.provento",'Statements (Raw)'!D611)),"Tax",IF(ISNUMBER(SEARCH("Ratei Pass",'Statements (Raw)'!D611)),"Accrued Int.",IF(ISNUMBER(SEARCH("Interessi Prest",'Statements (Raw)'!D611)),"Sec. Lending",IF('Statements (Raw)'!G611="","Other",IF('Statements (Raw)'!G611&gt;0,"Buy","Sell"))))))))))))))))))))))</f>
        <v/>
      </c>
      <c r="E613" s="6" t="str">
        <f t="shared" si="18"/>
        <v/>
      </c>
      <c r="F613" s="8" t="str">
        <f>IF(A613="","",IF('Statements (Raw)'!E611="","",'Statements (Raw)'!E611))</f>
        <v/>
      </c>
      <c r="G613" s="6" t="str">
        <f>IF(A613="","",IF('Statements (Raw)'!F611="","",'Statements (Raw)'!F611))</f>
        <v/>
      </c>
      <c r="H613" s="9" t="str">
        <f>IF(A613="","",IF('Statements (Raw)'!G611="","",'Statements (Raw)'!G611))</f>
        <v/>
      </c>
      <c r="I613" s="10" t="str">
        <f>IF(A613="","",IF('Statements (Raw)'!H611="","",'Statements (Raw)'!H611))</f>
        <v/>
      </c>
      <c r="J613" s="10">
        <f>IF(A613="",0,IF('Statements (Raw)'!I611="",0,'Statements (Raw)'!I611))</f>
        <v>0</v>
      </c>
      <c r="K613" s="10" t="str">
        <f t="shared" si="19"/>
        <v/>
      </c>
    </row>
    <row r="614" spans="1:11" x14ac:dyDescent="0.3">
      <c r="A614" s="171" t="str">
        <f>IF(OR('Statements (Raw)'!A612="",'Statements (Raw)'!A612&gt;Holdings!$G$3),"",'Statements (Raw)'!A612)</f>
        <v/>
      </c>
      <c r="B614" s="7" t="str">
        <f>IF(A614="","",IF('Statements (Raw)'!B612="","",'Statements (Raw)'!B612))</f>
        <v/>
      </c>
      <c r="C614" s="6" t="str">
        <f>IF(A614="","",IF('Statements (Raw)'!C612&lt;&gt;"",'Statements (Raw)'!C612,IF(ISNUMBER(SEARCH("Conferimento",'Statements (Raw)'!D612)),"CASH DEPOSIT",IF(ISNUMBER(SEARCH("Prelievo",'Statements (Raw)'!D612)),"CASH WITHDRAWAL",IF(ISNUMBER(SEARCH("Bollo",'Statements (Raw)'!D612)),"STAMP DUTY",IF(ISNUMBER(SEARCH("Tobin Tax",'Statements (Raw)'!D612)),"TOBIN TAX",IF(ISNUMBER(SEARCH("Rit.provento",'Statements (Raw)'!D612)),"WITHHOLDING TAX",IF(ISNUMBER(SEARCH("Incasso Dividendi",'Statements (Raw)'!D612)),"DIVIDEND",IF(ISNUMBER(SEARCH("Cedola",'Statements (Raw)'!D612)),"COUPON",IF(ISNUMBER(SEARCH("Ratei Pass",'Statements (Raw)'!D612)),"ACCRUED INT",IF(ISNUMBER(SEARCH("Interessi Prest",'Statements (Raw)'!D612)),"SEC LENDING",IF(ISNUMBER(SEARCH("Rimborso",'Statements (Raw)'!D612)),"REDEMPTION",IF(ISNUMBER(SEARCH("Provento",'Statements (Raw)'!D612)),"DISTRIBUTION","OTHER")))))))))))))</f>
        <v/>
      </c>
      <c r="D614" s="6" t="str">
        <f>IF(A614="","",IF(C614="Saldo Iniziale","Balance",IF(C614="CASH DEPOSIT","Deposit",IF(C614="CASH WITHDRAWAL","Withdrawal",IF(C614="STAMP DUTY","Tax",IF(C614="TOBIN TAX","Tax",IF(C614="WITHHOLDING TAX","Tax",IF(C614="DIVIDEND","Dividend",IF(C614="COUPON","Coupon",IF(C614="ACCRUED INT","Accrued Int.",IF(C614="SEC LENDING","Sec. Lending",IF(C614="REDEMPTION","Redemption",IF(C614="DISTRIBUTION","Distribution",IF(ISNUMBER(SEARCH("Rimborso",'Statements (Raw)'!D612)),"Redemption",IF(ISNUMBER(SEARCH("Cedola",'Statements (Raw)'!D612)),"Coupon",IF(ISNUMBER(SEARCH("Incasso Dividendi",'Statements (Raw)'!D612)),"Dividend",IF(ISNUMBER(SEARCH("Provento Etf",'Statements (Raw)'!D612)),"Distribution",IF(ISNUMBER(SEARCH("Rit.provento",'Statements (Raw)'!D612)),"Tax",IF(ISNUMBER(SEARCH("Ratei Pass",'Statements (Raw)'!D612)),"Accrued Int.",IF(ISNUMBER(SEARCH("Interessi Prest",'Statements (Raw)'!D612)),"Sec. Lending",IF('Statements (Raw)'!G612="","Other",IF('Statements (Raw)'!G612&gt;0,"Buy","Sell"))))))))))))))))))))))</f>
        <v/>
      </c>
      <c r="E614" s="6" t="str">
        <f t="shared" si="18"/>
        <v/>
      </c>
      <c r="F614" s="8" t="str">
        <f>IF(A614="","",IF('Statements (Raw)'!E612="","",'Statements (Raw)'!E612))</f>
        <v/>
      </c>
      <c r="G614" s="6" t="str">
        <f>IF(A614="","",IF('Statements (Raw)'!F612="","",'Statements (Raw)'!F612))</f>
        <v/>
      </c>
      <c r="H614" s="9" t="str">
        <f>IF(A614="","",IF('Statements (Raw)'!G612="","",'Statements (Raw)'!G612))</f>
        <v/>
      </c>
      <c r="I614" s="10" t="str">
        <f>IF(A614="","",IF('Statements (Raw)'!H612="","",'Statements (Raw)'!H612))</f>
        <v/>
      </c>
      <c r="J614" s="10">
        <f>IF(A614="",0,IF('Statements (Raw)'!I612="",0,'Statements (Raw)'!I612))</f>
        <v>0</v>
      </c>
      <c r="K614" s="10" t="str">
        <f t="shared" si="19"/>
        <v/>
      </c>
    </row>
    <row r="615" spans="1:11" x14ac:dyDescent="0.3">
      <c r="A615" s="171" t="str">
        <f>IF(OR('Statements (Raw)'!A613="",'Statements (Raw)'!A613&gt;Holdings!$G$3),"",'Statements (Raw)'!A613)</f>
        <v/>
      </c>
      <c r="B615" s="7" t="str">
        <f>IF(A615="","",IF('Statements (Raw)'!B613="","",'Statements (Raw)'!B613))</f>
        <v/>
      </c>
      <c r="C615" s="6" t="str">
        <f>IF(A615="","",IF('Statements (Raw)'!C613&lt;&gt;"",'Statements (Raw)'!C613,IF(ISNUMBER(SEARCH("Conferimento",'Statements (Raw)'!D613)),"CASH DEPOSIT",IF(ISNUMBER(SEARCH("Prelievo",'Statements (Raw)'!D613)),"CASH WITHDRAWAL",IF(ISNUMBER(SEARCH("Bollo",'Statements (Raw)'!D613)),"STAMP DUTY",IF(ISNUMBER(SEARCH("Tobin Tax",'Statements (Raw)'!D613)),"TOBIN TAX",IF(ISNUMBER(SEARCH("Rit.provento",'Statements (Raw)'!D613)),"WITHHOLDING TAX",IF(ISNUMBER(SEARCH("Incasso Dividendi",'Statements (Raw)'!D613)),"DIVIDEND",IF(ISNUMBER(SEARCH("Cedola",'Statements (Raw)'!D613)),"COUPON",IF(ISNUMBER(SEARCH("Ratei Pass",'Statements (Raw)'!D613)),"ACCRUED INT",IF(ISNUMBER(SEARCH("Interessi Prest",'Statements (Raw)'!D613)),"SEC LENDING",IF(ISNUMBER(SEARCH("Rimborso",'Statements (Raw)'!D613)),"REDEMPTION",IF(ISNUMBER(SEARCH("Provento",'Statements (Raw)'!D613)),"DISTRIBUTION","OTHER")))))))))))))</f>
        <v/>
      </c>
      <c r="D615" s="6" t="str">
        <f>IF(A615="","",IF(C615="Saldo Iniziale","Balance",IF(C615="CASH DEPOSIT","Deposit",IF(C615="CASH WITHDRAWAL","Withdrawal",IF(C615="STAMP DUTY","Tax",IF(C615="TOBIN TAX","Tax",IF(C615="WITHHOLDING TAX","Tax",IF(C615="DIVIDEND","Dividend",IF(C615="COUPON","Coupon",IF(C615="ACCRUED INT","Accrued Int.",IF(C615="SEC LENDING","Sec. Lending",IF(C615="REDEMPTION","Redemption",IF(C615="DISTRIBUTION","Distribution",IF(ISNUMBER(SEARCH("Rimborso",'Statements (Raw)'!D613)),"Redemption",IF(ISNUMBER(SEARCH("Cedola",'Statements (Raw)'!D613)),"Coupon",IF(ISNUMBER(SEARCH("Incasso Dividendi",'Statements (Raw)'!D613)),"Dividend",IF(ISNUMBER(SEARCH("Provento Etf",'Statements (Raw)'!D613)),"Distribution",IF(ISNUMBER(SEARCH("Rit.provento",'Statements (Raw)'!D613)),"Tax",IF(ISNUMBER(SEARCH("Ratei Pass",'Statements (Raw)'!D613)),"Accrued Int.",IF(ISNUMBER(SEARCH("Interessi Prest",'Statements (Raw)'!D613)),"Sec. Lending",IF('Statements (Raw)'!G613="","Other",IF('Statements (Raw)'!G613&gt;0,"Buy","Sell"))))))))))))))))))))))</f>
        <v/>
      </c>
      <c r="E615" s="6" t="str">
        <f t="shared" si="18"/>
        <v/>
      </c>
      <c r="F615" s="8" t="str">
        <f>IF(A615="","",IF('Statements (Raw)'!E613="","",'Statements (Raw)'!E613))</f>
        <v/>
      </c>
      <c r="G615" s="6" t="str">
        <f>IF(A615="","",IF('Statements (Raw)'!F613="","",'Statements (Raw)'!F613))</f>
        <v/>
      </c>
      <c r="H615" s="9" t="str">
        <f>IF(A615="","",IF('Statements (Raw)'!G613="","",'Statements (Raw)'!G613))</f>
        <v/>
      </c>
      <c r="I615" s="10" t="str">
        <f>IF(A615="","",IF('Statements (Raw)'!H613="","",'Statements (Raw)'!H613))</f>
        <v/>
      </c>
      <c r="J615" s="10">
        <f>IF(A615="",0,IF('Statements (Raw)'!I613="",0,'Statements (Raw)'!I613))</f>
        <v>0</v>
      </c>
      <c r="K615" s="10" t="str">
        <f t="shared" si="19"/>
        <v/>
      </c>
    </row>
    <row r="616" spans="1:11" x14ac:dyDescent="0.3">
      <c r="A616" s="171" t="str">
        <f>IF(OR('Statements (Raw)'!A614="",'Statements (Raw)'!A614&gt;Holdings!$G$3),"",'Statements (Raw)'!A614)</f>
        <v/>
      </c>
      <c r="B616" s="7" t="str">
        <f>IF(A616="","",IF('Statements (Raw)'!B614="","",'Statements (Raw)'!B614))</f>
        <v/>
      </c>
      <c r="C616" s="6" t="str">
        <f>IF(A616="","",IF('Statements (Raw)'!C614&lt;&gt;"",'Statements (Raw)'!C614,IF(ISNUMBER(SEARCH("Conferimento",'Statements (Raw)'!D614)),"CASH DEPOSIT",IF(ISNUMBER(SEARCH("Prelievo",'Statements (Raw)'!D614)),"CASH WITHDRAWAL",IF(ISNUMBER(SEARCH("Bollo",'Statements (Raw)'!D614)),"STAMP DUTY",IF(ISNUMBER(SEARCH("Tobin Tax",'Statements (Raw)'!D614)),"TOBIN TAX",IF(ISNUMBER(SEARCH("Rit.provento",'Statements (Raw)'!D614)),"WITHHOLDING TAX",IF(ISNUMBER(SEARCH("Incasso Dividendi",'Statements (Raw)'!D614)),"DIVIDEND",IF(ISNUMBER(SEARCH("Cedola",'Statements (Raw)'!D614)),"COUPON",IF(ISNUMBER(SEARCH("Ratei Pass",'Statements (Raw)'!D614)),"ACCRUED INT",IF(ISNUMBER(SEARCH("Interessi Prest",'Statements (Raw)'!D614)),"SEC LENDING",IF(ISNUMBER(SEARCH("Rimborso",'Statements (Raw)'!D614)),"REDEMPTION",IF(ISNUMBER(SEARCH("Provento",'Statements (Raw)'!D614)),"DISTRIBUTION","OTHER")))))))))))))</f>
        <v/>
      </c>
      <c r="D616" s="6" t="str">
        <f>IF(A616="","",IF(C616="Saldo Iniziale","Balance",IF(C616="CASH DEPOSIT","Deposit",IF(C616="CASH WITHDRAWAL","Withdrawal",IF(C616="STAMP DUTY","Tax",IF(C616="TOBIN TAX","Tax",IF(C616="WITHHOLDING TAX","Tax",IF(C616="DIVIDEND","Dividend",IF(C616="COUPON","Coupon",IF(C616="ACCRUED INT","Accrued Int.",IF(C616="SEC LENDING","Sec. Lending",IF(C616="REDEMPTION","Redemption",IF(C616="DISTRIBUTION","Distribution",IF(ISNUMBER(SEARCH("Rimborso",'Statements (Raw)'!D614)),"Redemption",IF(ISNUMBER(SEARCH("Cedola",'Statements (Raw)'!D614)),"Coupon",IF(ISNUMBER(SEARCH("Incasso Dividendi",'Statements (Raw)'!D614)),"Dividend",IF(ISNUMBER(SEARCH("Provento Etf",'Statements (Raw)'!D614)),"Distribution",IF(ISNUMBER(SEARCH("Rit.provento",'Statements (Raw)'!D614)),"Tax",IF(ISNUMBER(SEARCH("Ratei Pass",'Statements (Raw)'!D614)),"Accrued Int.",IF(ISNUMBER(SEARCH("Interessi Prest",'Statements (Raw)'!D614)),"Sec. Lending",IF('Statements (Raw)'!G614="","Other",IF('Statements (Raw)'!G614&gt;0,"Buy","Sell"))))))))))))))))))))))</f>
        <v/>
      </c>
      <c r="E616" s="6" t="str">
        <f t="shared" si="18"/>
        <v/>
      </c>
      <c r="F616" s="8" t="str">
        <f>IF(A616="","",IF('Statements (Raw)'!E614="","",'Statements (Raw)'!E614))</f>
        <v/>
      </c>
      <c r="G616" s="6" t="str">
        <f>IF(A616="","",IF('Statements (Raw)'!F614="","",'Statements (Raw)'!F614))</f>
        <v/>
      </c>
      <c r="H616" s="9" t="str">
        <f>IF(A616="","",IF('Statements (Raw)'!G614="","",'Statements (Raw)'!G614))</f>
        <v/>
      </c>
      <c r="I616" s="10" t="str">
        <f>IF(A616="","",IF('Statements (Raw)'!H614="","",'Statements (Raw)'!H614))</f>
        <v/>
      </c>
      <c r="J616" s="10">
        <f>IF(A616="",0,IF('Statements (Raw)'!I614="",0,'Statements (Raw)'!I614))</f>
        <v>0</v>
      </c>
      <c r="K616" s="10" t="str">
        <f t="shared" si="19"/>
        <v/>
      </c>
    </row>
    <row r="617" spans="1:11" x14ac:dyDescent="0.3">
      <c r="A617" s="171" t="str">
        <f>IF(OR('Statements (Raw)'!A615="",'Statements (Raw)'!A615&gt;Holdings!$G$3),"",'Statements (Raw)'!A615)</f>
        <v/>
      </c>
      <c r="B617" s="7" t="str">
        <f>IF(A617="","",IF('Statements (Raw)'!B615="","",'Statements (Raw)'!B615))</f>
        <v/>
      </c>
      <c r="C617" s="6" t="str">
        <f>IF(A617="","",IF('Statements (Raw)'!C615&lt;&gt;"",'Statements (Raw)'!C615,IF(ISNUMBER(SEARCH("Conferimento",'Statements (Raw)'!D615)),"CASH DEPOSIT",IF(ISNUMBER(SEARCH("Prelievo",'Statements (Raw)'!D615)),"CASH WITHDRAWAL",IF(ISNUMBER(SEARCH("Bollo",'Statements (Raw)'!D615)),"STAMP DUTY",IF(ISNUMBER(SEARCH("Tobin Tax",'Statements (Raw)'!D615)),"TOBIN TAX",IF(ISNUMBER(SEARCH("Rit.provento",'Statements (Raw)'!D615)),"WITHHOLDING TAX",IF(ISNUMBER(SEARCH("Incasso Dividendi",'Statements (Raw)'!D615)),"DIVIDEND",IF(ISNUMBER(SEARCH("Cedola",'Statements (Raw)'!D615)),"COUPON",IF(ISNUMBER(SEARCH("Ratei Pass",'Statements (Raw)'!D615)),"ACCRUED INT",IF(ISNUMBER(SEARCH("Interessi Prest",'Statements (Raw)'!D615)),"SEC LENDING",IF(ISNUMBER(SEARCH("Rimborso",'Statements (Raw)'!D615)),"REDEMPTION",IF(ISNUMBER(SEARCH("Provento",'Statements (Raw)'!D615)),"DISTRIBUTION","OTHER")))))))))))))</f>
        <v/>
      </c>
      <c r="D617" s="6" t="str">
        <f>IF(A617="","",IF(C617="Saldo Iniziale","Balance",IF(C617="CASH DEPOSIT","Deposit",IF(C617="CASH WITHDRAWAL","Withdrawal",IF(C617="STAMP DUTY","Tax",IF(C617="TOBIN TAX","Tax",IF(C617="WITHHOLDING TAX","Tax",IF(C617="DIVIDEND","Dividend",IF(C617="COUPON","Coupon",IF(C617="ACCRUED INT","Accrued Int.",IF(C617="SEC LENDING","Sec. Lending",IF(C617="REDEMPTION","Redemption",IF(C617="DISTRIBUTION","Distribution",IF(ISNUMBER(SEARCH("Rimborso",'Statements (Raw)'!D615)),"Redemption",IF(ISNUMBER(SEARCH("Cedola",'Statements (Raw)'!D615)),"Coupon",IF(ISNUMBER(SEARCH("Incasso Dividendi",'Statements (Raw)'!D615)),"Dividend",IF(ISNUMBER(SEARCH("Provento Etf",'Statements (Raw)'!D615)),"Distribution",IF(ISNUMBER(SEARCH("Rit.provento",'Statements (Raw)'!D615)),"Tax",IF(ISNUMBER(SEARCH("Ratei Pass",'Statements (Raw)'!D615)),"Accrued Int.",IF(ISNUMBER(SEARCH("Interessi Prest",'Statements (Raw)'!D615)),"Sec. Lending",IF('Statements (Raw)'!G615="","Other",IF('Statements (Raw)'!G615&gt;0,"Buy","Sell"))))))))))))))))))))))</f>
        <v/>
      </c>
      <c r="E617" s="6" t="str">
        <f t="shared" si="18"/>
        <v/>
      </c>
      <c r="F617" s="8" t="str">
        <f>IF(A617="","",IF('Statements (Raw)'!E615="","",'Statements (Raw)'!E615))</f>
        <v/>
      </c>
      <c r="G617" s="6" t="str">
        <f>IF(A617="","",IF('Statements (Raw)'!F615="","",'Statements (Raw)'!F615))</f>
        <v/>
      </c>
      <c r="H617" s="9" t="str">
        <f>IF(A617="","",IF('Statements (Raw)'!G615="","",'Statements (Raw)'!G615))</f>
        <v/>
      </c>
      <c r="I617" s="10" t="str">
        <f>IF(A617="","",IF('Statements (Raw)'!H615="","",'Statements (Raw)'!H615))</f>
        <v/>
      </c>
      <c r="J617" s="10">
        <f>IF(A617="",0,IF('Statements (Raw)'!I615="",0,'Statements (Raw)'!I615))</f>
        <v>0</v>
      </c>
      <c r="K617" s="10" t="str">
        <f t="shared" si="19"/>
        <v/>
      </c>
    </row>
    <row r="618" spans="1:11" x14ac:dyDescent="0.3">
      <c r="A618" s="171" t="str">
        <f>IF(OR('Statements (Raw)'!A616="",'Statements (Raw)'!A616&gt;Holdings!$G$3),"",'Statements (Raw)'!A616)</f>
        <v/>
      </c>
      <c r="B618" s="7" t="str">
        <f>IF(A618="","",IF('Statements (Raw)'!B616="","",'Statements (Raw)'!B616))</f>
        <v/>
      </c>
      <c r="C618" s="6" t="str">
        <f>IF(A618="","",IF('Statements (Raw)'!C616&lt;&gt;"",'Statements (Raw)'!C616,IF(ISNUMBER(SEARCH("Conferimento",'Statements (Raw)'!D616)),"CASH DEPOSIT",IF(ISNUMBER(SEARCH("Prelievo",'Statements (Raw)'!D616)),"CASH WITHDRAWAL",IF(ISNUMBER(SEARCH("Bollo",'Statements (Raw)'!D616)),"STAMP DUTY",IF(ISNUMBER(SEARCH("Tobin Tax",'Statements (Raw)'!D616)),"TOBIN TAX",IF(ISNUMBER(SEARCH("Rit.provento",'Statements (Raw)'!D616)),"WITHHOLDING TAX",IF(ISNUMBER(SEARCH("Incasso Dividendi",'Statements (Raw)'!D616)),"DIVIDEND",IF(ISNUMBER(SEARCH("Cedola",'Statements (Raw)'!D616)),"COUPON",IF(ISNUMBER(SEARCH("Ratei Pass",'Statements (Raw)'!D616)),"ACCRUED INT",IF(ISNUMBER(SEARCH("Interessi Prest",'Statements (Raw)'!D616)),"SEC LENDING",IF(ISNUMBER(SEARCH("Rimborso",'Statements (Raw)'!D616)),"REDEMPTION",IF(ISNUMBER(SEARCH("Provento",'Statements (Raw)'!D616)),"DISTRIBUTION","OTHER")))))))))))))</f>
        <v/>
      </c>
      <c r="D618" s="6" t="str">
        <f>IF(A618="","",IF(C618="Saldo Iniziale","Balance",IF(C618="CASH DEPOSIT","Deposit",IF(C618="CASH WITHDRAWAL","Withdrawal",IF(C618="STAMP DUTY","Tax",IF(C618="TOBIN TAX","Tax",IF(C618="WITHHOLDING TAX","Tax",IF(C618="DIVIDEND","Dividend",IF(C618="COUPON","Coupon",IF(C618="ACCRUED INT","Accrued Int.",IF(C618="SEC LENDING","Sec. Lending",IF(C618="REDEMPTION","Redemption",IF(C618="DISTRIBUTION","Distribution",IF(ISNUMBER(SEARCH("Rimborso",'Statements (Raw)'!D616)),"Redemption",IF(ISNUMBER(SEARCH("Cedola",'Statements (Raw)'!D616)),"Coupon",IF(ISNUMBER(SEARCH("Incasso Dividendi",'Statements (Raw)'!D616)),"Dividend",IF(ISNUMBER(SEARCH("Provento Etf",'Statements (Raw)'!D616)),"Distribution",IF(ISNUMBER(SEARCH("Rit.provento",'Statements (Raw)'!D616)),"Tax",IF(ISNUMBER(SEARCH("Ratei Pass",'Statements (Raw)'!D616)),"Accrued Int.",IF(ISNUMBER(SEARCH("Interessi Prest",'Statements (Raw)'!D616)),"Sec. Lending",IF('Statements (Raw)'!G616="","Other",IF('Statements (Raw)'!G616&gt;0,"Buy","Sell"))))))))))))))))))))))</f>
        <v/>
      </c>
      <c r="E618" s="6" t="str">
        <f t="shared" si="18"/>
        <v/>
      </c>
      <c r="F618" s="8" t="str">
        <f>IF(A618="","",IF('Statements (Raw)'!E616="","",'Statements (Raw)'!E616))</f>
        <v/>
      </c>
      <c r="G618" s="6" t="str">
        <f>IF(A618="","",IF('Statements (Raw)'!F616="","",'Statements (Raw)'!F616))</f>
        <v/>
      </c>
      <c r="H618" s="9" t="str">
        <f>IF(A618="","",IF('Statements (Raw)'!G616="","",'Statements (Raw)'!G616))</f>
        <v/>
      </c>
      <c r="I618" s="10" t="str">
        <f>IF(A618="","",IF('Statements (Raw)'!H616="","",'Statements (Raw)'!H616))</f>
        <v/>
      </c>
      <c r="J618" s="10">
        <f>IF(A618="",0,IF('Statements (Raw)'!I616="",0,'Statements (Raw)'!I616))</f>
        <v>0</v>
      </c>
      <c r="K618" s="10" t="str">
        <f t="shared" si="19"/>
        <v/>
      </c>
    </row>
    <row r="619" spans="1:11" x14ac:dyDescent="0.3">
      <c r="A619" s="171" t="str">
        <f>IF(OR('Statements (Raw)'!A617="",'Statements (Raw)'!A617&gt;Holdings!$G$3),"",'Statements (Raw)'!A617)</f>
        <v/>
      </c>
      <c r="B619" s="7" t="str">
        <f>IF(A619="","",IF('Statements (Raw)'!B617="","",'Statements (Raw)'!B617))</f>
        <v/>
      </c>
      <c r="C619" s="6" t="str">
        <f>IF(A619="","",IF('Statements (Raw)'!C617&lt;&gt;"",'Statements (Raw)'!C617,IF(ISNUMBER(SEARCH("Conferimento",'Statements (Raw)'!D617)),"CASH DEPOSIT",IF(ISNUMBER(SEARCH("Prelievo",'Statements (Raw)'!D617)),"CASH WITHDRAWAL",IF(ISNUMBER(SEARCH("Bollo",'Statements (Raw)'!D617)),"STAMP DUTY",IF(ISNUMBER(SEARCH("Tobin Tax",'Statements (Raw)'!D617)),"TOBIN TAX",IF(ISNUMBER(SEARCH("Rit.provento",'Statements (Raw)'!D617)),"WITHHOLDING TAX",IF(ISNUMBER(SEARCH("Incasso Dividendi",'Statements (Raw)'!D617)),"DIVIDEND",IF(ISNUMBER(SEARCH("Cedola",'Statements (Raw)'!D617)),"COUPON",IF(ISNUMBER(SEARCH("Ratei Pass",'Statements (Raw)'!D617)),"ACCRUED INT",IF(ISNUMBER(SEARCH("Interessi Prest",'Statements (Raw)'!D617)),"SEC LENDING",IF(ISNUMBER(SEARCH("Rimborso",'Statements (Raw)'!D617)),"REDEMPTION",IF(ISNUMBER(SEARCH("Provento",'Statements (Raw)'!D617)),"DISTRIBUTION","OTHER")))))))))))))</f>
        <v/>
      </c>
      <c r="D619" s="6" t="str">
        <f>IF(A619="","",IF(C619="Saldo Iniziale","Balance",IF(C619="CASH DEPOSIT","Deposit",IF(C619="CASH WITHDRAWAL","Withdrawal",IF(C619="STAMP DUTY","Tax",IF(C619="TOBIN TAX","Tax",IF(C619="WITHHOLDING TAX","Tax",IF(C619="DIVIDEND","Dividend",IF(C619="COUPON","Coupon",IF(C619="ACCRUED INT","Accrued Int.",IF(C619="SEC LENDING","Sec. Lending",IF(C619="REDEMPTION","Redemption",IF(C619="DISTRIBUTION","Distribution",IF(ISNUMBER(SEARCH("Rimborso",'Statements (Raw)'!D617)),"Redemption",IF(ISNUMBER(SEARCH("Cedola",'Statements (Raw)'!D617)),"Coupon",IF(ISNUMBER(SEARCH("Incasso Dividendi",'Statements (Raw)'!D617)),"Dividend",IF(ISNUMBER(SEARCH("Provento Etf",'Statements (Raw)'!D617)),"Distribution",IF(ISNUMBER(SEARCH("Rit.provento",'Statements (Raw)'!D617)),"Tax",IF(ISNUMBER(SEARCH("Ratei Pass",'Statements (Raw)'!D617)),"Accrued Int.",IF(ISNUMBER(SEARCH("Interessi Prest",'Statements (Raw)'!D617)),"Sec. Lending",IF('Statements (Raw)'!G617="","Other",IF('Statements (Raw)'!G617&gt;0,"Buy","Sell"))))))))))))))))))))))</f>
        <v/>
      </c>
      <c r="E619" s="6" t="str">
        <f t="shared" si="18"/>
        <v/>
      </c>
      <c r="F619" s="8" t="str">
        <f>IF(A619="","",IF('Statements (Raw)'!E617="","",'Statements (Raw)'!E617))</f>
        <v/>
      </c>
      <c r="G619" s="6" t="str">
        <f>IF(A619="","",IF('Statements (Raw)'!F617="","",'Statements (Raw)'!F617))</f>
        <v/>
      </c>
      <c r="H619" s="9" t="str">
        <f>IF(A619="","",IF('Statements (Raw)'!G617="","",'Statements (Raw)'!G617))</f>
        <v/>
      </c>
      <c r="I619" s="10" t="str">
        <f>IF(A619="","",IF('Statements (Raw)'!H617="","",'Statements (Raw)'!H617))</f>
        <v/>
      </c>
      <c r="J619" s="10">
        <f>IF(A619="",0,IF('Statements (Raw)'!I617="",0,'Statements (Raw)'!I617))</f>
        <v>0</v>
      </c>
      <c r="K619" s="10" t="str">
        <f t="shared" si="19"/>
        <v/>
      </c>
    </row>
    <row r="620" spans="1:11" x14ac:dyDescent="0.3">
      <c r="A620" s="171" t="str">
        <f>IF(OR('Statements (Raw)'!A618="",'Statements (Raw)'!A618&gt;Holdings!$G$3),"",'Statements (Raw)'!A618)</f>
        <v/>
      </c>
      <c r="B620" s="7" t="str">
        <f>IF(A620="","",IF('Statements (Raw)'!B618="","",'Statements (Raw)'!B618))</f>
        <v/>
      </c>
      <c r="C620" s="6" t="str">
        <f>IF(A620="","",IF('Statements (Raw)'!C618&lt;&gt;"",'Statements (Raw)'!C618,IF(ISNUMBER(SEARCH("Conferimento",'Statements (Raw)'!D618)),"CASH DEPOSIT",IF(ISNUMBER(SEARCH("Prelievo",'Statements (Raw)'!D618)),"CASH WITHDRAWAL",IF(ISNUMBER(SEARCH("Bollo",'Statements (Raw)'!D618)),"STAMP DUTY",IF(ISNUMBER(SEARCH("Tobin Tax",'Statements (Raw)'!D618)),"TOBIN TAX",IF(ISNUMBER(SEARCH("Rit.provento",'Statements (Raw)'!D618)),"WITHHOLDING TAX",IF(ISNUMBER(SEARCH("Incasso Dividendi",'Statements (Raw)'!D618)),"DIVIDEND",IF(ISNUMBER(SEARCH("Cedola",'Statements (Raw)'!D618)),"COUPON",IF(ISNUMBER(SEARCH("Ratei Pass",'Statements (Raw)'!D618)),"ACCRUED INT",IF(ISNUMBER(SEARCH("Interessi Prest",'Statements (Raw)'!D618)),"SEC LENDING",IF(ISNUMBER(SEARCH("Rimborso",'Statements (Raw)'!D618)),"REDEMPTION",IF(ISNUMBER(SEARCH("Provento",'Statements (Raw)'!D618)),"DISTRIBUTION","OTHER")))))))))))))</f>
        <v/>
      </c>
      <c r="D620" s="6" t="str">
        <f>IF(A620="","",IF(C620="Saldo Iniziale","Balance",IF(C620="CASH DEPOSIT","Deposit",IF(C620="CASH WITHDRAWAL","Withdrawal",IF(C620="STAMP DUTY","Tax",IF(C620="TOBIN TAX","Tax",IF(C620="WITHHOLDING TAX","Tax",IF(C620="DIVIDEND","Dividend",IF(C620="COUPON","Coupon",IF(C620="ACCRUED INT","Accrued Int.",IF(C620="SEC LENDING","Sec. Lending",IF(C620="REDEMPTION","Redemption",IF(C620="DISTRIBUTION","Distribution",IF(ISNUMBER(SEARCH("Rimborso",'Statements (Raw)'!D618)),"Redemption",IF(ISNUMBER(SEARCH("Cedola",'Statements (Raw)'!D618)),"Coupon",IF(ISNUMBER(SEARCH("Incasso Dividendi",'Statements (Raw)'!D618)),"Dividend",IF(ISNUMBER(SEARCH("Provento Etf",'Statements (Raw)'!D618)),"Distribution",IF(ISNUMBER(SEARCH("Rit.provento",'Statements (Raw)'!D618)),"Tax",IF(ISNUMBER(SEARCH("Ratei Pass",'Statements (Raw)'!D618)),"Accrued Int.",IF(ISNUMBER(SEARCH("Interessi Prest",'Statements (Raw)'!D618)),"Sec. Lending",IF('Statements (Raw)'!G618="","Other",IF('Statements (Raw)'!G618&gt;0,"Buy","Sell"))))))))))))))))))))))</f>
        <v/>
      </c>
      <c r="E620" s="6" t="str">
        <f t="shared" si="18"/>
        <v/>
      </c>
      <c r="F620" s="8" t="str">
        <f>IF(A620="","",IF('Statements (Raw)'!E618="","",'Statements (Raw)'!E618))</f>
        <v/>
      </c>
      <c r="G620" s="6" t="str">
        <f>IF(A620="","",IF('Statements (Raw)'!F618="","",'Statements (Raw)'!F618))</f>
        <v/>
      </c>
      <c r="H620" s="9" t="str">
        <f>IF(A620="","",IF('Statements (Raw)'!G618="","",'Statements (Raw)'!G618))</f>
        <v/>
      </c>
      <c r="I620" s="10" t="str">
        <f>IF(A620="","",IF('Statements (Raw)'!H618="","",'Statements (Raw)'!H618))</f>
        <v/>
      </c>
      <c r="J620" s="10">
        <f>IF(A620="",0,IF('Statements (Raw)'!I618="",0,'Statements (Raw)'!I618))</f>
        <v>0</v>
      </c>
      <c r="K620" s="10" t="str">
        <f t="shared" si="19"/>
        <v/>
      </c>
    </row>
    <row r="621" spans="1:11" x14ac:dyDescent="0.3">
      <c r="A621" s="171" t="str">
        <f>IF(OR('Statements (Raw)'!A619="",'Statements (Raw)'!A619&gt;Holdings!$G$3),"",'Statements (Raw)'!A619)</f>
        <v/>
      </c>
      <c r="B621" s="7" t="str">
        <f>IF(A621="","",IF('Statements (Raw)'!B619="","",'Statements (Raw)'!B619))</f>
        <v/>
      </c>
      <c r="C621" s="6" t="str">
        <f>IF(A621="","",IF('Statements (Raw)'!C619&lt;&gt;"",'Statements (Raw)'!C619,IF(ISNUMBER(SEARCH("Conferimento",'Statements (Raw)'!D619)),"CASH DEPOSIT",IF(ISNUMBER(SEARCH("Prelievo",'Statements (Raw)'!D619)),"CASH WITHDRAWAL",IF(ISNUMBER(SEARCH("Bollo",'Statements (Raw)'!D619)),"STAMP DUTY",IF(ISNUMBER(SEARCH("Tobin Tax",'Statements (Raw)'!D619)),"TOBIN TAX",IF(ISNUMBER(SEARCH("Rit.provento",'Statements (Raw)'!D619)),"WITHHOLDING TAX",IF(ISNUMBER(SEARCH("Incasso Dividendi",'Statements (Raw)'!D619)),"DIVIDEND",IF(ISNUMBER(SEARCH("Cedola",'Statements (Raw)'!D619)),"COUPON",IF(ISNUMBER(SEARCH("Ratei Pass",'Statements (Raw)'!D619)),"ACCRUED INT",IF(ISNUMBER(SEARCH("Interessi Prest",'Statements (Raw)'!D619)),"SEC LENDING",IF(ISNUMBER(SEARCH("Rimborso",'Statements (Raw)'!D619)),"REDEMPTION",IF(ISNUMBER(SEARCH("Provento",'Statements (Raw)'!D619)),"DISTRIBUTION","OTHER")))))))))))))</f>
        <v/>
      </c>
      <c r="D621" s="6" t="str">
        <f>IF(A621="","",IF(C621="Saldo Iniziale","Balance",IF(C621="CASH DEPOSIT","Deposit",IF(C621="CASH WITHDRAWAL","Withdrawal",IF(C621="STAMP DUTY","Tax",IF(C621="TOBIN TAX","Tax",IF(C621="WITHHOLDING TAX","Tax",IF(C621="DIVIDEND","Dividend",IF(C621="COUPON","Coupon",IF(C621="ACCRUED INT","Accrued Int.",IF(C621="SEC LENDING","Sec. Lending",IF(C621="REDEMPTION","Redemption",IF(C621="DISTRIBUTION","Distribution",IF(ISNUMBER(SEARCH("Rimborso",'Statements (Raw)'!D619)),"Redemption",IF(ISNUMBER(SEARCH("Cedola",'Statements (Raw)'!D619)),"Coupon",IF(ISNUMBER(SEARCH("Incasso Dividendi",'Statements (Raw)'!D619)),"Dividend",IF(ISNUMBER(SEARCH("Provento Etf",'Statements (Raw)'!D619)),"Distribution",IF(ISNUMBER(SEARCH("Rit.provento",'Statements (Raw)'!D619)),"Tax",IF(ISNUMBER(SEARCH("Ratei Pass",'Statements (Raw)'!D619)),"Accrued Int.",IF(ISNUMBER(SEARCH("Interessi Prest",'Statements (Raw)'!D619)),"Sec. Lending",IF('Statements (Raw)'!G619="","Other",IF('Statements (Raw)'!G619&gt;0,"Buy","Sell"))))))))))))))))))))))</f>
        <v/>
      </c>
      <c r="E621" s="6" t="str">
        <f t="shared" si="18"/>
        <v/>
      </c>
      <c r="F621" s="8" t="str">
        <f>IF(A621="","",IF('Statements (Raw)'!E619="","",'Statements (Raw)'!E619))</f>
        <v/>
      </c>
      <c r="G621" s="6" t="str">
        <f>IF(A621="","",IF('Statements (Raw)'!F619="","",'Statements (Raw)'!F619))</f>
        <v/>
      </c>
      <c r="H621" s="9" t="str">
        <f>IF(A621="","",IF('Statements (Raw)'!G619="","",'Statements (Raw)'!G619))</f>
        <v/>
      </c>
      <c r="I621" s="10" t="str">
        <f>IF(A621="","",IF('Statements (Raw)'!H619="","",'Statements (Raw)'!H619))</f>
        <v/>
      </c>
      <c r="J621" s="10">
        <f>IF(A621="",0,IF('Statements (Raw)'!I619="",0,'Statements (Raw)'!I619))</f>
        <v>0</v>
      </c>
      <c r="K621" s="10" t="str">
        <f t="shared" si="19"/>
        <v/>
      </c>
    </row>
    <row r="622" spans="1:11" x14ac:dyDescent="0.3">
      <c r="A622" s="171" t="str">
        <f>IF(OR('Statements (Raw)'!A620="",'Statements (Raw)'!A620&gt;Holdings!$G$3),"",'Statements (Raw)'!A620)</f>
        <v/>
      </c>
      <c r="B622" s="7" t="str">
        <f>IF(A622="","",IF('Statements (Raw)'!B620="","",'Statements (Raw)'!B620))</f>
        <v/>
      </c>
      <c r="C622" s="6" t="str">
        <f>IF(A622="","",IF('Statements (Raw)'!C620&lt;&gt;"",'Statements (Raw)'!C620,IF(ISNUMBER(SEARCH("Conferimento",'Statements (Raw)'!D620)),"CASH DEPOSIT",IF(ISNUMBER(SEARCH("Prelievo",'Statements (Raw)'!D620)),"CASH WITHDRAWAL",IF(ISNUMBER(SEARCH("Bollo",'Statements (Raw)'!D620)),"STAMP DUTY",IF(ISNUMBER(SEARCH("Tobin Tax",'Statements (Raw)'!D620)),"TOBIN TAX",IF(ISNUMBER(SEARCH("Rit.provento",'Statements (Raw)'!D620)),"WITHHOLDING TAX",IF(ISNUMBER(SEARCH("Incasso Dividendi",'Statements (Raw)'!D620)),"DIVIDEND",IF(ISNUMBER(SEARCH("Cedola",'Statements (Raw)'!D620)),"COUPON",IF(ISNUMBER(SEARCH("Ratei Pass",'Statements (Raw)'!D620)),"ACCRUED INT",IF(ISNUMBER(SEARCH("Interessi Prest",'Statements (Raw)'!D620)),"SEC LENDING",IF(ISNUMBER(SEARCH("Rimborso",'Statements (Raw)'!D620)),"REDEMPTION",IF(ISNUMBER(SEARCH("Provento",'Statements (Raw)'!D620)),"DISTRIBUTION","OTHER")))))))))))))</f>
        <v/>
      </c>
      <c r="D622" s="6" t="str">
        <f>IF(A622="","",IF(C622="Saldo Iniziale","Balance",IF(C622="CASH DEPOSIT","Deposit",IF(C622="CASH WITHDRAWAL","Withdrawal",IF(C622="STAMP DUTY","Tax",IF(C622="TOBIN TAX","Tax",IF(C622="WITHHOLDING TAX","Tax",IF(C622="DIVIDEND","Dividend",IF(C622="COUPON","Coupon",IF(C622="ACCRUED INT","Accrued Int.",IF(C622="SEC LENDING","Sec. Lending",IF(C622="REDEMPTION","Redemption",IF(C622="DISTRIBUTION","Distribution",IF(ISNUMBER(SEARCH("Rimborso",'Statements (Raw)'!D620)),"Redemption",IF(ISNUMBER(SEARCH("Cedola",'Statements (Raw)'!D620)),"Coupon",IF(ISNUMBER(SEARCH("Incasso Dividendi",'Statements (Raw)'!D620)),"Dividend",IF(ISNUMBER(SEARCH("Provento Etf",'Statements (Raw)'!D620)),"Distribution",IF(ISNUMBER(SEARCH("Rit.provento",'Statements (Raw)'!D620)),"Tax",IF(ISNUMBER(SEARCH("Ratei Pass",'Statements (Raw)'!D620)),"Accrued Int.",IF(ISNUMBER(SEARCH("Interessi Prest",'Statements (Raw)'!D620)),"Sec. Lending",IF('Statements (Raw)'!G620="","Other",IF('Statements (Raw)'!G620&gt;0,"Buy","Sell"))))))))))))))))))))))</f>
        <v/>
      </c>
      <c r="E622" s="6" t="str">
        <f t="shared" si="18"/>
        <v/>
      </c>
      <c r="F622" s="8" t="str">
        <f>IF(A622="","",IF('Statements (Raw)'!E620="","",'Statements (Raw)'!E620))</f>
        <v/>
      </c>
      <c r="G622" s="6" t="str">
        <f>IF(A622="","",IF('Statements (Raw)'!F620="","",'Statements (Raw)'!F620))</f>
        <v/>
      </c>
      <c r="H622" s="9" t="str">
        <f>IF(A622="","",IF('Statements (Raw)'!G620="","",'Statements (Raw)'!G620))</f>
        <v/>
      </c>
      <c r="I622" s="10" t="str">
        <f>IF(A622="","",IF('Statements (Raw)'!H620="","",'Statements (Raw)'!H620))</f>
        <v/>
      </c>
      <c r="J622" s="10">
        <f>IF(A622="",0,IF('Statements (Raw)'!I620="",0,'Statements (Raw)'!I620))</f>
        <v>0</v>
      </c>
      <c r="K622" s="10" t="str">
        <f t="shared" si="19"/>
        <v/>
      </c>
    </row>
    <row r="623" spans="1:11" x14ac:dyDescent="0.3">
      <c r="A623" s="171" t="str">
        <f>IF(OR('Statements (Raw)'!A621="",'Statements (Raw)'!A621&gt;Holdings!$G$3),"",'Statements (Raw)'!A621)</f>
        <v/>
      </c>
      <c r="B623" s="7" t="str">
        <f>IF(A623="","",IF('Statements (Raw)'!B621="","",'Statements (Raw)'!B621))</f>
        <v/>
      </c>
      <c r="C623" s="6" t="str">
        <f>IF(A623="","",IF('Statements (Raw)'!C621&lt;&gt;"",'Statements (Raw)'!C621,IF(ISNUMBER(SEARCH("Conferimento",'Statements (Raw)'!D621)),"CASH DEPOSIT",IF(ISNUMBER(SEARCH("Prelievo",'Statements (Raw)'!D621)),"CASH WITHDRAWAL",IF(ISNUMBER(SEARCH("Bollo",'Statements (Raw)'!D621)),"STAMP DUTY",IF(ISNUMBER(SEARCH("Tobin Tax",'Statements (Raw)'!D621)),"TOBIN TAX",IF(ISNUMBER(SEARCH("Rit.provento",'Statements (Raw)'!D621)),"WITHHOLDING TAX",IF(ISNUMBER(SEARCH("Incasso Dividendi",'Statements (Raw)'!D621)),"DIVIDEND",IF(ISNUMBER(SEARCH("Cedola",'Statements (Raw)'!D621)),"COUPON",IF(ISNUMBER(SEARCH("Ratei Pass",'Statements (Raw)'!D621)),"ACCRUED INT",IF(ISNUMBER(SEARCH("Interessi Prest",'Statements (Raw)'!D621)),"SEC LENDING",IF(ISNUMBER(SEARCH("Rimborso",'Statements (Raw)'!D621)),"REDEMPTION",IF(ISNUMBER(SEARCH("Provento",'Statements (Raw)'!D621)),"DISTRIBUTION","OTHER")))))))))))))</f>
        <v/>
      </c>
      <c r="D623" s="6" t="str">
        <f>IF(A623="","",IF(C623="Saldo Iniziale","Balance",IF(C623="CASH DEPOSIT","Deposit",IF(C623="CASH WITHDRAWAL","Withdrawal",IF(C623="STAMP DUTY","Tax",IF(C623="TOBIN TAX","Tax",IF(C623="WITHHOLDING TAX","Tax",IF(C623="DIVIDEND","Dividend",IF(C623="COUPON","Coupon",IF(C623="ACCRUED INT","Accrued Int.",IF(C623="SEC LENDING","Sec. Lending",IF(C623="REDEMPTION","Redemption",IF(C623="DISTRIBUTION","Distribution",IF(ISNUMBER(SEARCH("Rimborso",'Statements (Raw)'!D621)),"Redemption",IF(ISNUMBER(SEARCH("Cedola",'Statements (Raw)'!D621)),"Coupon",IF(ISNUMBER(SEARCH("Incasso Dividendi",'Statements (Raw)'!D621)),"Dividend",IF(ISNUMBER(SEARCH("Provento Etf",'Statements (Raw)'!D621)),"Distribution",IF(ISNUMBER(SEARCH("Rit.provento",'Statements (Raw)'!D621)),"Tax",IF(ISNUMBER(SEARCH("Ratei Pass",'Statements (Raw)'!D621)),"Accrued Int.",IF(ISNUMBER(SEARCH("Interessi Prest",'Statements (Raw)'!D621)),"Sec. Lending",IF('Statements (Raw)'!G621="","Other",IF('Statements (Raw)'!G621&gt;0,"Buy","Sell"))))))))))))))))))))))</f>
        <v/>
      </c>
      <c r="E623" s="6" t="str">
        <f t="shared" si="18"/>
        <v/>
      </c>
      <c r="F623" s="8" t="str">
        <f>IF(A623="","",IF('Statements (Raw)'!E621="","",'Statements (Raw)'!E621))</f>
        <v/>
      </c>
      <c r="G623" s="6" t="str">
        <f>IF(A623="","",IF('Statements (Raw)'!F621="","",'Statements (Raw)'!F621))</f>
        <v/>
      </c>
      <c r="H623" s="9" t="str">
        <f>IF(A623="","",IF('Statements (Raw)'!G621="","",'Statements (Raw)'!G621))</f>
        <v/>
      </c>
      <c r="I623" s="10" t="str">
        <f>IF(A623="","",IF('Statements (Raw)'!H621="","",'Statements (Raw)'!H621))</f>
        <v/>
      </c>
      <c r="J623" s="10">
        <f>IF(A623="",0,IF('Statements (Raw)'!I621="",0,'Statements (Raw)'!I621))</f>
        <v>0</v>
      </c>
      <c r="K623" s="10" t="str">
        <f t="shared" si="19"/>
        <v/>
      </c>
    </row>
    <row r="624" spans="1:11" x14ac:dyDescent="0.3">
      <c r="A624" s="171" t="str">
        <f>IF(OR('Statements (Raw)'!A622="",'Statements (Raw)'!A622&gt;Holdings!$G$3),"",'Statements (Raw)'!A622)</f>
        <v/>
      </c>
      <c r="B624" s="7" t="str">
        <f>IF(A624="","",IF('Statements (Raw)'!B622="","",'Statements (Raw)'!B622))</f>
        <v/>
      </c>
      <c r="C624" s="6" t="str">
        <f>IF(A624="","",IF('Statements (Raw)'!C622&lt;&gt;"",'Statements (Raw)'!C622,IF(ISNUMBER(SEARCH("Conferimento",'Statements (Raw)'!D622)),"CASH DEPOSIT",IF(ISNUMBER(SEARCH("Prelievo",'Statements (Raw)'!D622)),"CASH WITHDRAWAL",IF(ISNUMBER(SEARCH("Bollo",'Statements (Raw)'!D622)),"STAMP DUTY",IF(ISNUMBER(SEARCH("Tobin Tax",'Statements (Raw)'!D622)),"TOBIN TAX",IF(ISNUMBER(SEARCH("Rit.provento",'Statements (Raw)'!D622)),"WITHHOLDING TAX",IF(ISNUMBER(SEARCH("Incasso Dividendi",'Statements (Raw)'!D622)),"DIVIDEND",IF(ISNUMBER(SEARCH("Cedola",'Statements (Raw)'!D622)),"COUPON",IF(ISNUMBER(SEARCH("Ratei Pass",'Statements (Raw)'!D622)),"ACCRUED INT",IF(ISNUMBER(SEARCH("Interessi Prest",'Statements (Raw)'!D622)),"SEC LENDING",IF(ISNUMBER(SEARCH("Rimborso",'Statements (Raw)'!D622)),"REDEMPTION",IF(ISNUMBER(SEARCH("Provento",'Statements (Raw)'!D622)),"DISTRIBUTION","OTHER")))))))))))))</f>
        <v/>
      </c>
      <c r="D624" s="6" t="str">
        <f>IF(A624="","",IF(C624="Saldo Iniziale","Balance",IF(C624="CASH DEPOSIT","Deposit",IF(C624="CASH WITHDRAWAL","Withdrawal",IF(C624="STAMP DUTY","Tax",IF(C624="TOBIN TAX","Tax",IF(C624="WITHHOLDING TAX","Tax",IF(C624="DIVIDEND","Dividend",IF(C624="COUPON","Coupon",IF(C624="ACCRUED INT","Accrued Int.",IF(C624="SEC LENDING","Sec. Lending",IF(C624="REDEMPTION","Redemption",IF(C624="DISTRIBUTION","Distribution",IF(ISNUMBER(SEARCH("Rimborso",'Statements (Raw)'!D622)),"Redemption",IF(ISNUMBER(SEARCH("Cedola",'Statements (Raw)'!D622)),"Coupon",IF(ISNUMBER(SEARCH("Incasso Dividendi",'Statements (Raw)'!D622)),"Dividend",IF(ISNUMBER(SEARCH("Provento Etf",'Statements (Raw)'!D622)),"Distribution",IF(ISNUMBER(SEARCH("Rit.provento",'Statements (Raw)'!D622)),"Tax",IF(ISNUMBER(SEARCH("Ratei Pass",'Statements (Raw)'!D622)),"Accrued Int.",IF(ISNUMBER(SEARCH("Interessi Prest",'Statements (Raw)'!D622)),"Sec. Lending",IF('Statements (Raw)'!G622="","Other",IF('Statements (Raw)'!G622&gt;0,"Buy","Sell"))))))))))))))))))))))</f>
        <v/>
      </c>
      <c r="E624" s="6" t="str">
        <f t="shared" si="18"/>
        <v/>
      </c>
      <c r="F624" s="8" t="str">
        <f>IF(A624="","",IF('Statements (Raw)'!E622="","",'Statements (Raw)'!E622))</f>
        <v/>
      </c>
      <c r="G624" s="6" t="str">
        <f>IF(A624="","",IF('Statements (Raw)'!F622="","",'Statements (Raw)'!F622))</f>
        <v/>
      </c>
      <c r="H624" s="9" t="str">
        <f>IF(A624="","",IF('Statements (Raw)'!G622="","",'Statements (Raw)'!G622))</f>
        <v/>
      </c>
      <c r="I624" s="10" t="str">
        <f>IF(A624="","",IF('Statements (Raw)'!H622="","",'Statements (Raw)'!H622))</f>
        <v/>
      </c>
      <c r="J624" s="10">
        <f>IF(A624="",0,IF('Statements (Raw)'!I622="",0,'Statements (Raw)'!I622))</f>
        <v>0</v>
      </c>
      <c r="K624" s="10" t="str">
        <f t="shared" si="19"/>
        <v/>
      </c>
    </row>
    <row r="625" spans="1:11" x14ac:dyDescent="0.3">
      <c r="A625" s="171" t="str">
        <f>IF(OR('Statements (Raw)'!A623="",'Statements (Raw)'!A623&gt;Holdings!$G$3),"",'Statements (Raw)'!A623)</f>
        <v/>
      </c>
      <c r="B625" s="7" t="str">
        <f>IF(A625="","",IF('Statements (Raw)'!B623="","",'Statements (Raw)'!B623))</f>
        <v/>
      </c>
      <c r="C625" s="6" t="str">
        <f>IF(A625="","",IF('Statements (Raw)'!C623&lt;&gt;"",'Statements (Raw)'!C623,IF(ISNUMBER(SEARCH("Conferimento",'Statements (Raw)'!D623)),"CASH DEPOSIT",IF(ISNUMBER(SEARCH("Prelievo",'Statements (Raw)'!D623)),"CASH WITHDRAWAL",IF(ISNUMBER(SEARCH("Bollo",'Statements (Raw)'!D623)),"STAMP DUTY",IF(ISNUMBER(SEARCH("Tobin Tax",'Statements (Raw)'!D623)),"TOBIN TAX",IF(ISNUMBER(SEARCH("Rit.provento",'Statements (Raw)'!D623)),"WITHHOLDING TAX",IF(ISNUMBER(SEARCH("Incasso Dividendi",'Statements (Raw)'!D623)),"DIVIDEND",IF(ISNUMBER(SEARCH("Cedola",'Statements (Raw)'!D623)),"COUPON",IF(ISNUMBER(SEARCH("Ratei Pass",'Statements (Raw)'!D623)),"ACCRUED INT",IF(ISNUMBER(SEARCH("Interessi Prest",'Statements (Raw)'!D623)),"SEC LENDING",IF(ISNUMBER(SEARCH("Rimborso",'Statements (Raw)'!D623)),"REDEMPTION",IF(ISNUMBER(SEARCH("Provento",'Statements (Raw)'!D623)),"DISTRIBUTION","OTHER")))))))))))))</f>
        <v/>
      </c>
      <c r="D625" s="6" t="str">
        <f>IF(A625="","",IF(C625="Saldo Iniziale","Balance",IF(C625="CASH DEPOSIT","Deposit",IF(C625="CASH WITHDRAWAL","Withdrawal",IF(C625="STAMP DUTY","Tax",IF(C625="TOBIN TAX","Tax",IF(C625="WITHHOLDING TAX","Tax",IF(C625="DIVIDEND","Dividend",IF(C625="COUPON","Coupon",IF(C625="ACCRUED INT","Accrued Int.",IF(C625="SEC LENDING","Sec. Lending",IF(C625="REDEMPTION","Redemption",IF(C625="DISTRIBUTION","Distribution",IF(ISNUMBER(SEARCH("Rimborso",'Statements (Raw)'!D623)),"Redemption",IF(ISNUMBER(SEARCH("Cedola",'Statements (Raw)'!D623)),"Coupon",IF(ISNUMBER(SEARCH("Incasso Dividendi",'Statements (Raw)'!D623)),"Dividend",IF(ISNUMBER(SEARCH("Provento Etf",'Statements (Raw)'!D623)),"Distribution",IF(ISNUMBER(SEARCH("Rit.provento",'Statements (Raw)'!D623)),"Tax",IF(ISNUMBER(SEARCH("Ratei Pass",'Statements (Raw)'!D623)),"Accrued Int.",IF(ISNUMBER(SEARCH("Interessi Prest",'Statements (Raw)'!D623)),"Sec. Lending",IF('Statements (Raw)'!G623="","Other",IF('Statements (Raw)'!G623&gt;0,"Buy","Sell"))))))))))))))))))))))</f>
        <v/>
      </c>
      <c r="E625" s="6" t="str">
        <f t="shared" si="18"/>
        <v/>
      </c>
      <c r="F625" s="8" t="str">
        <f>IF(A625="","",IF('Statements (Raw)'!E623="","",'Statements (Raw)'!E623))</f>
        <v/>
      </c>
      <c r="G625" s="6" t="str">
        <f>IF(A625="","",IF('Statements (Raw)'!F623="","",'Statements (Raw)'!F623))</f>
        <v/>
      </c>
      <c r="H625" s="9" t="str">
        <f>IF(A625="","",IF('Statements (Raw)'!G623="","",'Statements (Raw)'!G623))</f>
        <v/>
      </c>
      <c r="I625" s="10" t="str">
        <f>IF(A625="","",IF('Statements (Raw)'!H623="","",'Statements (Raw)'!H623))</f>
        <v/>
      </c>
      <c r="J625" s="10">
        <f>IF(A625="",0,IF('Statements (Raw)'!I623="",0,'Statements (Raw)'!I623))</f>
        <v>0</v>
      </c>
      <c r="K625" s="10" t="str">
        <f t="shared" si="19"/>
        <v/>
      </c>
    </row>
    <row r="626" spans="1:11" x14ac:dyDescent="0.3">
      <c r="A626" s="171" t="str">
        <f>IF(OR('Statements (Raw)'!A624="",'Statements (Raw)'!A624&gt;Holdings!$G$3),"",'Statements (Raw)'!A624)</f>
        <v/>
      </c>
      <c r="B626" s="7" t="str">
        <f>IF(A626="","",IF('Statements (Raw)'!B624="","",'Statements (Raw)'!B624))</f>
        <v/>
      </c>
      <c r="C626" s="6" t="str">
        <f>IF(A626="","",IF('Statements (Raw)'!C624&lt;&gt;"",'Statements (Raw)'!C624,IF(ISNUMBER(SEARCH("Conferimento",'Statements (Raw)'!D624)),"CASH DEPOSIT",IF(ISNUMBER(SEARCH("Prelievo",'Statements (Raw)'!D624)),"CASH WITHDRAWAL",IF(ISNUMBER(SEARCH("Bollo",'Statements (Raw)'!D624)),"STAMP DUTY",IF(ISNUMBER(SEARCH("Tobin Tax",'Statements (Raw)'!D624)),"TOBIN TAX",IF(ISNUMBER(SEARCH("Rit.provento",'Statements (Raw)'!D624)),"WITHHOLDING TAX",IF(ISNUMBER(SEARCH("Incasso Dividendi",'Statements (Raw)'!D624)),"DIVIDEND",IF(ISNUMBER(SEARCH("Cedola",'Statements (Raw)'!D624)),"COUPON",IF(ISNUMBER(SEARCH("Ratei Pass",'Statements (Raw)'!D624)),"ACCRUED INT",IF(ISNUMBER(SEARCH("Interessi Prest",'Statements (Raw)'!D624)),"SEC LENDING",IF(ISNUMBER(SEARCH("Rimborso",'Statements (Raw)'!D624)),"REDEMPTION",IF(ISNUMBER(SEARCH("Provento",'Statements (Raw)'!D624)),"DISTRIBUTION","OTHER")))))))))))))</f>
        <v/>
      </c>
      <c r="D626" s="6" t="str">
        <f>IF(A626="","",IF(C626="Saldo Iniziale","Balance",IF(C626="CASH DEPOSIT","Deposit",IF(C626="CASH WITHDRAWAL","Withdrawal",IF(C626="STAMP DUTY","Tax",IF(C626="TOBIN TAX","Tax",IF(C626="WITHHOLDING TAX","Tax",IF(C626="DIVIDEND","Dividend",IF(C626="COUPON","Coupon",IF(C626="ACCRUED INT","Accrued Int.",IF(C626="SEC LENDING","Sec. Lending",IF(C626="REDEMPTION","Redemption",IF(C626="DISTRIBUTION","Distribution",IF(ISNUMBER(SEARCH("Rimborso",'Statements (Raw)'!D624)),"Redemption",IF(ISNUMBER(SEARCH("Cedola",'Statements (Raw)'!D624)),"Coupon",IF(ISNUMBER(SEARCH("Incasso Dividendi",'Statements (Raw)'!D624)),"Dividend",IF(ISNUMBER(SEARCH("Provento Etf",'Statements (Raw)'!D624)),"Distribution",IF(ISNUMBER(SEARCH("Rit.provento",'Statements (Raw)'!D624)),"Tax",IF(ISNUMBER(SEARCH("Ratei Pass",'Statements (Raw)'!D624)),"Accrued Int.",IF(ISNUMBER(SEARCH("Interessi Prest",'Statements (Raw)'!D624)),"Sec. Lending",IF('Statements (Raw)'!G624="","Other",IF('Statements (Raw)'!G624&gt;0,"Buy","Sell"))))))))))))))))))))))</f>
        <v/>
      </c>
      <c r="E626" s="6" t="str">
        <f t="shared" si="18"/>
        <v/>
      </c>
      <c r="F626" s="8" t="str">
        <f>IF(A626="","",IF('Statements (Raw)'!E624="","",'Statements (Raw)'!E624))</f>
        <v/>
      </c>
      <c r="G626" s="6" t="str">
        <f>IF(A626="","",IF('Statements (Raw)'!F624="","",'Statements (Raw)'!F624))</f>
        <v/>
      </c>
      <c r="H626" s="9" t="str">
        <f>IF(A626="","",IF('Statements (Raw)'!G624="","",'Statements (Raw)'!G624))</f>
        <v/>
      </c>
      <c r="I626" s="10" t="str">
        <f>IF(A626="","",IF('Statements (Raw)'!H624="","",'Statements (Raw)'!H624))</f>
        <v/>
      </c>
      <c r="J626" s="10">
        <f>IF(A626="",0,IF('Statements (Raw)'!I624="",0,'Statements (Raw)'!I624))</f>
        <v>0</v>
      </c>
      <c r="K626" s="10" t="str">
        <f t="shared" si="19"/>
        <v/>
      </c>
    </row>
    <row r="627" spans="1:11" x14ac:dyDescent="0.3">
      <c r="A627" s="171" t="str">
        <f>IF(OR('Statements (Raw)'!A625="",'Statements (Raw)'!A625&gt;Holdings!$G$3),"",'Statements (Raw)'!A625)</f>
        <v/>
      </c>
      <c r="B627" s="7" t="str">
        <f>IF(A627="","",IF('Statements (Raw)'!B625="","",'Statements (Raw)'!B625))</f>
        <v/>
      </c>
      <c r="C627" s="6" t="str">
        <f>IF(A627="","",IF('Statements (Raw)'!C625&lt;&gt;"",'Statements (Raw)'!C625,IF(ISNUMBER(SEARCH("Conferimento",'Statements (Raw)'!D625)),"CASH DEPOSIT",IF(ISNUMBER(SEARCH("Prelievo",'Statements (Raw)'!D625)),"CASH WITHDRAWAL",IF(ISNUMBER(SEARCH("Bollo",'Statements (Raw)'!D625)),"STAMP DUTY",IF(ISNUMBER(SEARCH("Tobin Tax",'Statements (Raw)'!D625)),"TOBIN TAX",IF(ISNUMBER(SEARCH("Rit.provento",'Statements (Raw)'!D625)),"WITHHOLDING TAX",IF(ISNUMBER(SEARCH("Incasso Dividendi",'Statements (Raw)'!D625)),"DIVIDEND",IF(ISNUMBER(SEARCH("Cedola",'Statements (Raw)'!D625)),"COUPON",IF(ISNUMBER(SEARCH("Ratei Pass",'Statements (Raw)'!D625)),"ACCRUED INT",IF(ISNUMBER(SEARCH("Interessi Prest",'Statements (Raw)'!D625)),"SEC LENDING",IF(ISNUMBER(SEARCH("Rimborso",'Statements (Raw)'!D625)),"REDEMPTION",IF(ISNUMBER(SEARCH("Provento",'Statements (Raw)'!D625)),"DISTRIBUTION","OTHER")))))))))))))</f>
        <v/>
      </c>
      <c r="D627" s="6" t="str">
        <f>IF(A627="","",IF(C627="Saldo Iniziale","Balance",IF(C627="CASH DEPOSIT","Deposit",IF(C627="CASH WITHDRAWAL","Withdrawal",IF(C627="STAMP DUTY","Tax",IF(C627="TOBIN TAX","Tax",IF(C627="WITHHOLDING TAX","Tax",IF(C627="DIVIDEND","Dividend",IF(C627="COUPON","Coupon",IF(C627="ACCRUED INT","Accrued Int.",IF(C627="SEC LENDING","Sec. Lending",IF(C627="REDEMPTION","Redemption",IF(C627="DISTRIBUTION","Distribution",IF(ISNUMBER(SEARCH("Rimborso",'Statements (Raw)'!D625)),"Redemption",IF(ISNUMBER(SEARCH("Cedola",'Statements (Raw)'!D625)),"Coupon",IF(ISNUMBER(SEARCH("Incasso Dividendi",'Statements (Raw)'!D625)),"Dividend",IF(ISNUMBER(SEARCH("Provento Etf",'Statements (Raw)'!D625)),"Distribution",IF(ISNUMBER(SEARCH("Rit.provento",'Statements (Raw)'!D625)),"Tax",IF(ISNUMBER(SEARCH("Ratei Pass",'Statements (Raw)'!D625)),"Accrued Int.",IF(ISNUMBER(SEARCH("Interessi Prest",'Statements (Raw)'!D625)),"Sec. Lending",IF('Statements (Raw)'!G625="","Other",IF('Statements (Raw)'!G625&gt;0,"Buy","Sell"))))))))))))))))))))))</f>
        <v/>
      </c>
      <c r="E627" s="6" t="str">
        <f t="shared" si="18"/>
        <v/>
      </c>
      <c r="F627" s="8" t="str">
        <f>IF(A627="","",IF('Statements (Raw)'!E625="","",'Statements (Raw)'!E625))</f>
        <v/>
      </c>
      <c r="G627" s="6" t="str">
        <f>IF(A627="","",IF('Statements (Raw)'!F625="","",'Statements (Raw)'!F625))</f>
        <v/>
      </c>
      <c r="H627" s="9" t="str">
        <f>IF(A627="","",IF('Statements (Raw)'!G625="","",'Statements (Raw)'!G625))</f>
        <v/>
      </c>
      <c r="I627" s="10" t="str">
        <f>IF(A627="","",IF('Statements (Raw)'!H625="","",'Statements (Raw)'!H625))</f>
        <v/>
      </c>
      <c r="J627" s="10">
        <f>IF(A627="",0,IF('Statements (Raw)'!I625="",0,'Statements (Raw)'!I625))</f>
        <v>0</v>
      </c>
      <c r="K627" s="10" t="str">
        <f t="shared" si="19"/>
        <v/>
      </c>
    </row>
    <row r="628" spans="1:11" x14ac:dyDescent="0.3">
      <c r="A628" s="171" t="str">
        <f>IF(OR('Statements (Raw)'!A626="",'Statements (Raw)'!A626&gt;Holdings!$G$3),"",'Statements (Raw)'!A626)</f>
        <v/>
      </c>
      <c r="B628" s="7" t="str">
        <f>IF(A628="","",IF('Statements (Raw)'!B626="","",'Statements (Raw)'!B626))</f>
        <v/>
      </c>
      <c r="C628" s="6" t="str">
        <f>IF(A628="","",IF('Statements (Raw)'!C626&lt;&gt;"",'Statements (Raw)'!C626,IF(ISNUMBER(SEARCH("Conferimento",'Statements (Raw)'!D626)),"CASH DEPOSIT",IF(ISNUMBER(SEARCH("Prelievo",'Statements (Raw)'!D626)),"CASH WITHDRAWAL",IF(ISNUMBER(SEARCH("Bollo",'Statements (Raw)'!D626)),"STAMP DUTY",IF(ISNUMBER(SEARCH("Tobin Tax",'Statements (Raw)'!D626)),"TOBIN TAX",IF(ISNUMBER(SEARCH("Rit.provento",'Statements (Raw)'!D626)),"WITHHOLDING TAX",IF(ISNUMBER(SEARCH("Incasso Dividendi",'Statements (Raw)'!D626)),"DIVIDEND",IF(ISNUMBER(SEARCH("Cedola",'Statements (Raw)'!D626)),"COUPON",IF(ISNUMBER(SEARCH("Ratei Pass",'Statements (Raw)'!D626)),"ACCRUED INT",IF(ISNUMBER(SEARCH("Interessi Prest",'Statements (Raw)'!D626)),"SEC LENDING",IF(ISNUMBER(SEARCH("Rimborso",'Statements (Raw)'!D626)),"REDEMPTION",IF(ISNUMBER(SEARCH("Provento",'Statements (Raw)'!D626)),"DISTRIBUTION","OTHER")))))))))))))</f>
        <v/>
      </c>
      <c r="D628" s="6" t="str">
        <f>IF(A628="","",IF(C628="Saldo Iniziale","Balance",IF(C628="CASH DEPOSIT","Deposit",IF(C628="CASH WITHDRAWAL","Withdrawal",IF(C628="STAMP DUTY","Tax",IF(C628="TOBIN TAX","Tax",IF(C628="WITHHOLDING TAX","Tax",IF(C628="DIVIDEND","Dividend",IF(C628="COUPON","Coupon",IF(C628="ACCRUED INT","Accrued Int.",IF(C628="SEC LENDING","Sec. Lending",IF(C628="REDEMPTION","Redemption",IF(C628="DISTRIBUTION","Distribution",IF(ISNUMBER(SEARCH("Rimborso",'Statements (Raw)'!D626)),"Redemption",IF(ISNUMBER(SEARCH("Cedola",'Statements (Raw)'!D626)),"Coupon",IF(ISNUMBER(SEARCH("Incasso Dividendi",'Statements (Raw)'!D626)),"Dividend",IF(ISNUMBER(SEARCH("Provento Etf",'Statements (Raw)'!D626)),"Distribution",IF(ISNUMBER(SEARCH("Rit.provento",'Statements (Raw)'!D626)),"Tax",IF(ISNUMBER(SEARCH("Ratei Pass",'Statements (Raw)'!D626)),"Accrued Int.",IF(ISNUMBER(SEARCH("Interessi Prest",'Statements (Raw)'!D626)),"Sec. Lending",IF('Statements (Raw)'!G626="","Other",IF('Statements (Raw)'!G626&gt;0,"Buy","Sell"))))))))))))))))))))))</f>
        <v/>
      </c>
      <c r="E628" s="6" t="str">
        <f t="shared" si="18"/>
        <v/>
      </c>
      <c r="F628" s="8" t="str">
        <f>IF(A628="","",IF('Statements (Raw)'!E626="","",'Statements (Raw)'!E626))</f>
        <v/>
      </c>
      <c r="G628" s="6" t="str">
        <f>IF(A628="","",IF('Statements (Raw)'!F626="","",'Statements (Raw)'!F626))</f>
        <v/>
      </c>
      <c r="H628" s="9" t="str">
        <f>IF(A628="","",IF('Statements (Raw)'!G626="","",'Statements (Raw)'!G626))</f>
        <v/>
      </c>
      <c r="I628" s="10" t="str">
        <f>IF(A628="","",IF('Statements (Raw)'!H626="","",'Statements (Raw)'!H626))</f>
        <v/>
      </c>
      <c r="J628" s="10">
        <f>IF(A628="",0,IF('Statements (Raw)'!I626="",0,'Statements (Raw)'!I626))</f>
        <v>0</v>
      </c>
      <c r="K628" s="10" t="str">
        <f t="shared" si="19"/>
        <v/>
      </c>
    </row>
    <row r="629" spans="1:11" x14ac:dyDescent="0.3">
      <c r="A629" s="171" t="str">
        <f>IF(OR('Statements (Raw)'!A627="",'Statements (Raw)'!A627&gt;Holdings!$G$3),"",'Statements (Raw)'!A627)</f>
        <v/>
      </c>
      <c r="B629" s="7" t="str">
        <f>IF(A629="","",IF('Statements (Raw)'!B627="","",'Statements (Raw)'!B627))</f>
        <v/>
      </c>
      <c r="C629" s="6" t="str">
        <f>IF(A629="","",IF('Statements (Raw)'!C627&lt;&gt;"",'Statements (Raw)'!C627,IF(ISNUMBER(SEARCH("Conferimento",'Statements (Raw)'!D627)),"CASH DEPOSIT",IF(ISNUMBER(SEARCH("Prelievo",'Statements (Raw)'!D627)),"CASH WITHDRAWAL",IF(ISNUMBER(SEARCH("Bollo",'Statements (Raw)'!D627)),"STAMP DUTY",IF(ISNUMBER(SEARCH("Tobin Tax",'Statements (Raw)'!D627)),"TOBIN TAX",IF(ISNUMBER(SEARCH("Rit.provento",'Statements (Raw)'!D627)),"WITHHOLDING TAX",IF(ISNUMBER(SEARCH("Incasso Dividendi",'Statements (Raw)'!D627)),"DIVIDEND",IF(ISNUMBER(SEARCH("Cedola",'Statements (Raw)'!D627)),"COUPON",IF(ISNUMBER(SEARCH("Ratei Pass",'Statements (Raw)'!D627)),"ACCRUED INT",IF(ISNUMBER(SEARCH("Interessi Prest",'Statements (Raw)'!D627)),"SEC LENDING",IF(ISNUMBER(SEARCH("Rimborso",'Statements (Raw)'!D627)),"REDEMPTION",IF(ISNUMBER(SEARCH("Provento",'Statements (Raw)'!D627)),"DISTRIBUTION","OTHER")))))))))))))</f>
        <v/>
      </c>
      <c r="D629" s="6" t="str">
        <f>IF(A629="","",IF(C629="Saldo Iniziale","Balance",IF(C629="CASH DEPOSIT","Deposit",IF(C629="CASH WITHDRAWAL","Withdrawal",IF(C629="STAMP DUTY","Tax",IF(C629="TOBIN TAX","Tax",IF(C629="WITHHOLDING TAX","Tax",IF(C629="DIVIDEND","Dividend",IF(C629="COUPON","Coupon",IF(C629="ACCRUED INT","Accrued Int.",IF(C629="SEC LENDING","Sec. Lending",IF(C629="REDEMPTION","Redemption",IF(C629="DISTRIBUTION","Distribution",IF(ISNUMBER(SEARCH("Rimborso",'Statements (Raw)'!D627)),"Redemption",IF(ISNUMBER(SEARCH("Cedola",'Statements (Raw)'!D627)),"Coupon",IF(ISNUMBER(SEARCH("Incasso Dividendi",'Statements (Raw)'!D627)),"Dividend",IF(ISNUMBER(SEARCH("Provento Etf",'Statements (Raw)'!D627)),"Distribution",IF(ISNUMBER(SEARCH("Rit.provento",'Statements (Raw)'!D627)),"Tax",IF(ISNUMBER(SEARCH("Ratei Pass",'Statements (Raw)'!D627)),"Accrued Int.",IF(ISNUMBER(SEARCH("Interessi Prest",'Statements (Raw)'!D627)),"Sec. Lending",IF('Statements (Raw)'!G627="","Other",IF('Statements (Raw)'!G627&gt;0,"Buy","Sell"))))))))))))))))))))))</f>
        <v/>
      </c>
      <c r="E629" s="6" t="str">
        <f t="shared" si="18"/>
        <v/>
      </c>
      <c r="F629" s="8" t="str">
        <f>IF(A629="","",IF('Statements (Raw)'!E627="","",'Statements (Raw)'!E627))</f>
        <v/>
      </c>
      <c r="G629" s="6" t="str">
        <f>IF(A629="","",IF('Statements (Raw)'!F627="","",'Statements (Raw)'!F627))</f>
        <v/>
      </c>
      <c r="H629" s="9" t="str">
        <f>IF(A629="","",IF('Statements (Raw)'!G627="","",'Statements (Raw)'!G627))</f>
        <v/>
      </c>
      <c r="I629" s="10" t="str">
        <f>IF(A629="","",IF('Statements (Raw)'!H627="","",'Statements (Raw)'!H627))</f>
        <v/>
      </c>
      <c r="J629" s="10">
        <f>IF(A629="",0,IF('Statements (Raw)'!I627="",0,'Statements (Raw)'!I627))</f>
        <v>0</v>
      </c>
      <c r="K629" s="10" t="str">
        <f t="shared" si="19"/>
        <v/>
      </c>
    </row>
    <row r="630" spans="1:11" x14ac:dyDescent="0.3">
      <c r="A630" s="171" t="str">
        <f>IF(OR('Statements (Raw)'!A628="",'Statements (Raw)'!A628&gt;Holdings!$G$3),"",'Statements (Raw)'!A628)</f>
        <v/>
      </c>
      <c r="B630" s="7" t="str">
        <f>IF(A630="","",IF('Statements (Raw)'!B628="","",'Statements (Raw)'!B628))</f>
        <v/>
      </c>
      <c r="C630" s="6" t="str">
        <f>IF(A630="","",IF('Statements (Raw)'!C628&lt;&gt;"",'Statements (Raw)'!C628,IF(ISNUMBER(SEARCH("Conferimento",'Statements (Raw)'!D628)),"CASH DEPOSIT",IF(ISNUMBER(SEARCH("Prelievo",'Statements (Raw)'!D628)),"CASH WITHDRAWAL",IF(ISNUMBER(SEARCH("Bollo",'Statements (Raw)'!D628)),"STAMP DUTY",IF(ISNUMBER(SEARCH("Tobin Tax",'Statements (Raw)'!D628)),"TOBIN TAX",IF(ISNUMBER(SEARCH("Rit.provento",'Statements (Raw)'!D628)),"WITHHOLDING TAX",IF(ISNUMBER(SEARCH("Incasso Dividendi",'Statements (Raw)'!D628)),"DIVIDEND",IF(ISNUMBER(SEARCH("Cedola",'Statements (Raw)'!D628)),"COUPON",IF(ISNUMBER(SEARCH("Ratei Pass",'Statements (Raw)'!D628)),"ACCRUED INT",IF(ISNUMBER(SEARCH("Interessi Prest",'Statements (Raw)'!D628)),"SEC LENDING",IF(ISNUMBER(SEARCH("Rimborso",'Statements (Raw)'!D628)),"REDEMPTION",IF(ISNUMBER(SEARCH("Provento",'Statements (Raw)'!D628)),"DISTRIBUTION","OTHER")))))))))))))</f>
        <v/>
      </c>
      <c r="D630" s="6" t="str">
        <f>IF(A630="","",IF(C630="Saldo Iniziale","Balance",IF(C630="CASH DEPOSIT","Deposit",IF(C630="CASH WITHDRAWAL","Withdrawal",IF(C630="STAMP DUTY","Tax",IF(C630="TOBIN TAX","Tax",IF(C630="WITHHOLDING TAX","Tax",IF(C630="DIVIDEND","Dividend",IF(C630="COUPON","Coupon",IF(C630="ACCRUED INT","Accrued Int.",IF(C630="SEC LENDING","Sec. Lending",IF(C630="REDEMPTION","Redemption",IF(C630="DISTRIBUTION","Distribution",IF(ISNUMBER(SEARCH("Rimborso",'Statements (Raw)'!D628)),"Redemption",IF(ISNUMBER(SEARCH("Cedola",'Statements (Raw)'!D628)),"Coupon",IF(ISNUMBER(SEARCH("Incasso Dividendi",'Statements (Raw)'!D628)),"Dividend",IF(ISNUMBER(SEARCH("Provento Etf",'Statements (Raw)'!D628)),"Distribution",IF(ISNUMBER(SEARCH("Rit.provento",'Statements (Raw)'!D628)),"Tax",IF(ISNUMBER(SEARCH("Ratei Pass",'Statements (Raw)'!D628)),"Accrued Int.",IF(ISNUMBER(SEARCH("Interessi Prest",'Statements (Raw)'!D628)),"Sec. Lending",IF('Statements (Raw)'!G628="","Other",IF('Statements (Raw)'!G628&gt;0,"Buy","Sell"))))))))))))))))))))))</f>
        <v/>
      </c>
      <c r="E630" s="6" t="str">
        <f t="shared" si="18"/>
        <v/>
      </c>
      <c r="F630" s="8" t="str">
        <f>IF(A630="","",IF('Statements (Raw)'!E628="","",'Statements (Raw)'!E628))</f>
        <v/>
      </c>
      <c r="G630" s="6" t="str">
        <f>IF(A630="","",IF('Statements (Raw)'!F628="","",'Statements (Raw)'!F628))</f>
        <v/>
      </c>
      <c r="H630" s="9" t="str">
        <f>IF(A630="","",IF('Statements (Raw)'!G628="","",'Statements (Raw)'!G628))</f>
        <v/>
      </c>
      <c r="I630" s="10" t="str">
        <f>IF(A630="","",IF('Statements (Raw)'!H628="","",'Statements (Raw)'!H628))</f>
        <v/>
      </c>
      <c r="J630" s="10">
        <f>IF(A630="",0,IF('Statements (Raw)'!I628="",0,'Statements (Raw)'!I628))</f>
        <v>0</v>
      </c>
      <c r="K630" s="10" t="str">
        <f t="shared" si="19"/>
        <v/>
      </c>
    </row>
    <row r="631" spans="1:11" x14ac:dyDescent="0.3">
      <c r="A631" s="171" t="str">
        <f>IF(OR('Statements (Raw)'!A629="",'Statements (Raw)'!A629&gt;Holdings!$G$3),"",'Statements (Raw)'!A629)</f>
        <v/>
      </c>
      <c r="B631" s="7" t="str">
        <f>IF(A631="","",IF('Statements (Raw)'!B629="","",'Statements (Raw)'!B629))</f>
        <v/>
      </c>
      <c r="C631" s="6" t="str">
        <f>IF(A631="","",IF('Statements (Raw)'!C629&lt;&gt;"",'Statements (Raw)'!C629,IF(ISNUMBER(SEARCH("Conferimento",'Statements (Raw)'!D629)),"CASH DEPOSIT",IF(ISNUMBER(SEARCH("Prelievo",'Statements (Raw)'!D629)),"CASH WITHDRAWAL",IF(ISNUMBER(SEARCH("Bollo",'Statements (Raw)'!D629)),"STAMP DUTY",IF(ISNUMBER(SEARCH("Tobin Tax",'Statements (Raw)'!D629)),"TOBIN TAX",IF(ISNUMBER(SEARCH("Rit.provento",'Statements (Raw)'!D629)),"WITHHOLDING TAX",IF(ISNUMBER(SEARCH("Incasso Dividendi",'Statements (Raw)'!D629)),"DIVIDEND",IF(ISNUMBER(SEARCH("Cedola",'Statements (Raw)'!D629)),"COUPON",IF(ISNUMBER(SEARCH("Ratei Pass",'Statements (Raw)'!D629)),"ACCRUED INT",IF(ISNUMBER(SEARCH("Interessi Prest",'Statements (Raw)'!D629)),"SEC LENDING",IF(ISNUMBER(SEARCH("Rimborso",'Statements (Raw)'!D629)),"REDEMPTION",IF(ISNUMBER(SEARCH("Provento",'Statements (Raw)'!D629)),"DISTRIBUTION","OTHER")))))))))))))</f>
        <v/>
      </c>
      <c r="D631" s="6" t="str">
        <f>IF(A631="","",IF(C631="Saldo Iniziale","Balance",IF(C631="CASH DEPOSIT","Deposit",IF(C631="CASH WITHDRAWAL","Withdrawal",IF(C631="STAMP DUTY","Tax",IF(C631="TOBIN TAX","Tax",IF(C631="WITHHOLDING TAX","Tax",IF(C631="DIVIDEND","Dividend",IF(C631="COUPON","Coupon",IF(C631="ACCRUED INT","Accrued Int.",IF(C631="SEC LENDING","Sec. Lending",IF(C631="REDEMPTION","Redemption",IF(C631="DISTRIBUTION","Distribution",IF(ISNUMBER(SEARCH("Rimborso",'Statements (Raw)'!D629)),"Redemption",IF(ISNUMBER(SEARCH("Cedola",'Statements (Raw)'!D629)),"Coupon",IF(ISNUMBER(SEARCH("Incasso Dividendi",'Statements (Raw)'!D629)),"Dividend",IF(ISNUMBER(SEARCH("Provento Etf",'Statements (Raw)'!D629)),"Distribution",IF(ISNUMBER(SEARCH("Rit.provento",'Statements (Raw)'!D629)),"Tax",IF(ISNUMBER(SEARCH("Ratei Pass",'Statements (Raw)'!D629)),"Accrued Int.",IF(ISNUMBER(SEARCH("Interessi Prest",'Statements (Raw)'!D629)),"Sec. Lending",IF('Statements (Raw)'!G629="","Other",IF('Statements (Raw)'!G629&gt;0,"Buy","Sell"))))))))))))))))))))))</f>
        <v/>
      </c>
      <c r="E631" s="6" t="str">
        <f t="shared" si="18"/>
        <v/>
      </c>
      <c r="F631" s="8" t="str">
        <f>IF(A631="","",IF('Statements (Raw)'!E629="","",'Statements (Raw)'!E629))</f>
        <v/>
      </c>
      <c r="G631" s="6" t="str">
        <f>IF(A631="","",IF('Statements (Raw)'!F629="","",'Statements (Raw)'!F629))</f>
        <v/>
      </c>
      <c r="H631" s="9" t="str">
        <f>IF(A631="","",IF('Statements (Raw)'!G629="","",'Statements (Raw)'!G629))</f>
        <v/>
      </c>
      <c r="I631" s="10" t="str">
        <f>IF(A631="","",IF('Statements (Raw)'!H629="","",'Statements (Raw)'!H629))</f>
        <v/>
      </c>
      <c r="J631" s="10">
        <f>IF(A631="",0,IF('Statements (Raw)'!I629="",0,'Statements (Raw)'!I629))</f>
        <v>0</v>
      </c>
      <c r="K631" s="10" t="str">
        <f t="shared" si="19"/>
        <v/>
      </c>
    </row>
    <row r="632" spans="1:11" x14ac:dyDescent="0.3">
      <c r="A632" s="171" t="str">
        <f>IF(OR('Statements (Raw)'!A630="",'Statements (Raw)'!A630&gt;Holdings!$G$3),"",'Statements (Raw)'!A630)</f>
        <v/>
      </c>
      <c r="B632" s="7" t="str">
        <f>IF(A632="","",IF('Statements (Raw)'!B630="","",'Statements (Raw)'!B630))</f>
        <v/>
      </c>
      <c r="C632" s="6" t="str">
        <f>IF(A632="","",IF('Statements (Raw)'!C630&lt;&gt;"",'Statements (Raw)'!C630,IF(ISNUMBER(SEARCH("Conferimento",'Statements (Raw)'!D630)),"CASH DEPOSIT",IF(ISNUMBER(SEARCH("Prelievo",'Statements (Raw)'!D630)),"CASH WITHDRAWAL",IF(ISNUMBER(SEARCH("Bollo",'Statements (Raw)'!D630)),"STAMP DUTY",IF(ISNUMBER(SEARCH("Tobin Tax",'Statements (Raw)'!D630)),"TOBIN TAX",IF(ISNUMBER(SEARCH("Rit.provento",'Statements (Raw)'!D630)),"WITHHOLDING TAX",IF(ISNUMBER(SEARCH("Incasso Dividendi",'Statements (Raw)'!D630)),"DIVIDEND",IF(ISNUMBER(SEARCH("Cedola",'Statements (Raw)'!D630)),"COUPON",IF(ISNUMBER(SEARCH("Ratei Pass",'Statements (Raw)'!D630)),"ACCRUED INT",IF(ISNUMBER(SEARCH("Interessi Prest",'Statements (Raw)'!D630)),"SEC LENDING",IF(ISNUMBER(SEARCH("Rimborso",'Statements (Raw)'!D630)),"REDEMPTION",IF(ISNUMBER(SEARCH("Provento",'Statements (Raw)'!D630)),"DISTRIBUTION","OTHER")))))))))))))</f>
        <v/>
      </c>
      <c r="D632" s="6" t="str">
        <f>IF(A632="","",IF(C632="Saldo Iniziale","Balance",IF(C632="CASH DEPOSIT","Deposit",IF(C632="CASH WITHDRAWAL","Withdrawal",IF(C632="STAMP DUTY","Tax",IF(C632="TOBIN TAX","Tax",IF(C632="WITHHOLDING TAX","Tax",IF(C632="DIVIDEND","Dividend",IF(C632="COUPON","Coupon",IF(C632="ACCRUED INT","Accrued Int.",IF(C632="SEC LENDING","Sec. Lending",IF(C632="REDEMPTION","Redemption",IF(C632="DISTRIBUTION","Distribution",IF(ISNUMBER(SEARCH("Rimborso",'Statements (Raw)'!D630)),"Redemption",IF(ISNUMBER(SEARCH("Cedola",'Statements (Raw)'!D630)),"Coupon",IF(ISNUMBER(SEARCH("Incasso Dividendi",'Statements (Raw)'!D630)),"Dividend",IF(ISNUMBER(SEARCH("Provento Etf",'Statements (Raw)'!D630)),"Distribution",IF(ISNUMBER(SEARCH("Rit.provento",'Statements (Raw)'!D630)),"Tax",IF(ISNUMBER(SEARCH("Ratei Pass",'Statements (Raw)'!D630)),"Accrued Int.",IF(ISNUMBER(SEARCH("Interessi Prest",'Statements (Raw)'!D630)),"Sec. Lending",IF('Statements (Raw)'!G630="","Other",IF('Statements (Raw)'!G630&gt;0,"Buy","Sell"))))))))))))))))))))))</f>
        <v/>
      </c>
      <c r="E632" s="6" t="str">
        <f t="shared" si="18"/>
        <v/>
      </c>
      <c r="F632" s="8" t="str">
        <f>IF(A632="","",IF('Statements (Raw)'!E630="","",'Statements (Raw)'!E630))</f>
        <v/>
      </c>
      <c r="G632" s="6" t="str">
        <f>IF(A632="","",IF('Statements (Raw)'!F630="","",'Statements (Raw)'!F630))</f>
        <v/>
      </c>
      <c r="H632" s="9" t="str">
        <f>IF(A632="","",IF('Statements (Raw)'!G630="","",'Statements (Raw)'!G630))</f>
        <v/>
      </c>
      <c r="I632" s="10" t="str">
        <f>IF(A632="","",IF('Statements (Raw)'!H630="","",'Statements (Raw)'!H630))</f>
        <v/>
      </c>
      <c r="J632" s="10">
        <f>IF(A632="",0,IF('Statements (Raw)'!I630="",0,'Statements (Raw)'!I630))</f>
        <v>0</v>
      </c>
      <c r="K632" s="10" t="str">
        <f t="shared" si="19"/>
        <v/>
      </c>
    </row>
    <row r="633" spans="1:11" x14ac:dyDescent="0.3">
      <c r="A633" s="171" t="str">
        <f>IF(OR('Statements (Raw)'!A631="",'Statements (Raw)'!A631&gt;Holdings!$G$3),"",'Statements (Raw)'!A631)</f>
        <v/>
      </c>
      <c r="B633" s="7" t="str">
        <f>IF(A633="","",IF('Statements (Raw)'!B631="","",'Statements (Raw)'!B631))</f>
        <v/>
      </c>
      <c r="C633" s="6" t="str">
        <f>IF(A633="","",IF('Statements (Raw)'!C631&lt;&gt;"",'Statements (Raw)'!C631,IF(ISNUMBER(SEARCH("Conferimento",'Statements (Raw)'!D631)),"CASH DEPOSIT",IF(ISNUMBER(SEARCH("Prelievo",'Statements (Raw)'!D631)),"CASH WITHDRAWAL",IF(ISNUMBER(SEARCH("Bollo",'Statements (Raw)'!D631)),"STAMP DUTY",IF(ISNUMBER(SEARCH("Tobin Tax",'Statements (Raw)'!D631)),"TOBIN TAX",IF(ISNUMBER(SEARCH("Rit.provento",'Statements (Raw)'!D631)),"WITHHOLDING TAX",IF(ISNUMBER(SEARCH("Incasso Dividendi",'Statements (Raw)'!D631)),"DIVIDEND",IF(ISNUMBER(SEARCH("Cedola",'Statements (Raw)'!D631)),"COUPON",IF(ISNUMBER(SEARCH("Ratei Pass",'Statements (Raw)'!D631)),"ACCRUED INT",IF(ISNUMBER(SEARCH("Interessi Prest",'Statements (Raw)'!D631)),"SEC LENDING",IF(ISNUMBER(SEARCH("Rimborso",'Statements (Raw)'!D631)),"REDEMPTION",IF(ISNUMBER(SEARCH("Provento",'Statements (Raw)'!D631)),"DISTRIBUTION","OTHER")))))))))))))</f>
        <v/>
      </c>
      <c r="D633" s="6" t="str">
        <f>IF(A633="","",IF(C633="Saldo Iniziale","Balance",IF(C633="CASH DEPOSIT","Deposit",IF(C633="CASH WITHDRAWAL","Withdrawal",IF(C633="STAMP DUTY","Tax",IF(C633="TOBIN TAX","Tax",IF(C633="WITHHOLDING TAX","Tax",IF(C633="DIVIDEND","Dividend",IF(C633="COUPON","Coupon",IF(C633="ACCRUED INT","Accrued Int.",IF(C633="SEC LENDING","Sec. Lending",IF(C633="REDEMPTION","Redemption",IF(C633="DISTRIBUTION","Distribution",IF(ISNUMBER(SEARCH("Rimborso",'Statements (Raw)'!D631)),"Redemption",IF(ISNUMBER(SEARCH("Cedola",'Statements (Raw)'!D631)),"Coupon",IF(ISNUMBER(SEARCH("Incasso Dividendi",'Statements (Raw)'!D631)),"Dividend",IF(ISNUMBER(SEARCH("Provento Etf",'Statements (Raw)'!D631)),"Distribution",IF(ISNUMBER(SEARCH("Rit.provento",'Statements (Raw)'!D631)),"Tax",IF(ISNUMBER(SEARCH("Ratei Pass",'Statements (Raw)'!D631)),"Accrued Int.",IF(ISNUMBER(SEARCH("Interessi Prest",'Statements (Raw)'!D631)),"Sec. Lending",IF('Statements (Raw)'!G631="","Other",IF('Statements (Raw)'!G631&gt;0,"Buy","Sell"))))))))))))))))))))))</f>
        <v/>
      </c>
      <c r="E633" s="6" t="str">
        <f t="shared" si="18"/>
        <v/>
      </c>
      <c r="F633" s="8" t="str">
        <f>IF(A633="","",IF('Statements (Raw)'!E631="","",'Statements (Raw)'!E631))</f>
        <v/>
      </c>
      <c r="G633" s="6" t="str">
        <f>IF(A633="","",IF('Statements (Raw)'!F631="","",'Statements (Raw)'!F631))</f>
        <v/>
      </c>
      <c r="H633" s="9" t="str">
        <f>IF(A633="","",IF('Statements (Raw)'!G631="","",'Statements (Raw)'!G631))</f>
        <v/>
      </c>
      <c r="I633" s="10" t="str">
        <f>IF(A633="","",IF('Statements (Raw)'!H631="","",'Statements (Raw)'!H631))</f>
        <v/>
      </c>
      <c r="J633" s="10">
        <f>IF(A633="",0,IF('Statements (Raw)'!I631="",0,'Statements (Raw)'!I631))</f>
        <v>0</v>
      </c>
      <c r="K633" s="10" t="str">
        <f t="shared" si="19"/>
        <v/>
      </c>
    </row>
    <row r="634" spans="1:11" x14ac:dyDescent="0.3">
      <c r="A634" s="171" t="str">
        <f>IF(OR('Statements (Raw)'!A632="",'Statements (Raw)'!A632&gt;Holdings!$G$3),"",'Statements (Raw)'!A632)</f>
        <v/>
      </c>
      <c r="B634" s="7" t="str">
        <f>IF(A634="","",IF('Statements (Raw)'!B632="","",'Statements (Raw)'!B632))</f>
        <v/>
      </c>
      <c r="C634" s="6" t="str">
        <f>IF(A634="","",IF('Statements (Raw)'!C632&lt;&gt;"",'Statements (Raw)'!C632,IF(ISNUMBER(SEARCH("Conferimento",'Statements (Raw)'!D632)),"CASH DEPOSIT",IF(ISNUMBER(SEARCH("Prelievo",'Statements (Raw)'!D632)),"CASH WITHDRAWAL",IF(ISNUMBER(SEARCH("Bollo",'Statements (Raw)'!D632)),"STAMP DUTY",IF(ISNUMBER(SEARCH("Tobin Tax",'Statements (Raw)'!D632)),"TOBIN TAX",IF(ISNUMBER(SEARCH("Rit.provento",'Statements (Raw)'!D632)),"WITHHOLDING TAX",IF(ISNUMBER(SEARCH("Incasso Dividendi",'Statements (Raw)'!D632)),"DIVIDEND",IF(ISNUMBER(SEARCH("Cedola",'Statements (Raw)'!D632)),"COUPON",IF(ISNUMBER(SEARCH("Ratei Pass",'Statements (Raw)'!D632)),"ACCRUED INT",IF(ISNUMBER(SEARCH("Interessi Prest",'Statements (Raw)'!D632)),"SEC LENDING",IF(ISNUMBER(SEARCH("Rimborso",'Statements (Raw)'!D632)),"REDEMPTION",IF(ISNUMBER(SEARCH("Provento",'Statements (Raw)'!D632)),"DISTRIBUTION","OTHER")))))))))))))</f>
        <v/>
      </c>
      <c r="D634" s="6" t="str">
        <f>IF(A634="","",IF(C634="Saldo Iniziale","Balance",IF(C634="CASH DEPOSIT","Deposit",IF(C634="CASH WITHDRAWAL","Withdrawal",IF(C634="STAMP DUTY","Tax",IF(C634="TOBIN TAX","Tax",IF(C634="WITHHOLDING TAX","Tax",IF(C634="DIVIDEND","Dividend",IF(C634="COUPON","Coupon",IF(C634="ACCRUED INT","Accrued Int.",IF(C634="SEC LENDING","Sec. Lending",IF(C634="REDEMPTION","Redemption",IF(C634="DISTRIBUTION","Distribution",IF(ISNUMBER(SEARCH("Rimborso",'Statements (Raw)'!D632)),"Redemption",IF(ISNUMBER(SEARCH("Cedola",'Statements (Raw)'!D632)),"Coupon",IF(ISNUMBER(SEARCH("Incasso Dividendi",'Statements (Raw)'!D632)),"Dividend",IF(ISNUMBER(SEARCH("Provento Etf",'Statements (Raw)'!D632)),"Distribution",IF(ISNUMBER(SEARCH("Rit.provento",'Statements (Raw)'!D632)),"Tax",IF(ISNUMBER(SEARCH("Ratei Pass",'Statements (Raw)'!D632)),"Accrued Int.",IF(ISNUMBER(SEARCH("Interessi Prest",'Statements (Raw)'!D632)),"Sec. Lending",IF('Statements (Raw)'!G632="","Other",IF('Statements (Raw)'!G632&gt;0,"Buy","Sell"))))))))))))))))))))))</f>
        <v/>
      </c>
      <c r="E634" s="6" t="str">
        <f t="shared" si="18"/>
        <v/>
      </c>
      <c r="F634" s="8" t="str">
        <f>IF(A634="","",IF('Statements (Raw)'!E632="","",'Statements (Raw)'!E632))</f>
        <v/>
      </c>
      <c r="G634" s="6" t="str">
        <f>IF(A634="","",IF('Statements (Raw)'!F632="","",'Statements (Raw)'!F632))</f>
        <v/>
      </c>
      <c r="H634" s="9" t="str">
        <f>IF(A634="","",IF('Statements (Raw)'!G632="","",'Statements (Raw)'!G632))</f>
        <v/>
      </c>
      <c r="I634" s="10" t="str">
        <f>IF(A634="","",IF('Statements (Raw)'!H632="","",'Statements (Raw)'!H632))</f>
        <v/>
      </c>
      <c r="J634" s="10">
        <f>IF(A634="",0,IF('Statements (Raw)'!I632="",0,'Statements (Raw)'!I632))</f>
        <v>0</v>
      </c>
      <c r="K634" s="10" t="str">
        <f t="shared" si="19"/>
        <v/>
      </c>
    </row>
    <row r="635" spans="1:11" x14ac:dyDescent="0.3">
      <c r="A635" s="171" t="str">
        <f>IF(OR('Statements (Raw)'!A633="",'Statements (Raw)'!A633&gt;Holdings!$G$3),"",'Statements (Raw)'!A633)</f>
        <v/>
      </c>
      <c r="B635" s="7" t="str">
        <f>IF(A635="","",IF('Statements (Raw)'!B633="","",'Statements (Raw)'!B633))</f>
        <v/>
      </c>
      <c r="C635" s="6" t="str">
        <f>IF(A635="","",IF('Statements (Raw)'!C633&lt;&gt;"",'Statements (Raw)'!C633,IF(ISNUMBER(SEARCH("Conferimento",'Statements (Raw)'!D633)),"CASH DEPOSIT",IF(ISNUMBER(SEARCH("Prelievo",'Statements (Raw)'!D633)),"CASH WITHDRAWAL",IF(ISNUMBER(SEARCH("Bollo",'Statements (Raw)'!D633)),"STAMP DUTY",IF(ISNUMBER(SEARCH("Tobin Tax",'Statements (Raw)'!D633)),"TOBIN TAX",IF(ISNUMBER(SEARCH("Rit.provento",'Statements (Raw)'!D633)),"WITHHOLDING TAX",IF(ISNUMBER(SEARCH("Incasso Dividendi",'Statements (Raw)'!D633)),"DIVIDEND",IF(ISNUMBER(SEARCH("Cedola",'Statements (Raw)'!D633)),"COUPON",IF(ISNUMBER(SEARCH("Ratei Pass",'Statements (Raw)'!D633)),"ACCRUED INT",IF(ISNUMBER(SEARCH("Interessi Prest",'Statements (Raw)'!D633)),"SEC LENDING",IF(ISNUMBER(SEARCH("Rimborso",'Statements (Raw)'!D633)),"REDEMPTION",IF(ISNUMBER(SEARCH("Provento",'Statements (Raw)'!D633)),"DISTRIBUTION","OTHER")))))))))))))</f>
        <v/>
      </c>
      <c r="D635" s="6" t="str">
        <f>IF(A635="","",IF(C635="Saldo Iniziale","Balance",IF(C635="CASH DEPOSIT","Deposit",IF(C635="CASH WITHDRAWAL","Withdrawal",IF(C635="STAMP DUTY","Tax",IF(C635="TOBIN TAX","Tax",IF(C635="WITHHOLDING TAX","Tax",IF(C635="DIVIDEND","Dividend",IF(C635="COUPON","Coupon",IF(C635="ACCRUED INT","Accrued Int.",IF(C635="SEC LENDING","Sec. Lending",IF(C635="REDEMPTION","Redemption",IF(C635="DISTRIBUTION","Distribution",IF(ISNUMBER(SEARCH("Rimborso",'Statements (Raw)'!D633)),"Redemption",IF(ISNUMBER(SEARCH("Cedola",'Statements (Raw)'!D633)),"Coupon",IF(ISNUMBER(SEARCH("Incasso Dividendi",'Statements (Raw)'!D633)),"Dividend",IF(ISNUMBER(SEARCH("Provento Etf",'Statements (Raw)'!D633)),"Distribution",IF(ISNUMBER(SEARCH("Rit.provento",'Statements (Raw)'!D633)),"Tax",IF(ISNUMBER(SEARCH("Ratei Pass",'Statements (Raw)'!D633)),"Accrued Int.",IF(ISNUMBER(SEARCH("Interessi Prest",'Statements (Raw)'!D633)),"Sec. Lending",IF('Statements (Raw)'!G633="","Other",IF('Statements (Raw)'!G633&gt;0,"Buy","Sell"))))))))))))))))))))))</f>
        <v/>
      </c>
      <c r="E635" s="6" t="str">
        <f t="shared" si="18"/>
        <v/>
      </c>
      <c r="F635" s="8" t="str">
        <f>IF(A635="","",IF('Statements (Raw)'!E633="","",'Statements (Raw)'!E633))</f>
        <v/>
      </c>
      <c r="G635" s="6" t="str">
        <f>IF(A635="","",IF('Statements (Raw)'!F633="","",'Statements (Raw)'!F633))</f>
        <v/>
      </c>
      <c r="H635" s="9" t="str">
        <f>IF(A635="","",IF('Statements (Raw)'!G633="","",'Statements (Raw)'!G633))</f>
        <v/>
      </c>
      <c r="I635" s="10" t="str">
        <f>IF(A635="","",IF('Statements (Raw)'!H633="","",'Statements (Raw)'!H633))</f>
        <v/>
      </c>
      <c r="J635" s="10">
        <f>IF(A635="",0,IF('Statements (Raw)'!I633="",0,'Statements (Raw)'!I633))</f>
        <v>0</v>
      </c>
      <c r="K635" s="10" t="str">
        <f t="shared" si="19"/>
        <v/>
      </c>
    </row>
    <row r="636" spans="1:11" x14ac:dyDescent="0.3">
      <c r="A636" s="171" t="str">
        <f>IF(OR('Statements (Raw)'!A634="",'Statements (Raw)'!A634&gt;Holdings!$G$3),"",'Statements (Raw)'!A634)</f>
        <v/>
      </c>
      <c r="B636" s="7" t="str">
        <f>IF(A636="","",IF('Statements (Raw)'!B634="","",'Statements (Raw)'!B634))</f>
        <v/>
      </c>
      <c r="C636" s="6" t="str">
        <f>IF(A636="","",IF('Statements (Raw)'!C634&lt;&gt;"",'Statements (Raw)'!C634,IF(ISNUMBER(SEARCH("Conferimento",'Statements (Raw)'!D634)),"CASH DEPOSIT",IF(ISNUMBER(SEARCH("Prelievo",'Statements (Raw)'!D634)),"CASH WITHDRAWAL",IF(ISNUMBER(SEARCH("Bollo",'Statements (Raw)'!D634)),"STAMP DUTY",IF(ISNUMBER(SEARCH("Tobin Tax",'Statements (Raw)'!D634)),"TOBIN TAX",IF(ISNUMBER(SEARCH("Rit.provento",'Statements (Raw)'!D634)),"WITHHOLDING TAX",IF(ISNUMBER(SEARCH("Incasso Dividendi",'Statements (Raw)'!D634)),"DIVIDEND",IF(ISNUMBER(SEARCH("Cedola",'Statements (Raw)'!D634)),"COUPON",IF(ISNUMBER(SEARCH("Ratei Pass",'Statements (Raw)'!D634)),"ACCRUED INT",IF(ISNUMBER(SEARCH("Interessi Prest",'Statements (Raw)'!D634)),"SEC LENDING",IF(ISNUMBER(SEARCH("Rimborso",'Statements (Raw)'!D634)),"REDEMPTION",IF(ISNUMBER(SEARCH("Provento",'Statements (Raw)'!D634)),"DISTRIBUTION","OTHER")))))))))))))</f>
        <v/>
      </c>
      <c r="D636" s="6" t="str">
        <f>IF(A636="","",IF(C636="Saldo Iniziale","Balance",IF(C636="CASH DEPOSIT","Deposit",IF(C636="CASH WITHDRAWAL","Withdrawal",IF(C636="STAMP DUTY","Tax",IF(C636="TOBIN TAX","Tax",IF(C636="WITHHOLDING TAX","Tax",IF(C636="DIVIDEND","Dividend",IF(C636="COUPON","Coupon",IF(C636="ACCRUED INT","Accrued Int.",IF(C636="SEC LENDING","Sec. Lending",IF(C636="REDEMPTION","Redemption",IF(C636="DISTRIBUTION","Distribution",IF(ISNUMBER(SEARCH("Rimborso",'Statements (Raw)'!D634)),"Redemption",IF(ISNUMBER(SEARCH("Cedola",'Statements (Raw)'!D634)),"Coupon",IF(ISNUMBER(SEARCH("Incasso Dividendi",'Statements (Raw)'!D634)),"Dividend",IF(ISNUMBER(SEARCH("Provento Etf",'Statements (Raw)'!D634)),"Distribution",IF(ISNUMBER(SEARCH("Rit.provento",'Statements (Raw)'!D634)),"Tax",IF(ISNUMBER(SEARCH("Ratei Pass",'Statements (Raw)'!D634)),"Accrued Int.",IF(ISNUMBER(SEARCH("Interessi Prest",'Statements (Raw)'!D634)),"Sec. Lending",IF('Statements (Raw)'!G634="","Other",IF('Statements (Raw)'!G634&gt;0,"Buy","Sell"))))))))))))))))))))))</f>
        <v/>
      </c>
      <c r="E636" s="6" t="str">
        <f t="shared" si="18"/>
        <v/>
      </c>
      <c r="F636" s="8" t="str">
        <f>IF(A636="","",IF('Statements (Raw)'!E634="","",'Statements (Raw)'!E634))</f>
        <v/>
      </c>
      <c r="G636" s="6" t="str">
        <f>IF(A636="","",IF('Statements (Raw)'!F634="","",'Statements (Raw)'!F634))</f>
        <v/>
      </c>
      <c r="H636" s="9" t="str">
        <f>IF(A636="","",IF('Statements (Raw)'!G634="","",'Statements (Raw)'!G634))</f>
        <v/>
      </c>
      <c r="I636" s="10" t="str">
        <f>IF(A636="","",IF('Statements (Raw)'!H634="","",'Statements (Raw)'!H634))</f>
        <v/>
      </c>
      <c r="J636" s="10">
        <f>IF(A636="",0,IF('Statements (Raw)'!I634="",0,'Statements (Raw)'!I634))</f>
        <v>0</v>
      </c>
      <c r="K636" s="10" t="str">
        <f t="shared" si="19"/>
        <v/>
      </c>
    </row>
    <row r="637" spans="1:11" x14ac:dyDescent="0.3">
      <c r="A637" s="171" t="str">
        <f>IF(OR('Statements (Raw)'!A635="",'Statements (Raw)'!A635&gt;Holdings!$G$3),"",'Statements (Raw)'!A635)</f>
        <v/>
      </c>
      <c r="B637" s="7" t="str">
        <f>IF(A637="","",IF('Statements (Raw)'!B635="","",'Statements (Raw)'!B635))</f>
        <v/>
      </c>
      <c r="C637" s="6" t="str">
        <f>IF(A637="","",IF('Statements (Raw)'!C635&lt;&gt;"",'Statements (Raw)'!C635,IF(ISNUMBER(SEARCH("Conferimento",'Statements (Raw)'!D635)),"CASH DEPOSIT",IF(ISNUMBER(SEARCH("Prelievo",'Statements (Raw)'!D635)),"CASH WITHDRAWAL",IF(ISNUMBER(SEARCH("Bollo",'Statements (Raw)'!D635)),"STAMP DUTY",IF(ISNUMBER(SEARCH("Tobin Tax",'Statements (Raw)'!D635)),"TOBIN TAX",IF(ISNUMBER(SEARCH("Rit.provento",'Statements (Raw)'!D635)),"WITHHOLDING TAX",IF(ISNUMBER(SEARCH("Incasso Dividendi",'Statements (Raw)'!D635)),"DIVIDEND",IF(ISNUMBER(SEARCH("Cedola",'Statements (Raw)'!D635)),"COUPON",IF(ISNUMBER(SEARCH("Ratei Pass",'Statements (Raw)'!D635)),"ACCRUED INT",IF(ISNUMBER(SEARCH("Interessi Prest",'Statements (Raw)'!D635)),"SEC LENDING",IF(ISNUMBER(SEARCH("Rimborso",'Statements (Raw)'!D635)),"REDEMPTION",IF(ISNUMBER(SEARCH("Provento",'Statements (Raw)'!D635)),"DISTRIBUTION","OTHER")))))))))))))</f>
        <v/>
      </c>
      <c r="D637" s="6" t="str">
        <f>IF(A637="","",IF(C637="Saldo Iniziale","Balance",IF(C637="CASH DEPOSIT","Deposit",IF(C637="CASH WITHDRAWAL","Withdrawal",IF(C637="STAMP DUTY","Tax",IF(C637="TOBIN TAX","Tax",IF(C637="WITHHOLDING TAX","Tax",IF(C637="DIVIDEND","Dividend",IF(C637="COUPON","Coupon",IF(C637="ACCRUED INT","Accrued Int.",IF(C637="SEC LENDING","Sec. Lending",IF(C637="REDEMPTION","Redemption",IF(C637="DISTRIBUTION","Distribution",IF(ISNUMBER(SEARCH("Rimborso",'Statements (Raw)'!D635)),"Redemption",IF(ISNUMBER(SEARCH("Cedola",'Statements (Raw)'!D635)),"Coupon",IF(ISNUMBER(SEARCH("Incasso Dividendi",'Statements (Raw)'!D635)),"Dividend",IF(ISNUMBER(SEARCH("Provento Etf",'Statements (Raw)'!D635)),"Distribution",IF(ISNUMBER(SEARCH("Rit.provento",'Statements (Raw)'!D635)),"Tax",IF(ISNUMBER(SEARCH("Ratei Pass",'Statements (Raw)'!D635)),"Accrued Int.",IF(ISNUMBER(SEARCH("Interessi Prest",'Statements (Raw)'!D635)),"Sec. Lending",IF('Statements (Raw)'!G635="","Other",IF('Statements (Raw)'!G635&gt;0,"Buy","Sell"))))))))))))))))))))))</f>
        <v/>
      </c>
      <c r="E637" s="6" t="str">
        <f t="shared" si="18"/>
        <v/>
      </c>
      <c r="F637" s="8" t="str">
        <f>IF(A637="","",IF('Statements (Raw)'!E635="","",'Statements (Raw)'!E635))</f>
        <v/>
      </c>
      <c r="G637" s="6" t="str">
        <f>IF(A637="","",IF('Statements (Raw)'!F635="","",'Statements (Raw)'!F635))</f>
        <v/>
      </c>
      <c r="H637" s="9" t="str">
        <f>IF(A637="","",IF('Statements (Raw)'!G635="","",'Statements (Raw)'!G635))</f>
        <v/>
      </c>
      <c r="I637" s="10" t="str">
        <f>IF(A637="","",IF('Statements (Raw)'!H635="","",'Statements (Raw)'!H635))</f>
        <v/>
      </c>
      <c r="J637" s="10">
        <f>IF(A637="",0,IF('Statements (Raw)'!I635="",0,'Statements (Raw)'!I635))</f>
        <v>0</v>
      </c>
      <c r="K637" s="10" t="str">
        <f t="shared" si="19"/>
        <v/>
      </c>
    </row>
    <row r="638" spans="1:11" x14ac:dyDescent="0.3">
      <c r="A638" s="171" t="str">
        <f>IF(OR('Statements (Raw)'!A636="",'Statements (Raw)'!A636&gt;Holdings!$G$3),"",'Statements (Raw)'!A636)</f>
        <v/>
      </c>
      <c r="B638" s="7" t="str">
        <f>IF(A638="","",IF('Statements (Raw)'!B636="","",'Statements (Raw)'!B636))</f>
        <v/>
      </c>
      <c r="C638" s="6" t="str">
        <f>IF(A638="","",IF('Statements (Raw)'!C636&lt;&gt;"",'Statements (Raw)'!C636,IF(ISNUMBER(SEARCH("Conferimento",'Statements (Raw)'!D636)),"CASH DEPOSIT",IF(ISNUMBER(SEARCH("Prelievo",'Statements (Raw)'!D636)),"CASH WITHDRAWAL",IF(ISNUMBER(SEARCH("Bollo",'Statements (Raw)'!D636)),"STAMP DUTY",IF(ISNUMBER(SEARCH("Tobin Tax",'Statements (Raw)'!D636)),"TOBIN TAX",IF(ISNUMBER(SEARCH("Rit.provento",'Statements (Raw)'!D636)),"WITHHOLDING TAX",IF(ISNUMBER(SEARCH("Incasso Dividendi",'Statements (Raw)'!D636)),"DIVIDEND",IF(ISNUMBER(SEARCH("Cedola",'Statements (Raw)'!D636)),"COUPON",IF(ISNUMBER(SEARCH("Ratei Pass",'Statements (Raw)'!D636)),"ACCRUED INT",IF(ISNUMBER(SEARCH("Interessi Prest",'Statements (Raw)'!D636)),"SEC LENDING",IF(ISNUMBER(SEARCH("Rimborso",'Statements (Raw)'!D636)),"REDEMPTION",IF(ISNUMBER(SEARCH("Provento",'Statements (Raw)'!D636)),"DISTRIBUTION","OTHER")))))))))))))</f>
        <v/>
      </c>
      <c r="D638" s="6" t="str">
        <f>IF(A638="","",IF(C638="Saldo Iniziale","Balance",IF(C638="CASH DEPOSIT","Deposit",IF(C638="CASH WITHDRAWAL","Withdrawal",IF(C638="STAMP DUTY","Tax",IF(C638="TOBIN TAX","Tax",IF(C638="WITHHOLDING TAX","Tax",IF(C638="DIVIDEND","Dividend",IF(C638="COUPON","Coupon",IF(C638="ACCRUED INT","Accrued Int.",IF(C638="SEC LENDING","Sec. Lending",IF(C638="REDEMPTION","Redemption",IF(C638="DISTRIBUTION","Distribution",IF(ISNUMBER(SEARCH("Rimborso",'Statements (Raw)'!D636)),"Redemption",IF(ISNUMBER(SEARCH("Cedola",'Statements (Raw)'!D636)),"Coupon",IF(ISNUMBER(SEARCH("Incasso Dividendi",'Statements (Raw)'!D636)),"Dividend",IF(ISNUMBER(SEARCH("Provento Etf",'Statements (Raw)'!D636)),"Distribution",IF(ISNUMBER(SEARCH("Rit.provento",'Statements (Raw)'!D636)),"Tax",IF(ISNUMBER(SEARCH("Ratei Pass",'Statements (Raw)'!D636)),"Accrued Int.",IF(ISNUMBER(SEARCH("Interessi Prest",'Statements (Raw)'!D636)),"Sec. Lending",IF('Statements (Raw)'!G636="","Other",IF('Statements (Raw)'!G636&gt;0,"Buy","Sell"))))))))))))))))))))))</f>
        <v/>
      </c>
      <c r="E638" s="6" t="str">
        <f t="shared" si="18"/>
        <v/>
      </c>
      <c r="F638" s="8" t="str">
        <f>IF(A638="","",IF('Statements (Raw)'!E636="","",'Statements (Raw)'!E636))</f>
        <v/>
      </c>
      <c r="G638" s="6" t="str">
        <f>IF(A638="","",IF('Statements (Raw)'!F636="","",'Statements (Raw)'!F636))</f>
        <v/>
      </c>
      <c r="H638" s="9" t="str">
        <f>IF(A638="","",IF('Statements (Raw)'!G636="","",'Statements (Raw)'!G636))</f>
        <v/>
      </c>
      <c r="I638" s="10" t="str">
        <f>IF(A638="","",IF('Statements (Raw)'!H636="","",'Statements (Raw)'!H636))</f>
        <v/>
      </c>
      <c r="J638" s="10">
        <f>IF(A638="",0,IF('Statements (Raw)'!I636="",0,'Statements (Raw)'!I636))</f>
        <v>0</v>
      </c>
      <c r="K638" s="10" t="str">
        <f t="shared" si="19"/>
        <v/>
      </c>
    </row>
    <row r="639" spans="1:11" x14ac:dyDescent="0.3">
      <c r="A639" s="171" t="str">
        <f>IF(OR('Statements (Raw)'!A637="",'Statements (Raw)'!A637&gt;Holdings!$G$3),"",'Statements (Raw)'!A637)</f>
        <v/>
      </c>
      <c r="B639" s="7" t="str">
        <f>IF(A639="","",IF('Statements (Raw)'!B637="","",'Statements (Raw)'!B637))</f>
        <v/>
      </c>
      <c r="C639" s="6" t="str">
        <f>IF(A639="","",IF('Statements (Raw)'!C637&lt;&gt;"",'Statements (Raw)'!C637,IF(ISNUMBER(SEARCH("Conferimento",'Statements (Raw)'!D637)),"CASH DEPOSIT",IF(ISNUMBER(SEARCH("Prelievo",'Statements (Raw)'!D637)),"CASH WITHDRAWAL",IF(ISNUMBER(SEARCH("Bollo",'Statements (Raw)'!D637)),"STAMP DUTY",IF(ISNUMBER(SEARCH("Tobin Tax",'Statements (Raw)'!D637)),"TOBIN TAX",IF(ISNUMBER(SEARCH("Rit.provento",'Statements (Raw)'!D637)),"WITHHOLDING TAX",IF(ISNUMBER(SEARCH("Incasso Dividendi",'Statements (Raw)'!D637)),"DIVIDEND",IF(ISNUMBER(SEARCH("Cedola",'Statements (Raw)'!D637)),"COUPON",IF(ISNUMBER(SEARCH("Ratei Pass",'Statements (Raw)'!D637)),"ACCRUED INT",IF(ISNUMBER(SEARCH("Interessi Prest",'Statements (Raw)'!D637)),"SEC LENDING",IF(ISNUMBER(SEARCH("Rimborso",'Statements (Raw)'!D637)),"REDEMPTION",IF(ISNUMBER(SEARCH("Provento",'Statements (Raw)'!D637)),"DISTRIBUTION","OTHER")))))))))))))</f>
        <v/>
      </c>
      <c r="D639" s="6" t="str">
        <f>IF(A639="","",IF(C639="Saldo Iniziale","Balance",IF(C639="CASH DEPOSIT","Deposit",IF(C639="CASH WITHDRAWAL","Withdrawal",IF(C639="STAMP DUTY","Tax",IF(C639="TOBIN TAX","Tax",IF(C639="WITHHOLDING TAX","Tax",IF(C639="DIVIDEND","Dividend",IF(C639="COUPON","Coupon",IF(C639="ACCRUED INT","Accrued Int.",IF(C639="SEC LENDING","Sec. Lending",IF(C639="REDEMPTION","Redemption",IF(C639="DISTRIBUTION","Distribution",IF(ISNUMBER(SEARCH("Rimborso",'Statements (Raw)'!D637)),"Redemption",IF(ISNUMBER(SEARCH("Cedola",'Statements (Raw)'!D637)),"Coupon",IF(ISNUMBER(SEARCH("Incasso Dividendi",'Statements (Raw)'!D637)),"Dividend",IF(ISNUMBER(SEARCH("Provento Etf",'Statements (Raw)'!D637)),"Distribution",IF(ISNUMBER(SEARCH("Rit.provento",'Statements (Raw)'!D637)),"Tax",IF(ISNUMBER(SEARCH("Ratei Pass",'Statements (Raw)'!D637)),"Accrued Int.",IF(ISNUMBER(SEARCH("Interessi Prest",'Statements (Raw)'!D637)),"Sec. Lending",IF('Statements (Raw)'!G637="","Other",IF('Statements (Raw)'!G637&gt;0,"Buy","Sell"))))))))))))))))))))))</f>
        <v/>
      </c>
      <c r="E639" s="6" t="str">
        <f t="shared" si="18"/>
        <v/>
      </c>
      <c r="F639" s="8" t="str">
        <f>IF(A639="","",IF('Statements (Raw)'!E637="","",'Statements (Raw)'!E637))</f>
        <v/>
      </c>
      <c r="G639" s="6" t="str">
        <f>IF(A639="","",IF('Statements (Raw)'!F637="","",'Statements (Raw)'!F637))</f>
        <v/>
      </c>
      <c r="H639" s="9" t="str">
        <f>IF(A639="","",IF('Statements (Raw)'!G637="","",'Statements (Raw)'!G637))</f>
        <v/>
      </c>
      <c r="I639" s="10" t="str">
        <f>IF(A639="","",IF('Statements (Raw)'!H637="","",'Statements (Raw)'!H637))</f>
        <v/>
      </c>
      <c r="J639" s="10">
        <f>IF(A639="",0,IF('Statements (Raw)'!I637="",0,'Statements (Raw)'!I637))</f>
        <v>0</v>
      </c>
      <c r="K639" s="10" t="str">
        <f t="shared" si="19"/>
        <v/>
      </c>
    </row>
    <row r="640" spans="1:11" x14ac:dyDescent="0.3">
      <c r="A640" s="171" t="str">
        <f>IF(OR('Statements (Raw)'!A638="",'Statements (Raw)'!A638&gt;Holdings!$G$3),"",'Statements (Raw)'!A638)</f>
        <v/>
      </c>
      <c r="B640" s="7" t="str">
        <f>IF(A640="","",IF('Statements (Raw)'!B638="","",'Statements (Raw)'!B638))</f>
        <v/>
      </c>
      <c r="C640" s="6" t="str">
        <f>IF(A640="","",IF('Statements (Raw)'!C638&lt;&gt;"",'Statements (Raw)'!C638,IF(ISNUMBER(SEARCH("Conferimento",'Statements (Raw)'!D638)),"CASH DEPOSIT",IF(ISNUMBER(SEARCH("Prelievo",'Statements (Raw)'!D638)),"CASH WITHDRAWAL",IF(ISNUMBER(SEARCH("Bollo",'Statements (Raw)'!D638)),"STAMP DUTY",IF(ISNUMBER(SEARCH("Tobin Tax",'Statements (Raw)'!D638)),"TOBIN TAX",IF(ISNUMBER(SEARCH("Rit.provento",'Statements (Raw)'!D638)),"WITHHOLDING TAX",IF(ISNUMBER(SEARCH("Incasso Dividendi",'Statements (Raw)'!D638)),"DIVIDEND",IF(ISNUMBER(SEARCH("Cedola",'Statements (Raw)'!D638)),"COUPON",IF(ISNUMBER(SEARCH("Ratei Pass",'Statements (Raw)'!D638)),"ACCRUED INT",IF(ISNUMBER(SEARCH("Interessi Prest",'Statements (Raw)'!D638)),"SEC LENDING",IF(ISNUMBER(SEARCH("Rimborso",'Statements (Raw)'!D638)),"REDEMPTION",IF(ISNUMBER(SEARCH("Provento",'Statements (Raw)'!D638)),"DISTRIBUTION","OTHER")))))))))))))</f>
        <v/>
      </c>
      <c r="D640" s="6" t="str">
        <f>IF(A640="","",IF(C640="Saldo Iniziale","Balance",IF(C640="CASH DEPOSIT","Deposit",IF(C640="CASH WITHDRAWAL","Withdrawal",IF(C640="STAMP DUTY","Tax",IF(C640="TOBIN TAX","Tax",IF(C640="WITHHOLDING TAX","Tax",IF(C640="DIVIDEND","Dividend",IF(C640="COUPON","Coupon",IF(C640="ACCRUED INT","Accrued Int.",IF(C640="SEC LENDING","Sec. Lending",IF(C640="REDEMPTION","Redemption",IF(C640="DISTRIBUTION","Distribution",IF(ISNUMBER(SEARCH("Rimborso",'Statements (Raw)'!D638)),"Redemption",IF(ISNUMBER(SEARCH("Cedola",'Statements (Raw)'!D638)),"Coupon",IF(ISNUMBER(SEARCH("Incasso Dividendi",'Statements (Raw)'!D638)),"Dividend",IF(ISNUMBER(SEARCH("Provento Etf",'Statements (Raw)'!D638)),"Distribution",IF(ISNUMBER(SEARCH("Rit.provento",'Statements (Raw)'!D638)),"Tax",IF(ISNUMBER(SEARCH("Ratei Pass",'Statements (Raw)'!D638)),"Accrued Int.",IF(ISNUMBER(SEARCH("Interessi Prest",'Statements (Raw)'!D638)),"Sec. Lending",IF('Statements (Raw)'!G638="","Other",IF('Statements (Raw)'!G638&gt;0,"Buy","Sell"))))))))))))))))))))))</f>
        <v/>
      </c>
      <c r="E640" s="6" t="str">
        <f t="shared" si="18"/>
        <v/>
      </c>
      <c r="F640" s="8" t="str">
        <f>IF(A640="","",IF('Statements (Raw)'!E638="","",'Statements (Raw)'!E638))</f>
        <v/>
      </c>
      <c r="G640" s="6" t="str">
        <f>IF(A640="","",IF('Statements (Raw)'!F638="","",'Statements (Raw)'!F638))</f>
        <v/>
      </c>
      <c r="H640" s="9" t="str">
        <f>IF(A640="","",IF('Statements (Raw)'!G638="","",'Statements (Raw)'!G638))</f>
        <v/>
      </c>
      <c r="I640" s="10" t="str">
        <f>IF(A640="","",IF('Statements (Raw)'!H638="","",'Statements (Raw)'!H638))</f>
        <v/>
      </c>
      <c r="J640" s="10">
        <f>IF(A640="",0,IF('Statements (Raw)'!I638="",0,'Statements (Raw)'!I638))</f>
        <v>0</v>
      </c>
      <c r="K640" s="10" t="str">
        <f t="shared" si="19"/>
        <v/>
      </c>
    </row>
    <row r="641" spans="1:11" x14ac:dyDescent="0.3">
      <c r="A641" s="171" t="str">
        <f>IF(OR('Statements (Raw)'!A639="",'Statements (Raw)'!A639&gt;Holdings!$G$3),"",'Statements (Raw)'!A639)</f>
        <v/>
      </c>
      <c r="B641" s="7" t="str">
        <f>IF(A641="","",IF('Statements (Raw)'!B639="","",'Statements (Raw)'!B639))</f>
        <v/>
      </c>
      <c r="C641" s="6" t="str">
        <f>IF(A641="","",IF('Statements (Raw)'!C639&lt;&gt;"",'Statements (Raw)'!C639,IF(ISNUMBER(SEARCH("Conferimento",'Statements (Raw)'!D639)),"CASH DEPOSIT",IF(ISNUMBER(SEARCH("Prelievo",'Statements (Raw)'!D639)),"CASH WITHDRAWAL",IF(ISNUMBER(SEARCH("Bollo",'Statements (Raw)'!D639)),"STAMP DUTY",IF(ISNUMBER(SEARCH("Tobin Tax",'Statements (Raw)'!D639)),"TOBIN TAX",IF(ISNUMBER(SEARCH("Rit.provento",'Statements (Raw)'!D639)),"WITHHOLDING TAX",IF(ISNUMBER(SEARCH("Incasso Dividendi",'Statements (Raw)'!D639)),"DIVIDEND",IF(ISNUMBER(SEARCH("Cedola",'Statements (Raw)'!D639)),"COUPON",IF(ISNUMBER(SEARCH("Ratei Pass",'Statements (Raw)'!D639)),"ACCRUED INT",IF(ISNUMBER(SEARCH("Interessi Prest",'Statements (Raw)'!D639)),"SEC LENDING",IF(ISNUMBER(SEARCH("Rimborso",'Statements (Raw)'!D639)),"REDEMPTION",IF(ISNUMBER(SEARCH("Provento",'Statements (Raw)'!D639)),"DISTRIBUTION","OTHER")))))))))))))</f>
        <v/>
      </c>
      <c r="D641" s="6" t="str">
        <f>IF(A641="","",IF(C641="Saldo Iniziale","Balance",IF(C641="CASH DEPOSIT","Deposit",IF(C641="CASH WITHDRAWAL","Withdrawal",IF(C641="STAMP DUTY","Tax",IF(C641="TOBIN TAX","Tax",IF(C641="WITHHOLDING TAX","Tax",IF(C641="DIVIDEND","Dividend",IF(C641="COUPON","Coupon",IF(C641="ACCRUED INT","Accrued Int.",IF(C641="SEC LENDING","Sec. Lending",IF(C641="REDEMPTION","Redemption",IF(C641="DISTRIBUTION","Distribution",IF(ISNUMBER(SEARCH("Rimborso",'Statements (Raw)'!D639)),"Redemption",IF(ISNUMBER(SEARCH("Cedola",'Statements (Raw)'!D639)),"Coupon",IF(ISNUMBER(SEARCH("Incasso Dividendi",'Statements (Raw)'!D639)),"Dividend",IF(ISNUMBER(SEARCH("Provento Etf",'Statements (Raw)'!D639)),"Distribution",IF(ISNUMBER(SEARCH("Rit.provento",'Statements (Raw)'!D639)),"Tax",IF(ISNUMBER(SEARCH("Ratei Pass",'Statements (Raw)'!D639)),"Accrued Int.",IF(ISNUMBER(SEARCH("Interessi Prest",'Statements (Raw)'!D639)),"Sec. Lending",IF('Statements (Raw)'!G639="","Other",IF('Statements (Raw)'!G639&gt;0,"Buy","Sell"))))))))))))))))))))))</f>
        <v/>
      </c>
      <c r="E641" s="6" t="str">
        <f t="shared" si="18"/>
        <v/>
      </c>
      <c r="F641" s="8" t="str">
        <f>IF(A641="","",IF('Statements (Raw)'!E639="","",'Statements (Raw)'!E639))</f>
        <v/>
      </c>
      <c r="G641" s="6" t="str">
        <f>IF(A641="","",IF('Statements (Raw)'!F639="","",'Statements (Raw)'!F639))</f>
        <v/>
      </c>
      <c r="H641" s="9" t="str">
        <f>IF(A641="","",IF('Statements (Raw)'!G639="","",'Statements (Raw)'!G639))</f>
        <v/>
      </c>
      <c r="I641" s="10" t="str">
        <f>IF(A641="","",IF('Statements (Raw)'!H639="","",'Statements (Raw)'!H639))</f>
        <v/>
      </c>
      <c r="J641" s="10">
        <f>IF(A641="",0,IF('Statements (Raw)'!I639="",0,'Statements (Raw)'!I639))</f>
        <v>0</v>
      </c>
      <c r="K641" s="10" t="str">
        <f t="shared" si="19"/>
        <v/>
      </c>
    </row>
    <row r="642" spans="1:11" x14ac:dyDescent="0.3">
      <c r="A642" s="171" t="str">
        <f>IF(OR('Statements (Raw)'!A640="",'Statements (Raw)'!A640&gt;Holdings!$G$3),"",'Statements (Raw)'!A640)</f>
        <v/>
      </c>
      <c r="B642" s="7" t="str">
        <f>IF(A642="","",IF('Statements (Raw)'!B640="","",'Statements (Raw)'!B640))</f>
        <v/>
      </c>
      <c r="C642" s="6" t="str">
        <f>IF(A642="","",IF('Statements (Raw)'!C640&lt;&gt;"",'Statements (Raw)'!C640,IF(ISNUMBER(SEARCH("Conferimento",'Statements (Raw)'!D640)),"CASH DEPOSIT",IF(ISNUMBER(SEARCH("Prelievo",'Statements (Raw)'!D640)),"CASH WITHDRAWAL",IF(ISNUMBER(SEARCH("Bollo",'Statements (Raw)'!D640)),"STAMP DUTY",IF(ISNUMBER(SEARCH("Tobin Tax",'Statements (Raw)'!D640)),"TOBIN TAX",IF(ISNUMBER(SEARCH("Rit.provento",'Statements (Raw)'!D640)),"WITHHOLDING TAX",IF(ISNUMBER(SEARCH("Incasso Dividendi",'Statements (Raw)'!D640)),"DIVIDEND",IF(ISNUMBER(SEARCH("Cedola",'Statements (Raw)'!D640)),"COUPON",IF(ISNUMBER(SEARCH("Ratei Pass",'Statements (Raw)'!D640)),"ACCRUED INT",IF(ISNUMBER(SEARCH("Interessi Prest",'Statements (Raw)'!D640)),"SEC LENDING",IF(ISNUMBER(SEARCH("Rimborso",'Statements (Raw)'!D640)),"REDEMPTION",IF(ISNUMBER(SEARCH("Provento",'Statements (Raw)'!D640)),"DISTRIBUTION","OTHER")))))))))))))</f>
        <v/>
      </c>
      <c r="D642" s="6" t="str">
        <f>IF(A642="","",IF(C642="Saldo Iniziale","Balance",IF(C642="CASH DEPOSIT","Deposit",IF(C642="CASH WITHDRAWAL","Withdrawal",IF(C642="STAMP DUTY","Tax",IF(C642="TOBIN TAX","Tax",IF(C642="WITHHOLDING TAX","Tax",IF(C642="DIVIDEND","Dividend",IF(C642="COUPON","Coupon",IF(C642="ACCRUED INT","Accrued Int.",IF(C642="SEC LENDING","Sec. Lending",IF(C642="REDEMPTION","Redemption",IF(C642="DISTRIBUTION","Distribution",IF(ISNUMBER(SEARCH("Rimborso",'Statements (Raw)'!D640)),"Redemption",IF(ISNUMBER(SEARCH("Cedola",'Statements (Raw)'!D640)),"Coupon",IF(ISNUMBER(SEARCH("Incasso Dividendi",'Statements (Raw)'!D640)),"Dividend",IF(ISNUMBER(SEARCH("Provento Etf",'Statements (Raw)'!D640)),"Distribution",IF(ISNUMBER(SEARCH("Rit.provento",'Statements (Raw)'!D640)),"Tax",IF(ISNUMBER(SEARCH("Ratei Pass",'Statements (Raw)'!D640)),"Accrued Int.",IF(ISNUMBER(SEARCH("Interessi Prest",'Statements (Raw)'!D640)),"Sec. Lending",IF('Statements (Raw)'!G640="","Other",IF('Statements (Raw)'!G640&gt;0,"Buy","Sell"))))))))))))))))))))))</f>
        <v/>
      </c>
      <c r="E642" s="6" t="str">
        <f t="shared" si="18"/>
        <v/>
      </c>
      <c r="F642" s="8" t="str">
        <f>IF(A642="","",IF('Statements (Raw)'!E640="","",'Statements (Raw)'!E640))</f>
        <v/>
      </c>
      <c r="G642" s="6" t="str">
        <f>IF(A642="","",IF('Statements (Raw)'!F640="","",'Statements (Raw)'!F640))</f>
        <v/>
      </c>
      <c r="H642" s="9" t="str">
        <f>IF(A642="","",IF('Statements (Raw)'!G640="","",'Statements (Raw)'!G640))</f>
        <v/>
      </c>
      <c r="I642" s="10" t="str">
        <f>IF(A642="","",IF('Statements (Raw)'!H640="","",'Statements (Raw)'!H640))</f>
        <v/>
      </c>
      <c r="J642" s="10">
        <f>IF(A642="",0,IF('Statements (Raw)'!I640="",0,'Statements (Raw)'!I640))</f>
        <v>0</v>
      </c>
      <c r="K642" s="10" t="str">
        <f t="shared" si="19"/>
        <v/>
      </c>
    </row>
    <row r="643" spans="1:11" x14ac:dyDescent="0.3">
      <c r="A643" s="171" t="str">
        <f>IF(OR('Statements (Raw)'!A641="",'Statements (Raw)'!A641&gt;Holdings!$G$3),"",'Statements (Raw)'!A641)</f>
        <v/>
      </c>
      <c r="B643" s="7" t="str">
        <f>IF(A643="","",IF('Statements (Raw)'!B641="","",'Statements (Raw)'!B641))</f>
        <v/>
      </c>
      <c r="C643" s="6" t="str">
        <f>IF(A643="","",IF('Statements (Raw)'!C641&lt;&gt;"",'Statements (Raw)'!C641,IF(ISNUMBER(SEARCH("Conferimento",'Statements (Raw)'!D641)),"CASH DEPOSIT",IF(ISNUMBER(SEARCH("Prelievo",'Statements (Raw)'!D641)),"CASH WITHDRAWAL",IF(ISNUMBER(SEARCH("Bollo",'Statements (Raw)'!D641)),"STAMP DUTY",IF(ISNUMBER(SEARCH("Tobin Tax",'Statements (Raw)'!D641)),"TOBIN TAX",IF(ISNUMBER(SEARCH("Rit.provento",'Statements (Raw)'!D641)),"WITHHOLDING TAX",IF(ISNUMBER(SEARCH("Incasso Dividendi",'Statements (Raw)'!D641)),"DIVIDEND",IF(ISNUMBER(SEARCH("Cedola",'Statements (Raw)'!D641)),"COUPON",IF(ISNUMBER(SEARCH("Ratei Pass",'Statements (Raw)'!D641)),"ACCRUED INT",IF(ISNUMBER(SEARCH("Interessi Prest",'Statements (Raw)'!D641)),"SEC LENDING",IF(ISNUMBER(SEARCH("Rimborso",'Statements (Raw)'!D641)),"REDEMPTION",IF(ISNUMBER(SEARCH("Provento",'Statements (Raw)'!D641)),"DISTRIBUTION","OTHER")))))))))))))</f>
        <v/>
      </c>
      <c r="D643" s="6" t="str">
        <f>IF(A643="","",IF(C643="Saldo Iniziale","Balance",IF(C643="CASH DEPOSIT","Deposit",IF(C643="CASH WITHDRAWAL","Withdrawal",IF(C643="STAMP DUTY","Tax",IF(C643="TOBIN TAX","Tax",IF(C643="WITHHOLDING TAX","Tax",IF(C643="DIVIDEND","Dividend",IF(C643="COUPON","Coupon",IF(C643="ACCRUED INT","Accrued Int.",IF(C643="SEC LENDING","Sec. Lending",IF(C643="REDEMPTION","Redemption",IF(C643="DISTRIBUTION","Distribution",IF(ISNUMBER(SEARCH("Rimborso",'Statements (Raw)'!D641)),"Redemption",IF(ISNUMBER(SEARCH("Cedola",'Statements (Raw)'!D641)),"Coupon",IF(ISNUMBER(SEARCH("Incasso Dividendi",'Statements (Raw)'!D641)),"Dividend",IF(ISNUMBER(SEARCH("Provento Etf",'Statements (Raw)'!D641)),"Distribution",IF(ISNUMBER(SEARCH("Rit.provento",'Statements (Raw)'!D641)),"Tax",IF(ISNUMBER(SEARCH("Ratei Pass",'Statements (Raw)'!D641)),"Accrued Int.",IF(ISNUMBER(SEARCH("Interessi Prest",'Statements (Raw)'!D641)),"Sec. Lending",IF('Statements (Raw)'!G641="","Other",IF('Statements (Raw)'!G641&gt;0,"Buy","Sell"))))))))))))))))))))))</f>
        <v/>
      </c>
      <c r="E643" s="6" t="str">
        <f t="shared" si="18"/>
        <v/>
      </c>
      <c r="F643" s="8" t="str">
        <f>IF(A643="","",IF('Statements (Raw)'!E641="","",'Statements (Raw)'!E641))</f>
        <v/>
      </c>
      <c r="G643" s="6" t="str">
        <f>IF(A643="","",IF('Statements (Raw)'!F641="","",'Statements (Raw)'!F641))</f>
        <v/>
      </c>
      <c r="H643" s="9" t="str">
        <f>IF(A643="","",IF('Statements (Raw)'!G641="","",'Statements (Raw)'!G641))</f>
        <v/>
      </c>
      <c r="I643" s="10" t="str">
        <f>IF(A643="","",IF('Statements (Raw)'!H641="","",'Statements (Raw)'!H641))</f>
        <v/>
      </c>
      <c r="J643" s="10">
        <f>IF(A643="",0,IF('Statements (Raw)'!I641="",0,'Statements (Raw)'!I641))</f>
        <v>0</v>
      </c>
      <c r="K643" s="10" t="str">
        <f t="shared" si="19"/>
        <v/>
      </c>
    </row>
    <row r="644" spans="1:11" x14ac:dyDescent="0.3">
      <c r="A644" s="171" t="str">
        <f>IF(OR('Statements (Raw)'!A642="",'Statements (Raw)'!A642&gt;Holdings!$G$3),"",'Statements (Raw)'!A642)</f>
        <v/>
      </c>
      <c r="B644" s="7" t="str">
        <f>IF(A644="","",IF('Statements (Raw)'!B642="","",'Statements (Raw)'!B642))</f>
        <v/>
      </c>
      <c r="C644" s="6" t="str">
        <f>IF(A644="","",IF('Statements (Raw)'!C642&lt;&gt;"",'Statements (Raw)'!C642,IF(ISNUMBER(SEARCH("Conferimento",'Statements (Raw)'!D642)),"CASH DEPOSIT",IF(ISNUMBER(SEARCH("Prelievo",'Statements (Raw)'!D642)),"CASH WITHDRAWAL",IF(ISNUMBER(SEARCH("Bollo",'Statements (Raw)'!D642)),"STAMP DUTY",IF(ISNUMBER(SEARCH("Tobin Tax",'Statements (Raw)'!D642)),"TOBIN TAX",IF(ISNUMBER(SEARCH("Rit.provento",'Statements (Raw)'!D642)),"WITHHOLDING TAX",IF(ISNUMBER(SEARCH("Incasso Dividendi",'Statements (Raw)'!D642)),"DIVIDEND",IF(ISNUMBER(SEARCH("Cedola",'Statements (Raw)'!D642)),"COUPON",IF(ISNUMBER(SEARCH("Ratei Pass",'Statements (Raw)'!D642)),"ACCRUED INT",IF(ISNUMBER(SEARCH("Interessi Prest",'Statements (Raw)'!D642)),"SEC LENDING",IF(ISNUMBER(SEARCH("Rimborso",'Statements (Raw)'!D642)),"REDEMPTION",IF(ISNUMBER(SEARCH("Provento",'Statements (Raw)'!D642)),"DISTRIBUTION","OTHER")))))))))))))</f>
        <v/>
      </c>
      <c r="D644" s="6" t="str">
        <f>IF(A644="","",IF(C644="Saldo Iniziale","Balance",IF(C644="CASH DEPOSIT","Deposit",IF(C644="CASH WITHDRAWAL","Withdrawal",IF(C644="STAMP DUTY","Tax",IF(C644="TOBIN TAX","Tax",IF(C644="WITHHOLDING TAX","Tax",IF(C644="DIVIDEND","Dividend",IF(C644="COUPON","Coupon",IF(C644="ACCRUED INT","Accrued Int.",IF(C644="SEC LENDING","Sec. Lending",IF(C644="REDEMPTION","Redemption",IF(C644="DISTRIBUTION","Distribution",IF(ISNUMBER(SEARCH("Rimborso",'Statements (Raw)'!D642)),"Redemption",IF(ISNUMBER(SEARCH("Cedola",'Statements (Raw)'!D642)),"Coupon",IF(ISNUMBER(SEARCH("Incasso Dividendi",'Statements (Raw)'!D642)),"Dividend",IF(ISNUMBER(SEARCH("Provento Etf",'Statements (Raw)'!D642)),"Distribution",IF(ISNUMBER(SEARCH("Rit.provento",'Statements (Raw)'!D642)),"Tax",IF(ISNUMBER(SEARCH("Ratei Pass",'Statements (Raw)'!D642)),"Accrued Int.",IF(ISNUMBER(SEARCH("Interessi Prest",'Statements (Raw)'!D642)),"Sec. Lending",IF('Statements (Raw)'!G642="","Other",IF('Statements (Raw)'!G642&gt;0,"Buy","Sell"))))))))))))))))))))))</f>
        <v/>
      </c>
      <c r="E644" s="6" t="str">
        <f t="shared" si="18"/>
        <v/>
      </c>
      <c r="F644" s="8" t="str">
        <f>IF(A644="","",IF('Statements (Raw)'!E642="","",'Statements (Raw)'!E642))</f>
        <v/>
      </c>
      <c r="G644" s="6" t="str">
        <f>IF(A644="","",IF('Statements (Raw)'!F642="","",'Statements (Raw)'!F642))</f>
        <v/>
      </c>
      <c r="H644" s="9" t="str">
        <f>IF(A644="","",IF('Statements (Raw)'!G642="","",'Statements (Raw)'!G642))</f>
        <v/>
      </c>
      <c r="I644" s="10" t="str">
        <f>IF(A644="","",IF('Statements (Raw)'!H642="","",'Statements (Raw)'!H642))</f>
        <v/>
      </c>
      <c r="J644" s="10">
        <f>IF(A644="",0,IF('Statements (Raw)'!I642="",0,'Statements (Raw)'!I642))</f>
        <v>0</v>
      </c>
      <c r="K644" s="10" t="str">
        <f t="shared" si="19"/>
        <v/>
      </c>
    </row>
    <row r="645" spans="1:11" x14ac:dyDescent="0.3">
      <c r="A645" s="171" t="str">
        <f>IF(OR('Statements (Raw)'!A643="",'Statements (Raw)'!A643&gt;Holdings!$G$3),"",'Statements (Raw)'!A643)</f>
        <v/>
      </c>
      <c r="B645" s="7" t="str">
        <f>IF(A645="","",IF('Statements (Raw)'!B643="","",'Statements (Raw)'!B643))</f>
        <v/>
      </c>
      <c r="C645" s="6" t="str">
        <f>IF(A645="","",IF('Statements (Raw)'!C643&lt;&gt;"",'Statements (Raw)'!C643,IF(ISNUMBER(SEARCH("Conferimento",'Statements (Raw)'!D643)),"CASH DEPOSIT",IF(ISNUMBER(SEARCH("Prelievo",'Statements (Raw)'!D643)),"CASH WITHDRAWAL",IF(ISNUMBER(SEARCH("Bollo",'Statements (Raw)'!D643)),"STAMP DUTY",IF(ISNUMBER(SEARCH("Tobin Tax",'Statements (Raw)'!D643)),"TOBIN TAX",IF(ISNUMBER(SEARCH("Rit.provento",'Statements (Raw)'!D643)),"WITHHOLDING TAX",IF(ISNUMBER(SEARCH("Incasso Dividendi",'Statements (Raw)'!D643)),"DIVIDEND",IF(ISNUMBER(SEARCH("Cedola",'Statements (Raw)'!D643)),"COUPON",IF(ISNUMBER(SEARCH("Ratei Pass",'Statements (Raw)'!D643)),"ACCRUED INT",IF(ISNUMBER(SEARCH("Interessi Prest",'Statements (Raw)'!D643)),"SEC LENDING",IF(ISNUMBER(SEARCH("Rimborso",'Statements (Raw)'!D643)),"REDEMPTION",IF(ISNUMBER(SEARCH("Provento",'Statements (Raw)'!D643)),"DISTRIBUTION","OTHER")))))))))))))</f>
        <v/>
      </c>
      <c r="D645" s="6" t="str">
        <f>IF(A645="","",IF(C645="Saldo Iniziale","Balance",IF(C645="CASH DEPOSIT","Deposit",IF(C645="CASH WITHDRAWAL","Withdrawal",IF(C645="STAMP DUTY","Tax",IF(C645="TOBIN TAX","Tax",IF(C645="WITHHOLDING TAX","Tax",IF(C645="DIVIDEND","Dividend",IF(C645="COUPON","Coupon",IF(C645="ACCRUED INT","Accrued Int.",IF(C645="SEC LENDING","Sec. Lending",IF(C645="REDEMPTION","Redemption",IF(C645="DISTRIBUTION","Distribution",IF(ISNUMBER(SEARCH("Rimborso",'Statements (Raw)'!D643)),"Redemption",IF(ISNUMBER(SEARCH("Cedola",'Statements (Raw)'!D643)),"Coupon",IF(ISNUMBER(SEARCH("Incasso Dividendi",'Statements (Raw)'!D643)),"Dividend",IF(ISNUMBER(SEARCH("Provento Etf",'Statements (Raw)'!D643)),"Distribution",IF(ISNUMBER(SEARCH("Rit.provento",'Statements (Raw)'!D643)),"Tax",IF(ISNUMBER(SEARCH("Ratei Pass",'Statements (Raw)'!D643)),"Accrued Int.",IF(ISNUMBER(SEARCH("Interessi Prest",'Statements (Raw)'!D643)),"Sec. Lending",IF('Statements (Raw)'!G643="","Other",IF('Statements (Raw)'!G643&gt;0,"Buy","Sell"))))))))))))))))))))))</f>
        <v/>
      </c>
      <c r="E645" s="6" t="str">
        <f t="shared" ref="E645:E708" si="20">IF(D645="","",IF(OR(D645="Balance",D645="Deposit",D645="Withdrawal"),"Cash",IF(D645="Tax","Tax/Fee",IF(OR(D645="Dividend",D645="Coupon",D645="Distribution",D645="Sec. Lending",D645="Accrued Int."),"Income",IF(D645="Redemption","Bond",IF(OR(D645="Buy",D645="Sell"),IF(OR(ISNUMBER(SEARCH("BOT ",C645)),ISNUMBER(SEARCH("BTP ",C645)),ISNUMBER(SEARCH("CARRARO",C645))),"Bond",IF(OR(ISNUMBER(SEARCH("isdom",C645)),ISNUMBER(SEARCH("ISHARES",C645)),ISNUMBER(SEARCH("iShares",C645))),"ETF/ETC",IF(OR(ISNUMBER(SEARCH("Bitwise",C645)),ISNUMBER(SEARCH("BITWISE",C645))),"Crypto ETP","Stock"))),"Other"))))))</f>
        <v/>
      </c>
      <c r="F645" s="8" t="str">
        <f>IF(A645="","",IF('Statements (Raw)'!E643="","",'Statements (Raw)'!E643))</f>
        <v/>
      </c>
      <c r="G645" s="6" t="str">
        <f>IF(A645="","",IF('Statements (Raw)'!F643="","",'Statements (Raw)'!F643))</f>
        <v/>
      </c>
      <c r="H645" s="9" t="str">
        <f>IF(A645="","",IF('Statements (Raw)'!G643="","",'Statements (Raw)'!G643))</f>
        <v/>
      </c>
      <c r="I645" s="10" t="str">
        <f>IF(A645="","",IF('Statements (Raw)'!H643="","",'Statements (Raw)'!H643))</f>
        <v/>
      </c>
      <c r="J645" s="10">
        <f>IF(A645="",0,IF('Statements (Raw)'!I643="",0,'Statements (Raw)'!I643))</f>
        <v>0</v>
      </c>
      <c r="K645" s="10" t="str">
        <f t="shared" ref="K645:K708" si="21">IF(I645="","",I645+J645)</f>
        <v/>
      </c>
    </row>
    <row r="646" spans="1:11" x14ac:dyDescent="0.3">
      <c r="A646" s="171" t="str">
        <f>IF(OR('Statements (Raw)'!A644="",'Statements (Raw)'!A644&gt;Holdings!$G$3),"",'Statements (Raw)'!A644)</f>
        <v/>
      </c>
      <c r="B646" s="7" t="str">
        <f>IF(A646="","",IF('Statements (Raw)'!B644="","",'Statements (Raw)'!B644))</f>
        <v/>
      </c>
      <c r="C646" s="6" t="str">
        <f>IF(A646="","",IF('Statements (Raw)'!C644&lt;&gt;"",'Statements (Raw)'!C644,IF(ISNUMBER(SEARCH("Conferimento",'Statements (Raw)'!D644)),"CASH DEPOSIT",IF(ISNUMBER(SEARCH("Prelievo",'Statements (Raw)'!D644)),"CASH WITHDRAWAL",IF(ISNUMBER(SEARCH("Bollo",'Statements (Raw)'!D644)),"STAMP DUTY",IF(ISNUMBER(SEARCH("Tobin Tax",'Statements (Raw)'!D644)),"TOBIN TAX",IF(ISNUMBER(SEARCH("Rit.provento",'Statements (Raw)'!D644)),"WITHHOLDING TAX",IF(ISNUMBER(SEARCH("Incasso Dividendi",'Statements (Raw)'!D644)),"DIVIDEND",IF(ISNUMBER(SEARCH("Cedola",'Statements (Raw)'!D644)),"COUPON",IF(ISNUMBER(SEARCH("Ratei Pass",'Statements (Raw)'!D644)),"ACCRUED INT",IF(ISNUMBER(SEARCH("Interessi Prest",'Statements (Raw)'!D644)),"SEC LENDING",IF(ISNUMBER(SEARCH("Rimborso",'Statements (Raw)'!D644)),"REDEMPTION",IF(ISNUMBER(SEARCH("Provento",'Statements (Raw)'!D644)),"DISTRIBUTION","OTHER")))))))))))))</f>
        <v/>
      </c>
      <c r="D646" s="6" t="str">
        <f>IF(A646="","",IF(C646="Saldo Iniziale","Balance",IF(C646="CASH DEPOSIT","Deposit",IF(C646="CASH WITHDRAWAL","Withdrawal",IF(C646="STAMP DUTY","Tax",IF(C646="TOBIN TAX","Tax",IF(C646="WITHHOLDING TAX","Tax",IF(C646="DIVIDEND","Dividend",IF(C646="COUPON","Coupon",IF(C646="ACCRUED INT","Accrued Int.",IF(C646="SEC LENDING","Sec. Lending",IF(C646="REDEMPTION","Redemption",IF(C646="DISTRIBUTION","Distribution",IF(ISNUMBER(SEARCH("Rimborso",'Statements (Raw)'!D644)),"Redemption",IF(ISNUMBER(SEARCH("Cedola",'Statements (Raw)'!D644)),"Coupon",IF(ISNUMBER(SEARCH("Incasso Dividendi",'Statements (Raw)'!D644)),"Dividend",IF(ISNUMBER(SEARCH("Provento Etf",'Statements (Raw)'!D644)),"Distribution",IF(ISNUMBER(SEARCH("Rit.provento",'Statements (Raw)'!D644)),"Tax",IF(ISNUMBER(SEARCH("Ratei Pass",'Statements (Raw)'!D644)),"Accrued Int.",IF(ISNUMBER(SEARCH("Interessi Prest",'Statements (Raw)'!D644)),"Sec. Lending",IF('Statements (Raw)'!G644="","Other",IF('Statements (Raw)'!G644&gt;0,"Buy","Sell"))))))))))))))))))))))</f>
        <v/>
      </c>
      <c r="E646" s="6" t="str">
        <f t="shared" si="20"/>
        <v/>
      </c>
      <c r="F646" s="8" t="str">
        <f>IF(A646="","",IF('Statements (Raw)'!E644="","",'Statements (Raw)'!E644))</f>
        <v/>
      </c>
      <c r="G646" s="6" t="str">
        <f>IF(A646="","",IF('Statements (Raw)'!F644="","",'Statements (Raw)'!F644))</f>
        <v/>
      </c>
      <c r="H646" s="9" t="str">
        <f>IF(A646="","",IF('Statements (Raw)'!G644="","",'Statements (Raw)'!G644))</f>
        <v/>
      </c>
      <c r="I646" s="10" t="str">
        <f>IF(A646="","",IF('Statements (Raw)'!H644="","",'Statements (Raw)'!H644))</f>
        <v/>
      </c>
      <c r="J646" s="10">
        <f>IF(A646="",0,IF('Statements (Raw)'!I644="",0,'Statements (Raw)'!I644))</f>
        <v>0</v>
      </c>
      <c r="K646" s="10" t="str">
        <f t="shared" si="21"/>
        <v/>
      </c>
    </row>
    <row r="647" spans="1:11" x14ac:dyDescent="0.3">
      <c r="A647" s="171" t="str">
        <f>IF(OR('Statements (Raw)'!A645="",'Statements (Raw)'!A645&gt;Holdings!$G$3),"",'Statements (Raw)'!A645)</f>
        <v/>
      </c>
      <c r="B647" s="7" t="str">
        <f>IF(A647="","",IF('Statements (Raw)'!B645="","",'Statements (Raw)'!B645))</f>
        <v/>
      </c>
      <c r="C647" s="6" t="str">
        <f>IF(A647="","",IF('Statements (Raw)'!C645&lt;&gt;"",'Statements (Raw)'!C645,IF(ISNUMBER(SEARCH("Conferimento",'Statements (Raw)'!D645)),"CASH DEPOSIT",IF(ISNUMBER(SEARCH("Prelievo",'Statements (Raw)'!D645)),"CASH WITHDRAWAL",IF(ISNUMBER(SEARCH("Bollo",'Statements (Raw)'!D645)),"STAMP DUTY",IF(ISNUMBER(SEARCH("Tobin Tax",'Statements (Raw)'!D645)),"TOBIN TAX",IF(ISNUMBER(SEARCH("Rit.provento",'Statements (Raw)'!D645)),"WITHHOLDING TAX",IF(ISNUMBER(SEARCH("Incasso Dividendi",'Statements (Raw)'!D645)),"DIVIDEND",IF(ISNUMBER(SEARCH("Cedola",'Statements (Raw)'!D645)),"COUPON",IF(ISNUMBER(SEARCH("Ratei Pass",'Statements (Raw)'!D645)),"ACCRUED INT",IF(ISNUMBER(SEARCH("Interessi Prest",'Statements (Raw)'!D645)),"SEC LENDING",IF(ISNUMBER(SEARCH("Rimborso",'Statements (Raw)'!D645)),"REDEMPTION",IF(ISNUMBER(SEARCH("Provento",'Statements (Raw)'!D645)),"DISTRIBUTION","OTHER")))))))))))))</f>
        <v/>
      </c>
      <c r="D647" s="6" t="str">
        <f>IF(A647="","",IF(C647="Saldo Iniziale","Balance",IF(C647="CASH DEPOSIT","Deposit",IF(C647="CASH WITHDRAWAL","Withdrawal",IF(C647="STAMP DUTY","Tax",IF(C647="TOBIN TAX","Tax",IF(C647="WITHHOLDING TAX","Tax",IF(C647="DIVIDEND","Dividend",IF(C647="COUPON","Coupon",IF(C647="ACCRUED INT","Accrued Int.",IF(C647="SEC LENDING","Sec. Lending",IF(C647="REDEMPTION","Redemption",IF(C647="DISTRIBUTION","Distribution",IF(ISNUMBER(SEARCH("Rimborso",'Statements (Raw)'!D645)),"Redemption",IF(ISNUMBER(SEARCH("Cedola",'Statements (Raw)'!D645)),"Coupon",IF(ISNUMBER(SEARCH("Incasso Dividendi",'Statements (Raw)'!D645)),"Dividend",IF(ISNUMBER(SEARCH("Provento Etf",'Statements (Raw)'!D645)),"Distribution",IF(ISNUMBER(SEARCH("Rit.provento",'Statements (Raw)'!D645)),"Tax",IF(ISNUMBER(SEARCH("Ratei Pass",'Statements (Raw)'!D645)),"Accrued Int.",IF(ISNUMBER(SEARCH("Interessi Prest",'Statements (Raw)'!D645)),"Sec. Lending",IF('Statements (Raw)'!G645="","Other",IF('Statements (Raw)'!G645&gt;0,"Buy","Sell"))))))))))))))))))))))</f>
        <v/>
      </c>
      <c r="E647" s="6" t="str">
        <f t="shared" si="20"/>
        <v/>
      </c>
      <c r="F647" s="8" t="str">
        <f>IF(A647="","",IF('Statements (Raw)'!E645="","",'Statements (Raw)'!E645))</f>
        <v/>
      </c>
      <c r="G647" s="6" t="str">
        <f>IF(A647="","",IF('Statements (Raw)'!F645="","",'Statements (Raw)'!F645))</f>
        <v/>
      </c>
      <c r="H647" s="9" t="str">
        <f>IF(A647="","",IF('Statements (Raw)'!G645="","",'Statements (Raw)'!G645))</f>
        <v/>
      </c>
      <c r="I647" s="10" t="str">
        <f>IF(A647="","",IF('Statements (Raw)'!H645="","",'Statements (Raw)'!H645))</f>
        <v/>
      </c>
      <c r="J647" s="10">
        <f>IF(A647="",0,IF('Statements (Raw)'!I645="",0,'Statements (Raw)'!I645))</f>
        <v>0</v>
      </c>
      <c r="K647" s="10" t="str">
        <f t="shared" si="21"/>
        <v/>
      </c>
    </row>
    <row r="648" spans="1:11" x14ac:dyDescent="0.3">
      <c r="A648" s="171" t="str">
        <f>IF(OR('Statements (Raw)'!A646="",'Statements (Raw)'!A646&gt;Holdings!$G$3),"",'Statements (Raw)'!A646)</f>
        <v/>
      </c>
      <c r="B648" s="7" t="str">
        <f>IF(A648="","",IF('Statements (Raw)'!B646="","",'Statements (Raw)'!B646))</f>
        <v/>
      </c>
      <c r="C648" s="6" t="str">
        <f>IF(A648="","",IF('Statements (Raw)'!C646&lt;&gt;"",'Statements (Raw)'!C646,IF(ISNUMBER(SEARCH("Conferimento",'Statements (Raw)'!D646)),"CASH DEPOSIT",IF(ISNUMBER(SEARCH("Prelievo",'Statements (Raw)'!D646)),"CASH WITHDRAWAL",IF(ISNUMBER(SEARCH("Bollo",'Statements (Raw)'!D646)),"STAMP DUTY",IF(ISNUMBER(SEARCH("Tobin Tax",'Statements (Raw)'!D646)),"TOBIN TAX",IF(ISNUMBER(SEARCH("Rit.provento",'Statements (Raw)'!D646)),"WITHHOLDING TAX",IF(ISNUMBER(SEARCH("Incasso Dividendi",'Statements (Raw)'!D646)),"DIVIDEND",IF(ISNUMBER(SEARCH("Cedola",'Statements (Raw)'!D646)),"COUPON",IF(ISNUMBER(SEARCH("Ratei Pass",'Statements (Raw)'!D646)),"ACCRUED INT",IF(ISNUMBER(SEARCH("Interessi Prest",'Statements (Raw)'!D646)),"SEC LENDING",IF(ISNUMBER(SEARCH("Rimborso",'Statements (Raw)'!D646)),"REDEMPTION",IF(ISNUMBER(SEARCH("Provento",'Statements (Raw)'!D646)),"DISTRIBUTION","OTHER")))))))))))))</f>
        <v/>
      </c>
      <c r="D648" s="6" t="str">
        <f>IF(A648="","",IF(C648="Saldo Iniziale","Balance",IF(C648="CASH DEPOSIT","Deposit",IF(C648="CASH WITHDRAWAL","Withdrawal",IF(C648="STAMP DUTY","Tax",IF(C648="TOBIN TAX","Tax",IF(C648="WITHHOLDING TAX","Tax",IF(C648="DIVIDEND","Dividend",IF(C648="COUPON","Coupon",IF(C648="ACCRUED INT","Accrued Int.",IF(C648="SEC LENDING","Sec. Lending",IF(C648="REDEMPTION","Redemption",IF(C648="DISTRIBUTION","Distribution",IF(ISNUMBER(SEARCH("Rimborso",'Statements (Raw)'!D646)),"Redemption",IF(ISNUMBER(SEARCH("Cedola",'Statements (Raw)'!D646)),"Coupon",IF(ISNUMBER(SEARCH("Incasso Dividendi",'Statements (Raw)'!D646)),"Dividend",IF(ISNUMBER(SEARCH("Provento Etf",'Statements (Raw)'!D646)),"Distribution",IF(ISNUMBER(SEARCH("Rit.provento",'Statements (Raw)'!D646)),"Tax",IF(ISNUMBER(SEARCH("Ratei Pass",'Statements (Raw)'!D646)),"Accrued Int.",IF(ISNUMBER(SEARCH("Interessi Prest",'Statements (Raw)'!D646)),"Sec. Lending",IF('Statements (Raw)'!G646="","Other",IF('Statements (Raw)'!G646&gt;0,"Buy","Sell"))))))))))))))))))))))</f>
        <v/>
      </c>
      <c r="E648" s="6" t="str">
        <f t="shared" si="20"/>
        <v/>
      </c>
      <c r="F648" s="8" t="str">
        <f>IF(A648="","",IF('Statements (Raw)'!E646="","",'Statements (Raw)'!E646))</f>
        <v/>
      </c>
      <c r="G648" s="6" t="str">
        <f>IF(A648="","",IF('Statements (Raw)'!F646="","",'Statements (Raw)'!F646))</f>
        <v/>
      </c>
      <c r="H648" s="9" t="str">
        <f>IF(A648="","",IF('Statements (Raw)'!G646="","",'Statements (Raw)'!G646))</f>
        <v/>
      </c>
      <c r="I648" s="10" t="str">
        <f>IF(A648="","",IF('Statements (Raw)'!H646="","",'Statements (Raw)'!H646))</f>
        <v/>
      </c>
      <c r="J648" s="10">
        <f>IF(A648="",0,IF('Statements (Raw)'!I646="",0,'Statements (Raw)'!I646))</f>
        <v>0</v>
      </c>
      <c r="K648" s="10" t="str">
        <f t="shared" si="21"/>
        <v/>
      </c>
    </row>
    <row r="649" spans="1:11" x14ac:dyDescent="0.3">
      <c r="A649" s="171" t="str">
        <f>IF(OR('Statements (Raw)'!A647="",'Statements (Raw)'!A647&gt;Holdings!$G$3),"",'Statements (Raw)'!A647)</f>
        <v/>
      </c>
      <c r="B649" s="7" t="str">
        <f>IF(A649="","",IF('Statements (Raw)'!B647="","",'Statements (Raw)'!B647))</f>
        <v/>
      </c>
      <c r="C649" s="6" t="str">
        <f>IF(A649="","",IF('Statements (Raw)'!C647&lt;&gt;"",'Statements (Raw)'!C647,IF(ISNUMBER(SEARCH("Conferimento",'Statements (Raw)'!D647)),"CASH DEPOSIT",IF(ISNUMBER(SEARCH("Prelievo",'Statements (Raw)'!D647)),"CASH WITHDRAWAL",IF(ISNUMBER(SEARCH("Bollo",'Statements (Raw)'!D647)),"STAMP DUTY",IF(ISNUMBER(SEARCH("Tobin Tax",'Statements (Raw)'!D647)),"TOBIN TAX",IF(ISNUMBER(SEARCH("Rit.provento",'Statements (Raw)'!D647)),"WITHHOLDING TAX",IF(ISNUMBER(SEARCH("Incasso Dividendi",'Statements (Raw)'!D647)),"DIVIDEND",IF(ISNUMBER(SEARCH("Cedola",'Statements (Raw)'!D647)),"COUPON",IF(ISNUMBER(SEARCH("Ratei Pass",'Statements (Raw)'!D647)),"ACCRUED INT",IF(ISNUMBER(SEARCH("Interessi Prest",'Statements (Raw)'!D647)),"SEC LENDING",IF(ISNUMBER(SEARCH("Rimborso",'Statements (Raw)'!D647)),"REDEMPTION",IF(ISNUMBER(SEARCH("Provento",'Statements (Raw)'!D647)),"DISTRIBUTION","OTHER")))))))))))))</f>
        <v/>
      </c>
      <c r="D649" s="6" t="str">
        <f>IF(A649="","",IF(C649="Saldo Iniziale","Balance",IF(C649="CASH DEPOSIT","Deposit",IF(C649="CASH WITHDRAWAL","Withdrawal",IF(C649="STAMP DUTY","Tax",IF(C649="TOBIN TAX","Tax",IF(C649="WITHHOLDING TAX","Tax",IF(C649="DIVIDEND","Dividend",IF(C649="COUPON","Coupon",IF(C649="ACCRUED INT","Accrued Int.",IF(C649="SEC LENDING","Sec. Lending",IF(C649="REDEMPTION","Redemption",IF(C649="DISTRIBUTION","Distribution",IF(ISNUMBER(SEARCH("Rimborso",'Statements (Raw)'!D647)),"Redemption",IF(ISNUMBER(SEARCH("Cedola",'Statements (Raw)'!D647)),"Coupon",IF(ISNUMBER(SEARCH("Incasso Dividendi",'Statements (Raw)'!D647)),"Dividend",IF(ISNUMBER(SEARCH("Provento Etf",'Statements (Raw)'!D647)),"Distribution",IF(ISNUMBER(SEARCH("Rit.provento",'Statements (Raw)'!D647)),"Tax",IF(ISNUMBER(SEARCH("Ratei Pass",'Statements (Raw)'!D647)),"Accrued Int.",IF(ISNUMBER(SEARCH("Interessi Prest",'Statements (Raw)'!D647)),"Sec. Lending",IF('Statements (Raw)'!G647="","Other",IF('Statements (Raw)'!G647&gt;0,"Buy","Sell"))))))))))))))))))))))</f>
        <v/>
      </c>
      <c r="E649" s="6" t="str">
        <f t="shared" si="20"/>
        <v/>
      </c>
      <c r="F649" s="8" t="str">
        <f>IF(A649="","",IF('Statements (Raw)'!E647="","",'Statements (Raw)'!E647))</f>
        <v/>
      </c>
      <c r="G649" s="6" t="str">
        <f>IF(A649="","",IF('Statements (Raw)'!F647="","",'Statements (Raw)'!F647))</f>
        <v/>
      </c>
      <c r="H649" s="9" t="str">
        <f>IF(A649="","",IF('Statements (Raw)'!G647="","",'Statements (Raw)'!G647))</f>
        <v/>
      </c>
      <c r="I649" s="10" t="str">
        <f>IF(A649="","",IF('Statements (Raw)'!H647="","",'Statements (Raw)'!H647))</f>
        <v/>
      </c>
      <c r="J649" s="10">
        <f>IF(A649="",0,IF('Statements (Raw)'!I647="",0,'Statements (Raw)'!I647))</f>
        <v>0</v>
      </c>
      <c r="K649" s="10" t="str">
        <f t="shared" si="21"/>
        <v/>
      </c>
    </row>
    <row r="650" spans="1:11" x14ac:dyDescent="0.3">
      <c r="A650" s="171" t="str">
        <f>IF(OR('Statements (Raw)'!A648="",'Statements (Raw)'!A648&gt;Holdings!$G$3),"",'Statements (Raw)'!A648)</f>
        <v/>
      </c>
      <c r="B650" s="7" t="str">
        <f>IF(A650="","",IF('Statements (Raw)'!B648="","",'Statements (Raw)'!B648))</f>
        <v/>
      </c>
      <c r="C650" s="6" t="str">
        <f>IF(A650="","",IF('Statements (Raw)'!C648&lt;&gt;"",'Statements (Raw)'!C648,IF(ISNUMBER(SEARCH("Conferimento",'Statements (Raw)'!D648)),"CASH DEPOSIT",IF(ISNUMBER(SEARCH("Prelievo",'Statements (Raw)'!D648)),"CASH WITHDRAWAL",IF(ISNUMBER(SEARCH("Bollo",'Statements (Raw)'!D648)),"STAMP DUTY",IF(ISNUMBER(SEARCH("Tobin Tax",'Statements (Raw)'!D648)),"TOBIN TAX",IF(ISNUMBER(SEARCH("Rit.provento",'Statements (Raw)'!D648)),"WITHHOLDING TAX",IF(ISNUMBER(SEARCH("Incasso Dividendi",'Statements (Raw)'!D648)),"DIVIDEND",IF(ISNUMBER(SEARCH("Cedola",'Statements (Raw)'!D648)),"COUPON",IF(ISNUMBER(SEARCH("Ratei Pass",'Statements (Raw)'!D648)),"ACCRUED INT",IF(ISNUMBER(SEARCH("Interessi Prest",'Statements (Raw)'!D648)),"SEC LENDING",IF(ISNUMBER(SEARCH("Rimborso",'Statements (Raw)'!D648)),"REDEMPTION",IF(ISNUMBER(SEARCH("Provento",'Statements (Raw)'!D648)),"DISTRIBUTION","OTHER")))))))))))))</f>
        <v/>
      </c>
      <c r="D650" s="6" t="str">
        <f>IF(A650="","",IF(C650="Saldo Iniziale","Balance",IF(C650="CASH DEPOSIT","Deposit",IF(C650="CASH WITHDRAWAL","Withdrawal",IF(C650="STAMP DUTY","Tax",IF(C650="TOBIN TAX","Tax",IF(C650="WITHHOLDING TAX","Tax",IF(C650="DIVIDEND","Dividend",IF(C650="COUPON","Coupon",IF(C650="ACCRUED INT","Accrued Int.",IF(C650="SEC LENDING","Sec. Lending",IF(C650="REDEMPTION","Redemption",IF(C650="DISTRIBUTION","Distribution",IF(ISNUMBER(SEARCH("Rimborso",'Statements (Raw)'!D648)),"Redemption",IF(ISNUMBER(SEARCH("Cedola",'Statements (Raw)'!D648)),"Coupon",IF(ISNUMBER(SEARCH("Incasso Dividendi",'Statements (Raw)'!D648)),"Dividend",IF(ISNUMBER(SEARCH("Provento Etf",'Statements (Raw)'!D648)),"Distribution",IF(ISNUMBER(SEARCH("Rit.provento",'Statements (Raw)'!D648)),"Tax",IF(ISNUMBER(SEARCH("Ratei Pass",'Statements (Raw)'!D648)),"Accrued Int.",IF(ISNUMBER(SEARCH("Interessi Prest",'Statements (Raw)'!D648)),"Sec. Lending",IF('Statements (Raw)'!G648="","Other",IF('Statements (Raw)'!G648&gt;0,"Buy","Sell"))))))))))))))))))))))</f>
        <v/>
      </c>
      <c r="E650" s="6" t="str">
        <f t="shared" si="20"/>
        <v/>
      </c>
      <c r="F650" s="8" t="str">
        <f>IF(A650="","",IF('Statements (Raw)'!E648="","",'Statements (Raw)'!E648))</f>
        <v/>
      </c>
      <c r="G650" s="6" t="str">
        <f>IF(A650="","",IF('Statements (Raw)'!F648="","",'Statements (Raw)'!F648))</f>
        <v/>
      </c>
      <c r="H650" s="9" t="str">
        <f>IF(A650="","",IF('Statements (Raw)'!G648="","",'Statements (Raw)'!G648))</f>
        <v/>
      </c>
      <c r="I650" s="10" t="str">
        <f>IF(A650="","",IF('Statements (Raw)'!H648="","",'Statements (Raw)'!H648))</f>
        <v/>
      </c>
      <c r="J650" s="10">
        <f>IF(A650="",0,IF('Statements (Raw)'!I648="",0,'Statements (Raw)'!I648))</f>
        <v>0</v>
      </c>
      <c r="K650" s="10" t="str">
        <f t="shared" si="21"/>
        <v/>
      </c>
    </row>
    <row r="651" spans="1:11" x14ac:dyDescent="0.3">
      <c r="A651" s="171" t="str">
        <f>IF(OR('Statements (Raw)'!A649="",'Statements (Raw)'!A649&gt;Holdings!$G$3),"",'Statements (Raw)'!A649)</f>
        <v/>
      </c>
      <c r="B651" s="7" t="str">
        <f>IF(A651="","",IF('Statements (Raw)'!B649="","",'Statements (Raw)'!B649))</f>
        <v/>
      </c>
      <c r="C651" s="6" t="str">
        <f>IF(A651="","",IF('Statements (Raw)'!C649&lt;&gt;"",'Statements (Raw)'!C649,IF(ISNUMBER(SEARCH("Conferimento",'Statements (Raw)'!D649)),"CASH DEPOSIT",IF(ISNUMBER(SEARCH("Prelievo",'Statements (Raw)'!D649)),"CASH WITHDRAWAL",IF(ISNUMBER(SEARCH("Bollo",'Statements (Raw)'!D649)),"STAMP DUTY",IF(ISNUMBER(SEARCH("Tobin Tax",'Statements (Raw)'!D649)),"TOBIN TAX",IF(ISNUMBER(SEARCH("Rit.provento",'Statements (Raw)'!D649)),"WITHHOLDING TAX",IF(ISNUMBER(SEARCH("Incasso Dividendi",'Statements (Raw)'!D649)),"DIVIDEND",IF(ISNUMBER(SEARCH("Cedola",'Statements (Raw)'!D649)),"COUPON",IF(ISNUMBER(SEARCH("Ratei Pass",'Statements (Raw)'!D649)),"ACCRUED INT",IF(ISNUMBER(SEARCH("Interessi Prest",'Statements (Raw)'!D649)),"SEC LENDING",IF(ISNUMBER(SEARCH("Rimborso",'Statements (Raw)'!D649)),"REDEMPTION",IF(ISNUMBER(SEARCH("Provento",'Statements (Raw)'!D649)),"DISTRIBUTION","OTHER")))))))))))))</f>
        <v/>
      </c>
      <c r="D651" s="6" t="str">
        <f>IF(A651="","",IF(C651="Saldo Iniziale","Balance",IF(C651="CASH DEPOSIT","Deposit",IF(C651="CASH WITHDRAWAL","Withdrawal",IF(C651="STAMP DUTY","Tax",IF(C651="TOBIN TAX","Tax",IF(C651="WITHHOLDING TAX","Tax",IF(C651="DIVIDEND","Dividend",IF(C651="COUPON","Coupon",IF(C651="ACCRUED INT","Accrued Int.",IF(C651="SEC LENDING","Sec. Lending",IF(C651="REDEMPTION","Redemption",IF(C651="DISTRIBUTION","Distribution",IF(ISNUMBER(SEARCH("Rimborso",'Statements (Raw)'!D649)),"Redemption",IF(ISNUMBER(SEARCH("Cedola",'Statements (Raw)'!D649)),"Coupon",IF(ISNUMBER(SEARCH("Incasso Dividendi",'Statements (Raw)'!D649)),"Dividend",IF(ISNUMBER(SEARCH("Provento Etf",'Statements (Raw)'!D649)),"Distribution",IF(ISNUMBER(SEARCH("Rit.provento",'Statements (Raw)'!D649)),"Tax",IF(ISNUMBER(SEARCH("Ratei Pass",'Statements (Raw)'!D649)),"Accrued Int.",IF(ISNUMBER(SEARCH("Interessi Prest",'Statements (Raw)'!D649)),"Sec. Lending",IF('Statements (Raw)'!G649="","Other",IF('Statements (Raw)'!G649&gt;0,"Buy","Sell"))))))))))))))))))))))</f>
        <v/>
      </c>
      <c r="E651" s="6" t="str">
        <f t="shared" si="20"/>
        <v/>
      </c>
      <c r="F651" s="8" t="str">
        <f>IF(A651="","",IF('Statements (Raw)'!E649="","",'Statements (Raw)'!E649))</f>
        <v/>
      </c>
      <c r="G651" s="6" t="str">
        <f>IF(A651="","",IF('Statements (Raw)'!F649="","",'Statements (Raw)'!F649))</f>
        <v/>
      </c>
      <c r="H651" s="9" t="str">
        <f>IF(A651="","",IF('Statements (Raw)'!G649="","",'Statements (Raw)'!G649))</f>
        <v/>
      </c>
      <c r="I651" s="10" t="str">
        <f>IF(A651="","",IF('Statements (Raw)'!H649="","",'Statements (Raw)'!H649))</f>
        <v/>
      </c>
      <c r="J651" s="10">
        <f>IF(A651="",0,IF('Statements (Raw)'!I649="",0,'Statements (Raw)'!I649))</f>
        <v>0</v>
      </c>
      <c r="K651" s="10" t="str">
        <f t="shared" si="21"/>
        <v/>
      </c>
    </row>
    <row r="652" spans="1:11" x14ac:dyDescent="0.3">
      <c r="A652" s="171" t="str">
        <f>IF(OR('Statements (Raw)'!A650="",'Statements (Raw)'!A650&gt;Holdings!$G$3),"",'Statements (Raw)'!A650)</f>
        <v/>
      </c>
      <c r="B652" s="7" t="str">
        <f>IF(A652="","",IF('Statements (Raw)'!B650="","",'Statements (Raw)'!B650))</f>
        <v/>
      </c>
      <c r="C652" s="6" t="str">
        <f>IF(A652="","",IF('Statements (Raw)'!C650&lt;&gt;"",'Statements (Raw)'!C650,IF(ISNUMBER(SEARCH("Conferimento",'Statements (Raw)'!D650)),"CASH DEPOSIT",IF(ISNUMBER(SEARCH("Prelievo",'Statements (Raw)'!D650)),"CASH WITHDRAWAL",IF(ISNUMBER(SEARCH("Bollo",'Statements (Raw)'!D650)),"STAMP DUTY",IF(ISNUMBER(SEARCH("Tobin Tax",'Statements (Raw)'!D650)),"TOBIN TAX",IF(ISNUMBER(SEARCH("Rit.provento",'Statements (Raw)'!D650)),"WITHHOLDING TAX",IF(ISNUMBER(SEARCH("Incasso Dividendi",'Statements (Raw)'!D650)),"DIVIDEND",IF(ISNUMBER(SEARCH("Cedola",'Statements (Raw)'!D650)),"COUPON",IF(ISNUMBER(SEARCH("Ratei Pass",'Statements (Raw)'!D650)),"ACCRUED INT",IF(ISNUMBER(SEARCH("Interessi Prest",'Statements (Raw)'!D650)),"SEC LENDING",IF(ISNUMBER(SEARCH("Rimborso",'Statements (Raw)'!D650)),"REDEMPTION",IF(ISNUMBER(SEARCH("Provento",'Statements (Raw)'!D650)),"DISTRIBUTION","OTHER")))))))))))))</f>
        <v/>
      </c>
      <c r="D652" s="6" t="str">
        <f>IF(A652="","",IF(C652="Saldo Iniziale","Balance",IF(C652="CASH DEPOSIT","Deposit",IF(C652="CASH WITHDRAWAL","Withdrawal",IF(C652="STAMP DUTY","Tax",IF(C652="TOBIN TAX","Tax",IF(C652="WITHHOLDING TAX","Tax",IF(C652="DIVIDEND","Dividend",IF(C652="COUPON","Coupon",IF(C652="ACCRUED INT","Accrued Int.",IF(C652="SEC LENDING","Sec. Lending",IF(C652="REDEMPTION","Redemption",IF(C652="DISTRIBUTION","Distribution",IF(ISNUMBER(SEARCH("Rimborso",'Statements (Raw)'!D650)),"Redemption",IF(ISNUMBER(SEARCH("Cedola",'Statements (Raw)'!D650)),"Coupon",IF(ISNUMBER(SEARCH("Incasso Dividendi",'Statements (Raw)'!D650)),"Dividend",IF(ISNUMBER(SEARCH("Provento Etf",'Statements (Raw)'!D650)),"Distribution",IF(ISNUMBER(SEARCH("Rit.provento",'Statements (Raw)'!D650)),"Tax",IF(ISNUMBER(SEARCH("Ratei Pass",'Statements (Raw)'!D650)),"Accrued Int.",IF(ISNUMBER(SEARCH("Interessi Prest",'Statements (Raw)'!D650)),"Sec. Lending",IF('Statements (Raw)'!G650="","Other",IF('Statements (Raw)'!G650&gt;0,"Buy","Sell"))))))))))))))))))))))</f>
        <v/>
      </c>
      <c r="E652" s="6" t="str">
        <f t="shared" si="20"/>
        <v/>
      </c>
      <c r="F652" s="8" t="str">
        <f>IF(A652="","",IF('Statements (Raw)'!E650="","",'Statements (Raw)'!E650))</f>
        <v/>
      </c>
      <c r="G652" s="6" t="str">
        <f>IF(A652="","",IF('Statements (Raw)'!F650="","",'Statements (Raw)'!F650))</f>
        <v/>
      </c>
      <c r="H652" s="9" t="str">
        <f>IF(A652="","",IF('Statements (Raw)'!G650="","",'Statements (Raw)'!G650))</f>
        <v/>
      </c>
      <c r="I652" s="10" t="str">
        <f>IF(A652="","",IF('Statements (Raw)'!H650="","",'Statements (Raw)'!H650))</f>
        <v/>
      </c>
      <c r="J652" s="10">
        <f>IF(A652="",0,IF('Statements (Raw)'!I650="",0,'Statements (Raw)'!I650))</f>
        <v>0</v>
      </c>
      <c r="K652" s="10" t="str">
        <f t="shared" si="21"/>
        <v/>
      </c>
    </row>
    <row r="653" spans="1:11" x14ac:dyDescent="0.3">
      <c r="A653" s="171" t="str">
        <f>IF(OR('Statements (Raw)'!A651="",'Statements (Raw)'!A651&gt;Holdings!$G$3),"",'Statements (Raw)'!A651)</f>
        <v/>
      </c>
      <c r="B653" s="7" t="str">
        <f>IF(A653="","",IF('Statements (Raw)'!B651="","",'Statements (Raw)'!B651))</f>
        <v/>
      </c>
      <c r="C653" s="6" t="str">
        <f>IF(A653="","",IF('Statements (Raw)'!C651&lt;&gt;"",'Statements (Raw)'!C651,IF(ISNUMBER(SEARCH("Conferimento",'Statements (Raw)'!D651)),"CASH DEPOSIT",IF(ISNUMBER(SEARCH("Prelievo",'Statements (Raw)'!D651)),"CASH WITHDRAWAL",IF(ISNUMBER(SEARCH("Bollo",'Statements (Raw)'!D651)),"STAMP DUTY",IF(ISNUMBER(SEARCH("Tobin Tax",'Statements (Raw)'!D651)),"TOBIN TAX",IF(ISNUMBER(SEARCH("Rit.provento",'Statements (Raw)'!D651)),"WITHHOLDING TAX",IF(ISNUMBER(SEARCH("Incasso Dividendi",'Statements (Raw)'!D651)),"DIVIDEND",IF(ISNUMBER(SEARCH("Cedola",'Statements (Raw)'!D651)),"COUPON",IF(ISNUMBER(SEARCH("Ratei Pass",'Statements (Raw)'!D651)),"ACCRUED INT",IF(ISNUMBER(SEARCH("Interessi Prest",'Statements (Raw)'!D651)),"SEC LENDING",IF(ISNUMBER(SEARCH("Rimborso",'Statements (Raw)'!D651)),"REDEMPTION",IF(ISNUMBER(SEARCH("Provento",'Statements (Raw)'!D651)),"DISTRIBUTION","OTHER")))))))))))))</f>
        <v/>
      </c>
      <c r="D653" s="6" t="str">
        <f>IF(A653="","",IF(C653="Saldo Iniziale","Balance",IF(C653="CASH DEPOSIT","Deposit",IF(C653="CASH WITHDRAWAL","Withdrawal",IF(C653="STAMP DUTY","Tax",IF(C653="TOBIN TAX","Tax",IF(C653="WITHHOLDING TAX","Tax",IF(C653="DIVIDEND","Dividend",IF(C653="COUPON","Coupon",IF(C653="ACCRUED INT","Accrued Int.",IF(C653="SEC LENDING","Sec. Lending",IF(C653="REDEMPTION","Redemption",IF(C653="DISTRIBUTION","Distribution",IF(ISNUMBER(SEARCH("Rimborso",'Statements (Raw)'!D651)),"Redemption",IF(ISNUMBER(SEARCH("Cedola",'Statements (Raw)'!D651)),"Coupon",IF(ISNUMBER(SEARCH("Incasso Dividendi",'Statements (Raw)'!D651)),"Dividend",IF(ISNUMBER(SEARCH("Provento Etf",'Statements (Raw)'!D651)),"Distribution",IF(ISNUMBER(SEARCH("Rit.provento",'Statements (Raw)'!D651)),"Tax",IF(ISNUMBER(SEARCH("Ratei Pass",'Statements (Raw)'!D651)),"Accrued Int.",IF(ISNUMBER(SEARCH("Interessi Prest",'Statements (Raw)'!D651)),"Sec. Lending",IF('Statements (Raw)'!G651="","Other",IF('Statements (Raw)'!G651&gt;0,"Buy","Sell"))))))))))))))))))))))</f>
        <v/>
      </c>
      <c r="E653" s="6" t="str">
        <f t="shared" si="20"/>
        <v/>
      </c>
      <c r="F653" s="8" t="str">
        <f>IF(A653="","",IF('Statements (Raw)'!E651="","",'Statements (Raw)'!E651))</f>
        <v/>
      </c>
      <c r="G653" s="6" t="str">
        <f>IF(A653="","",IF('Statements (Raw)'!F651="","",'Statements (Raw)'!F651))</f>
        <v/>
      </c>
      <c r="H653" s="9" t="str">
        <f>IF(A653="","",IF('Statements (Raw)'!G651="","",'Statements (Raw)'!G651))</f>
        <v/>
      </c>
      <c r="I653" s="10" t="str">
        <f>IF(A653="","",IF('Statements (Raw)'!H651="","",'Statements (Raw)'!H651))</f>
        <v/>
      </c>
      <c r="J653" s="10">
        <f>IF(A653="",0,IF('Statements (Raw)'!I651="",0,'Statements (Raw)'!I651))</f>
        <v>0</v>
      </c>
      <c r="K653" s="10" t="str">
        <f t="shared" si="21"/>
        <v/>
      </c>
    </row>
    <row r="654" spans="1:11" x14ac:dyDescent="0.3">
      <c r="A654" s="171" t="str">
        <f>IF(OR('Statements (Raw)'!A652="",'Statements (Raw)'!A652&gt;Holdings!$G$3),"",'Statements (Raw)'!A652)</f>
        <v/>
      </c>
      <c r="B654" s="7" t="str">
        <f>IF(A654="","",IF('Statements (Raw)'!B652="","",'Statements (Raw)'!B652))</f>
        <v/>
      </c>
      <c r="C654" s="6" t="str">
        <f>IF(A654="","",IF('Statements (Raw)'!C652&lt;&gt;"",'Statements (Raw)'!C652,IF(ISNUMBER(SEARCH("Conferimento",'Statements (Raw)'!D652)),"CASH DEPOSIT",IF(ISNUMBER(SEARCH("Prelievo",'Statements (Raw)'!D652)),"CASH WITHDRAWAL",IF(ISNUMBER(SEARCH("Bollo",'Statements (Raw)'!D652)),"STAMP DUTY",IF(ISNUMBER(SEARCH("Tobin Tax",'Statements (Raw)'!D652)),"TOBIN TAX",IF(ISNUMBER(SEARCH("Rit.provento",'Statements (Raw)'!D652)),"WITHHOLDING TAX",IF(ISNUMBER(SEARCH("Incasso Dividendi",'Statements (Raw)'!D652)),"DIVIDEND",IF(ISNUMBER(SEARCH("Cedola",'Statements (Raw)'!D652)),"COUPON",IF(ISNUMBER(SEARCH("Ratei Pass",'Statements (Raw)'!D652)),"ACCRUED INT",IF(ISNUMBER(SEARCH("Interessi Prest",'Statements (Raw)'!D652)),"SEC LENDING",IF(ISNUMBER(SEARCH("Rimborso",'Statements (Raw)'!D652)),"REDEMPTION",IF(ISNUMBER(SEARCH("Provento",'Statements (Raw)'!D652)),"DISTRIBUTION","OTHER")))))))))))))</f>
        <v/>
      </c>
      <c r="D654" s="6" t="str">
        <f>IF(A654="","",IF(C654="Saldo Iniziale","Balance",IF(C654="CASH DEPOSIT","Deposit",IF(C654="CASH WITHDRAWAL","Withdrawal",IF(C654="STAMP DUTY","Tax",IF(C654="TOBIN TAX","Tax",IF(C654="WITHHOLDING TAX","Tax",IF(C654="DIVIDEND","Dividend",IF(C654="COUPON","Coupon",IF(C654="ACCRUED INT","Accrued Int.",IF(C654="SEC LENDING","Sec. Lending",IF(C654="REDEMPTION","Redemption",IF(C654="DISTRIBUTION","Distribution",IF(ISNUMBER(SEARCH("Rimborso",'Statements (Raw)'!D652)),"Redemption",IF(ISNUMBER(SEARCH("Cedola",'Statements (Raw)'!D652)),"Coupon",IF(ISNUMBER(SEARCH("Incasso Dividendi",'Statements (Raw)'!D652)),"Dividend",IF(ISNUMBER(SEARCH("Provento Etf",'Statements (Raw)'!D652)),"Distribution",IF(ISNUMBER(SEARCH("Rit.provento",'Statements (Raw)'!D652)),"Tax",IF(ISNUMBER(SEARCH("Ratei Pass",'Statements (Raw)'!D652)),"Accrued Int.",IF(ISNUMBER(SEARCH("Interessi Prest",'Statements (Raw)'!D652)),"Sec. Lending",IF('Statements (Raw)'!G652="","Other",IF('Statements (Raw)'!G652&gt;0,"Buy","Sell"))))))))))))))))))))))</f>
        <v/>
      </c>
      <c r="E654" s="6" t="str">
        <f t="shared" si="20"/>
        <v/>
      </c>
      <c r="F654" s="8" t="str">
        <f>IF(A654="","",IF('Statements (Raw)'!E652="","",'Statements (Raw)'!E652))</f>
        <v/>
      </c>
      <c r="G654" s="6" t="str">
        <f>IF(A654="","",IF('Statements (Raw)'!F652="","",'Statements (Raw)'!F652))</f>
        <v/>
      </c>
      <c r="H654" s="9" t="str">
        <f>IF(A654="","",IF('Statements (Raw)'!G652="","",'Statements (Raw)'!G652))</f>
        <v/>
      </c>
      <c r="I654" s="10" t="str">
        <f>IF(A654="","",IF('Statements (Raw)'!H652="","",'Statements (Raw)'!H652))</f>
        <v/>
      </c>
      <c r="J654" s="10">
        <f>IF(A654="",0,IF('Statements (Raw)'!I652="",0,'Statements (Raw)'!I652))</f>
        <v>0</v>
      </c>
      <c r="K654" s="10" t="str">
        <f t="shared" si="21"/>
        <v/>
      </c>
    </row>
    <row r="655" spans="1:11" x14ac:dyDescent="0.3">
      <c r="A655" s="171" t="str">
        <f>IF(OR('Statements (Raw)'!A653="",'Statements (Raw)'!A653&gt;Holdings!$G$3),"",'Statements (Raw)'!A653)</f>
        <v/>
      </c>
      <c r="B655" s="7" t="str">
        <f>IF(A655="","",IF('Statements (Raw)'!B653="","",'Statements (Raw)'!B653))</f>
        <v/>
      </c>
      <c r="C655" s="6" t="str">
        <f>IF(A655="","",IF('Statements (Raw)'!C653&lt;&gt;"",'Statements (Raw)'!C653,IF(ISNUMBER(SEARCH("Conferimento",'Statements (Raw)'!D653)),"CASH DEPOSIT",IF(ISNUMBER(SEARCH("Prelievo",'Statements (Raw)'!D653)),"CASH WITHDRAWAL",IF(ISNUMBER(SEARCH("Bollo",'Statements (Raw)'!D653)),"STAMP DUTY",IF(ISNUMBER(SEARCH("Tobin Tax",'Statements (Raw)'!D653)),"TOBIN TAX",IF(ISNUMBER(SEARCH("Rit.provento",'Statements (Raw)'!D653)),"WITHHOLDING TAX",IF(ISNUMBER(SEARCH("Incasso Dividendi",'Statements (Raw)'!D653)),"DIVIDEND",IF(ISNUMBER(SEARCH("Cedola",'Statements (Raw)'!D653)),"COUPON",IF(ISNUMBER(SEARCH("Ratei Pass",'Statements (Raw)'!D653)),"ACCRUED INT",IF(ISNUMBER(SEARCH("Interessi Prest",'Statements (Raw)'!D653)),"SEC LENDING",IF(ISNUMBER(SEARCH("Rimborso",'Statements (Raw)'!D653)),"REDEMPTION",IF(ISNUMBER(SEARCH("Provento",'Statements (Raw)'!D653)),"DISTRIBUTION","OTHER")))))))))))))</f>
        <v/>
      </c>
      <c r="D655" s="6" t="str">
        <f>IF(A655="","",IF(C655="Saldo Iniziale","Balance",IF(C655="CASH DEPOSIT","Deposit",IF(C655="CASH WITHDRAWAL","Withdrawal",IF(C655="STAMP DUTY","Tax",IF(C655="TOBIN TAX","Tax",IF(C655="WITHHOLDING TAX","Tax",IF(C655="DIVIDEND","Dividend",IF(C655="COUPON","Coupon",IF(C655="ACCRUED INT","Accrued Int.",IF(C655="SEC LENDING","Sec. Lending",IF(C655="REDEMPTION","Redemption",IF(C655="DISTRIBUTION","Distribution",IF(ISNUMBER(SEARCH("Rimborso",'Statements (Raw)'!D653)),"Redemption",IF(ISNUMBER(SEARCH("Cedola",'Statements (Raw)'!D653)),"Coupon",IF(ISNUMBER(SEARCH("Incasso Dividendi",'Statements (Raw)'!D653)),"Dividend",IF(ISNUMBER(SEARCH("Provento Etf",'Statements (Raw)'!D653)),"Distribution",IF(ISNUMBER(SEARCH("Rit.provento",'Statements (Raw)'!D653)),"Tax",IF(ISNUMBER(SEARCH("Ratei Pass",'Statements (Raw)'!D653)),"Accrued Int.",IF(ISNUMBER(SEARCH("Interessi Prest",'Statements (Raw)'!D653)),"Sec. Lending",IF('Statements (Raw)'!G653="","Other",IF('Statements (Raw)'!G653&gt;0,"Buy","Sell"))))))))))))))))))))))</f>
        <v/>
      </c>
      <c r="E655" s="6" t="str">
        <f t="shared" si="20"/>
        <v/>
      </c>
      <c r="F655" s="8" t="str">
        <f>IF(A655="","",IF('Statements (Raw)'!E653="","",'Statements (Raw)'!E653))</f>
        <v/>
      </c>
      <c r="G655" s="6" t="str">
        <f>IF(A655="","",IF('Statements (Raw)'!F653="","",'Statements (Raw)'!F653))</f>
        <v/>
      </c>
      <c r="H655" s="9" t="str">
        <f>IF(A655="","",IF('Statements (Raw)'!G653="","",'Statements (Raw)'!G653))</f>
        <v/>
      </c>
      <c r="I655" s="10" t="str">
        <f>IF(A655="","",IF('Statements (Raw)'!H653="","",'Statements (Raw)'!H653))</f>
        <v/>
      </c>
      <c r="J655" s="10">
        <f>IF(A655="",0,IF('Statements (Raw)'!I653="",0,'Statements (Raw)'!I653))</f>
        <v>0</v>
      </c>
      <c r="K655" s="10" t="str">
        <f t="shared" si="21"/>
        <v/>
      </c>
    </row>
    <row r="656" spans="1:11" x14ac:dyDescent="0.3">
      <c r="A656" s="171" t="str">
        <f>IF(OR('Statements (Raw)'!A654="",'Statements (Raw)'!A654&gt;Holdings!$G$3),"",'Statements (Raw)'!A654)</f>
        <v/>
      </c>
      <c r="B656" s="7" t="str">
        <f>IF(A656="","",IF('Statements (Raw)'!B654="","",'Statements (Raw)'!B654))</f>
        <v/>
      </c>
      <c r="C656" s="6" t="str">
        <f>IF(A656="","",IF('Statements (Raw)'!C654&lt;&gt;"",'Statements (Raw)'!C654,IF(ISNUMBER(SEARCH("Conferimento",'Statements (Raw)'!D654)),"CASH DEPOSIT",IF(ISNUMBER(SEARCH("Prelievo",'Statements (Raw)'!D654)),"CASH WITHDRAWAL",IF(ISNUMBER(SEARCH("Bollo",'Statements (Raw)'!D654)),"STAMP DUTY",IF(ISNUMBER(SEARCH("Tobin Tax",'Statements (Raw)'!D654)),"TOBIN TAX",IF(ISNUMBER(SEARCH("Rit.provento",'Statements (Raw)'!D654)),"WITHHOLDING TAX",IF(ISNUMBER(SEARCH("Incasso Dividendi",'Statements (Raw)'!D654)),"DIVIDEND",IF(ISNUMBER(SEARCH("Cedola",'Statements (Raw)'!D654)),"COUPON",IF(ISNUMBER(SEARCH("Ratei Pass",'Statements (Raw)'!D654)),"ACCRUED INT",IF(ISNUMBER(SEARCH("Interessi Prest",'Statements (Raw)'!D654)),"SEC LENDING",IF(ISNUMBER(SEARCH("Rimborso",'Statements (Raw)'!D654)),"REDEMPTION",IF(ISNUMBER(SEARCH("Provento",'Statements (Raw)'!D654)),"DISTRIBUTION","OTHER")))))))))))))</f>
        <v/>
      </c>
      <c r="D656" s="6" t="str">
        <f>IF(A656="","",IF(C656="Saldo Iniziale","Balance",IF(C656="CASH DEPOSIT","Deposit",IF(C656="CASH WITHDRAWAL","Withdrawal",IF(C656="STAMP DUTY","Tax",IF(C656="TOBIN TAX","Tax",IF(C656="WITHHOLDING TAX","Tax",IF(C656="DIVIDEND","Dividend",IF(C656="COUPON","Coupon",IF(C656="ACCRUED INT","Accrued Int.",IF(C656="SEC LENDING","Sec. Lending",IF(C656="REDEMPTION","Redemption",IF(C656="DISTRIBUTION","Distribution",IF(ISNUMBER(SEARCH("Rimborso",'Statements (Raw)'!D654)),"Redemption",IF(ISNUMBER(SEARCH("Cedola",'Statements (Raw)'!D654)),"Coupon",IF(ISNUMBER(SEARCH("Incasso Dividendi",'Statements (Raw)'!D654)),"Dividend",IF(ISNUMBER(SEARCH("Provento Etf",'Statements (Raw)'!D654)),"Distribution",IF(ISNUMBER(SEARCH("Rit.provento",'Statements (Raw)'!D654)),"Tax",IF(ISNUMBER(SEARCH("Ratei Pass",'Statements (Raw)'!D654)),"Accrued Int.",IF(ISNUMBER(SEARCH("Interessi Prest",'Statements (Raw)'!D654)),"Sec. Lending",IF('Statements (Raw)'!G654="","Other",IF('Statements (Raw)'!G654&gt;0,"Buy","Sell"))))))))))))))))))))))</f>
        <v/>
      </c>
      <c r="E656" s="6" t="str">
        <f t="shared" si="20"/>
        <v/>
      </c>
      <c r="F656" s="8" t="str">
        <f>IF(A656="","",IF('Statements (Raw)'!E654="","",'Statements (Raw)'!E654))</f>
        <v/>
      </c>
      <c r="G656" s="6" t="str">
        <f>IF(A656="","",IF('Statements (Raw)'!F654="","",'Statements (Raw)'!F654))</f>
        <v/>
      </c>
      <c r="H656" s="9" t="str">
        <f>IF(A656="","",IF('Statements (Raw)'!G654="","",'Statements (Raw)'!G654))</f>
        <v/>
      </c>
      <c r="I656" s="10" t="str">
        <f>IF(A656="","",IF('Statements (Raw)'!H654="","",'Statements (Raw)'!H654))</f>
        <v/>
      </c>
      <c r="J656" s="10">
        <f>IF(A656="",0,IF('Statements (Raw)'!I654="",0,'Statements (Raw)'!I654))</f>
        <v>0</v>
      </c>
      <c r="K656" s="10" t="str">
        <f t="shared" si="21"/>
        <v/>
      </c>
    </row>
    <row r="657" spans="1:11" x14ac:dyDescent="0.3">
      <c r="A657" s="171" t="str">
        <f>IF(OR('Statements (Raw)'!A655="",'Statements (Raw)'!A655&gt;Holdings!$G$3),"",'Statements (Raw)'!A655)</f>
        <v/>
      </c>
      <c r="B657" s="7" t="str">
        <f>IF(A657="","",IF('Statements (Raw)'!B655="","",'Statements (Raw)'!B655))</f>
        <v/>
      </c>
      <c r="C657" s="6" t="str">
        <f>IF(A657="","",IF('Statements (Raw)'!C655&lt;&gt;"",'Statements (Raw)'!C655,IF(ISNUMBER(SEARCH("Conferimento",'Statements (Raw)'!D655)),"CASH DEPOSIT",IF(ISNUMBER(SEARCH("Prelievo",'Statements (Raw)'!D655)),"CASH WITHDRAWAL",IF(ISNUMBER(SEARCH("Bollo",'Statements (Raw)'!D655)),"STAMP DUTY",IF(ISNUMBER(SEARCH("Tobin Tax",'Statements (Raw)'!D655)),"TOBIN TAX",IF(ISNUMBER(SEARCH("Rit.provento",'Statements (Raw)'!D655)),"WITHHOLDING TAX",IF(ISNUMBER(SEARCH("Incasso Dividendi",'Statements (Raw)'!D655)),"DIVIDEND",IF(ISNUMBER(SEARCH("Cedola",'Statements (Raw)'!D655)),"COUPON",IF(ISNUMBER(SEARCH("Ratei Pass",'Statements (Raw)'!D655)),"ACCRUED INT",IF(ISNUMBER(SEARCH("Interessi Prest",'Statements (Raw)'!D655)),"SEC LENDING",IF(ISNUMBER(SEARCH("Rimborso",'Statements (Raw)'!D655)),"REDEMPTION",IF(ISNUMBER(SEARCH("Provento",'Statements (Raw)'!D655)),"DISTRIBUTION","OTHER")))))))))))))</f>
        <v/>
      </c>
      <c r="D657" s="6" t="str">
        <f>IF(A657="","",IF(C657="Saldo Iniziale","Balance",IF(C657="CASH DEPOSIT","Deposit",IF(C657="CASH WITHDRAWAL","Withdrawal",IF(C657="STAMP DUTY","Tax",IF(C657="TOBIN TAX","Tax",IF(C657="WITHHOLDING TAX","Tax",IF(C657="DIVIDEND","Dividend",IF(C657="COUPON","Coupon",IF(C657="ACCRUED INT","Accrued Int.",IF(C657="SEC LENDING","Sec. Lending",IF(C657="REDEMPTION","Redemption",IF(C657="DISTRIBUTION","Distribution",IF(ISNUMBER(SEARCH("Rimborso",'Statements (Raw)'!D655)),"Redemption",IF(ISNUMBER(SEARCH("Cedola",'Statements (Raw)'!D655)),"Coupon",IF(ISNUMBER(SEARCH("Incasso Dividendi",'Statements (Raw)'!D655)),"Dividend",IF(ISNUMBER(SEARCH("Provento Etf",'Statements (Raw)'!D655)),"Distribution",IF(ISNUMBER(SEARCH("Rit.provento",'Statements (Raw)'!D655)),"Tax",IF(ISNUMBER(SEARCH("Ratei Pass",'Statements (Raw)'!D655)),"Accrued Int.",IF(ISNUMBER(SEARCH("Interessi Prest",'Statements (Raw)'!D655)),"Sec. Lending",IF('Statements (Raw)'!G655="","Other",IF('Statements (Raw)'!G655&gt;0,"Buy","Sell"))))))))))))))))))))))</f>
        <v/>
      </c>
      <c r="E657" s="6" t="str">
        <f t="shared" si="20"/>
        <v/>
      </c>
      <c r="F657" s="8" t="str">
        <f>IF(A657="","",IF('Statements (Raw)'!E655="","",'Statements (Raw)'!E655))</f>
        <v/>
      </c>
      <c r="G657" s="6" t="str">
        <f>IF(A657="","",IF('Statements (Raw)'!F655="","",'Statements (Raw)'!F655))</f>
        <v/>
      </c>
      <c r="H657" s="9" t="str">
        <f>IF(A657="","",IF('Statements (Raw)'!G655="","",'Statements (Raw)'!G655))</f>
        <v/>
      </c>
      <c r="I657" s="10" t="str">
        <f>IF(A657="","",IF('Statements (Raw)'!H655="","",'Statements (Raw)'!H655))</f>
        <v/>
      </c>
      <c r="J657" s="10">
        <f>IF(A657="",0,IF('Statements (Raw)'!I655="",0,'Statements (Raw)'!I655))</f>
        <v>0</v>
      </c>
      <c r="K657" s="10" t="str">
        <f t="shared" si="21"/>
        <v/>
      </c>
    </row>
    <row r="658" spans="1:11" x14ac:dyDescent="0.3">
      <c r="A658" s="171" t="str">
        <f>IF(OR('Statements (Raw)'!A656="",'Statements (Raw)'!A656&gt;Holdings!$G$3),"",'Statements (Raw)'!A656)</f>
        <v/>
      </c>
      <c r="B658" s="7" t="str">
        <f>IF(A658="","",IF('Statements (Raw)'!B656="","",'Statements (Raw)'!B656))</f>
        <v/>
      </c>
      <c r="C658" s="6" t="str">
        <f>IF(A658="","",IF('Statements (Raw)'!C656&lt;&gt;"",'Statements (Raw)'!C656,IF(ISNUMBER(SEARCH("Conferimento",'Statements (Raw)'!D656)),"CASH DEPOSIT",IF(ISNUMBER(SEARCH("Prelievo",'Statements (Raw)'!D656)),"CASH WITHDRAWAL",IF(ISNUMBER(SEARCH("Bollo",'Statements (Raw)'!D656)),"STAMP DUTY",IF(ISNUMBER(SEARCH("Tobin Tax",'Statements (Raw)'!D656)),"TOBIN TAX",IF(ISNUMBER(SEARCH("Rit.provento",'Statements (Raw)'!D656)),"WITHHOLDING TAX",IF(ISNUMBER(SEARCH("Incasso Dividendi",'Statements (Raw)'!D656)),"DIVIDEND",IF(ISNUMBER(SEARCH("Cedola",'Statements (Raw)'!D656)),"COUPON",IF(ISNUMBER(SEARCH("Ratei Pass",'Statements (Raw)'!D656)),"ACCRUED INT",IF(ISNUMBER(SEARCH("Interessi Prest",'Statements (Raw)'!D656)),"SEC LENDING",IF(ISNUMBER(SEARCH("Rimborso",'Statements (Raw)'!D656)),"REDEMPTION",IF(ISNUMBER(SEARCH("Provento",'Statements (Raw)'!D656)),"DISTRIBUTION","OTHER")))))))))))))</f>
        <v/>
      </c>
      <c r="D658" s="6" t="str">
        <f>IF(A658="","",IF(C658="Saldo Iniziale","Balance",IF(C658="CASH DEPOSIT","Deposit",IF(C658="CASH WITHDRAWAL","Withdrawal",IF(C658="STAMP DUTY","Tax",IF(C658="TOBIN TAX","Tax",IF(C658="WITHHOLDING TAX","Tax",IF(C658="DIVIDEND","Dividend",IF(C658="COUPON","Coupon",IF(C658="ACCRUED INT","Accrued Int.",IF(C658="SEC LENDING","Sec. Lending",IF(C658="REDEMPTION","Redemption",IF(C658="DISTRIBUTION","Distribution",IF(ISNUMBER(SEARCH("Rimborso",'Statements (Raw)'!D656)),"Redemption",IF(ISNUMBER(SEARCH("Cedola",'Statements (Raw)'!D656)),"Coupon",IF(ISNUMBER(SEARCH("Incasso Dividendi",'Statements (Raw)'!D656)),"Dividend",IF(ISNUMBER(SEARCH("Provento Etf",'Statements (Raw)'!D656)),"Distribution",IF(ISNUMBER(SEARCH("Rit.provento",'Statements (Raw)'!D656)),"Tax",IF(ISNUMBER(SEARCH("Ratei Pass",'Statements (Raw)'!D656)),"Accrued Int.",IF(ISNUMBER(SEARCH("Interessi Prest",'Statements (Raw)'!D656)),"Sec. Lending",IF('Statements (Raw)'!G656="","Other",IF('Statements (Raw)'!G656&gt;0,"Buy","Sell"))))))))))))))))))))))</f>
        <v/>
      </c>
      <c r="E658" s="6" t="str">
        <f t="shared" si="20"/>
        <v/>
      </c>
      <c r="F658" s="8" t="str">
        <f>IF(A658="","",IF('Statements (Raw)'!E656="","",'Statements (Raw)'!E656))</f>
        <v/>
      </c>
      <c r="G658" s="6" t="str">
        <f>IF(A658="","",IF('Statements (Raw)'!F656="","",'Statements (Raw)'!F656))</f>
        <v/>
      </c>
      <c r="H658" s="9" t="str">
        <f>IF(A658="","",IF('Statements (Raw)'!G656="","",'Statements (Raw)'!G656))</f>
        <v/>
      </c>
      <c r="I658" s="10" t="str">
        <f>IF(A658="","",IF('Statements (Raw)'!H656="","",'Statements (Raw)'!H656))</f>
        <v/>
      </c>
      <c r="J658" s="10">
        <f>IF(A658="",0,IF('Statements (Raw)'!I656="",0,'Statements (Raw)'!I656))</f>
        <v>0</v>
      </c>
      <c r="K658" s="10" t="str">
        <f t="shared" si="21"/>
        <v/>
      </c>
    </row>
    <row r="659" spans="1:11" x14ac:dyDescent="0.3">
      <c r="A659" s="171" t="str">
        <f>IF(OR('Statements (Raw)'!A657="",'Statements (Raw)'!A657&gt;Holdings!$G$3),"",'Statements (Raw)'!A657)</f>
        <v/>
      </c>
      <c r="B659" s="7" t="str">
        <f>IF(A659="","",IF('Statements (Raw)'!B657="","",'Statements (Raw)'!B657))</f>
        <v/>
      </c>
      <c r="C659" s="6" t="str">
        <f>IF(A659="","",IF('Statements (Raw)'!C657&lt;&gt;"",'Statements (Raw)'!C657,IF(ISNUMBER(SEARCH("Conferimento",'Statements (Raw)'!D657)),"CASH DEPOSIT",IF(ISNUMBER(SEARCH("Prelievo",'Statements (Raw)'!D657)),"CASH WITHDRAWAL",IF(ISNUMBER(SEARCH("Bollo",'Statements (Raw)'!D657)),"STAMP DUTY",IF(ISNUMBER(SEARCH("Tobin Tax",'Statements (Raw)'!D657)),"TOBIN TAX",IF(ISNUMBER(SEARCH("Rit.provento",'Statements (Raw)'!D657)),"WITHHOLDING TAX",IF(ISNUMBER(SEARCH("Incasso Dividendi",'Statements (Raw)'!D657)),"DIVIDEND",IF(ISNUMBER(SEARCH("Cedola",'Statements (Raw)'!D657)),"COUPON",IF(ISNUMBER(SEARCH("Ratei Pass",'Statements (Raw)'!D657)),"ACCRUED INT",IF(ISNUMBER(SEARCH("Interessi Prest",'Statements (Raw)'!D657)),"SEC LENDING",IF(ISNUMBER(SEARCH("Rimborso",'Statements (Raw)'!D657)),"REDEMPTION",IF(ISNUMBER(SEARCH("Provento",'Statements (Raw)'!D657)),"DISTRIBUTION","OTHER")))))))))))))</f>
        <v/>
      </c>
      <c r="D659" s="6" t="str">
        <f>IF(A659="","",IF(C659="Saldo Iniziale","Balance",IF(C659="CASH DEPOSIT","Deposit",IF(C659="CASH WITHDRAWAL","Withdrawal",IF(C659="STAMP DUTY","Tax",IF(C659="TOBIN TAX","Tax",IF(C659="WITHHOLDING TAX","Tax",IF(C659="DIVIDEND","Dividend",IF(C659="COUPON","Coupon",IF(C659="ACCRUED INT","Accrued Int.",IF(C659="SEC LENDING","Sec. Lending",IF(C659="REDEMPTION","Redemption",IF(C659="DISTRIBUTION","Distribution",IF(ISNUMBER(SEARCH("Rimborso",'Statements (Raw)'!D657)),"Redemption",IF(ISNUMBER(SEARCH("Cedola",'Statements (Raw)'!D657)),"Coupon",IF(ISNUMBER(SEARCH("Incasso Dividendi",'Statements (Raw)'!D657)),"Dividend",IF(ISNUMBER(SEARCH("Provento Etf",'Statements (Raw)'!D657)),"Distribution",IF(ISNUMBER(SEARCH("Rit.provento",'Statements (Raw)'!D657)),"Tax",IF(ISNUMBER(SEARCH("Ratei Pass",'Statements (Raw)'!D657)),"Accrued Int.",IF(ISNUMBER(SEARCH("Interessi Prest",'Statements (Raw)'!D657)),"Sec. Lending",IF('Statements (Raw)'!G657="","Other",IF('Statements (Raw)'!G657&gt;0,"Buy","Sell"))))))))))))))))))))))</f>
        <v/>
      </c>
      <c r="E659" s="6" t="str">
        <f t="shared" si="20"/>
        <v/>
      </c>
      <c r="F659" s="8" t="str">
        <f>IF(A659="","",IF('Statements (Raw)'!E657="","",'Statements (Raw)'!E657))</f>
        <v/>
      </c>
      <c r="G659" s="6" t="str">
        <f>IF(A659="","",IF('Statements (Raw)'!F657="","",'Statements (Raw)'!F657))</f>
        <v/>
      </c>
      <c r="H659" s="9" t="str">
        <f>IF(A659="","",IF('Statements (Raw)'!G657="","",'Statements (Raw)'!G657))</f>
        <v/>
      </c>
      <c r="I659" s="10" t="str">
        <f>IF(A659="","",IF('Statements (Raw)'!H657="","",'Statements (Raw)'!H657))</f>
        <v/>
      </c>
      <c r="J659" s="10">
        <f>IF(A659="",0,IF('Statements (Raw)'!I657="",0,'Statements (Raw)'!I657))</f>
        <v>0</v>
      </c>
      <c r="K659" s="10" t="str">
        <f t="shared" si="21"/>
        <v/>
      </c>
    </row>
    <row r="660" spans="1:11" x14ac:dyDescent="0.3">
      <c r="A660" s="171" t="str">
        <f>IF(OR('Statements (Raw)'!A658="",'Statements (Raw)'!A658&gt;Holdings!$G$3),"",'Statements (Raw)'!A658)</f>
        <v/>
      </c>
      <c r="B660" s="7" t="str">
        <f>IF(A660="","",IF('Statements (Raw)'!B658="","",'Statements (Raw)'!B658))</f>
        <v/>
      </c>
      <c r="C660" s="6" t="str">
        <f>IF(A660="","",IF('Statements (Raw)'!C658&lt;&gt;"",'Statements (Raw)'!C658,IF(ISNUMBER(SEARCH("Conferimento",'Statements (Raw)'!D658)),"CASH DEPOSIT",IF(ISNUMBER(SEARCH("Prelievo",'Statements (Raw)'!D658)),"CASH WITHDRAWAL",IF(ISNUMBER(SEARCH("Bollo",'Statements (Raw)'!D658)),"STAMP DUTY",IF(ISNUMBER(SEARCH("Tobin Tax",'Statements (Raw)'!D658)),"TOBIN TAX",IF(ISNUMBER(SEARCH("Rit.provento",'Statements (Raw)'!D658)),"WITHHOLDING TAX",IF(ISNUMBER(SEARCH("Incasso Dividendi",'Statements (Raw)'!D658)),"DIVIDEND",IF(ISNUMBER(SEARCH("Cedola",'Statements (Raw)'!D658)),"COUPON",IF(ISNUMBER(SEARCH("Ratei Pass",'Statements (Raw)'!D658)),"ACCRUED INT",IF(ISNUMBER(SEARCH("Interessi Prest",'Statements (Raw)'!D658)),"SEC LENDING",IF(ISNUMBER(SEARCH("Rimborso",'Statements (Raw)'!D658)),"REDEMPTION",IF(ISNUMBER(SEARCH("Provento",'Statements (Raw)'!D658)),"DISTRIBUTION","OTHER")))))))))))))</f>
        <v/>
      </c>
      <c r="D660" s="6" t="str">
        <f>IF(A660="","",IF(C660="Saldo Iniziale","Balance",IF(C660="CASH DEPOSIT","Deposit",IF(C660="CASH WITHDRAWAL","Withdrawal",IF(C660="STAMP DUTY","Tax",IF(C660="TOBIN TAX","Tax",IF(C660="WITHHOLDING TAX","Tax",IF(C660="DIVIDEND","Dividend",IF(C660="COUPON","Coupon",IF(C660="ACCRUED INT","Accrued Int.",IF(C660="SEC LENDING","Sec. Lending",IF(C660="REDEMPTION","Redemption",IF(C660="DISTRIBUTION","Distribution",IF(ISNUMBER(SEARCH("Rimborso",'Statements (Raw)'!D658)),"Redemption",IF(ISNUMBER(SEARCH("Cedola",'Statements (Raw)'!D658)),"Coupon",IF(ISNUMBER(SEARCH("Incasso Dividendi",'Statements (Raw)'!D658)),"Dividend",IF(ISNUMBER(SEARCH("Provento Etf",'Statements (Raw)'!D658)),"Distribution",IF(ISNUMBER(SEARCH("Rit.provento",'Statements (Raw)'!D658)),"Tax",IF(ISNUMBER(SEARCH("Ratei Pass",'Statements (Raw)'!D658)),"Accrued Int.",IF(ISNUMBER(SEARCH("Interessi Prest",'Statements (Raw)'!D658)),"Sec. Lending",IF('Statements (Raw)'!G658="","Other",IF('Statements (Raw)'!G658&gt;0,"Buy","Sell"))))))))))))))))))))))</f>
        <v/>
      </c>
      <c r="E660" s="6" t="str">
        <f t="shared" si="20"/>
        <v/>
      </c>
      <c r="F660" s="8" t="str">
        <f>IF(A660="","",IF('Statements (Raw)'!E658="","",'Statements (Raw)'!E658))</f>
        <v/>
      </c>
      <c r="G660" s="6" t="str">
        <f>IF(A660="","",IF('Statements (Raw)'!F658="","",'Statements (Raw)'!F658))</f>
        <v/>
      </c>
      <c r="H660" s="9" t="str">
        <f>IF(A660="","",IF('Statements (Raw)'!G658="","",'Statements (Raw)'!G658))</f>
        <v/>
      </c>
      <c r="I660" s="10" t="str">
        <f>IF(A660="","",IF('Statements (Raw)'!H658="","",'Statements (Raw)'!H658))</f>
        <v/>
      </c>
      <c r="J660" s="10">
        <f>IF(A660="",0,IF('Statements (Raw)'!I658="",0,'Statements (Raw)'!I658))</f>
        <v>0</v>
      </c>
      <c r="K660" s="10" t="str">
        <f t="shared" si="21"/>
        <v/>
      </c>
    </row>
    <row r="661" spans="1:11" x14ac:dyDescent="0.3">
      <c r="A661" s="171" t="str">
        <f>IF(OR('Statements (Raw)'!A659="",'Statements (Raw)'!A659&gt;Holdings!$G$3),"",'Statements (Raw)'!A659)</f>
        <v/>
      </c>
      <c r="B661" s="7" t="str">
        <f>IF(A661="","",IF('Statements (Raw)'!B659="","",'Statements (Raw)'!B659))</f>
        <v/>
      </c>
      <c r="C661" s="6" t="str">
        <f>IF(A661="","",IF('Statements (Raw)'!C659&lt;&gt;"",'Statements (Raw)'!C659,IF(ISNUMBER(SEARCH("Conferimento",'Statements (Raw)'!D659)),"CASH DEPOSIT",IF(ISNUMBER(SEARCH("Prelievo",'Statements (Raw)'!D659)),"CASH WITHDRAWAL",IF(ISNUMBER(SEARCH("Bollo",'Statements (Raw)'!D659)),"STAMP DUTY",IF(ISNUMBER(SEARCH("Tobin Tax",'Statements (Raw)'!D659)),"TOBIN TAX",IF(ISNUMBER(SEARCH("Rit.provento",'Statements (Raw)'!D659)),"WITHHOLDING TAX",IF(ISNUMBER(SEARCH("Incasso Dividendi",'Statements (Raw)'!D659)),"DIVIDEND",IF(ISNUMBER(SEARCH("Cedola",'Statements (Raw)'!D659)),"COUPON",IF(ISNUMBER(SEARCH("Ratei Pass",'Statements (Raw)'!D659)),"ACCRUED INT",IF(ISNUMBER(SEARCH("Interessi Prest",'Statements (Raw)'!D659)),"SEC LENDING",IF(ISNUMBER(SEARCH("Rimborso",'Statements (Raw)'!D659)),"REDEMPTION",IF(ISNUMBER(SEARCH("Provento",'Statements (Raw)'!D659)),"DISTRIBUTION","OTHER")))))))))))))</f>
        <v/>
      </c>
      <c r="D661" s="6" t="str">
        <f>IF(A661="","",IF(C661="Saldo Iniziale","Balance",IF(C661="CASH DEPOSIT","Deposit",IF(C661="CASH WITHDRAWAL","Withdrawal",IF(C661="STAMP DUTY","Tax",IF(C661="TOBIN TAX","Tax",IF(C661="WITHHOLDING TAX","Tax",IF(C661="DIVIDEND","Dividend",IF(C661="COUPON","Coupon",IF(C661="ACCRUED INT","Accrued Int.",IF(C661="SEC LENDING","Sec. Lending",IF(C661="REDEMPTION","Redemption",IF(C661="DISTRIBUTION","Distribution",IF(ISNUMBER(SEARCH("Rimborso",'Statements (Raw)'!D659)),"Redemption",IF(ISNUMBER(SEARCH("Cedola",'Statements (Raw)'!D659)),"Coupon",IF(ISNUMBER(SEARCH("Incasso Dividendi",'Statements (Raw)'!D659)),"Dividend",IF(ISNUMBER(SEARCH("Provento Etf",'Statements (Raw)'!D659)),"Distribution",IF(ISNUMBER(SEARCH("Rit.provento",'Statements (Raw)'!D659)),"Tax",IF(ISNUMBER(SEARCH("Ratei Pass",'Statements (Raw)'!D659)),"Accrued Int.",IF(ISNUMBER(SEARCH("Interessi Prest",'Statements (Raw)'!D659)),"Sec. Lending",IF('Statements (Raw)'!G659="","Other",IF('Statements (Raw)'!G659&gt;0,"Buy","Sell"))))))))))))))))))))))</f>
        <v/>
      </c>
      <c r="E661" s="6" t="str">
        <f t="shared" si="20"/>
        <v/>
      </c>
      <c r="F661" s="8" t="str">
        <f>IF(A661="","",IF('Statements (Raw)'!E659="","",'Statements (Raw)'!E659))</f>
        <v/>
      </c>
      <c r="G661" s="6" t="str">
        <f>IF(A661="","",IF('Statements (Raw)'!F659="","",'Statements (Raw)'!F659))</f>
        <v/>
      </c>
      <c r="H661" s="9" t="str">
        <f>IF(A661="","",IF('Statements (Raw)'!G659="","",'Statements (Raw)'!G659))</f>
        <v/>
      </c>
      <c r="I661" s="10" t="str">
        <f>IF(A661="","",IF('Statements (Raw)'!H659="","",'Statements (Raw)'!H659))</f>
        <v/>
      </c>
      <c r="J661" s="10">
        <f>IF(A661="",0,IF('Statements (Raw)'!I659="",0,'Statements (Raw)'!I659))</f>
        <v>0</v>
      </c>
      <c r="K661" s="10" t="str">
        <f t="shared" si="21"/>
        <v/>
      </c>
    </row>
    <row r="662" spans="1:11" x14ac:dyDescent="0.3">
      <c r="A662" s="171" t="str">
        <f>IF(OR('Statements (Raw)'!A660="",'Statements (Raw)'!A660&gt;Holdings!$G$3),"",'Statements (Raw)'!A660)</f>
        <v/>
      </c>
      <c r="B662" s="7" t="str">
        <f>IF(A662="","",IF('Statements (Raw)'!B660="","",'Statements (Raw)'!B660))</f>
        <v/>
      </c>
      <c r="C662" s="6" t="str">
        <f>IF(A662="","",IF('Statements (Raw)'!C660&lt;&gt;"",'Statements (Raw)'!C660,IF(ISNUMBER(SEARCH("Conferimento",'Statements (Raw)'!D660)),"CASH DEPOSIT",IF(ISNUMBER(SEARCH("Prelievo",'Statements (Raw)'!D660)),"CASH WITHDRAWAL",IF(ISNUMBER(SEARCH("Bollo",'Statements (Raw)'!D660)),"STAMP DUTY",IF(ISNUMBER(SEARCH("Tobin Tax",'Statements (Raw)'!D660)),"TOBIN TAX",IF(ISNUMBER(SEARCH("Rit.provento",'Statements (Raw)'!D660)),"WITHHOLDING TAX",IF(ISNUMBER(SEARCH("Incasso Dividendi",'Statements (Raw)'!D660)),"DIVIDEND",IF(ISNUMBER(SEARCH("Cedola",'Statements (Raw)'!D660)),"COUPON",IF(ISNUMBER(SEARCH("Ratei Pass",'Statements (Raw)'!D660)),"ACCRUED INT",IF(ISNUMBER(SEARCH("Interessi Prest",'Statements (Raw)'!D660)),"SEC LENDING",IF(ISNUMBER(SEARCH("Rimborso",'Statements (Raw)'!D660)),"REDEMPTION",IF(ISNUMBER(SEARCH("Provento",'Statements (Raw)'!D660)),"DISTRIBUTION","OTHER")))))))))))))</f>
        <v/>
      </c>
      <c r="D662" s="6" t="str">
        <f>IF(A662="","",IF(C662="Saldo Iniziale","Balance",IF(C662="CASH DEPOSIT","Deposit",IF(C662="CASH WITHDRAWAL","Withdrawal",IF(C662="STAMP DUTY","Tax",IF(C662="TOBIN TAX","Tax",IF(C662="WITHHOLDING TAX","Tax",IF(C662="DIVIDEND","Dividend",IF(C662="COUPON","Coupon",IF(C662="ACCRUED INT","Accrued Int.",IF(C662="SEC LENDING","Sec. Lending",IF(C662="REDEMPTION","Redemption",IF(C662="DISTRIBUTION","Distribution",IF(ISNUMBER(SEARCH("Rimborso",'Statements (Raw)'!D660)),"Redemption",IF(ISNUMBER(SEARCH("Cedola",'Statements (Raw)'!D660)),"Coupon",IF(ISNUMBER(SEARCH("Incasso Dividendi",'Statements (Raw)'!D660)),"Dividend",IF(ISNUMBER(SEARCH("Provento Etf",'Statements (Raw)'!D660)),"Distribution",IF(ISNUMBER(SEARCH("Rit.provento",'Statements (Raw)'!D660)),"Tax",IF(ISNUMBER(SEARCH("Ratei Pass",'Statements (Raw)'!D660)),"Accrued Int.",IF(ISNUMBER(SEARCH("Interessi Prest",'Statements (Raw)'!D660)),"Sec. Lending",IF('Statements (Raw)'!G660="","Other",IF('Statements (Raw)'!G660&gt;0,"Buy","Sell"))))))))))))))))))))))</f>
        <v/>
      </c>
      <c r="E662" s="6" t="str">
        <f t="shared" si="20"/>
        <v/>
      </c>
      <c r="F662" s="8" t="str">
        <f>IF(A662="","",IF('Statements (Raw)'!E660="","",'Statements (Raw)'!E660))</f>
        <v/>
      </c>
      <c r="G662" s="6" t="str">
        <f>IF(A662="","",IF('Statements (Raw)'!F660="","",'Statements (Raw)'!F660))</f>
        <v/>
      </c>
      <c r="H662" s="9" t="str">
        <f>IF(A662="","",IF('Statements (Raw)'!G660="","",'Statements (Raw)'!G660))</f>
        <v/>
      </c>
      <c r="I662" s="10" t="str">
        <f>IF(A662="","",IF('Statements (Raw)'!H660="","",'Statements (Raw)'!H660))</f>
        <v/>
      </c>
      <c r="J662" s="10">
        <f>IF(A662="",0,IF('Statements (Raw)'!I660="",0,'Statements (Raw)'!I660))</f>
        <v>0</v>
      </c>
      <c r="K662" s="10" t="str">
        <f t="shared" si="21"/>
        <v/>
      </c>
    </row>
    <row r="663" spans="1:11" x14ac:dyDescent="0.3">
      <c r="A663" s="171" t="str">
        <f>IF(OR('Statements (Raw)'!A661="",'Statements (Raw)'!A661&gt;Holdings!$G$3),"",'Statements (Raw)'!A661)</f>
        <v/>
      </c>
      <c r="B663" s="7" t="str">
        <f>IF(A663="","",IF('Statements (Raw)'!B661="","",'Statements (Raw)'!B661))</f>
        <v/>
      </c>
      <c r="C663" s="6" t="str">
        <f>IF(A663="","",IF('Statements (Raw)'!C661&lt;&gt;"",'Statements (Raw)'!C661,IF(ISNUMBER(SEARCH("Conferimento",'Statements (Raw)'!D661)),"CASH DEPOSIT",IF(ISNUMBER(SEARCH("Prelievo",'Statements (Raw)'!D661)),"CASH WITHDRAWAL",IF(ISNUMBER(SEARCH("Bollo",'Statements (Raw)'!D661)),"STAMP DUTY",IF(ISNUMBER(SEARCH("Tobin Tax",'Statements (Raw)'!D661)),"TOBIN TAX",IF(ISNUMBER(SEARCH("Rit.provento",'Statements (Raw)'!D661)),"WITHHOLDING TAX",IF(ISNUMBER(SEARCH("Incasso Dividendi",'Statements (Raw)'!D661)),"DIVIDEND",IF(ISNUMBER(SEARCH("Cedola",'Statements (Raw)'!D661)),"COUPON",IF(ISNUMBER(SEARCH("Ratei Pass",'Statements (Raw)'!D661)),"ACCRUED INT",IF(ISNUMBER(SEARCH("Interessi Prest",'Statements (Raw)'!D661)),"SEC LENDING",IF(ISNUMBER(SEARCH("Rimborso",'Statements (Raw)'!D661)),"REDEMPTION",IF(ISNUMBER(SEARCH("Provento",'Statements (Raw)'!D661)),"DISTRIBUTION","OTHER")))))))))))))</f>
        <v/>
      </c>
      <c r="D663" s="6" t="str">
        <f>IF(A663="","",IF(C663="Saldo Iniziale","Balance",IF(C663="CASH DEPOSIT","Deposit",IF(C663="CASH WITHDRAWAL","Withdrawal",IF(C663="STAMP DUTY","Tax",IF(C663="TOBIN TAX","Tax",IF(C663="WITHHOLDING TAX","Tax",IF(C663="DIVIDEND","Dividend",IF(C663="COUPON","Coupon",IF(C663="ACCRUED INT","Accrued Int.",IF(C663="SEC LENDING","Sec. Lending",IF(C663="REDEMPTION","Redemption",IF(C663="DISTRIBUTION","Distribution",IF(ISNUMBER(SEARCH("Rimborso",'Statements (Raw)'!D661)),"Redemption",IF(ISNUMBER(SEARCH("Cedola",'Statements (Raw)'!D661)),"Coupon",IF(ISNUMBER(SEARCH("Incasso Dividendi",'Statements (Raw)'!D661)),"Dividend",IF(ISNUMBER(SEARCH("Provento Etf",'Statements (Raw)'!D661)),"Distribution",IF(ISNUMBER(SEARCH("Rit.provento",'Statements (Raw)'!D661)),"Tax",IF(ISNUMBER(SEARCH("Ratei Pass",'Statements (Raw)'!D661)),"Accrued Int.",IF(ISNUMBER(SEARCH("Interessi Prest",'Statements (Raw)'!D661)),"Sec. Lending",IF('Statements (Raw)'!G661="","Other",IF('Statements (Raw)'!G661&gt;0,"Buy","Sell"))))))))))))))))))))))</f>
        <v/>
      </c>
      <c r="E663" s="6" t="str">
        <f t="shared" si="20"/>
        <v/>
      </c>
      <c r="F663" s="8" t="str">
        <f>IF(A663="","",IF('Statements (Raw)'!E661="","",'Statements (Raw)'!E661))</f>
        <v/>
      </c>
      <c r="G663" s="6" t="str">
        <f>IF(A663="","",IF('Statements (Raw)'!F661="","",'Statements (Raw)'!F661))</f>
        <v/>
      </c>
      <c r="H663" s="9" t="str">
        <f>IF(A663="","",IF('Statements (Raw)'!G661="","",'Statements (Raw)'!G661))</f>
        <v/>
      </c>
      <c r="I663" s="10" t="str">
        <f>IF(A663="","",IF('Statements (Raw)'!H661="","",'Statements (Raw)'!H661))</f>
        <v/>
      </c>
      <c r="J663" s="10">
        <f>IF(A663="",0,IF('Statements (Raw)'!I661="",0,'Statements (Raw)'!I661))</f>
        <v>0</v>
      </c>
      <c r="K663" s="10" t="str">
        <f t="shared" si="21"/>
        <v/>
      </c>
    </row>
    <row r="664" spans="1:11" x14ac:dyDescent="0.3">
      <c r="A664" s="171" t="str">
        <f>IF(OR('Statements (Raw)'!A662="",'Statements (Raw)'!A662&gt;Holdings!$G$3),"",'Statements (Raw)'!A662)</f>
        <v/>
      </c>
      <c r="B664" s="7" t="str">
        <f>IF(A664="","",IF('Statements (Raw)'!B662="","",'Statements (Raw)'!B662))</f>
        <v/>
      </c>
      <c r="C664" s="6" t="str">
        <f>IF(A664="","",IF('Statements (Raw)'!C662&lt;&gt;"",'Statements (Raw)'!C662,IF(ISNUMBER(SEARCH("Conferimento",'Statements (Raw)'!D662)),"CASH DEPOSIT",IF(ISNUMBER(SEARCH("Prelievo",'Statements (Raw)'!D662)),"CASH WITHDRAWAL",IF(ISNUMBER(SEARCH("Bollo",'Statements (Raw)'!D662)),"STAMP DUTY",IF(ISNUMBER(SEARCH("Tobin Tax",'Statements (Raw)'!D662)),"TOBIN TAX",IF(ISNUMBER(SEARCH("Rit.provento",'Statements (Raw)'!D662)),"WITHHOLDING TAX",IF(ISNUMBER(SEARCH("Incasso Dividendi",'Statements (Raw)'!D662)),"DIVIDEND",IF(ISNUMBER(SEARCH("Cedola",'Statements (Raw)'!D662)),"COUPON",IF(ISNUMBER(SEARCH("Ratei Pass",'Statements (Raw)'!D662)),"ACCRUED INT",IF(ISNUMBER(SEARCH("Interessi Prest",'Statements (Raw)'!D662)),"SEC LENDING",IF(ISNUMBER(SEARCH("Rimborso",'Statements (Raw)'!D662)),"REDEMPTION",IF(ISNUMBER(SEARCH("Provento",'Statements (Raw)'!D662)),"DISTRIBUTION","OTHER")))))))))))))</f>
        <v/>
      </c>
      <c r="D664" s="6" t="str">
        <f>IF(A664="","",IF(C664="Saldo Iniziale","Balance",IF(C664="CASH DEPOSIT","Deposit",IF(C664="CASH WITHDRAWAL","Withdrawal",IF(C664="STAMP DUTY","Tax",IF(C664="TOBIN TAX","Tax",IF(C664="WITHHOLDING TAX","Tax",IF(C664="DIVIDEND","Dividend",IF(C664="COUPON","Coupon",IF(C664="ACCRUED INT","Accrued Int.",IF(C664="SEC LENDING","Sec. Lending",IF(C664="REDEMPTION","Redemption",IF(C664="DISTRIBUTION","Distribution",IF(ISNUMBER(SEARCH("Rimborso",'Statements (Raw)'!D662)),"Redemption",IF(ISNUMBER(SEARCH("Cedola",'Statements (Raw)'!D662)),"Coupon",IF(ISNUMBER(SEARCH("Incasso Dividendi",'Statements (Raw)'!D662)),"Dividend",IF(ISNUMBER(SEARCH("Provento Etf",'Statements (Raw)'!D662)),"Distribution",IF(ISNUMBER(SEARCH("Rit.provento",'Statements (Raw)'!D662)),"Tax",IF(ISNUMBER(SEARCH("Ratei Pass",'Statements (Raw)'!D662)),"Accrued Int.",IF(ISNUMBER(SEARCH("Interessi Prest",'Statements (Raw)'!D662)),"Sec. Lending",IF('Statements (Raw)'!G662="","Other",IF('Statements (Raw)'!G662&gt;0,"Buy","Sell"))))))))))))))))))))))</f>
        <v/>
      </c>
      <c r="E664" s="6" t="str">
        <f t="shared" si="20"/>
        <v/>
      </c>
      <c r="F664" s="8" t="str">
        <f>IF(A664="","",IF('Statements (Raw)'!E662="","",'Statements (Raw)'!E662))</f>
        <v/>
      </c>
      <c r="G664" s="6" t="str">
        <f>IF(A664="","",IF('Statements (Raw)'!F662="","",'Statements (Raw)'!F662))</f>
        <v/>
      </c>
      <c r="H664" s="9" t="str">
        <f>IF(A664="","",IF('Statements (Raw)'!G662="","",'Statements (Raw)'!G662))</f>
        <v/>
      </c>
      <c r="I664" s="10" t="str">
        <f>IF(A664="","",IF('Statements (Raw)'!H662="","",'Statements (Raw)'!H662))</f>
        <v/>
      </c>
      <c r="J664" s="10">
        <f>IF(A664="",0,IF('Statements (Raw)'!I662="",0,'Statements (Raw)'!I662))</f>
        <v>0</v>
      </c>
      <c r="K664" s="10" t="str">
        <f t="shared" si="21"/>
        <v/>
      </c>
    </row>
    <row r="665" spans="1:11" x14ac:dyDescent="0.3">
      <c r="A665" s="171" t="str">
        <f>IF(OR('Statements (Raw)'!A663="",'Statements (Raw)'!A663&gt;Holdings!$G$3),"",'Statements (Raw)'!A663)</f>
        <v/>
      </c>
      <c r="B665" s="7" t="str">
        <f>IF(A665="","",IF('Statements (Raw)'!B663="","",'Statements (Raw)'!B663))</f>
        <v/>
      </c>
      <c r="C665" s="6" t="str">
        <f>IF(A665="","",IF('Statements (Raw)'!C663&lt;&gt;"",'Statements (Raw)'!C663,IF(ISNUMBER(SEARCH("Conferimento",'Statements (Raw)'!D663)),"CASH DEPOSIT",IF(ISNUMBER(SEARCH("Prelievo",'Statements (Raw)'!D663)),"CASH WITHDRAWAL",IF(ISNUMBER(SEARCH("Bollo",'Statements (Raw)'!D663)),"STAMP DUTY",IF(ISNUMBER(SEARCH("Tobin Tax",'Statements (Raw)'!D663)),"TOBIN TAX",IF(ISNUMBER(SEARCH("Rit.provento",'Statements (Raw)'!D663)),"WITHHOLDING TAX",IF(ISNUMBER(SEARCH("Incasso Dividendi",'Statements (Raw)'!D663)),"DIVIDEND",IF(ISNUMBER(SEARCH("Cedola",'Statements (Raw)'!D663)),"COUPON",IF(ISNUMBER(SEARCH("Ratei Pass",'Statements (Raw)'!D663)),"ACCRUED INT",IF(ISNUMBER(SEARCH("Interessi Prest",'Statements (Raw)'!D663)),"SEC LENDING",IF(ISNUMBER(SEARCH("Rimborso",'Statements (Raw)'!D663)),"REDEMPTION",IF(ISNUMBER(SEARCH("Provento",'Statements (Raw)'!D663)),"DISTRIBUTION","OTHER")))))))))))))</f>
        <v/>
      </c>
      <c r="D665" s="6" t="str">
        <f>IF(A665="","",IF(C665="Saldo Iniziale","Balance",IF(C665="CASH DEPOSIT","Deposit",IF(C665="CASH WITHDRAWAL","Withdrawal",IF(C665="STAMP DUTY","Tax",IF(C665="TOBIN TAX","Tax",IF(C665="WITHHOLDING TAX","Tax",IF(C665="DIVIDEND","Dividend",IF(C665="COUPON","Coupon",IF(C665="ACCRUED INT","Accrued Int.",IF(C665="SEC LENDING","Sec. Lending",IF(C665="REDEMPTION","Redemption",IF(C665="DISTRIBUTION","Distribution",IF(ISNUMBER(SEARCH("Rimborso",'Statements (Raw)'!D663)),"Redemption",IF(ISNUMBER(SEARCH("Cedola",'Statements (Raw)'!D663)),"Coupon",IF(ISNUMBER(SEARCH("Incasso Dividendi",'Statements (Raw)'!D663)),"Dividend",IF(ISNUMBER(SEARCH("Provento Etf",'Statements (Raw)'!D663)),"Distribution",IF(ISNUMBER(SEARCH("Rit.provento",'Statements (Raw)'!D663)),"Tax",IF(ISNUMBER(SEARCH("Ratei Pass",'Statements (Raw)'!D663)),"Accrued Int.",IF(ISNUMBER(SEARCH("Interessi Prest",'Statements (Raw)'!D663)),"Sec. Lending",IF('Statements (Raw)'!G663="","Other",IF('Statements (Raw)'!G663&gt;0,"Buy","Sell"))))))))))))))))))))))</f>
        <v/>
      </c>
      <c r="E665" s="6" t="str">
        <f t="shared" si="20"/>
        <v/>
      </c>
      <c r="F665" s="8" t="str">
        <f>IF(A665="","",IF('Statements (Raw)'!E663="","",'Statements (Raw)'!E663))</f>
        <v/>
      </c>
      <c r="G665" s="6" t="str">
        <f>IF(A665="","",IF('Statements (Raw)'!F663="","",'Statements (Raw)'!F663))</f>
        <v/>
      </c>
      <c r="H665" s="9" t="str">
        <f>IF(A665="","",IF('Statements (Raw)'!G663="","",'Statements (Raw)'!G663))</f>
        <v/>
      </c>
      <c r="I665" s="10" t="str">
        <f>IF(A665="","",IF('Statements (Raw)'!H663="","",'Statements (Raw)'!H663))</f>
        <v/>
      </c>
      <c r="J665" s="10">
        <f>IF(A665="",0,IF('Statements (Raw)'!I663="",0,'Statements (Raw)'!I663))</f>
        <v>0</v>
      </c>
      <c r="K665" s="10" t="str">
        <f t="shared" si="21"/>
        <v/>
      </c>
    </row>
    <row r="666" spans="1:11" x14ac:dyDescent="0.3">
      <c r="A666" s="171" t="str">
        <f>IF(OR('Statements (Raw)'!A664="",'Statements (Raw)'!A664&gt;Holdings!$G$3),"",'Statements (Raw)'!A664)</f>
        <v/>
      </c>
      <c r="B666" s="7" t="str">
        <f>IF(A666="","",IF('Statements (Raw)'!B664="","",'Statements (Raw)'!B664))</f>
        <v/>
      </c>
      <c r="C666" s="6" t="str">
        <f>IF(A666="","",IF('Statements (Raw)'!C664&lt;&gt;"",'Statements (Raw)'!C664,IF(ISNUMBER(SEARCH("Conferimento",'Statements (Raw)'!D664)),"CASH DEPOSIT",IF(ISNUMBER(SEARCH("Prelievo",'Statements (Raw)'!D664)),"CASH WITHDRAWAL",IF(ISNUMBER(SEARCH("Bollo",'Statements (Raw)'!D664)),"STAMP DUTY",IF(ISNUMBER(SEARCH("Tobin Tax",'Statements (Raw)'!D664)),"TOBIN TAX",IF(ISNUMBER(SEARCH("Rit.provento",'Statements (Raw)'!D664)),"WITHHOLDING TAX",IF(ISNUMBER(SEARCH("Incasso Dividendi",'Statements (Raw)'!D664)),"DIVIDEND",IF(ISNUMBER(SEARCH("Cedola",'Statements (Raw)'!D664)),"COUPON",IF(ISNUMBER(SEARCH("Ratei Pass",'Statements (Raw)'!D664)),"ACCRUED INT",IF(ISNUMBER(SEARCH("Interessi Prest",'Statements (Raw)'!D664)),"SEC LENDING",IF(ISNUMBER(SEARCH("Rimborso",'Statements (Raw)'!D664)),"REDEMPTION",IF(ISNUMBER(SEARCH("Provento",'Statements (Raw)'!D664)),"DISTRIBUTION","OTHER")))))))))))))</f>
        <v/>
      </c>
      <c r="D666" s="6" t="str">
        <f>IF(A666="","",IF(C666="Saldo Iniziale","Balance",IF(C666="CASH DEPOSIT","Deposit",IF(C666="CASH WITHDRAWAL","Withdrawal",IF(C666="STAMP DUTY","Tax",IF(C666="TOBIN TAX","Tax",IF(C666="WITHHOLDING TAX","Tax",IF(C666="DIVIDEND","Dividend",IF(C666="COUPON","Coupon",IF(C666="ACCRUED INT","Accrued Int.",IF(C666="SEC LENDING","Sec. Lending",IF(C666="REDEMPTION","Redemption",IF(C666="DISTRIBUTION","Distribution",IF(ISNUMBER(SEARCH("Rimborso",'Statements (Raw)'!D664)),"Redemption",IF(ISNUMBER(SEARCH("Cedola",'Statements (Raw)'!D664)),"Coupon",IF(ISNUMBER(SEARCH("Incasso Dividendi",'Statements (Raw)'!D664)),"Dividend",IF(ISNUMBER(SEARCH("Provento Etf",'Statements (Raw)'!D664)),"Distribution",IF(ISNUMBER(SEARCH("Rit.provento",'Statements (Raw)'!D664)),"Tax",IF(ISNUMBER(SEARCH("Ratei Pass",'Statements (Raw)'!D664)),"Accrued Int.",IF(ISNUMBER(SEARCH("Interessi Prest",'Statements (Raw)'!D664)),"Sec. Lending",IF('Statements (Raw)'!G664="","Other",IF('Statements (Raw)'!G664&gt;0,"Buy","Sell"))))))))))))))))))))))</f>
        <v/>
      </c>
      <c r="E666" s="6" t="str">
        <f t="shared" si="20"/>
        <v/>
      </c>
      <c r="F666" s="8" t="str">
        <f>IF(A666="","",IF('Statements (Raw)'!E664="","",'Statements (Raw)'!E664))</f>
        <v/>
      </c>
      <c r="G666" s="6" t="str">
        <f>IF(A666="","",IF('Statements (Raw)'!F664="","",'Statements (Raw)'!F664))</f>
        <v/>
      </c>
      <c r="H666" s="9" t="str">
        <f>IF(A666="","",IF('Statements (Raw)'!G664="","",'Statements (Raw)'!G664))</f>
        <v/>
      </c>
      <c r="I666" s="10" t="str">
        <f>IF(A666="","",IF('Statements (Raw)'!H664="","",'Statements (Raw)'!H664))</f>
        <v/>
      </c>
      <c r="J666" s="10">
        <f>IF(A666="",0,IF('Statements (Raw)'!I664="",0,'Statements (Raw)'!I664))</f>
        <v>0</v>
      </c>
      <c r="K666" s="10" t="str">
        <f t="shared" si="21"/>
        <v/>
      </c>
    </row>
    <row r="667" spans="1:11" x14ac:dyDescent="0.3">
      <c r="A667" s="171" t="str">
        <f>IF(OR('Statements (Raw)'!A665="",'Statements (Raw)'!A665&gt;Holdings!$G$3),"",'Statements (Raw)'!A665)</f>
        <v/>
      </c>
      <c r="B667" s="7" t="str">
        <f>IF(A667="","",IF('Statements (Raw)'!B665="","",'Statements (Raw)'!B665))</f>
        <v/>
      </c>
      <c r="C667" s="6" t="str">
        <f>IF(A667="","",IF('Statements (Raw)'!C665&lt;&gt;"",'Statements (Raw)'!C665,IF(ISNUMBER(SEARCH("Conferimento",'Statements (Raw)'!D665)),"CASH DEPOSIT",IF(ISNUMBER(SEARCH("Prelievo",'Statements (Raw)'!D665)),"CASH WITHDRAWAL",IF(ISNUMBER(SEARCH("Bollo",'Statements (Raw)'!D665)),"STAMP DUTY",IF(ISNUMBER(SEARCH("Tobin Tax",'Statements (Raw)'!D665)),"TOBIN TAX",IF(ISNUMBER(SEARCH("Rit.provento",'Statements (Raw)'!D665)),"WITHHOLDING TAX",IF(ISNUMBER(SEARCH("Incasso Dividendi",'Statements (Raw)'!D665)),"DIVIDEND",IF(ISNUMBER(SEARCH("Cedola",'Statements (Raw)'!D665)),"COUPON",IF(ISNUMBER(SEARCH("Ratei Pass",'Statements (Raw)'!D665)),"ACCRUED INT",IF(ISNUMBER(SEARCH("Interessi Prest",'Statements (Raw)'!D665)),"SEC LENDING",IF(ISNUMBER(SEARCH("Rimborso",'Statements (Raw)'!D665)),"REDEMPTION",IF(ISNUMBER(SEARCH("Provento",'Statements (Raw)'!D665)),"DISTRIBUTION","OTHER")))))))))))))</f>
        <v/>
      </c>
      <c r="D667" s="6" t="str">
        <f>IF(A667="","",IF(C667="Saldo Iniziale","Balance",IF(C667="CASH DEPOSIT","Deposit",IF(C667="CASH WITHDRAWAL","Withdrawal",IF(C667="STAMP DUTY","Tax",IF(C667="TOBIN TAX","Tax",IF(C667="WITHHOLDING TAX","Tax",IF(C667="DIVIDEND","Dividend",IF(C667="COUPON","Coupon",IF(C667="ACCRUED INT","Accrued Int.",IF(C667="SEC LENDING","Sec. Lending",IF(C667="REDEMPTION","Redemption",IF(C667="DISTRIBUTION","Distribution",IF(ISNUMBER(SEARCH("Rimborso",'Statements (Raw)'!D665)),"Redemption",IF(ISNUMBER(SEARCH("Cedola",'Statements (Raw)'!D665)),"Coupon",IF(ISNUMBER(SEARCH("Incasso Dividendi",'Statements (Raw)'!D665)),"Dividend",IF(ISNUMBER(SEARCH("Provento Etf",'Statements (Raw)'!D665)),"Distribution",IF(ISNUMBER(SEARCH("Rit.provento",'Statements (Raw)'!D665)),"Tax",IF(ISNUMBER(SEARCH("Ratei Pass",'Statements (Raw)'!D665)),"Accrued Int.",IF(ISNUMBER(SEARCH("Interessi Prest",'Statements (Raw)'!D665)),"Sec. Lending",IF('Statements (Raw)'!G665="","Other",IF('Statements (Raw)'!G665&gt;0,"Buy","Sell"))))))))))))))))))))))</f>
        <v/>
      </c>
      <c r="E667" s="6" t="str">
        <f t="shared" si="20"/>
        <v/>
      </c>
      <c r="F667" s="8" t="str">
        <f>IF(A667="","",IF('Statements (Raw)'!E665="","",'Statements (Raw)'!E665))</f>
        <v/>
      </c>
      <c r="G667" s="6" t="str">
        <f>IF(A667="","",IF('Statements (Raw)'!F665="","",'Statements (Raw)'!F665))</f>
        <v/>
      </c>
      <c r="H667" s="9" t="str">
        <f>IF(A667="","",IF('Statements (Raw)'!G665="","",'Statements (Raw)'!G665))</f>
        <v/>
      </c>
      <c r="I667" s="10" t="str">
        <f>IF(A667="","",IF('Statements (Raw)'!H665="","",'Statements (Raw)'!H665))</f>
        <v/>
      </c>
      <c r="J667" s="10">
        <f>IF(A667="",0,IF('Statements (Raw)'!I665="",0,'Statements (Raw)'!I665))</f>
        <v>0</v>
      </c>
      <c r="K667" s="10" t="str">
        <f t="shared" si="21"/>
        <v/>
      </c>
    </row>
    <row r="668" spans="1:11" x14ac:dyDescent="0.3">
      <c r="A668" s="171" t="str">
        <f>IF(OR('Statements (Raw)'!A666="",'Statements (Raw)'!A666&gt;Holdings!$G$3),"",'Statements (Raw)'!A666)</f>
        <v/>
      </c>
      <c r="B668" s="7" t="str">
        <f>IF(A668="","",IF('Statements (Raw)'!B666="","",'Statements (Raw)'!B666))</f>
        <v/>
      </c>
      <c r="C668" s="6" t="str">
        <f>IF(A668="","",IF('Statements (Raw)'!C666&lt;&gt;"",'Statements (Raw)'!C666,IF(ISNUMBER(SEARCH("Conferimento",'Statements (Raw)'!D666)),"CASH DEPOSIT",IF(ISNUMBER(SEARCH("Prelievo",'Statements (Raw)'!D666)),"CASH WITHDRAWAL",IF(ISNUMBER(SEARCH("Bollo",'Statements (Raw)'!D666)),"STAMP DUTY",IF(ISNUMBER(SEARCH("Tobin Tax",'Statements (Raw)'!D666)),"TOBIN TAX",IF(ISNUMBER(SEARCH("Rit.provento",'Statements (Raw)'!D666)),"WITHHOLDING TAX",IF(ISNUMBER(SEARCH("Incasso Dividendi",'Statements (Raw)'!D666)),"DIVIDEND",IF(ISNUMBER(SEARCH("Cedola",'Statements (Raw)'!D666)),"COUPON",IF(ISNUMBER(SEARCH("Ratei Pass",'Statements (Raw)'!D666)),"ACCRUED INT",IF(ISNUMBER(SEARCH("Interessi Prest",'Statements (Raw)'!D666)),"SEC LENDING",IF(ISNUMBER(SEARCH("Rimborso",'Statements (Raw)'!D666)),"REDEMPTION",IF(ISNUMBER(SEARCH("Provento",'Statements (Raw)'!D666)),"DISTRIBUTION","OTHER")))))))))))))</f>
        <v/>
      </c>
      <c r="D668" s="6" t="str">
        <f>IF(A668="","",IF(C668="Saldo Iniziale","Balance",IF(C668="CASH DEPOSIT","Deposit",IF(C668="CASH WITHDRAWAL","Withdrawal",IF(C668="STAMP DUTY","Tax",IF(C668="TOBIN TAX","Tax",IF(C668="WITHHOLDING TAX","Tax",IF(C668="DIVIDEND","Dividend",IF(C668="COUPON","Coupon",IF(C668="ACCRUED INT","Accrued Int.",IF(C668="SEC LENDING","Sec. Lending",IF(C668="REDEMPTION","Redemption",IF(C668="DISTRIBUTION","Distribution",IF(ISNUMBER(SEARCH("Rimborso",'Statements (Raw)'!D666)),"Redemption",IF(ISNUMBER(SEARCH("Cedola",'Statements (Raw)'!D666)),"Coupon",IF(ISNUMBER(SEARCH("Incasso Dividendi",'Statements (Raw)'!D666)),"Dividend",IF(ISNUMBER(SEARCH("Provento Etf",'Statements (Raw)'!D666)),"Distribution",IF(ISNUMBER(SEARCH("Rit.provento",'Statements (Raw)'!D666)),"Tax",IF(ISNUMBER(SEARCH("Ratei Pass",'Statements (Raw)'!D666)),"Accrued Int.",IF(ISNUMBER(SEARCH("Interessi Prest",'Statements (Raw)'!D666)),"Sec. Lending",IF('Statements (Raw)'!G666="","Other",IF('Statements (Raw)'!G666&gt;0,"Buy","Sell"))))))))))))))))))))))</f>
        <v/>
      </c>
      <c r="E668" s="6" t="str">
        <f t="shared" si="20"/>
        <v/>
      </c>
      <c r="F668" s="8" t="str">
        <f>IF(A668="","",IF('Statements (Raw)'!E666="","",'Statements (Raw)'!E666))</f>
        <v/>
      </c>
      <c r="G668" s="6" t="str">
        <f>IF(A668="","",IF('Statements (Raw)'!F666="","",'Statements (Raw)'!F666))</f>
        <v/>
      </c>
      <c r="H668" s="9" t="str">
        <f>IF(A668="","",IF('Statements (Raw)'!G666="","",'Statements (Raw)'!G666))</f>
        <v/>
      </c>
      <c r="I668" s="10" t="str">
        <f>IF(A668="","",IF('Statements (Raw)'!H666="","",'Statements (Raw)'!H666))</f>
        <v/>
      </c>
      <c r="J668" s="10">
        <f>IF(A668="",0,IF('Statements (Raw)'!I666="",0,'Statements (Raw)'!I666))</f>
        <v>0</v>
      </c>
      <c r="K668" s="10" t="str">
        <f t="shared" si="21"/>
        <v/>
      </c>
    </row>
    <row r="669" spans="1:11" x14ac:dyDescent="0.3">
      <c r="A669" s="171" t="str">
        <f>IF(OR('Statements (Raw)'!A667="",'Statements (Raw)'!A667&gt;Holdings!$G$3),"",'Statements (Raw)'!A667)</f>
        <v/>
      </c>
      <c r="B669" s="7" t="str">
        <f>IF(A669="","",IF('Statements (Raw)'!B667="","",'Statements (Raw)'!B667))</f>
        <v/>
      </c>
      <c r="C669" s="6" t="str">
        <f>IF(A669="","",IF('Statements (Raw)'!C667&lt;&gt;"",'Statements (Raw)'!C667,IF(ISNUMBER(SEARCH("Conferimento",'Statements (Raw)'!D667)),"CASH DEPOSIT",IF(ISNUMBER(SEARCH("Prelievo",'Statements (Raw)'!D667)),"CASH WITHDRAWAL",IF(ISNUMBER(SEARCH("Bollo",'Statements (Raw)'!D667)),"STAMP DUTY",IF(ISNUMBER(SEARCH("Tobin Tax",'Statements (Raw)'!D667)),"TOBIN TAX",IF(ISNUMBER(SEARCH("Rit.provento",'Statements (Raw)'!D667)),"WITHHOLDING TAX",IF(ISNUMBER(SEARCH("Incasso Dividendi",'Statements (Raw)'!D667)),"DIVIDEND",IF(ISNUMBER(SEARCH("Cedola",'Statements (Raw)'!D667)),"COUPON",IF(ISNUMBER(SEARCH("Ratei Pass",'Statements (Raw)'!D667)),"ACCRUED INT",IF(ISNUMBER(SEARCH("Interessi Prest",'Statements (Raw)'!D667)),"SEC LENDING",IF(ISNUMBER(SEARCH("Rimborso",'Statements (Raw)'!D667)),"REDEMPTION",IF(ISNUMBER(SEARCH("Provento",'Statements (Raw)'!D667)),"DISTRIBUTION","OTHER")))))))))))))</f>
        <v/>
      </c>
      <c r="D669" s="6" t="str">
        <f>IF(A669="","",IF(C669="Saldo Iniziale","Balance",IF(C669="CASH DEPOSIT","Deposit",IF(C669="CASH WITHDRAWAL","Withdrawal",IF(C669="STAMP DUTY","Tax",IF(C669="TOBIN TAX","Tax",IF(C669="WITHHOLDING TAX","Tax",IF(C669="DIVIDEND","Dividend",IF(C669="COUPON","Coupon",IF(C669="ACCRUED INT","Accrued Int.",IF(C669="SEC LENDING","Sec. Lending",IF(C669="REDEMPTION","Redemption",IF(C669="DISTRIBUTION","Distribution",IF(ISNUMBER(SEARCH("Rimborso",'Statements (Raw)'!D667)),"Redemption",IF(ISNUMBER(SEARCH("Cedola",'Statements (Raw)'!D667)),"Coupon",IF(ISNUMBER(SEARCH("Incasso Dividendi",'Statements (Raw)'!D667)),"Dividend",IF(ISNUMBER(SEARCH("Provento Etf",'Statements (Raw)'!D667)),"Distribution",IF(ISNUMBER(SEARCH("Rit.provento",'Statements (Raw)'!D667)),"Tax",IF(ISNUMBER(SEARCH("Ratei Pass",'Statements (Raw)'!D667)),"Accrued Int.",IF(ISNUMBER(SEARCH("Interessi Prest",'Statements (Raw)'!D667)),"Sec. Lending",IF('Statements (Raw)'!G667="","Other",IF('Statements (Raw)'!G667&gt;0,"Buy","Sell"))))))))))))))))))))))</f>
        <v/>
      </c>
      <c r="E669" s="6" t="str">
        <f t="shared" si="20"/>
        <v/>
      </c>
      <c r="F669" s="8" t="str">
        <f>IF(A669="","",IF('Statements (Raw)'!E667="","",'Statements (Raw)'!E667))</f>
        <v/>
      </c>
      <c r="G669" s="6" t="str">
        <f>IF(A669="","",IF('Statements (Raw)'!F667="","",'Statements (Raw)'!F667))</f>
        <v/>
      </c>
      <c r="H669" s="9" t="str">
        <f>IF(A669="","",IF('Statements (Raw)'!G667="","",'Statements (Raw)'!G667))</f>
        <v/>
      </c>
      <c r="I669" s="10" t="str">
        <f>IF(A669="","",IF('Statements (Raw)'!H667="","",'Statements (Raw)'!H667))</f>
        <v/>
      </c>
      <c r="J669" s="10">
        <f>IF(A669="",0,IF('Statements (Raw)'!I667="",0,'Statements (Raw)'!I667))</f>
        <v>0</v>
      </c>
      <c r="K669" s="10" t="str">
        <f t="shared" si="21"/>
        <v/>
      </c>
    </row>
    <row r="670" spans="1:11" x14ac:dyDescent="0.3">
      <c r="A670" s="171" t="str">
        <f>IF(OR('Statements (Raw)'!A668="",'Statements (Raw)'!A668&gt;Holdings!$G$3),"",'Statements (Raw)'!A668)</f>
        <v/>
      </c>
      <c r="B670" s="7" t="str">
        <f>IF(A670="","",IF('Statements (Raw)'!B668="","",'Statements (Raw)'!B668))</f>
        <v/>
      </c>
      <c r="C670" s="6" t="str">
        <f>IF(A670="","",IF('Statements (Raw)'!C668&lt;&gt;"",'Statements (Raw)'!C668,IF(ISNUMBER(SEARCH("Conferimento",'Statements (Raw)'!D668)),"CASH DEPOSIT",IF(ISNUMBER(SEARCH("Prelievo",'Statements (Raw)'!D668)),"CASH WITHDRAWAL",IF(ISNUMBER(SEARCH("Bollo",'Statements (Raw)'!D668)),"STAMP DUTY",IF(ISNUMBER(SEARCH("Tobin Tax",'Statements (Raw)'!D668)),"TOBIN TAX",IF(ISNUMBER(SEARCH("Rit.provento",'Statements (Raw)'!D668)),"WITHHOLDING TAX",IF(ISNUMBER(SEARCH("Incasso Dividendi",'Statements (Raw)'!D668)),"DIVIDEND",IF(ISNUMBER(SEARCH("Cedola",'Statements (Raw)'!D668)),"COUPON",IF(ISNUMBER(SEARCH("Ratei Pass",'Statements (Raw)'!D668)),"ACCRUED INT",IF(ISNUMBER(SEARCH("Interessi Prest",'Statements (Raw)'!D668)),"SEC LENDING",IF(ISNUMBER(SEARCH("Rimborso",'Statements (Raw)'!D668)),"REDEMPTION",IF(ISNUMBER(SEARCH("Provento",'Statements (Raw)'!D668)),"DISTRIBUTION","OTHER")))))))))))))</f>
        <v/>
      </c>
      <c r="D670" s="6" t="str">
        <f>IF(A670="","",IF(C670="Saldo Iniziale","Balance",IF(C670="CASH DEPOSIT","Deposit",IF(C670="CASH WITHDRAWAL","Withdrawal",IF(C670="STAMP DUTY","Tax",IF(C670="TOBIN TAX","Tax",IF(C670="WITHHOLDING TAX","Tax",IF(C670="DIVIDEND","Dividend",IF(C670="COUPON","Coupon",IF(C670="ACCRUED INT","Accrued Int.",IF(C670="SEC LENDING","Sec. Lending",IF(C670="REDEMPTION","Redemption",IF(C670="DISTRIBUTION","Distribution",IF(ISNUMBER(SEARCH("Rimborso",'Statements (Raw)'!D668)),"Redemption",IF(ISNUMBER(SEARCH("Cedola",'Statements (Raw)'!D668)),"Coupon",IF(ISNUMBER(SEARCH("Incasso Dividendi",'Statements (Raw)'!D668)),"Dividend",IF(ISNUMBER(SEARCH("Provento Etf",'Statements (Raw)'!D668)),"Distribution",IF(ISNUMBER(SEARCH("Rit.provento",'Statements (Raw)'!D668)),"Tax",IF(ISNUMBER(SEARCH("Ratei Pass",'Statements (Raw)'!D668)),"Accrued Int.",IF(ISNUMBER(SEARCH("Interessi Prest",'Statements (Raw)'!D668)),"Sec. Lending",IF('Statements (Raw)'!G668="","Other",IF('Statements (Raw)'!G668&gt;0,"Buy","Sell"))))))))))))))))))))))</f>
        <v/>
      </c>
      <c r="E670" s="6" t="str">
        <f t="shared" si="20"/>
        <v/>
      </c>
      <c r="F670" s="8" t="str">
        <f>IF(A670="","",IF('Statements (Raw)'!E668="","",'Statements (Raw)'!E668))</f>
        <v/>
      </c>
      <c r="G670" s="6" t="str">
        <f>IF(A670="","",IF('Statements (Raw)'!F668="","",'Statements (Raw)'!F668))</f>
        <v/>
      </c>
      <c r="H670" s="9" t="str">
        <f>IF(A670="","",IF('Statements (Raw)'!G668="","",'Statements (Raw)'!G668))</f>
        <v/>
      </c>
      <c r="I670" s="10" t="str">
        <f>IF(A670="","",IF('Statements (Raw)'!H668="","",'Statements (Raw)'!H668))</f>
        <v/>
      </c>
      <c r="J670" s="10">
        <f>IF(A670="",0,IF('Statements (Raw)'!I668="",0,'Statements (Raw)'!I668))</f>
        <v>0</v>
      </c>
      <c r="K670" s="10" t="str">
        <f t="shared" si="21"/>
        <v/>
      </c>
    </row>
    <row r="671" spans="1:11" x14ac:dyDescent="0.3">
      <c r="A671" s="171" t="str">
        <f>IF(OR('Statements (Raw)'!A669="",'Statements (Raw)'!A669&gt;Holdings!$G$3),"",'Statements (Raw)'!A669)</f>
        <v/>
      </c>
      <c r="B671" s="7" t="str">
        <f>IF(A671="","",IF('Statements (Raw)'!B669="","",'Statements (Raw)'!B669))</f>
        <v/>
      </c>
      <c r="C671" s="6" t="str">
        <f>IF(A671="","",IF('Statements (Raw)'!C669&lt;&gt;"",'Statements (Raw)'!C669,IF(ISNUMBER(SEARCH("Conferimento",'Statements (Raw)'!D669)),"CASH DEPOSIT",IF(ISNUMBER(SEARCH("Prelievo",'Statements (Raw)'!D669)),"CASH WITHDRAWAL",IF(ISNUMBER(SEARCH("Bollo",'Statements (Raw)'!D669)),"STAMP DUTY",IF(ISNUMBER(SEARCH("Tobin Tax",'Statements (Raw)'!D669)),"TOBIN TAX",IF(ISNUMBER(SEARCH("Rit.provento",'Statements (Raw)'!D669)),"WITHHOLDING TAX",IF(ISNUMBER(SEARCH("Incasso Dividendi",'Statements (Raw)'!D669)),"DIVIDEND",IF(ISNUMBER(SEARCH("Cedola",'Statements (Raw)'!D669)),"COUPON",IF(ISNUMBER(SEARCH("Ratei Pass",'Statements (Raw)'!D669)),"ACCRUED INT",IF(ISNUMBER(SEARCH("Interessi Prest",'Statements (Raw)'!D669)),"SEC LENDING",IF(ISNUMBER(SEARCH("Rimborso",'Statements (Raw)'!D669)),"REDEMPTION",IF(ISNUMBER(SEARCH("Provento",'Statements (Raw)'!D669)),"DISTRIBUTION","OTHER")))))))))))))</f>
        <v/>
      </c>
      <c r="D671" s="6" t="str">
        <f>IF(A671="","",IF(C671="Saldo Iniziale","Balance",IF(C671="CASH DEPOSIT","Deposit",IF(C671="CASH WITHDRAWAL","Withdrawal",IF(C671="STAMP DUTY","Tax",IF(C671="TOBIN TAX","Tax",IF(C671="WITHHOLDING TAX","Tax",IF(C671="DIVIDEND","Dividend",IF(C671="COUPON","Coupon",IF(C671="ACCRUED INT","Accrued Int.",IF(C671="SEC LENDING","Sec. Lending",IF(C671="REDEMPTION","Redemption",IF(C671="DISTRIBUTION","Distribution",IF(ISNUMBER(SEARCH("Rimborso",'Statements (Raw)'!D669)),"Redemption",IF(ISNUMBER(SEARCH("Cedola",'Statements (Raw)'!D669)),"Coupon",IF(ISNUMBER(SEARCH("Incasso Dividendi",'Statements (Raw)'!D669)),"Dividend",IF(ISNUMBER(SEARCH("Provento Etf",'Statements (Raw)'!D669)),"Distribution",IF(ISNUMBER(SEARCH("Rit.provento",'Statements (Raw)'!D669)),"Tax",IF(ISNUMBER(SEARCH("Ratei Pass",'Statements (Raw)'!D669)),"Accrued Int.",IF(ISNUMBER(SEARCH("Interessi Prest",'Statements (Raw)'!D669)),"Sec. Lending",IF('Statements (Raw)'!G669="","Other",IF('Statements (Raw)'!G669&gt;0,"Buy","Sell"))))))))))))))))))))))</f>
        <v/>
      </c>
      <c r="E671" s="6" t="str">
        <f t="shared" si="20"/>
        <v/>
      </c>
      <c r="F671" s="8" t="str">
        <f>IF(A671="","",IF('Statements (Raw)'!E669="","",'Statements (Raw)'!E669))</f>
        <v/>
      </c>
      <c r="G671" s="6" t="str">
        <f>IF(A671="","",IF('Statements (Raw)'!F669="","",'Statements (Raw)'!F669))</f>
        <v/>
      </c>
      <c r="H671" s="9" t="str">
        <f>IF(A671="","",IF('Statements (Raw)'!G669="","",'Statements (Raw)'!G669))</f>
        <v/>
      </c>
      <c r="I671" s="10" t="str">
        <f>IF(A671="","",IF('Statements (Raw)'!H669="","",'Statements (Raw)'!H669))</f>
        <v/>
      </c>
      <c r="J671" s="10">
        <f>IF(A671="",0,IF('Statements (Raw)'!I669="",0,'Statements (Raw)'!I669))</f>
        <v>0</v>
      </c>
      <c r="K671" s="10" t="str">
        <f t="shared" si="21"/>
        <v/>
      </c>
    </row>
    <row r="672" spans="1:11" x14ac:dyDescent="0.3">
      <c r="A672" s="171" t="str">
        <f>IF(OR('Statements (Raw)'!A670="",'Statements (Raw)'!A670&gt;Holdings!$G$3),"",'Statements (Raw)'!A670)</f>
        <v/>
      </c>
      <c r="B672" s="7" t="str">
        <f>IF(A672="","",IF('Statements (Raw)'!B670="","",'Statements (Raw)'!B670))</f>
        <v/>
      </c>
      <c r="C672" s="6" t="str">
        <f>IF(A672="","",IF('Statements (Raw)'!C670&lt;&gt;"",'Statements (Raw)'!C670,IF(ISNUMBER(SEARCH("Conferimento",'Statements (Raw)'!D670)),"CASH DEPOSIT",IF(ISNUMBER(SEARCH("Prelievo",'Statements (Raw)'!D670)),"CASH WITHDRAWAL",IF(ISNUMBER(SEARCH("Bollo",'Statements (Raw)'!D670)),"STAMP DUTY",IF(ISNUMBER(SEARCH("Tobin Tax",'Statements (Raw)'!D670)),"TOBIN TAX",IF(ISNUMBER(SEARCH("Rit.provento",'Statements (Raw)'!D670)),"WITHHOLDING TAX",IF(ISNUMBER(SEARCH("Incasso Dividendi",'Statements (Raw)'!D670)),"DIVIDEND",IF(ISNUMBER(SEARCH("Cedola",'Statements (Raw)'!D670)),"COUPON",IF(ISNUMBER(SEARCH("Ratei Pass",'Statements (Raw)'!D670)),"ACCRUED INT",IF(ISNUMBER(SEARCH("Interessi Prest",'Statements (Raw)'!D670)),"SEC LENDING",IF(ISNUMBER(SEARCH("Rimborso",'Statements (Raw)'!D670)),"REDEMPTION",IF(ISNUMBER(SEARCH("Provento",'Statements (Raw)'!D670)),"DISTRIBUTION","OTHER")))))))))))))</f>
        <v/>
      </c>
      <c r="D672" s="6" t="str">
        <f>IF(A672="","",IF(C672="Saldo Iniziale","Balance",IF(C672="CASH DEPOSIT","Deposit",IF(C672="CASH WITHDRAWAL","Withdrawal",IF(C672="STAMP DUTY","Tax",IF(C672="TOBIN TAX","Tax",IF(C672="WITHHOLDING TAX","Tax",IF(C672="DIVIDEND","Dividend",IF(C672="COUPON","Coupon",IF(C672="ACCRUED INT","Accrued Int.",IF(C672="SEC LENDING","Sec. Lending",IF(C672="REDEMPTION","Redemption",IF(C672="DISTRIBUTION","Distribution",IF(ISNUMBER(SEARCH("Rimborso",'Statements (Raw)'!D670)),"Redemption",IF(ISNUMBER(SEARCH("Cedola",'Statements (Raw)'!D670)),"Coupon",IF(ISNUMBER(SEARCH("Incasso Dividendi",'Statements (Raw)'!D670)),"Dividend",IF(ISNUMBER(SEARCH("Provento Etf",'Statements (Raw)'!D670)),"Distribution",IF(ISNUMBER(SEARCH("Rit.provento",'Statements (Raw)'!D670)),"Tax",IF(ISNUMBER(SEARCH("Ratei Pass",'Statements (Raw)'!D670)),"Accrued Int.",IF(ISNUMBER(SEARCH("Interessi Prest",'Statements (Raw)'!D670)),"Sec. Lending",IF('Statements (Raw)'!G670="","Other",IF('Statements (Raw)'!G670&gt;0,"Buy","Sell"))))))))))))))))))))))</f>
        <v/>
      </c>
      <c r="E672" s="6" t="str">
        <f t="shared" si="20"/>
        <v/>
      </c>
      <c r="F672" s="8" t="str">
        <f>IF(A672="","",IF('Statements (Raw)'!E670="","",'Statements (Raw)'!E670))</f>
        <v/>
      </c>
      <c r="G672" s="6" t="str">
        <f>IF(A672="","",IF('Statements (Raw)'!F670="","",'Statements (Raw)'!F670))</f>
        <v/>
      </c>
      <c r="H672" s="9" t="str">
        <f>IF(A672="","",IF('Statements (Raw)'!G670="","",'Statements (Raw)'!G670))</f>
        <v/>
      </c>
      <c r="I672" s="10" t="str">
        <f>IF(A672="","",IF('Statements (Raw)'!H670="","",'Statements (Raw)'!H670))</f>
        <v/>
      </c>
      <c r="J672" s="10">
        <f>IF(A672="",0,IF('Statements (Raw)'!I670="",0,'Statements (Raw)'!I670))</f>
        <v>0</v>
      </c>
      <c r="K672" s="10" t="str">
        <f t="shared" si="21"/>
        <v/>
      </c>
    </row>
    <row r="673" spans="1:11" x14ac:dyDescent="0.3">
      <c r="A673" s="171" t="str">
        <f>IF(OR('Statements (Raw)'!A671="",'Statements (Raw)'!A671&gt;Holdings!$G$3),"",'Statements (Raw)'!A671)</f>
        <v/>
      </c>
      <c r="B673" s="7" t="str">
        <f>IF(A673="","",IF('Statements (Raw)'!B671="","",'Statements (Raw)'!B671))</f>
        <v/>
      </c>
      <c r="C673" s="6" t="str">
        <f>IF(A673="","",IF('Statements (Raw)'!C671&lt;&gt;"",'Statements (Raw)'!C671,IF(ISNUMBER(SEARCH("Conferimento",'Statements (Raw)'!D671)),"CASH DEPOSIT",IF(ISNUMBER(SEARCH("Prelievo",'Statements (Raw)'!D671)),"CASH WITHDRAWAL",IF(ISNUMBER(SEARCH("Bollo",'Statements (Raw)'!D671)),"STAMP DUTY",IF(ISNUMBER(SEARCH("Tobin Tax",'Statements (Raw)'!D671)),"TOBIN TAX",IF(ISNUMBER(SEARCH("Rit.provento",'Statements (Raw)'!D671)),"WITHHOLDING TAX",IF(ISNUMBER(SEARCH("Incasso Dividendi",'Statements (Raw)'!D671)),"DIVIDEND",IF(ISNUMBER(SEARCH("Cedola",'Statements (Raw)'!D671)),"COUPON",IF(ISNUMBER(SEARCH("Ratei Pass",'Statements (Raw)'!D671)),"ACCRUED INT",IF(ISNUMBER(SEARCH("Interessi Prest",'Statements (Raw)'!D671)),"SEC LENDING",IF(ISNUMBER(SEARCH("Rimborso",'Statements (Raw)'!D671)),"REDEMPTION",IF(ISNUMBER(SEARCH("Provento",'Statements (Raw)'!D671)),"DISTRIBUTION","OTHER")))))))))))))</f>
        <v/>
      </c>
      <c r="D673" s="6" t="str">
        <f>IF(A673="","",IF(C673="Saldo Iniziale","Balance",IF(C673="CASH DEPOSIT","Deposit",IF(C673="CASH WITHDRAWAL","Withdrawal",IF(C673="STAMP DUTY","Tax",IF(C673="TOBIN TAX","Tax",IF(C673="WITHHOLDING TAX","Tax",IF(C673="DIVIDEND","Dividend",IF(C673="COUPON","Coupon",IF(C673="ACCRUED INT","Accrued Int.",IF(C673="SEC LENDING","Sec. Lending",IF(C673="REDEMPTION","Redemption",IF(C673="DISTRIBUTION","Distribution",IF(ISNUMBER(SEARCH("Rimborso",'Statements (Raw)'!D671)),"Redemption",IF(ISNUMBER(SEARCH("Cedola",'Statements (Raw)'!D671)),"Coupon",IF(ISNUMBER(SEARCH("Incasso Dividendi",'Statements (Raw)'!D671)),"Dividend",IF(ISNUMBER(SEARCH("Provento Etf",'Statements (Raw)'!D671)),"Distribution",IF(ISNUMBER(SEARCH("Rit.provento",'Statements (Raw)'!D671)),"Tax",IF(ISNUMBER(SEARCH("Ratei Pass",'Statements (Raw)'!D671)),"Accrued Int.",IF(ISNUMBER(SEARCH("Interessi Prest",'Statements (Raw)'!D671)),"Sec. Lending",IF('Statements (Raw)'!G671="","Other",IF('Statements (Raw)'!G671&gt;0,"Buy","Sell"))))))))))))))))))))))</f>
        <v/>
      </c>
      <c r="E673" s="6" t="str">
        <f t="shared" si="20"/>
        <v/>
      </c>
      <c r="F673" s="8" t="str">
        <f>IF(A673="","",IF('Statements (Raw)'!E671="","",'Statements (Raw)'!E671))</f>
        <v/>
      </c>
      <c r="G673" s="6" t="str">
        <f>IF(A673="","",IF('Statements (Raw)'!F671="","",'Statements (Raw)'!F671))</f>
        <v/>
      </c>
      <c r="H673" s="9" t="str">
        <f>IF(A673="","",IF('Statements (Raw)'!G671="","",'Statements (Raw)'!G671))</f>
        <v/>
      </c>
      <c r="I673" s="10" t="str">
        <f>IF(A673="","",IF('Statements (Raw)'!H671="","",'Statements (Raw)'!H671))</f>
        <v/>
      </c>
      <c r="J673" s="10">
        <f>IF(A673="",0,IF('Statements (Raw)'!I671="",0,'Statements (Raw)'!I671))</f>
        <v>0</v>
      </c>
      <c r="K673" s="10" t="str">
        <f t="shared" si="21"/>
        <v/>
      </c>
    </row>
    <row r="674" spans="1:11" x14ac:dyDescent="0.3">
      <c r="A674" s="171" t="str">
        <f>IF(OR('Statements (Raw)'!A672="",'Statements (Raw)'!A672&gt;Holdings!$G$3),"",'Statements (Raw)'!A672)</f>
        <v/>
      </c>
      <c r="B674" s="7" t="str">
        <f>IF(A674="","",IF('Statements (Raw)'!B672="","",'Statements (Raw)'!B672))</f>
        <v/>
      </c>
      <c r="C674" s="6" t="str">
        <f>IF(A674="","",IF('Statements (Raw)'!C672&lt;&gt;"",'Statements (Raw)'!C672,IF(ISNUMBER(SEARCH("Conferimento",'Statements (Raw)'!D672)),"CASH DEPOSIT",IF(ISNUMBER(SEARCH("Prelievo",'Statements (Raw)'!D672)),"CASH WITHDRAWAL",IF(ISNUMBER(SEARCH("Bollo",'Statements (Raw)'!D672)),"STAMP DUTY",IF(ISNUMBER(SEARCH("Tobin Tax",'Statements (Raw)'!D672)),"TOBIN TAX",IF(ISNUMBER(SEARCH("Rit.provento",'Statements (Raw)'!D672)),"WITHHOLDING TAX",IF(ISNUMBER(SEARCH("Incasso Dividendi",'Statements (Raw)'!D672)),"DIVIDEND",IF(ISNUMBER(SEARCH("Cedola",'Statements (Raw)'!D672)),"COUPON",IF(ISNUMBER(SEARCH("Ratei Pass",'Statements (Raw)'!D672)),"ACCRUED INT",IF(ISNUMBER(SEARCH("Interessi Prest",'Statements (Raw)'!D672)),"SEC LENDING",IF(ISNUMBER(SEARCH("Rimborso",'Statements (Raw)'!D672)),"REDEMPTION",IF(ISNUMBER(SEARCH("Provento",'Statements (Raw)'!D672)),"DISTRIBUTION","OTHER")))))))))))))</f>
        <v/>
      </c>
      <c r="D674" s="6" t="str">
        <f>IF(A674="","",IF(C674="Saldo Iniziale","Balance",IF(C674="CASH DEPOSIT","Deposit",IF(C674="CASH WITHDRAWAL","Withdrawal",IF(C674="STAMP DUTY","Tax",IF(C674="TOBIN TAX","Tax",IF(C674="WITHHOLDING TAX","Tax",IF(C674="DIVIDEND","Dividend",IF(C674="COUPON","Coupon",IF(C674="ACCRUED INT","Accrued Int.",IF(C674="SEC LENDING","Sec. Lending",IF(C674="REDEMPTION","Redemption",IF(C674="DISTRIBUTION","Distribution",IF(ISNUMBER(SEARCH("Rimborso",'Statements (Raw)'!D672)),"Redemption",IF(ISNUMBER(SEARCH("Cedola",'Statements (Raw)'!D672)),"Coupon",IF(ISNUMBER(SEARCH("Incasso Dividendi",'Statements (Raw)'!D672)),"Dividend",IF(ISNUMBER(SEARCH("Provento Etf",'Statements (Raw)'!D672)),"Distribution",IF(ISNUMBER(SEARCH("Rit.provento",'Statements (Raw)'!D672)),"Tax",IF(ISNUMBER(SEARCH("Ratei Pass",'Statements (Raw)'!D672)),"Accrued Int.",IF(ISNUMBER(SEARCH("Interessi Prest",'Statements (Raw)'!D672)),"Sec. Lending",IF('Statements (Raw)'!G672="","Other",IF('Statements (Raw)'!G672&gt;0,"Buy","Sell"))))))))))))))))))))))</f>
        <v/>
      </c>
      <c r="E674" s="6" t="str">
        <f t="shared" si="20"/>
        <v/>
      </c>
      <c r="F674" s="8" t="str">
        <f>IF(A674="","",IF('Statements (Raw)'!E672="","",'Statements (Raw)'!E672))</f>
        <v/>
      </c>
      <c r="G674" s="6" t="str">
        <f>IF(A674="","",IF('Statements (Raw)'!F672="","",'Statements (Raw)'!F672))</f>
        <v/>
      </c>
      <c r="H674" s="9" t="str">
        <f>IF(A674="","",IF('Statements (Raw)'!G672="","",'Statements (Raw)'!G672))</f>
        <v/>
      </c>
      <c r="I674" s="10" t="str">
        <f>IF(A674="","",IF('Statements (Raw)'!H672="","",'Statements (Raw)'!H672))</f>
        <v/>
      </c>
      <c r="J674" s="10">
        <f>IF(A674="",0,IF('Statements (Raw)'!I672="",0,'Statements (Raw)'!I672))</f>
        <v>0</v>
      </c>
      <c r="K674" s="10" t="str">
        <f t="shared" si="21"/>
        <v/>
      </c>
    </row>
    <row r="675" spans="1:11" x14ac:dyDescent="0.3">
      <c r="A675" s="171" t="str">
        <f>IF(OR('Statements (Raw)'!A673="",'Statements (Raw)'!A673&gt;Holdings!$G$3),"",'Statements (Raw)'!A673)</f>
        <v/>
      </c>
      <c r="B675" s="7" t="str">
        <f>IF(A675="","",IF('Statements (Raw)'!B673="","",'Statements (Raw)'!B673))</f>
        <v/>
      </c>
      <c r="C675" s="6" t="str">
        <f>IF(A675="","",IF('Statements (Raw)'!C673&lt;&gt;"",'Statements (Raw)'!C673,IF(ISNUMBER(SEARCH("Conferimento",'Statements (Raw)'!D673)),"CASH DEPOSIT",IF(ISNUMBER(SEARCH("Prelievo",'Statements (Raw)'!D673)),"CASH WITHDRAWAL",IF(ISNUMBER(SEARCH("Bollo",'Statements (Raw)'!D673)),"STAMP DUTY",IF(ISNUMBER(SEARCH("Tobin Tax",'Statements (Raw)'!D673)),"TOBIN TAX",IF(ISNUMBER(SEARCH("Rit.provento",'Statements (Raw)'!D673)),"WITHHOLDING TAX",IF(ISNUMBER(SEARCH("Incasso Dividendi",'Statements (Raw)'!D673)),"DIVIDEND",IF(ISNUMBER(SEARCH("Cedola",'Statements (Raw)'!D673)),"COUPON",IF(ISNUMBER(SEARCH("Ratei Pass",'Statements (Raw)'!D673)),"ACCRUED INT",IF(ISNUMBER(SEARCH("Interessi Prest",'Statements (Raw)'!D673)),"SEC LENDING",IF(ISNUMBER(SEARCH("Rimborso",'Statements (Raw)'!D673)),"REDEMPTION",IF(ISNUMBER(SEARCH("Provento",'Statements (Raw)'!D673)),"DISTRIBUTION","OTHER")))))))))))))</f>
        <v/>
      </c>
      <c r="D675" s="6" t="str">
        <f>IF(A675="","",IF(C675="Saldo Iniziale","Balance",IF(C675="CASH DEPOSIT","Deposit",IF(C675="CASH WITHDRAWAL","Withdrawal",IF(C675="STAMP DUTY","Tax",IF(C675="TOBIN TAX","Tax",IF(C675="WITHHOLDING TAX","Tax",IF(C675="DIVIDEND","Dividend",IF(C675="COUPON","Coupon",IF(C675="ACCRUED INT","Accrued Int.",IF(C675="SEC LENDING","Sec. Lending",IF(C675="REDEMPTION","Redemption",IF(C675="DISTRIBUTION","Distribution",IF(ISNUMBER(SEARCH("Rimborso",'Statements (Raw)'!D673)),"Redemption",IF(ISNUMBER(SEARCH("Cedola",'Statements (Raw)'!D673)),"Coupon",IF(ISNUMBER(SEARCH("Incasso Dividendi",'Statements (Raw)'!D673)),"Dividend",IF(ISNUMBER(SEARCH("Provento Etf",'Statements (Raw)'!D673)),"Distribution",IF(ISNUMBER(SEARCH("Rit.provento",'Statements (Raw)'!D673)),"Tax",IF(ISNUMBER(SEARCH("Ratei Pass",'Statements (Raw)'!D673)),"Accrued Int.",IF(ISNUMBER(SEARCH("Interessi Prest",'Statements (Raw)'!D673)),"Sec. Lending",IF('Statements (Raw)'!G673="","Other",IF('Statements (Raw)'!G673&gt;0,"Buy","Sell"))))))))))))))))))))))</f>
        <v/>
      </c>
      <c r="E675" s="6" t="str">
        <f t="shared" si="20"/>
        <v/>
      </c>
      <c r="F675" s="8" t="str">
        <f>IF(A675="","",IF('Statements (Raw)'!E673="","",'Statements (Raw)'!E673))</f>
        <v/>
      </c>
      <c r="G675" s="6" t="str">
        <f>IF(A675="","",IF('Statements (Raw)'!F673="","",'Statements (Raw)'!F673))</f>
        <v/>
      </c>
      <c r="H675" s="9" t="str">
        <f>IF(A675="","",IF('Statements (Raw)'!G673="","",'Statements (Raw)'!G673))</f>
        <v/>
      </c>
      <c r="I675" s="10" t="str">
        <f>IF(A675="","",IF('Statements (Raw)'!H673="","",'Statements (Raw)'!H673))</f>
        <v/>
      </c>
      <c r="J675" s="10">
        <f>IF(A675="",0,IF('Statements (Raw)'!I673="",0,'Statements (Raw)'!I673))</f>
        <v>0</v>
      </c>
      <c r="K675" s="10" t="str">
        <f t="shared" si="21"/>
        <v/>
      </c>
    </row>
    <row r="676" spans="1:11" x14ac:dyDescent="0.3">
      <c r="A676" s="171" t="str">
        <f>IF(OR('Statements (Raw)'!A674="",'Statements (Raw)'!A674&gt;Holdings!$G$3),"",'Statements (Raw)'!A674)</f>
        <v/>
      </c>
      <c r="B676" s="7" t="str">
        <f>IF(A676="","",IF('Statements (Raw)'!B674="","",'Statements (Raw)'!B674))</f>
        <v/>
      </c>
      <c r="C676" s="6" t="str">
        <f>IF(A676="","",IF('Statements (Raw)'!C674&lt;&gt;"",'Statements (Raw)'!C674,IF(ISNUMBER(SEARCH("Conferimento",'Statements (Raw)'!D674)),"CASH DEPOSIT",IF(ISNUMBER(SEARCH("Prelievo",'Statements (Raw)'!D674)),"CASH WITHDRAWAL",IF(ISNUMBER(SEARCH("Bollo",'Statements (Raw)'!D674)),"STAMP DUTY",IF(ISNUMBER(SEARCH("Tobin Tax",'Statements (Raw)'!D674)),"TOBIN TAX",IF(ISNUMBER(SEARCH("Rit.provento",'Statements (Raw)'!D674)),"WITHHOLDING TAX",IF(ISNUMBER(SEARCH("Incasso Dividendi",'Statements (Raw)'!D674)),"DIVIDEND",IF(ISNUMBER(SEARCH("Cedola",'Statements (Raw)'!D674)),"COUPON",IF(ISNUMBER(SEARCH("Ratei Pass",'Statements (Raw)'!D674)),"ACCRUED INT",IF(ISNUMBER(SEARCH("Interessi Prest",'Statements (Raw)'!D674)),"SEC LENDING",IF(ISNUMBER(SEARCH("Rimborso",'Statements (Raw)'!D674)),"REDEMPTION",IF(ISNUMBER(SEARCH("Provento",'Statements (Raw)'!D674)),"DISTRIBUTION","OTHER")))))))))))))</f>
        <v/>
      </c>
      <c r="D676" s="6" t="str">
        <f>IF(A676="","",IF(C676="Saldo Iniziale","Balance",IF(C676="CASH DEPOSIT","Deposit",IF(C676="CASH WITHDRAWAL","Withdrawal",IF(C676="STAMP DUTY","Tax",IF(C676="TOBIN TAX","Tax",IF(C676="WITHHOLDING TAX","Tax",IF(C676="DIVIDEND","Dividend",IF(C676="COUPON","Coupon",IF(C676="ACCRUED INT","Accrued Int.",IF(C676="SEC LENDING","Sec. Lending",IF(C676="REDEMPTION","Redemption",IF(C676="DISTRIBUTION","Distribution",IF(ISNUMBER(SEARCH("Rimborso",'Statements (Raw)'!D674)),"Redemption",IF(ISNUMBER(SEARCH("Cedola",'Statements (Raw)'!D674)),"Coupon",IF(ISNUMBER(SEARCH("Incasso Dividendi",'Statements (Raw)'!D674)),"Dividend",IF(ISNUMBER(SEARCH("Provento Etf",'Statements (Raw)'!D674)),"Distribution",IF(ISNUMBER(SEARCH("Rit.provento",'Statements (Raw)'!D674)),"Tax",IF(ISNUMBER(SEARCH("Ratei Pass",'Statements (Raw)'!D674)),"Accrued Int.",IF(ISNUMBER(SEARCH("Interessi Prest",'Statements (Raw)'!D674)),"Sec. Lending",IF('Statements (Raw)'!G674="","Other",IF('Statements (Raw)'!G674&gt;0,"Buy","Sell"))))))))))))))))))))))</f>
        <v/>
      </c>
      <c r="E676" s="6" t="str">
        <f t="shared" si="20"/>
        <v/>
      </c>
      <c r="F676" s="8" t="str">
        <f>IF(A676="","",IF('Statements (Raw)'!E674="","",'Statements (Raw)'!E674))</f>
        <v/>
      </c>
      <c r="G676" s="6" t="str">
        <f>IF(A676="","",IF('Statements (Raw)'!F674="","",'Statements (Raw)'!F674))</f>
        <v/>
      </c>
      <c r="H676" s="9" t="str">
        <f>IF(A676="","",IF('Statements (Raw)'!G674="","",'Statements (Raw)'!G674))</f>
        <v/>
      </c>
      <c r="I676" s="10" t="str">
        <f>IF(A676="","",IF('Statements (Raw)'!H674="","",'Statements (Raw)'!H674))</f>
        <v/>
      </c>
      <c r="J676" s="10">
        <f>IF(A676="",0,IF('Statements (Raw)'!I674="",0,'Statements (Raw)'!I674))</f>
        <v>0</v>
      </c>
      <c r="K676" s="10" t="str">
        <f t="shared" si="21"/>
        <v/>
      </c>
    </row>
    <row r="677" spans="1:11" x14ac:dyDescent="0.3">
      <c r="A677" s="171" t="str">
        <f>IF(OR('Statements (Raw)'!A675="",'Statements (Raw)'!A675&gt;Holdings!$G$3),"",'Statements (Raw)'!A675)</f>
        <v/>
      </c>
      <c r="B677" s="7" t="str">
        <f>IF(A677="","",IF('Statements (Raw)'!B675="","",'Statements (Raw)'!B675))</f>
        <v/>
      </c>
      <c r="C677" s="6" t="str">
        <f>IF(A677="","",IF('Statements (Raw)'!C675&lt;&gt;"",'Statements (Raw)'!C675,IF(ISNUMBER(SEARCH("Conferimento",'Statements (Raw)'!D675)),"CASH DEPOSIT",IF(ISNUMBER(SEARCH("Prelievo",'Statements (Raw)'!D675)),"CASH WITHDRAWAL",IF(ISNUMBER(SEARCH("Bollo",'Statements (Raw)'!D675)),"STAMP DUTY",IF(ISNUMBER(SEARCH("Tobin Tax",'Statements (Raw)'!D675)),"TOBIN TAX",IF(ISNUMBER(SEARCH("Rit.provento",'Statements (Raw)'!D675)),"WITHHOLDING TAX",IF(ISNUMBER(SEARCH("Incasso Dividendi",'Statements (Raw)'!D675)),"DIVIDEND",IF(ISNUMBER(SEARCH("Cedola",'Statements (Raw)'!D675)),"COUPON",IF(ISNUMBER(SEARCH("Ratei Pass",'Statements (Raw)'!D675)),"ACCRUED INT",IF(ISNUMBER(SEARCH("Interessi Prest",'Statements (Raw)'!D675)),"SEC LENDING",IF(ISNUMBER(SEARCH("Rimborso",'Statements (Raw)'!D675)),"REDEMPTION",IF(ISNUMBER(SEARCH("Provento",'Statements (Raw)'!D675)),"DISTRIBUTION","OTHER")))))))))))))</f>
        <v/>
      </c>
      <c r="D677" s="6" t="str">
        <f>IF(A677="","",IF(C677="Saldo Iniziale","Balance",IF(C677="CASH DEPOSIT","Deposit",IF(C677="CASH WITHDRAWAL","Withdrawal",IF(C677="STAMP DUTY","Tax",IF(C677="TOBIN TAX","Tax",IF(C677="WITHHOLDING TAX","Tax",IF(C677="DIVIDEND","Dividend",IF(C677="COUPON","Coupon",IF(C677="ACCRUED INT","Accrued Int.",IF(C677="SEC LENDING","Sec. Lending",IF(C677="REDEMPTION","Redemption",IF(C677="DISTRIBUTION","Distribution",IF(ISNUMBER(SEARCH("Rimborso",'Statements (Raw)'!D675)),"Redemption",IF(ISNUMBER(SEARCH("Cedola",'Statements (Raw)'!D675)),"Coupon",IF(ISNUMBER(SEARCH("Incasso Dividendi",'Statements (Raw)'!D675)),"Dividend",IF(ISNUMBER(SEARCH("Provento Etf",'Statements (Raw)'!D675)),"Distribution",IF(ISNUMBER(SEARCH("Rit.provento",'Statements (Raw)'!D675)),"Tax",IF(ISNUMBER(SEARCH("Ratei Pass",'Statements (Raw)'!D675)),"Accrued Int.",IF(ISNUMBER(SEARCH("Interessi Prest",'Statements (Raw)'!D675)),"Sec. Lending",IF('Statements (Raw)'!G675="","Other",IF('Statements (Raw)'!G675&gt;0,"Buy","Sell"))))))))))))))))))))))</f>
        <v/>
      </c>
      <c r="E677" s="6" t="str">
        <f t="shared" si="20"/>
        <v/>
      </c>
      <c r="F677" s="8" t="str">
        <f>IF(A677="","",IF('Statements (Raw)'!E675="","",'Statements (Raw)'!E675))</f>
        <v/>
      </c>
      <c r="G677" s="6" t="str">
        <f>IF(A677="","",IF('Statements (Raw)'!F675="","",'Statements (Raw)'!F675))</f>
        <v/>
      </c>
      <c r="H677" s="9" t="str">
        <f>IF(A677="","",IF('Statements (Raw)'!G675="","",'Statements (Raw)'!G675))</f>
        <v/>
      </c>
      <c r="I677" s="10" t="str">
        <f>IF(A677="","",IF('Statements (Raw)'!H675="","",'Statements (Raw)'!H675))</f>
        <v/>
      </c>
      <c r="J677" s="10">
        <f>IF(A677="",0,IF('Statements (Raw)'!I675="",0,'Statements (Raw)'!I675))</f>
        <v>0</v>
      </c>
      <c r="K677" s="10" t="str">
        <f t="shared" si="21"/>
        <v/>
      </c>
    </row>
    <row r="678" spans="1:11" x14ac:dyDescent="0.3">
      <c r="A678" s="171" t="str">
        <f>IF(OR('Statements (Raw)'!A676="",'Statements (Raw)'!A676&gt;Holdings!$G$3),"",'Statements (Raw)'!A676)</f>
        <v/>
      </c>
      <c r="B678" s="7" t="str">
        <f>IF(A678="","",IF('Statements (Raw)'!B676="","",'Statements (Raw)'!B676))</f>
        <v/>
      </c>
      <c r="C678" s="6" t="str">
        <f>IF(A678="","",IF('Statements (Raw)'!C676&lt;&gt;"",'Statements (Raw)'!C676,IF(ISNUMBER(SEARCH("Conferimento",'Statements (Raw)'!D676)),"CASH DEPOSIT",IF(ISNUMBER(SEARCH("Prelievo",'Statements (Raw)'!D676)),"CASH WITHDRAWAL",IF(ISNUMBER(SEARCH("Bollo",'Statements (Raw)'!D676)),"STAMP DUTY",IF(ISNUMBER(SEARCH("Tobin Tax",'Statements (Raw)'!D676)),"TOBIN TAX",IF(ISNUMBER(SEARCH("Rit.provento",'Statements (Raw)'!D676)),"WITHHOLDING TAX",IF(ISNUMBER(SEARCH("Incasso Dividendi",'Statements (Raw)'!D676)),"DIVIDEND",IF(ISNUMBER(SEARCH("Cedola",'Statements (Raw)'!D676)),"COUPON",IF(ISNUMBER(SEARCH("Ratei Pass",'Statements (Raw)'!D676)),"ACCRUED INT",IF(ISNUMBER(SEARCH("Interessi Prest",'Statements (Raw)'!D676)),"SEC LENDING",IF(ISNUMBER(SEARCH("Rimborso",'Statements (Raw)'!D676)),"REDEMPTION",IF(ISNUMBER(SEARCH("Provento",'Statements (Raw)'!D676)),"DISTRIBUTION","OTHER")))))))))))))</f>
        <v/>
      </c>
      <c r="D678" s="6" t="str">
        <f>IF(A678="","",IF(C678="Saldo Iniziale","Balance",IF(C678="CASH DEPOSIT","Deposit",IF(C678="CASH WITHDRAWAL","Withdrawal",IF(C678="STAMP DUTY","Tax",IF(C678="TOBIN TAX","Tax",IF(C678="WITHHOLDING TAX","Tax",IF(C678="DIVIDEND","Dividend",IF(C678="COUPON","Coupon",IF(C678="ACCRUED INT","Accrued Int.",IF(C678="SEC LENDING","Sec. Lending",IF(C678="REDEMPTION","Redemption",IF(C678="DISTRIBUTION","Distribution",IF(ISNUMBER(SEARCH("Rimborso",'Statements (Raw)'!D676)),"Redemption",IF(ISNUMBER(SEARCH("Cedola",'Statements (Raw)'!D676)),"Coupon",IF(ISNUMBER(SEARCH("Incasso Dividendi",'Statements (Raw)'!D676)),"Dividend",IF(ISNUMBER(SEARCH("Provento Etf",'Statements (Raw)'!D676)),"Distribution",IF(ISNUMBER(SEARCH("Rit.provento",'Statements (Raw)'!D676)),"Tax",IF(ISNUMBER(SEARCH("Ratei Pass",'Statements (Raw)'!D676)),"Accrued Int.",IF(ISNUMBER(SEARCH("Interessi Prest",'Statements (Raw)'!D676)),"Sec. Lending",IF('Statements (Raw)'!G676="","Other",IF('Statements (Raw)'!G676&gt;0,"Buy","Sell"))))))))))))))))))))))</f>
        <v/>
      </c>
      <c r="E678" s="6" t="str">
        <f t="shared" si="20"/>
        <v/>
      </c>
      <c r="F678" s="8" t="str">
        <f>IF(A678="","",IF('Statements (Raw)'!E676="","",'Statements (Raw)'!E676))</f>
        <v/>
      </c>
      <c r="G678" s="6" t="str">
        <f>IF(A678="","",IF('Statements (Raw)'!F676="","",'Statements (Raw)'!F676))</f>
        <v/>
      </c>
      <c r="H678" s="9" t="str">
        <f>IF(A678="","",IF('Statements (Raw)'!G676="","",'Statements (Raw)'!G676))</f>
        <v/>
      </c>
      <c r="I678" s="10" t="str">
        <f>IF(A678="","",IF('Statements (Raw)'!H676="","",'Statements (Raw)'!H676))</f>
        <v/>
      </c>
      <c r="J678" s="10">
        <f>IF(A678="",0,IF('Statements (Raw)'!I676="",0,'Statements (Raw)'!I676))</f>
        <v>0</v>
      </c>
      <c r="K678" s="10" t="str">
        <f t="shared" si="21"/>
        <v/>
      </c>
    </row>
    <row r="679" spans="1:11" x14ac:dyDescent="0.3">
      <c r="A679" s="171" t="str">
        <f>IF(OR('Statements (Raw)'!A677="",'Statements (Raw)'!A677&gt;Holdings!$G$3),"",'Statements (Raw)'!A677)</f>
        <v/>
      </c>
      <c r="B679" s="7" t="str">
        <f>IF(A679="","",IF('Statements (Raw)'!B677="","",'Statements (Raw)'!B677))</f>
        <v/>
      </c>
      <c r="C679" s="6" t="str">
        <f>IF(A679="","",IF('Statements (Raw)'!C677&lt;&gt;"",'Statements (Raw)'!C677,IF(ISNUMBER(SEARCH("Conferimento",'Statements (Raw)'!D677)),"CASH DEPOSIT",IF(ISNUMBER(SEARCH("Prelievo",'Statements (Raw)'!D677)),"CASH WITHDRAWAL",IF(ISNUMBER(SEARCH("Bollo",'Statements (Raw)'!D677)),"STAMP DUTY",IF(ISNUMBER(SEARCH("Tobin Tax",'Statements (Raw)'!D677)),"TOBIN TAX",IF(ISNUMBER(SEARCH("Rit.provento",'Statements (Raw)'!D677)),"WITHHOLDING TAX",IF(ISNUMBER(SEARCH("Incasso Dividendi",'Statements (Raw)'!D677)),"DIVIDEND",IF(ISNUMBER(SEARCH("Cedola",'Statements (Raw)'!D677)),"COUPON",IF(ISNUMBER(SEARCH("Ratei Pass",'Statements (Raw)'!D677)),"ACCRUED INT",IF(ISNUMBER(SEARCH("Interessi Prest",'Statements (Raw)'!D677)),"SEC LENDING",IF(ISNUMBER(SEARCH("Rimborso",'Statements (Raw)'!D677)),"REDEMPTION",IF(ISNUMBER(SEARCH("Provento",'Statements (Raw)'!D677)),"DISTRIBUTION","OTHER")))))))))))))</f>
        <v/>
      </c>
      <c r="D679" s="6" t="str">
        <f>IF(A679="","",IF(C679="Saldo Iniziale","Balance",IF(C679="CASH DEPOSIT","Deposit",IF(C679="CASH WITHDRAWAL","Withdrawal",IF(C679="STAMP DUTY","Tax",IF(C679="TOBIN TAX","Tax",IF(C679="WITHHOLDING TAX","Tax",IF(C679="DIVIDEND","Dividend",IF(C679="COUPON","Coupon",IF(C679="ACCRUED INT","Accrued Int.",IF(C679="SEC LENDING","Sec. Lending",IF(C679="REDEMPTION","Redemption",IF(C679="DISTRIBUTION","Distribution",IF(ISNUMBER(SEARCH("Rimborso",'Statements (Raw)'!D677)),"Redemption",IF(ISNUMBER(SEARCH("Cedola",'Statements (Raw)'!D677)),"Coupon",IF(ISNUMBER(SEARCH("Incasso Dividendi",'Statements (Raw)'!D677)),"Dividend",IF(ISNUMBER(SEARCH("Provento Etf",'Statements (Raw)'!D677)),"Distribution",IF(ISNUMBER(SEARCH("Rit.provento",'Statements (Raw)'!D677)),"Tax",IF(ISNUMBER(SEARCH("Ratei Pass",'Statements (Raw)'!D677)),"Accrued Int.",IF(ISNUMBER(SEARCH("Interessi Prest",'Statements (Raw)'!D677)),"Sec. Lending",IF('Statements (Raw)'!G677="","Other",IF('Statements (Raw)'!G677&gt;0,"Buy","Sell"))))))))))))))))))))))</f>
        <v/>
      </c>
      <c r="E679" s="6" t="str">
        <f t="shared" si="20"/>
        <v/>
      </c>
      <c r="F679" s="8" t="str">
        <f>IF(A679="","",IF('Statements (Raw)'!E677="","",'Statements (Raw)'!E677))</f>
        <v/>
      </c>
      <c r="G679" s="6" t="str">
        <f>IF(A679="","",IF('Statements (Raw)'!F677="","",'Statements (Raw)'!F677))</f>
        <v/>
      </c>
      <c r="H679" s="9" t="str">
        <f>IF(A679="","",IF('Statements (Raw)'!G677="","",'Statements (Raw)'!G677))</f>
        <v/>
      </c>
      <c r="I679" s="10" t="str">
        <f>IF(A679="","",IF('Statements (Raw)'!H677="","",'Statements (Raw)'!H677))</f>
        <v/>
      </c>
      <c r="J679" s="10">
        <f>IF(A679="",0,IF('Statements (Raw)'!I677="",0,'Statements (Raw)'!I677))</f>
        <v>0</v>
      </c>
      <c r="K679" s="10" t="str">
        <f t="shared" si="21"/>
        <v/>
      </c>
    </row>
    <row r="680" spans="1:11" x14ac:dyDescent="0.3">
      <c r="A680" s="171" t="str">
        <f>IF(OR('Statements (Raw)'!A678="",'Statements (Raw)'!A678&gt;Holdings!$G$3),"",'Statements (Raw)'!A678)</f>
        <v/>
      </c>
      <c r="B680" s="7" t="str">
        <f>IF(A680="","",IF('Statements (Raw)'!B678="","",'Statements (Raw)'!B678))</f>
        <v/>
      </c>
      <c r="C680" s="6" t="str">
        <f>IF(A680="","",IF('Statements (Raw)'!C678&lt;&gt;"",'Statements (Raw)'!C678,IF(ISNUMBER(SEARCH("Conferimento",'Statements (Raw)'!D678)),"CASH DEPOSIT",IF(ISNUMBER(SEARCH("Prelievo",'Statements (Raw)'!D678)),"CASH WITHDRAWAL",IF(ISNUMBER(SEARCH("Bollo",'Statements (Raw)'!D678)),"STAMP DUTY",IF(ISNUMBER(SEARCH("Tobin Tax",'Statements (Raw)'!D678)),"TOBIN TAX",IF(ISNUMBER(SEARCH("Rit.provento",'Statements (Raw)'!D678)),"WITHHOLDING TAX",IF(ISNUMBER(SEARCH("Incasso Dividendi",'Statements (Raw)'!D678)),"DIVIDEND",IF(ISNUMBER(SEARCH("Cedola",'Statements (Raw)'!D678)),"COUPON",IF(ISNUMBER(SEARCH("Ratei Pass",'Statements (Raw)'!D678)),"ACCRUED INT",IF(ISNUMBER(SEARCH("Interessi Prest",'Statements (Raw)'!D678)),"SEC LENDING",IF(ISNUMBER(SEARCH("Rimborso",'Statements (Raw)'!D678)),"REDEMPTION",IF(ISNUMBER(SEARCH("Provento",'Statements (Raw)'!D678)),"DISTRIBUTION","OTHER")))))))))))))</f>
        <v/>
      </c>
      <c r="D680" s="6" t="str">
        <f>IF(A680="","",IF(C680="Saldo Iniziale","Balance",IF(C680="CASH DEPOSIT","Deposit",IF(C680="CASH WITHDRAWAL","Withdrawal",IF(C680="STAMP DUTY","Tax",IF(C680="TOBIN TAX","Tax",IF(C680="WITHHOLDING TAX","Tax",IF(C680="DIVIDEND","Dividend",IF(C680="COUPON","Coupon",IF(C680="ACCRUED INT","Accrued Int.",IF(C680="SEC LENDING","Sec. Lending",IF(C680="REDEMPTION","Redemption",IF(C680="DISTRIBUTION","Distribution",IF(ISNUMBER(SEARCH("Rimborso",'Statements (Raw)'!D678)),"Redemption",IF(ISNUMBER(SEARCH("Cedola",'Statements (Raw)'!D678)),"Coupon",IF(ISNUMBER(SEARCH("Incasso Dividendi",'Statements (Raw)'!D678)),"Dividend",IF(ISNUMBER(SEARCH("Provento Etf",'Statements (Raw)'!D678)),"Distribution",IF(ISNUMBER(SEARCH("Rit.provento",'Statements (Raw)'!D678)),"Tax",IF(ISNUMBER(SEARCH("Ratei Pass",'Statements (Raw)'!D678)),"Accrued Int.",IF(ISNUMBER(SEARCH("Interessi Prest",'Statements (Raw)'!D678)),"Sec. Lending",IF('Statements (Raw)'!G678="","Other",IF('Statements (Raw)'!G678&gt;0,"Buy","Sell"))))))))))))))))))))))</f>
        <v/>
      </c>
      <c r="E680" s="6" t="str">
        <f t="shared" si="20"/>
        <v/>
      </c>
      <c r="F680" s="8" t="str">
        <f>IF(A680="","",IF('Statements (Raw)'!E678="","",'Statements (Raw)'!E678))</f>
        <v/>
      </c>
      <c r="G680" s="6" t="str">
        <f>IF(A680="","",IF('Statements (Raw)'!F678="","",'Statements (Raw)'!F678))</f>
        <v/>
      </c>
      <c r="H680" s="9" t="str">
        <f>IF(A680="","",IF('Statements (Raw)'!G678="","",'Statements (Raw)'!G678))</f>
        <v/>
      </c>
      <c r="I680" s="10" t="str">
        <f>IF(A680="","",IF('Statements (Raw)'!H678="","",'Statements (Raw)'!H678))</f>
        <v/>
      </c>
      <c r="J680" s="10">
        <f>IF(A680="",0,IF('Statements (Raw)'!I678="",0,'Statements (Raw)'!I678))</f>
        <v>0</v>
      </c>
      <c r="K680" s="10" t="str">
        <f t="shared" si="21"/>
        <v/>
      </c>
    </row>
    <row r="681" spans="1:11" x14ac:dyDescent="0.3">
      <c r="A681" s="171" t="str">
        <f>IF(OR('Statements (Raw)'!A679="",'Statements (Raw)'!A679&gt;Holdings!$G$3),"",'Statements (Raw)'!A679)</f>
        <v/>
      </c>
      <c r="B681" s="7" t="str">
        <f>IF(A681="","",IF('Statements (Raw)'!B679="","",'Statements (Raw)'!B679))</f>
        <v/>
      </c>
      <c r="C681" s="6" t="str">
        <f>IF(A681="","",IF('Statements (Raw)'!C679&lt;&gt;"",'Statements (Raw)'!C679,IF(ISNUMBER(SEARCH("Conferimento",'Statements (Raw)'!D679)),"CASH DEPOSIT",IF(ISNUMBER(SEARCH("Prelievo",'Statements (Raw)'!D679)),"CASH WITHDRAWAL",IF(ISNUMBER(SEARCH("Bollo",'Statements (Raw)'!D679)),"STAMP DUTY",IF(ISNUMBER(SEARCH("Tobin Tax",'Statements (Raw)'!D679)),"TOBIN TAX",IF(ISNUMBER(SEARCH("Rit.provento",'Statements (Raw)'!D679)),"WITHHOLDING TAX",IF(ISNUMBER(SEARCH("Incasso Dividendi",'Statements (Raw)'!D679)),"DIVIDEND",IF(ISNUMBER(SEARCH("Cedola",'Statements (Raw)'!D679)),"COUPON",IF(ISNUMBER(SEARCH("Ratei Pass",'Statements (Raw)'!D679)),"ACCRUED INT",IF(ISNUMBER(SEARCH("Interessi Prest",'Statements (Raw)'!D679)),"SEC LENDING",IF(ISNUMBER(SEARCH("Rimborso",'Statements (Raw)'!D679)),"REDEMPTION",IF(ISNUMBER(SEARCH("Provento",'Statements (Raw)'!D679)),"DISTRIBUTION","OTHER")))))))))))))</f>
        <v/>
      </c>
      <c r="D681" s="6" t="str">
        <f>IF(A681="","",IF(C681="Saldo Iniziale","Balance",IF(C681="CASH DEPOSIT","Deposit",IF(C681="CASH WITHDRAWAL","Withdrawal",IF(C681="STAMP DUTY","Tax",IF(C681="TOBIN TAX","Tax",IF(C681="WITHHOLDING TAX","Tax",IF(C681="DIVIDEND","Dividend",IF(C681="COUPON","Coupon",IF(C681="ACCRUED INT","Accrued Int.",IF(C681="SEC LENDING","Sec. Lending",IF(C681="REDEMPTION","Redemption",IF(C681="DISTRIBUTION","Distribution",IF(ISNUMBER(SEARCH("Rimborso",'Statements (Raw)'!D679)),"Redemption",IF(ISNUMBER(SEARCH("Cedola",'Statements (Raw)'!D679)),"Coupon",IF(ISNUMBER(SEARCH("Incasso Dividendi",'Statements (Raw)'!D679)),"Dividend",IF(ISNUMBER(SEARCH("Provento Etf",'Statements (Raw)'!D679)),"Distribution",IF(ISNUMBER(SEARCH("Rit.provento",'Statements (Raw)'!D679)),"Tax",IF(ISNUMBER(SEARCH("Ratei Pass",'Statements (Raw)'!D679)),"Accrued Int.",IF(ISNUMBER(SEARCH("Interessi Prest",'Statements (Raw)'!D679)),"Sec. Lending",IF('Statements (Raw)'!G679="","Other",IF('Statements (Raw)'!G679&gt;0,"Buy","Sell"))))))))))))))))))))))</f>
        <v/>
      </c>
      <c r="E681" s="6" t="str">
        <f t="shared" si="20"/>
        <v/>
      </c>
      <c r="F681" s="8" t="str">
        <f>IF(A681="","",IF('Statements (Raw)'!E679="","",'Statements (Raw)'!E679))</f>
        <v/>
      </c>
      <c r="G681" s="6" t="str">
        <f>IF(A681="","",IF('Statements (Raw)'!F679="","",'Statements (Raw)'!F679))</f>
        <v/>
      </c>
      <c r="H681" s="9" t="str">
        <f>IF(A681="","",IF('Statements (Raw)'!G679="","",'Statements (Raw)'!G679))</f>
        <v/>
      </c>
      <c r="I681" s="10" t="str">
        <f>IF(A681="","",IF('Statements (Raw)'!H679="","",'Statements (Raw)'!H679))</f>
        <v/>
      </c>
      <c r="J681" s="10">
        <f>IF(A681="",0,IF('Statements (Raw)'!I679="",0,'Statements (Raw)'!I679))</f>
        <v>0</v>
      </c>
      <c r="K681" s="10" t="str">
        <f t="shared" si="21"/>
        <v/>
      </c>
    </row>
    <row r="682" spans="1:11" x14ac:dyDescent="0.3">
      <c r="A682" s="171" t="str">
        <f>IF(OR('Statements (Raw)'!A680="",'Statements (Raw)'!A680&gt;Holdings!$G$3),"",'Statements (Raw)'!A680)</f>
        <v/>
      </c>
      <c r="B682" s="7" t="str">
        <f>IF(A682="","",IF('Statements (Raw)'!B680="","",'Statements (Raw)'!B680))</f>
        <v/>
      </c>
      <c r="C682" s="6" t="str">
        <f>IF(A682="","",IF('Statements (Raw)'!C680&lt;&gt;"",'Statements (Raw)'!C680,IF(ISNUMBER(SEARCH("Conferimento",'Statements (Raw)'!D680)),"CASH DEPOSIT",IF(ISNUMBER(SEARCH("Prelievo",'Statements (Raw)'!D680)),"CASH WITHDRAWAL",IF(ISNUMBER(SEARCH("Bollo",'Statements (Raw)'!D680)),"STAMP DUTY",IF(ISNUMBER(SEARCH("Tobin Tax",'Statements (Raw)'!D680)),"TOBIN TAX",IF(ISNUMBER(SEARCH("Rit.provento",'Statements (Raw)'!D680)),"WITHHOLDING TAX",IF(ISNUMBER(SEARCH("Incasso Dividendi",'Statements (Raw)'!D680)),"DIVIDEND",IF(ISNUMBER(SEARCH("Cedola",'Statements (Raw)'!D680)),"COUPON",IF(ISNUMBER(SEARCH("Ratei Pass",'Statements (Raw)'!D680)),"ACCRUED INT",IF(ISNUMBER(SEARCH("Interessi Prest",'Statements (Raw)'!D680)),"SEC LENDING",IF(ISNUMBER(SEARCH("Rimborso",'Statements (Raw)'!D680)),"REDEMPTION",IF(ISNUMBER(SEARCH("Provento",'Statements (Raw)'!D680)),"DISTRIBUTION","OTHER")))))))))))))</f>
        <v/>
      </c>
      <c r="D682" s="6" t="str">
        <f>IF(A682="","",IF(C682="Saldo Iniziale","Balance",IF(C682="CASH DEPOSIT","Deposit",IF(C682="CASH WITHDRAWAL","Withdrawal",IF(C682="STAMP DUTY","Tax",IF(C682="TOBIN TAX","Tax",IF(C682="WITHHOLDING TAX","Tax",IF(C682="DIVIDEND","Dividend",IF(C682="COUPON","Coupon",IF(C682="ACCRUED INT","Accrued Int.",IF(C682="SEC LENDING","Sec. Lending",IF(C682="REDEMPTION","Redemption",IF(C682="DISTRIBUTION","Distribution",IF(ISNUMBER(SEARCH("Rimborso",'Statements (Raw)'!D680)),"Redemption",IF(ISNUMBER(SEARCH("Cedola",'Statements (Raw)'!D680)),"Coupon",IF(ISNUMBER(SEARCH("Incasso Dividendi",'Statements (Raw)'!D680)),"Dividend",IF(ISNUMBER(SEARCH("Provento Etf",'Statements (Raw)'!D680)),"Distribution",IF(ISNUMBER(SEARCH("Rit.provento",'Statements (Raw)'!D680)),"Tax",IF(ISNUMBER(SEARCH("Ratei Pass",'Statements (Raw)'!D680)),"Accrued Int.",IF(ISNUMBER(SEARCH("Interessi Prest",'Statements (Raw)'!D680)),"Sec. Lending",IF('Statements (Raw)'!G680="","Other",IF('Statements (Raw)'!G680&gt;0,"Buy","Sell"))))))))))))))))))))))</f>
        <v/>
      </c>
      <c r="E682" s="6" t="str">
        <f t="shared" si="20"/>
        <v/>
      </c>
      <c r="F682" s="8" t="str">
        <f>IF(A682="","",IF('Statements (Raw)'!E680="","",'Statements (Raw)'!E680))</f>
        <v/>
      </c>
      <c r="G682" s="6" t="str">
        <f>IF(A682="","",IF('Statements (Raw)'!F680="","",'Statements (Raw)'!F680))</f>
        <v/>
      </c>
      <c r="H682" s="9" t="str">
        <f>IF(A682="","",IF('Statements (Raw)'!G680="","",'Statements (Raw)'!G680))</f>
        <v/>
      </c>
      <c r="I682" s="10" t="str">
        <f>IF(A682="","",IF('Statements (Raw)'!H680="","",'Statements (Raw)'!H680))</f>
        <v/>
      </c>
      <c r="J682" s="10">
        <f>IF(A682="",0,IF('Statements (Raw)'!I680="",0,'Statements (Raw)'!I680))</f>
        <v>0</v>
      </c>
      <c r="K682" s="10" t="str">
        <f t="shared" si="21"/>
        <v/>
      </c>
    </row>
    <row r="683" spans="1:11" x14ac:dyDescent="0.3">
      <c r="A683" s="171" t="str">
        <f>IF(OR('Statements (Raw)'!A681="",'Statements (Raw)'!A681&gt;Holdings!$G$3),"",'Statements (Raw)'!A681)</f>
        <v/>
      </c>
      <c r="B683" s="7" t="str">
        <f>IF(A683="","",IF('Statements (Raw)'!B681="","",'Statements (Raw)'!B681))</f>
        <v/>
      </c>
      <c r="C683" s="6" t="str">
        <f>IF(A683="","",IF('Statements (Raw)'!C681&lt;&gt;"",'Statements (Raw)'!C681,IF(ISNUMBER(SEARCH("Conferimento",'Statements (Raw)'!D681)),"CASH DEPOSIT",IF(ISNUMBER(SEARCH("Prelievo",'Statements (Raw)'!D681)),"CASH WITHDRAWAL",IF(ISNUMBER(SEARCH("Bollo",'Statements (Raw)'!D681)),"STAMP DUTY",IF(ISNUMBER(SEARCH("Tobin Tax",'Statements (Raw)'!D681)),"TOBIN TAX",IF(ISNUMBER(SEARCH("Rit.provento",'Statements (Raw)'!D681)),"WITHHOLDING TAX",IF(ISNUMBER(SEARCH("Incasso Dividendi",'Statements (Raw)'!D681)),"DIVIDEND",IF(ISNUMBER(SEARCH("Cedola",'Statements (Raw)'!D681)),"COUPON",IF(ISNUMBER(SEARCH("Ratei Pass",'Statements (Raw)'!D681)),"ACCRUED INT",IF(ISNUMBER(SEARCH("Interessi Prest",'Statements (Raw)'!D681)),"SEC LENDING",IF(ISNUMBER(SEARCH("Rimborso",'Statements (Raw)'!D681)),"REDEMPTION",IF(ISNUMBER(SEARCH("Provento",'Statements (Raw)'!D681)),"DISTRIBUTION","OTHER")))))))))))))</f>
        <v/>
      </c>
      <c r="D683" s="6" t="str">
        <f>IF(A683="","",IF(C683="Saldo Iniziale","Balance",IF(C683="CASH DEPOSIT","Deposit",IF(C683="CASH WITHDRAWAL","Withdrawal",IF(C683="STAMP DUTY","Tax",IF(C683="TOBIN TAX","Tax",IF(C683="WITHHOLDING TAX","Tax",IF(C683="DIVIDEND","Dividend",IF(C683="COUPON","Coupon",IF(C683="ACCRUED INT","Accrued Int.",IF(C683="SEC LENDING","Sec. Lending",IF(C683="REDEMPTION","Redemption",IF(C683="DISTRIBUTION","Distribution",IF(ISNUMBER(SEARCH("Rimborso",'Statements (Raw)'!D681)),"Redemption",IF(ISNUMBER(SEARCH("Cedola",'Statements (Raw)'!D681)),"Coupon",IF(ISNUMBER(SEARCH("Incasso Dividendi",'Statements (Raw)'!D681)),"Dividend",IF(ISNUMBER(SEARCH("Provento Etf",'Statements (Raw)'!D681)),"Distribution",IF(ISNUMBER(SEARCH("Rit.provento",'Statements (Raw)'!D681)),"Tax",IF(ISNUMBER(SEARCH("Ratei Pass",'Statements (Raw)'!D681)),"Accrued Int.",IF(ISNUMBER(SEARCH("Interessi Prest",'Statements (Raw)'!D681)),"Sec. Lending",IF('Statements (Raw)'!G681="","Other",IF('Statements (Raw)'!G681&gt;0,"Buy","Sell"))))))))))))))))))))))</f>
        <v/>
      </c>
      <c r="E683" s="6" t="str">
        <f t="shared" si="20"/>
        <v/>
      </c>
      <c r="F683" s="8" t="str">
        <f>IF(A683="","",IF('Statements (Raw)'!E681="","",'Statements (Raw)'!E681))</f>
        <v/>
      </c>
      <c r="G683" s="6" t="str">
        <f>IF(A683="","",IF('Statements (Raw)'!F681="","",'Statements (Raw)'!F681))</f>
        <v/>
      </c>
      <c r="H683" s="9" t="str">
        <f>IF(A683="","",IF('Statements (Raw)'!G681="","",'Statements (Raw)'!G681))</f>
        <v/>
      </c>
      <c r="I683" s="10" t="str">
        <f>IF(A683="","",IF('Statements (Raw)'!H681="","",'Statements (Raw)'!H681))</f>
        <v/>
      </c>
      <c r="J683" s="10">
        <f>IF(A683="",0,IF('Statements (Raw)'!I681="",0,'Statements (Raw)'!I681))</f>
        <v>0</v>
      </c>
      <c r="K683" s="10" t="str">
        <f t="shared" si="21"/>
        <v/>
      </c>
    </row>
    <row r="684" spans="1:11" x14ac:dyDescent="0.3">
      <c r="A684" s="171" t="str">
        <f>IF(OR('Statements (Raw)'!A682="",'Statements (Raw)'!A682&gt;Holdings!$G$3),"",'Statements (Raw)'!A682)</f>
        <v/>
      </c>
      <c r="B684" s="7" t="str">
        <f>IF(A684="","",IF('Statements (Raw)'!B682="","",'Statements (Raw)'!B682))</f>
        <v/>
      </c>
      <c r="C684" s="6" t="str">
        <f>IF(A684="","",IF('Statements (Raw)'!C682&lt;&gt;"",'Statements (Raw)'!C682,IF(ISNUMBER(SEARCH("Conferimento",'Statements (Raw)'!D682)),"CASH DEPOSIT",IF(ISNUMBER(SEARCH("Prelievo",'Statements (Raw)'!D682)),"CASH WITHDRAWAL",IF(ISNUMBER(SEARCH("Bollo",'Statements (Raw)'!D682)),"STAMP DUTY",IF(ISNUMBER(SEARCH("Tobin Tax",'Statements (Raw)'!D682)),"TOBIN TAX",IF(ISNUMBER(SEARCH("Rit.provento",'Statements (Raw)'!D682)),"WITHHOLDING TAX",IF(ISNUMBER(SEARCH("Incasso Dividendi",'Statements (Raw)'!D682)),"DIVIDEND",IF(ISNUMBER(SEARCH("Cedola",'Statements (Raw)'!D682)),"COUPON",IF(ISNUMBER(SEARCH("Ratei Pass",'Statements (Raw)'!D682)),"ACCRUED INT",IF(ISNUMBER(SEARCH("Interessi Prest",'Statements (Raw)'!D682)),"SEC LENDING",IF(ISNUMBER(SEARCH("Rimborso",'Statements (Raw)'!D682)),"REDEMPTION",IF(ISNUMBER(SEARCH("Provento",'Statements (Raw)'!D682)),"DISTRIBUTION","OTHER")))))))))))))</f>
        <v/>
      </c>
      <c r="D684" s="6" t="str">
        <f>IF(A684="","",IF(C684="Saldo Iniziale","Balance",IF(C684="CASH DEPOSIT","Deposit",IF(C684="CASH WITHDRAWAL","Withdrawal",IF(C684="STAMP DUTY","Tax",IF(C684="TOBIN TAX","Tax",IF(C684="WITHHOLDING TAX","Tax",IF(C684="DIVIDEND","Dividend",IF(C684="COUPON","Coupon",IF(C684="ACCRUED INT","Accrued Int.",IF(C684="SEC LENDING","Sec. Lending",IF(C684="REDEMPTION","Redemption",IF(C684="DISTRIBUTION","Distribution",IF(ISNUMBER(SEARCH("Rimborso",'Statements (Raw)'!D682)),"Redemption",IF(ISNUMBER(SEARCH("Cedola",'Statements (Raw)'!D682)),"Coupon",IF(ISNUMBER(SEARCH("Incasso Dividendi",'Statements (Raw)'!D682)),"Dividend",IF(ISNUMBER(SEARCH("Provento Etf",'Statements (Raw)'!D682)),"Distribution",IF(ISNUMBER(SEARCH("Rit.provento",'Statements (Raw)'!D682)),"Tax",IF(ISNUMBER(SEARCH("Ratei Pass",'Statements (Raw)'!D682)),"Accrued Int.",IF(ISNUMBER(SEARCH("Interessi Prest",'Statements (Raw)'!D682)),"Sec. Lending",IF('Statements (Raw)'!G682="","Other",IF('Statements (Raw)'!G682&gt;0,"Buy","Sell"))))))))))))))))))))))</f>
        <v/>
      </c>
      <c r="E684" s="6" t="str">
        <f t="shared" si="20"/>
        <v/>
      </c>
      <c r="F684" s="8" t="str">
        <f>IF(A684="","",IF('Statements (Raw)'!E682="","",'Statements (Raw)'!E682))</f>
        <v/>
      </c>
      <c r="G684" s="6" t="str">
        <f>IF(A684="","",IF('Statements (Raw)'!F682="","",'Statements (Raw)'!F682))</f>
        <v/>
      </c>
      <c r="H684" s="9" t="str">
        <f>IF(A684="","",IF('Statements (Raw)'!G682="","",'Statements (Raw)'!G682))</f>
        <v/>
      </c>
      <c r="I684" s="10" t="str">
        <f>IF(A684="","",IF('Statements (Raw)'!H682="","",'Statements (Raw)'!H682))</f>
        <v/>
      </c>
      <c r="J684" s="10">
        <f>IF(A684="",0,IF('Statements (Raw)'!I682="",0,'Statements (Raw)'!I682))</f>
        <v>0</v>
      </c>
      <c r="K684" s="10" t="str">
        <f t="shared" si="21"/>
        <v/>
      </c>
    </row>
    <row r="685" spans="1:11" x14ac:dyDescent="0.3">
      <c r="A685" s="171" t="str">
        <f>IF(OR('Statements (Raw)'!A683="",'Statements (Raw)'!A683&gt;Holdings!$G$3),"",'Statements (Raw)'!A683)</f>
        <v/>
      </c>
      <c r="B685" s="7" t="str">
        <f>IF(A685="","",IF('Statements (Raw)'!B683="","",'Statements (Raw)'!B683))</f>
        <v/>
      </c>
      <c r="C685" s="6" t="str">
        <f>IF(A685="","",IF('Statements (Raw)'!C683&lt;&gt;"",'Statements (Raw)'!C683,IF(ISNUMBER(SEARCH("Conferimento",'Statements (Raw)'!D683)),"CASH DEPOSIT",IF(ISNUMBER(SEARCH("Prelievo",'Statements (Raw)'!D683)),"CASH WITHDRAWAL",IF(ISNUMBER(SEARCH("Bollo",'Statements (Raw)'!D683)),"STAMP DUTY",IF(ISNUMBER(SEARCH("Tobin Tax",'Statements (Raw)'!D683)),"TOBIN TAX",IF(ISNUMBER(SEARCH("Rit.provento",'Statements (Raw)'!D683)),"WITHHOLDING TAX",IF(ISNUMBER(SEARCH("Incasso Dividendi",'Statements (Raw)'!D683)),"DIVIDEND",IF(ISNUMBER(SEARCH("Cedola",'Statements (Raw)'!D683)),"COUPON",IF(ISNUMBER(SEARCH("Ratei Pass",'Statements (Raw)'!D683)),"ACCRUED INT",IF(ISNUMBER(SEARCH("Interessi Prest",'Statements (Raw)'!D683)),"SEC LENDING",IF(ISNUMBER(SEARCH("Rimborso",'Statements (Raw)'!D683)),"REDEMPTION",IF(ISNUMBER(SEARCH("Provento",'Statements (Raw)'!D683)),"DISTRIBUTION","OTHER")))))))))))))</f>
        <v/>
      </c>
      <c r="D685" s="6" t="str">
        <f>IF(A685="","",IF(C685="Saldo Iniziale","Balance",IF(C685="CASH DEPOSIT","Deposit",IF(C685="CASH WITHDRAWAL","Withdrawal",IF(C685="STAMP DUTY","Tax",IF(C685="TOBIN TAX","Tax",IF(C685="WITHHOLDING TAX","Tax",IF(C685="DIVIDEND","Dividend",IF(C685="COUPON","Coupon",IF(C685="ACCRUED INT","Accrued Int.",IF(C685="SEC LENDING","Sec. Lending",IF(C685="REDEMPTION","Redemption",IF(C685="DISTRIBUTION","Distribution",IF(ISNUMBER(SEARCH("Rimborso",'Statements (Raw)'!D683)),"Redemption",IF(ISNUMBER(SEARCH("Cedola",'Statements (Raw)'!D683)),"Coupon",IF(ISNUMBER(SEARCH("Incasso Dividendi",'Statements (Raw)'!D683)),"Dividend",IF(ISNUMBER(SEARCH("Provento Etf",'Statements (Raw)'!D683)),"Distribution",IF(ISNUMBER(SEARCH("Rit.provento",'Statements (Raw)'!D683)),"Tax",IF(ISNUMBER(SEARCH("Ratei Pass",'Statements (Raw)'!D683)),"Accrued Int.",IF(ISNUMBER(SEARCH("Interessi Prest",'Statements (Raw)'!D683)),"Sec. Lending",IF('Statements (Raw)'!G683="","Other",IF('Statements (Raw)'!G683&gt;0,"Buy","Sell"))))))))))))))))))))))</f>
        <v/>
      </c>
      <c r="E685" s="6" t="str">
        <f t="shared" si="20"/>
        <v/>
      </c>
      <c r="F685" s="8" t="str">
        <f>IF(A685="","",IF('Statements (Raw)'!E683="","",'Statements (Raw)'!E683))</f>
        <v/>
      </c>
      <c r="G685" s="6" t="str">
        <f>IF(A685="","",IF('Statements (Raw)'!F683="","",'Statements (Raw)'!F683))</f>
        <v/>
      </c>
      <c r="H685" s="9" t="str">
        <f>IF(A685="","",IF('Statements (Raw)'!G683="","",'Statements (Raw)'!G683))</f>
        <v/>
      </c>
      <c r="I685" s="10" t="str">
        <f>IF(A685="","",IF('Statements (Raw)'!H683="","",'Statements (Raw)'!H683))</f>
        <v/>
      </c>
      <c r="J685" s="10">
        <f>IF(A685="",0,IF('Statements (Raw)'!I683="",0,'Statements (Raw)'!I683))</f>
        <v>0</v>
      </c>
      <c r="K685" s="10" t="str">
        <f t="shared" si="21"/>
        <v/>
      </c>
    </row>
    <row r="686" spans="1:11" x14ac:dyDescent="0.3">
      <c r="A686" s="171" t="str">
        <f>IF(OR('Statements (Raw)'!A684="",'Statements (Raw)'!A684&gt;Holdings!$G$3),"",'Statements (Raw)'!A684)</f>
        <v/>
      </c>
      <c r="B686" s="7" t="str">
        <f>IF(A686="","",IF('Statements (Raw)'!B684="","",'Statements (Raw)'!B684))</f>
        <v/>
      </c>
      <c r="C686" s="6" t="str">
        <f>IF(A686="","",IF('Statements (Raw)'!C684&lt;&gt;"",'Statements (Raw)'!C684,IF(ISNUMBER(SEARCH("Conferimento",'Statements (Raw)'!D684)),"CASH DEPOSIT",IF(ISNUMBER(SEARCH("Prelievo",'Statements (Raw)'!D684)),"CASH WITHDRAWAL",IF(ISNUMBER(SEARCH("Bollo",'Statements (Raw)'!D684)),"STAMP DUTY",IF(ISNUMBER(SEARCH("Tobin Tax",'Statements (Raw)'!D684)),"TOBIN TAX",IF(ISNUMBER(SEARCH("Rit.provento",'Statements (Raw)'!D684)),"WITHHOLDING TAX",IF(ISNUMBER(SEARCH("Incasso Dividendi",'Statements (Raw)'!D684)),"DIVIDEND",IF(ISNUMBER(SEARCH("Cedola",'Statements (Raw)'!D684)),"COUPON",IF(ISNUMBER(SEARCH("Ratei Pass",'Statements (Raw)'!D684)),"ACCRUED INT",IF(ISNUMBER(SEARCH("Interessi Prest",'Statements (Raw)'!D684)),"SEC LENDING",IF(ISNUMBER(SEARCH("Rimborso",'Statements (Raw)'!D684)),"REDEMPTION",IF(ISNUMBER(SEARCH("Provento",'Statements (Raw)'!D684)),"DISTRIBUTION","OTHER")))))))))))))</f>
        <v/>
      </c>
      <c r="D686" s="6" t="str">
        <f>IF(A686="","",IF(C686="Saldo Iniziale","Balance",IF(C686="CASH DEPOSIT","Deposit",IF(C686="CASH WITHDRAWAL","Withdrawal",IF(C686="STAMP DUTY","Tax",IF(C686="TOBIN TAX","Tax",IF(C686="WITHHOLDING TAX","Tax",IF(C686="DIVIDEND","Dividend",IF(C686="COUPON","Coupon",IF(C686="ACCRUED INT","Accrued Int.",IF(C686="SEC LENDING","Sec. Lending",IF(C686="REDEMPTION","Redemption",IF(C686="DISTRIBUTION","Distribution",IF(ISNUMBER(SEARCH("Rimborso",'Statements (Raw)'!D684)),"Redemption",IF(ISNUMBER(SEARCH("Cedola",'Statements (Raw)'!D684)),"Coupon",IF(ISNUMBER(SEARCH("Incasso Dividendi",'Statements (Raw)'!D684)),"Dividend",IF(ISNUMBER(SEARCH("Provento Etf",'Statements (Raw)'!D684)),"Distribution",IF(ISNUMBER(SEARCH("Rit.provento",'Statements (Raw)'!D684)),"Tax",IF(ISNUMBER(SEARCH("Ratei Pass",'Statements (Raw)'!D684)),"Accrued Int.",IF(ISNUMBER(SEARCH("Interessi Prest",'Statements (Raw)'!D684)),"Sec. Lending",IF('Statements (Raw)'!G684="","Other",IF('Statements (Raw)'!G684&gt;0,"Buy","Sell"))))))))))))))))))))))</f>
        <v/>
      </c>
      <c r="E686" s="6" t="str">
        <f t="shared" si="20"/>
        <v/>
      </c>
      <c r="F686" s="8" t="str">
        <f>IF(A686="","",IF('Statements (Raw)'!E684="","",'Statements (Raw)'!E684))</f>
        <v/>
      </c>
      <c r="G686" s="6" t="str">
        <f>IF(A686="","",IF('Statements (Raw)'!F684="","",'Statements (Raw)'!F684))</f>
        <v/>
      </c>
      <c r="H686" s="9" t="str">
        <f>IF(A686="","",IF('Statements (Raw)'!G684="","",'Statements (Raw)'!G684))</f>
        <v/>
      </c>
      <c r="I686" s="10" t="str">
        <f>IF(A686="","",IF('Statements (Raw)'!H684="","",'Statements (Raw)'!H684))</f>
        <v/>
      </c>
      <c r="J686" s="10">
        <f>IF(A686="",0,IF('Statements (Raw)'!I684="",0,'Statements (Raw)'!I684))</f>
        <v>0</v>
      </c>
      <c r="K686" s="10" t="str">
        <f t="shared" si="21"/>
        <v/>
      </c>
    </row>
    <row r="687" spans="1:11" x14ac:dyDescent="0.3">
      <c r="A687" s="171" t="str">
        <f>IF(OR('Statements (Raw)'!A685="",'Statements (Raw)'!A685&gt;Holdings!$G$3),"",'Statements (Raw)'!A685)</f>
        <v/>
      </c>
      <c r="B687" s="7" t="str">
        <f>IF(A687="","",IF('Statements (Raw)'!B685="","",'Statements (Raw)'!B685))</f>
        <v/>
      </c>
      <c r="C687" s="6" t="str">
        <f>IF(A687="","",IF('Statements (Raw)'!C685&lt;&gt;"",'Statements (Raw)'!C685,IF(ISNUMBER(SEARCH("Conferimento",'Statements (Raw)'!D685)),"CASH DEPOSIT",IF(ISNUMBER(SEARCH("Prelievo",'Statements (Raw)'!D685)),"CASH WITHDRAWAL",IF(ISNUMBER(SEARCH("Bollo",'Statements (Raw)'!D685)),"STAMP DUTY",IF(ISNUMBER(SEARCH("Tobin Tax",'Statements (Raw)'!D685)),"TOBIN TAX",IF(ISNUMBER(SEARCH("Rit.provento",'Statements (Raw)'!D685)),"WITHHOLDING TAX",IF(ISNUMBER(SEARCH("Incasso Dividendi",'Statements (Raw)'!D685)),"DIVIDEND",IF(ISNUMBER(SEARCH("Cedola",'Statements (Raw)'!D685)),"COUPON",IF(ISNUMBER(SEARCH("Ratei Pass",'Statements (Raw)'!D685)),"ACCRUED INT",IF(ISNUMBER(SEARCH("Interessi Prest",'Statements (Raw)'!D685)),"SEC LENDING",IF(ISNUMBER(SEARCH("Rimborso",'Statements (Raw)'!D685)),"REDEMPTION",IF(ISNUMBER(SEARCH("Provento",'Statements (Raw)'!D685)),"DISTRIBUTION","OTHER")))))))))))))</f>
        <v/>
      </c>
      <c r="D687" s="6" t="str">
        <f>IF(A687="","",IF(C687="Saldo Iniziale","Balance",IF(C687="CASH DEPOSIT","Deposit",IF(C687="CASH WITHDRAWAL","Withdrawal",IF(C687="STAMP DUTY","Tax",IF(C687="TOBIN TAX","Tax",IF(C687="WITHHOLDING TAX","Tax",IF(C687="DIVIDEND","Dividend",IF(C687="COUPON","Coupon",IF(C687="ACCRUED INT","Accrued Int.",IF(C687="SEC LENDING","Sec. Lending",IF(C687="REDEMPTION","Redemption",IF(C687="DISTRIBUTION","Distribution",IF(ISNUMBER(SEARCH("Rimborso",'Statements (Raw)'!D685)),"Redemption",IF(ISNUMBER(SEARCH("Cedola",'Statements (Raw)'!D685)),"Coupon",IF(ISNUMBER(SEARCH("Incasso Dividendi",'Statements (Raw)'!D685)),"Dividend",IF(ISNUMBER(SEARCH("Provento Etf",'Statements (Raw)'!D685)),"Distribution",IF(ISNUMBER(SEARCH("Rit.provento",'Statements (Raw)'!D685)),"Tax",IF(ISNUMBER(SEARCH("Ratei Pass",'Statements (Raw)'!D685)),"Accrued Int.",IF(ISNUMBER(SEARCH("Interessi Prest",'Statements (Raw)'!D685)),"Sec. Lending",IF('Statements (Raw)'!G685="","Other",IF('Statements (Raw)'!G685&gt;0,"Buy","Sell"))))))))))))))))))))))</f>
        <v/>
      </c>
      <c r="E687" s="6" t="str">
        <f t="shared" si="20"/>
        <v/>
      </c>
      <c r="F687" s="8" t="str">
        <f>IF(A687="","",IF('Statements (Raw)'!E685="","",'Statements (Raw)'!E685))</f>
        <v/>
      </c>
      <c r="G687" s="6" t="str">
        <f>IF(A687="","",IF('Statements (Raw)'!F685="","",'Statements (Raw)'!F685))</f>
        <v/>
      </c>
      <c r="H687" s="9" t="str">
        <f>IF(A687="","",IF('Statements (Raw)'!G685="","",'Statements (Raw)'!G685))</f>
        <v/>
      </c>
      <c r="I687" s="10" t="str">
        <f>IF(A687="","",IF('Statements (Raw)'!H685="","",'Statements (Raw)'!H685))</f>
        <v/>
      </c>
      <c r="J687" s="10">
        <f>IF(A687="",0,IF('Statements (Raw)'!I685="",0,'Statements (Raw)'!I685))</f>
        <v>0</v>
      </c>
      <c r="K687" s="10" t="str">
        <f t="shared" si="21"/>
        <v/>
      </c>
    </row>
    <row r="688" spans="1:11" x14ac:dyDescent="0.3">
      <c r="A688" s="171" t="str">
        <f>IF(OR('Statements (Raw)'!A686="",'Statements (Raw)'!A686&gt;Holdings!$G$3),"",'Statements (Raw)'!A686)</f>
        <v/>
      </c>
      <c r="B688" s="7" t="str">
        <f>IF(A688="","",IF('Statements (Raw)'!B686="","",'Statements (Raw)'!B686))</f>
        <v/>
      </c>
      <c r="C688" s="6" t="str">
        <f>IF(A688="","",IF('Statements (Raw)'!C686&lt;&gt;"",'Statements (Raw)'!C686,IF(ISNUMBER(SEARCH("Conferimento",'Statements (Raw)'!D686)),"CASH DEPOSIT",IF(ISNUMBER(SEARCH("Prelievo",'Statements (Raw)'!D686)),"CASH WITHDRAWAL",IF(ISNUMBER(SEARCH("Bollo",'Statements (Raw)'!D686)),"STAMP DUTY",IF(ISNUMBER(SEARCH("Tobin Tax",'Statements (Raw)'!D686)),"TOBIN TAX",IF(ISNUMBER(SEARCH("Rit.provento",'Statements (Raw)'!D686)),"WITHHOLDING TAX",IF(ISNUMBER(SEARCH("Incasso Dividendi",'Statements (Raw)'!D686)),"DIVIDEND",IF(ISNUMBER(SEARCH("Cedola",'Statements (Raw)'!D686)),"COUPON",IF(ISNUMBER(SEARCH("Ratei Pass",'Statements (Raw)'!D686)),"ACCRUED INT",IF(ISNUMBER(SEARCH("Interessi Prest",'Statements (Raw)'!D686)),"SEC LENDING",IF(ISNUMBER(SEARCH("Rimborso",'Statements (Raw)'!D686)),"REDEMPTION",IF(ISNUMBER(SEARCH("Provento",'Statements (Raw)'!D686)),"DISTRIBUTION","OTHER")))))))))))))</f>
        <v/>
      </c>
      <c r="D688" s="6" t="str">
        <f>IF(A688="","",IF(C688="Saldo Iniziale","Balance",IF(C688="CASH DEPOSIT","Deposit",IF(C688="CASH WITHDRAWAL","Withdrawal",IF(C688="STAMP DUTY","Tax",IF(C688="TOBIN TAX","Tax",IF(C688="WITHHOLDING TAX","Tax",IF(C688="DIVIDEND","Dividend",IF(C688="COUPON","Coupon",IF(C688="ACCRUED INT","Accrued Int.",IF(C688="SEC LENDING","Sec. Lending",IF(C688="REDEMPTION","Redemption",IF(C688="DISTRIBUTION","Distribution",IF(ISNUMBER(SEARCH("Rimborso",'Statements (Raw)'!D686)),"Redemption",IF(ISNUMBER(SEARCH("Cedola",'Statements (Raw)'!D686)),"Coupon",IF(ISNUMBER(SEARCH("Incasso Dividendi",'Statements (Raw)'!D686)),"Dividend",IF(ISNUMBER(SEARCH("Provento Etf",'Statements (Raw)'!D686)),"Distribution",IF(ISNUMBER(SEARCH("Rit.provento",'Statements (Raw)'!D686)),"Tax",IF(ISNUMBER(SEARCH("Ratei Pass",'Statements (Raw)'!D686)),"Accrued Int.",IF(ISNUMBER(SEARCH("Interessi Prest",'Statements (Raw)'!D686)),"Sec. Lending",IF('Statements (Raw)'!G686="","Other",IF('Statements (Raw)'!G686&gt;0,"Buy","Sell"))))))))))))))))))))))</f>
        <v/>
      </c>
      <c r="E688" s="6" t="str">
        <f t="shared" si="20"/>
        <v/>
      </c>
      <c r="F688" s="8" t="str">
        <f>IF(A688="","",IF('Statements (Raw)'!E686="","",'Statements (Raw)'!E686))</f>
        <v/>
      </c>
      <c r="G688" s="6" t="str">
        <f>IF(A688="","",IF('Statements (Raw)'!F686="","",'Statements (Raw)'!F686))</f>
        <v/>
      </c>
      <c r="H688" s="9" t="str">
        <f>IF(A688="","",IF('Statements (Raw)'!G686="","",'Statements (Raw)'!G686))</f>
        <v/>
      </c>
      <c r="I688" s="10" t="str">
        <f>IF(A688="","",IF('Statements (Raw)'!H686="","",'Statements (Raw)'!H686))</f>
        <v/>
      </c>
      <c r="J688" s="10">
        <f>IF(A688="",0,IF('Statements (Raw)'!I686="",0,'Statements (Raw)'!I686))</f>
        <v>0</v>
      </c>
      <c r="K688" s="10" t="str">
        <f t="shared" si="21"/>
        <v/>
      </c>
    </row>
    <row r="689" spans="1:11" x14ac:dyDescent="0.3">
      <c r="A689" s="171" t="str">
        <f>IF(OR('Statements (Raw)'!A687="",'Statements (Raw)'!A687&gt;Holdings!$G$3),"",'Statements (Raw)'!A687)</f>
        <v/>
      </c>
      <c r="B689" s="7" t="str">
        <f>IF(A689="","",IF('Statements (Raw)'!B687="","",'Statements (Raw)'!B687))</f>
        <v/>
      </c>
      <c r="C689" s="6" t="str">
        <f>IF(A689="","",IF('Statements (Raw)'!C687&lt;&gt;"",'Statements (Raw)'!C687,IF(ISNUMBER(SEARCH("Conferimento",'Statements (Raw)'!D687)),"CASH DEPOSIT",IF(ISNUMBER(SEARCH("Prelievo",'Statements (Raw)'!D687)),"CASH WITHDRAWAL",IF(ISNUMBER(SEARCH("Bollo",'Statements (Raw)'!D687)),"STAMP DUTY",IF(ISNUMBER(SEARCH("Tobin Tax",'Statements (Raw)'!D687)),"TOBIN TAX",IF(ISNUMBER(SEARCH("Rit.provento",'Statements (Raw)'!D687)),"WITHHOLDING TAX",IF(ISNUMBER(SEARCH("Incasso Dividendi",'Statements (Raw)'!D687)),"DIVIDEND",IF(ISNUMBER(SEARCH("Cedola",'Statements (Raw)'!D687)),"COUPON",IF(ISNUMBER(SEARCH("Ratei Pass",'Statements (Raw)'!D687)),"ACCRUED INT",IF(ISNUMBER(SEARCH("Interessi Prest",'Statements (Raw)'!D687)),"SEC LENDING",IF(ISNUMBER(SEARCH("Rimborso",'Statements (Raw)'!D687)),"REDEMPTION",IF(ISNUMBER(SEARCH("Provento",'Statements (Raw)'!D687)),"DISTRIBUTION","OTHER")))))))))))))</f>
        <v/>
      </c>
      <c r="D689" s="6" t="str">
        <f>IF(A689="","",IF(C689="Saldo Iniziale","Balance",IF(C689="CASH DEPOSIT","Deposit",IF(C689="CASH WITHDRAWAL","Withdrawal",IF(C689="STAMP DUTY","Tax",IF(C689="TOBIN TAX","Tax",IF(C689="WITHHOLDING TAX","Tax",IF(C689="DIVIDEND","Dividend",IF(C689="COUPON","Coupon",IF(C689="ACCRUED INT","Accrued Int.",IF(C689="SEC LENDING","Sec. Lending",IF(C689="REDEMPTION","Redemption",IF(C689="DISTRIBUTION","Distribution",IF(ISNUMBER(SEARCH("Rimborso",'Statements (Raw)'!D687)),"Redemption",IF(ISNUMBER(SEARCH("Cedola",'Statements (Raw)'!D687)),"Coupon",IF(ISNUMBER(SEARCH("Incasso Dividendi",'Statements (Raw)'!D687)),"Dividend",IF(ISNUMBER(SEARCH("Provento Etf",'Statements (Raw)'!D687)),"Distribution",IF(ISNUMBER(SEARCH("Rit.provento",'Statements (Raw)'!D687)),"Tax",IF(ISNUMBER(SEARCH("Ratei Pass",'Statements (Raw)'!D687)),"Accrued Int.",IF(ISNUMBER(SEARCH("Interessi Prest",'Statements (Raw)'!D687)),"Sec. Lending",IF('Statements (Raw)'!G687="","Other",IF('Statements (Raw)'!G687&gt;0,"Buy","Sell"))))))))))))))))))))))</f>
        <v/>
      </c>
      <c r="E689" s="6" t="str">
        <f t="shared" si="20"/>
        <v/>
      </c>
      <c r="F689" s="8" t="str">
        <f>IF(A689="","",IF('Statements (Raw)'!E687="","",'Statements (Raw)'!E687))</f>
        <v/>
      </c>
      <c r="G689" s="6" t="str">
        <f>IF(A689="","",IF('Statements (Raw)'!F687="","",'Statements (Raw)'!F687))</f>
        <v/>
      </c>
      <c r="H689" s="9" t="str">
        <f>IF(A689="","",IF('Statements (Raw)'!G687="","",'Statements (Raw)'!G687))</f>
        <v/>
      </c>
      <c r="I689" s="10" t="str">
        <f>IF(A689="","",IF('Statements (Raw)'!H687="","",'Statements (Raw)'!H687))</f>
        <v/>
      </c>
      <c r="J689" s="10">
        <f>IF(A689="",0,IF('Statements (Raw)'!I687="",0,'Statements (Raw)'!I687))</f>
        <v>0</v>
      </c>
      <c r="K689" s="10" t="str">
        <f t="shared" si="21"/>
        <v/>
      </c>
    </row>
    <row r="690" spans="1:11" x14ac:dyDescent="0.3">
      <c r="A690" s="171" t="str">
        <f>IF(OR('Statements (Raw)'!A688="",'Statements (Raw)'!A688&gt;Holdings!$G$3),"",'Statements (Raw)'!A688)</f>
        <v/>
      </c>
      <c r="B690" s="7" t="str">
        <f>IF(A690="","",IF('Statements (Raw)'!B688="","",'Statements (Raw)'!B688))</f>
        <v/>
      </c>
      <c r="C690" s="6" t="str">
        <f>IF(A690="","",IF('Statements (Raw)'!C688&lt;&gt;"",'Statements (Raw)'!C688,IF(ISNUMBER(SEARCH("Conferimento",'Statements (Raw)'!D688)),"CASH DEPOSIT",IF(ISNUMBER(SEARCH("Prelievo",'Statements (Raw)'!D688)),"CASH WITHDRAWAL",IF(ISNUMBER(SEARCH("Bollo",'Statements (Raw)'!D688)),"STAMP DUTY",IF(ISNUMBER(SEARCH("Tobin Tax",'Statements (Raw)'!D688)),"TOBIN TAX",IF(ISNUMBER(SEARCH("Rit.provento",'Statements (Raw)'!D688)),"WITHHOLDING TAX",IF(ISNUMBER(SEARCH("Incasso Dividendi",'Statements (Raw)'!D688)),"DIVIDEND",IF(ISNUMBER(SEARCH("Cedola",'Statements (Raw)'!D688)),"COUPON",IF(ISNUMBER(SEARCH("Ratei Pass",'Statements (Raw)'!D688)),"ACCRUED INT",IF(ISNUMBER(SEARCH("Interessi Prest",'Statements (Raw)'!D688)),"SEC LENDING",IF(ISNUMBER(SEARCH("Rimborso",'Statements (Raw)'!D688)),"REDEMPTION",IF(ISNUMBER(SEARCH("Provento",'Statements (Raw)'!D688)),"DISTRIBUTION","OTHER")))))))))))))</f>
        <v/>
      </c>
      <c r="D690" s="6" t="str">
        <f>IF(A690="","",IF(C690="Saldo Iniziale","Balance",IF(C690="CASH DEPOSIT","Deposit",IF(C690="CASH WITHDRAWAL","Withdrawal",IF(C690="STAMP DUTY","Tax",IF(C690="TOBIN TAX","Tax",IF(C690="WITHHOLDING TAX","Tax",IF(C690="DIVIDEND","Dividend",IF(C690="COUPON","Coupon",IF(C690="ACCRUED INT","Accrued Int.",IF(C690="SEC LENDING","Sec. Lending",IF(C690="REDEMPTION","Redemption",IF(C690="DISTRIBUTION","Distribution",IF(ISNUMBER(SEARCH("Rimborso",'Statements (Raw)'!D688)),"Redemption",IF(ISNUMBER(SEARCH("Cedola",'Statements (Raw)'!D688)),"Coupon",IF(ISNUMBER(SEARCH("Incasso Dividendi",'Statements (Raw)'!D688)),"Dividend",IF(ISNUMBER(SEARCH("Provento Etf",'Statements (Raw)'!D688)),"Distribution",IF(ISNUMBER(SEARCH("Rit.provento",'Statements (Raw)'!D688)),"Tax",IF(ISNUMBER(SEARCH("Ratei Pass",'Statements (Raw)'!D688)),"Accrued Int.",IF(ISNUMBER(SEARCH("Interessi Prest",'Statements (Raw)'!D688)),"Sec. Lending",IF('Statements (Raw)'!G688="","Other",IF('Statements (Raw)'!G688&gt;0,"Buy","Sell"))))))))))))))))))))))</f>
        <v/>
      </c>
      <c r="E690" s="6" t="str">
        <f t="shared" si="20"/>
        <v/>
      </c>
      <c r="F690" s="8" t="str">
        <f>IF(A690="","",IF('Statements (Raw)'!E688="","",'Statements (Raw)'!E688))</f>
        <v/>
      </c>
      <c r="G690" s="6" t="str">
        <f>IF(A690="","",IF('Statements (Raw)'!F688="","",'Statements (Raw)'!F688))</f>
        <v/>
      </c>
      <c r="H690" s="9" t="str">
        <f>IF(A690="","",IF('Statements (Raw)'!G688="","",'Statements (Raw)'!G688))</f>
        <v/>
      </c>
      <c r="I690" s="10" t="str">
        <f>IF(A690="","",IF('Statements (Raw)'!H688="","",'Statements (Raw)'!H688))</f>
        <v/>
      </c>
      <c r="J690" s="10">
        <f>IF(A690="",0,IF('Statements (Raw)'!I688="",0,'Statements (Raw)'!I688))</f>
        <v>0</v>
      </c>
      <c r="K690" s="10" t="str">
        <f t="shared" si="21"/>
        <v/>
      </c>
    </row>
    <row r="691" spans="1:11" x14ac:dyDescent="0.3">
      <c r="A691" s="171" t="str">
        <f>IF(OR('Statements (Raw)'!A689="",'Statements (Raw)'!A689&gt;Holdings!$G$3),"",'Statements (Raw)'!A689)</f>
        <v/>
      </c>
      <c r="B691" s="7" t="str">
        <f>IF(A691="","",IF('Statements (Raw)'!B689="","",'Statements (Raw)'!B689))</f>
        <v/>
      </c>
      <c r="C691" s="6" t="str">
        <f>IF(A691="","",IF('Statements (Raw)'!C689&lt;&gt;"",'Statements (Raw)'!C689,IF(ISNUMBER(SEARCH("Conferimento",'Statements (Raw)'!D689)),"CASH DEPOSIT",IF(ISNUMBER(SEARCH("Prelievo",'Statements (Raw)'!D689)),"CASH WITHDRAWAL",IF(ISNUMBER(SEARCH("Bollo",'Statements (Raw)'!D689)),"STAMP DUTY",IF(ISNUMBER(SEARCH("Tobin Tax",'Statements (Raw)'!D689)),"TOBIN TAX",IF(ISNUMBER(SEARCH("Rit.provento",'Statements (Raw)'!D689)),"WITHHOLDING TAX",IF(ISNUMBER(SEARCH("Incasso Dividendi",'Statements (Raw)'!D689)),"DIVIDEND",IF(ISNUMBER(SEARCH("Cedola",'Statements (Raw)'!D689)),"COUPON",IF(ISNUMBER(SEARCH("Ratei Pass",'Statements (Raw)'!D689)),"ACCRUED INT",IF(ISNUMBER(SEARCH("Interessi Prest",'Statements (Raw)'!D689)),"SEC LENDING",IF(ISNUMBER(SEARCH("Rimborso",'Statements (Raw)'!D689)),"REDEMPTION",IF(ISNUMBER(SEARCH("Provento",'Statements (Raw)'!D689)),"DISTRIBUTION","OTHER")))))))))))))</f>
        <v/>
      </c>
      <c r="D691" s="6" t="str">
        <f>IF(A691="","",IF(C691="Saldo Iniziale","Balance",IF(C691="CASH DEPOSIT","Deposit",IF(C691="CASH WITHDRAWAL","Withdrawal",IF(C691="STAMP DUTY","Tax",IF(C691="TOBIN TAX","Tax",IF(C691="WITHHOLDING TAX","Tax",IF(C691="DIVIDEND","Dividend",IF(C691="COUPON","Coupon",IF(C691="ACCRUED INT","Accrued Int.",IF(C691="SEC LENDING","Sec. Lending",IF(C691="REDEMPTION","Redemption",IF(C691="DISTRIBUTION","Distribution",IF(ISNUMBER(SEARCH("Rimborso",'Statements (Raw)'!D689)),"Redemption",IF(ISNUMBER(SEARCH("Cedola",'Statements (Raw)'!D689)),"Coupon",IF(ISNUMBER(SEARCH("Incasso Dividendi",'Statements (Raw)'!D689)),"Dividend",IF(ISNUMBER(SEARCH("Provento Etf",'Statements (Raw)'!D689)),"Distribution",IF(ISNUMBER(SEARCH("Rit.provento",'Statements (Raw)'!D689)),"Tax",IF(ISNUMBER(SEARCH("Ratei Pass",'Statements (Raw)'!D689)),"Accrued Int.",IF(ISNUMBER(SEARCH("Interessi Prest",'Statements (Raw)'!D689)),"Sec. Lending",IF('Statements (Raw)'!G689="","Other",IF('Statements (Raw)'!G689&gt;0,"Buy","Sell"))))))))))))))))))))))</f>
        <v/>
      </c>
      <c r="E691" s="6" t="str">
        <f t="shared" si="20"/>
        <v/>
      </c>
      <c r="F691" s="8" t="str">
        <f>IF(A691="","",IF('Statements (Raw)'!E689="","",'Statements (Raw)'!E689))</f>
        <v/>
      </c>
      <c r="G691" s="6" t="str">
        <f>IF(A691="","",IF('Statements (Raw)'!F689="","",'Statements (Raw)'!F689))</f>
        <v/>
      </c>
      <c r="H691" s="9" t="str">
        <f>IF(A691="","",IF('Statements (Raw)'!G689="","",'Statements (Raw)'!G689))</f>
        <v/>
      </c>
      <c r="I691" s="10" t="str">
        <f>IF(A691="","",IF('Statements (Raw)'!H689="","",'Statements (Raw)'!H689))</f>
        <v/>
      </c>
      <c r="J691" s="10">
        <f>IF(A691="",0,IF('Statements (Raw)'!I689="",0,'Statements (Raw)'!I689))</f>
        <v>0</v>
      </c>
      <c r="K691" s="10" t="str">
        <f t="shared" si="21"/>
        <v/>
      </c>
    </row>
    <row r="692" spans="1:11" x14ac:dyDescent="0.3">
      <c r="A692" s="171" t="str">
        <f>IF(OR('Statements (Raw)'!A690="",'Statements (Raw)'!A690&gt;Holdings!$G$3),"",'Statements (Raw)'!A690)</f>
        <v/>
      </c>
      <c r="B692" s="7" t="str">
        <f>IF(A692="","",IF('Statements (Raw)'!B690="","",'Statements (Raw)'!B690))</f>
        <v/>
      </c>
      <c r="C692" s="6" t="str">
        <f>IF(A692="","",IF('Statements (Raw)'!C690&lt;&gt;"",'Statements (Raw)'!C690,IF(ISNUMBER(SEARCH("Conferimento",'Statements (Raw)'!D690)),"CASH DEPOSIT",IF(ISNUMBER(SEARCH("Prelievo",'Statements (Raw)'!D690)),"CASH WITHDRAWAL",IF(ISNUMBER(SEARCH("Bollo",'Statements (Raw)'!D690)),"STAMP DUTY",IF(ISNUMBER(SEARCH("Tobin Tax",'Statements (Raw)'!D690)),"TOBIN TAX",IF(ISNUMBER(SEARCH("Rit.provento",'Statements (Raw)'!D690)),"WITHHOLDING TAX",IF(ISNUMBER(SEARCH("Incasso Dividendi",'Statements (Raw)'!D690)),"DIVIDEND",IF(ISNUMBER(SEARCH("Cedola",'Statements (Raw)'!D690)),"COUPON",IF(ISNUMBER(SEARCH("Ratei Pass",'Statements (Raw)'!D690)),"ACCRUED INT",IF(ISNUMBER(SEARCH("Interessi Prest",'Statements (Raw)'!D690)),"SEC LENDING",IF(ISNUMBER(SEARCH("Rimborso",'Statements (Raw)'!D690)),"REDEMPTION",IF(ISNUMBER(SEARCH("Provento",'Statements (Raw)'!D690)),"DISTRIBUTION","OTHER")))))))))))))</f>
        <v/>
      </c>
      <c r="D692" s="6" t="str">
        <f>IF(A692="","",IF(C692="Saldo Iniziale","Balance",IF(C692="CASH DEPOSIT","Deposit",IF(C692="CASH WITHDRAWAL","Withdrawal",IF(C692="STAMP DUTY","Tax",IF(C692="TOBIN TAX","Tax",IF(C692="WITHHOLDING TAX","Tax",IF(C692="DIVIDEND","Dividend",IF(C692="COUPON","Coupon",IF(C692="ACCRUED INT","Accrued Int.",IF(C692="SEC LENDING","Sec. Lending",IF(C692="REDEMPTION","Redemption",IF(C692="DISTRIBUTION","Distribution",IF(ISNUMBER(SEARCH("Rimborso",'Statements (Raw)'!D690)),"Redemption",IF(ISNUMBER(SEARCH("Cedola",'Statements (Raw)'!D690)),"Coupon",IF(ISNUMBER(SEARCH("Incasso Dividendi",'Statements (Raw)'!D690)),"Dividend",IF(ISNUMBER(SEARCH("Provento Etf",'Statements (Raw)'!D690)),"Distribution",IF(ISNUMBER(SEARCH("Rit.provento",'Statements (Raw)'!D690)),"Tax",IF(ISNUMBER(SEARCH("Ratei Pass",'Statements (Raw)'!D690)),"Accrued Int.",IF(ISNUMBER(SEARCH("Interessi Prest",'Statements (Raw)'!D690)),"Sec. Lending",IF('Statements (Raw)'!G690="","Other",IF('Statements (Raw)'!G690&gt;0,"Buy","Sell"))))))))))))))))))))))</f>
        <v/>
      </c>
      <c r="E692" s="6" t="str">
        <f t="shared" si="20"/>
        <v/>
      </c>
      <c r="F692" s="8" t="str">
        <f>IF(A692="","",IF('Statements (Raw)'!E690="","",'Statements (Raw)'!E690))</f>
        <v/>
      </c>
      <c r="G692" s="6" t="str">
        <f>IF(A692="","",IF('Statements (Raw)'!F690="","",'Statements (Raw)'!F690))</f>
        <v/>
      </c>
      <c r="H692" s="9" t="str">
        <f>IF(A692="","",IF('Statements (Raw)'!G690="","",'Statements (Raw)'!G690))</f>
        <v/>
      </c>
      <c r="I692" s="10" t="str">
        <f>IF(A692="","",IF('Statements (Raw)'!H690="","",'Statements (Raw)'!H690))</f>
        <v/>
      </c>
      <c r="J692" s="10">
        <f>IF(A692="",0,IF('Statements (Raw)'!I690="",0,'Statements (Raw)'!I690))</f>
        <v>0</v>
      </c>
      <c r="K692" s="10" t="str">
        <f t="shared" si="21"/>
        <v/>
      </c>
    </row>
    <row r="693" spans="1:11" x14ac:dyDescent="0.3">
      <c r="A693" s="171" t="str">
        <f>IF(OR('Statements (Raw)'!A691="",'Statements (Raw)'!A691&gt;Holdings!$G$3),"",'Statements (Raw)'!A691)</f>
        <v/>
      </c>
      <c r="B693" s="7" t="str">
        <f>IF(A693="","",IF('Statements (Raw)'!B691="","",'Statements (Raw)'!B691))</f>
        <v/>
      </c>
      <c r="C693" s="6" t="str">
        <f>IF(A693="","",IF('Statements (Raw)'!C691&lt;&gt;"",'Statements (Raw)'!C691,IF(ISNUMBER(SEARCH("Conferimento",'Statements (Raw)'!D691)),"CASH DEPOSIT",IF(ISNUMBER(SEARCH("Prelievo",'Statements (Raw)'!D691)),"CASH WITHDRAWAL",IF(ISNUMBER(SEARCH("Bollo",'Statements (Raw)'!D691)),"STAMP DUTY",IF(ISNUMBER(SEARCH("Tobin Tax",'Statements (Raw)'!D691)),"TOBIN TAX",IF(ISNUMBER(SEARCH("Rit.provento",'Statements (Raw)'!D691)),"WITHHOLDING TAX",IF(ISNUMBER(SEARCH("Incasso Dividendi",'Statements (Raw)'!D691)),"DIVIDEND",IF(ISNUMBER(SEARCH("Cedola",'Statements (Raw)'!D691)),"COUPON",IF(ISNUMBER(SEARCH("Ratei Pass",'Statements (Raw)'!D691)),"ACCRUED INT",IF(ISNUMBER(SEARCH("Interessi Prest",'Statements (Raw)'!D691)),"SEC LENDING",IF(ISNUMBER(SEARCH("Rimborso",'Statements (Raw)'!D691)),"REDEMPTION",IF(ISNUMBER(SEARCH("Provento",'Statements (Raw)'!D691)),"DISTRIBUTION","OTHER")))))))))))))</f>
        <v/>
      </c>
      <c r="D693" s="6" t="str">
        <f>IF(A693="","",IF(C693="Saldo Iniziale","Balance",IF(C693="CASH DEPOSIT","Deposit",IF(C693="CASH WITHDRAWAL","Withdrawal",IF(C693="STAMP DUTY","Tax",IF(C693="TOBIN TAX","Tax",IF(C693="WITHHOLDING TAX","Tax",IF(C693="DIVIDEND","Dividend",IF(C693="COUPON","Coupon",IF(C693="ACCRUED INT","Accrued Int.",IF(C693="SEC LENDING","Sec. Lending",IF(C693="REDEMPTION","Redemption",IF(C693="DISTRIBUTION","Distribution",IF(ISNUMBER(SEARCH("Rimborso",'Statements (Raw)'!D691)),"Redemption",IF(ISNUMBER(SEARCH("Cedola",'Statements (Raw)'!D691)),"Coupon",IF(ISNUMBER(SEARCH("Incasso Dividendi",'Statements (Raw)'!D691)),"Dividend",IF(ISNUMBER(SEARCH("Provento Etf",'Statements (Raw)'!D691)),"Distribution",IF(ISNUMBER(SEARCH("Rit.provento",'Statements (Raw)'!D691)),"Tax",IF(ISNUMBER(SEARCH("Ratei Pass",'Statements (Raw)'!D691)),"Accrued Int.",IF(ISNUMBER(SEARCH("Interessi Prest",'Statements (Raw)'!D691)),"Sec. Lending",IF('Statements (Raw)'!G691="","Other",IF('Statements (Raw)'!G691&gt;0,"Buy","Sell"))))))))))))))))))))))</f>
        <v/>
      </c>
      <c r="E693" s="6" t="str">
        <f t="shared" si="20"/>
        <v/>
      </c>
      <c r="F693" s="8" t="str">
        <f>IF(A693="","",IF('Statements (Raw)'!E691="","",'Statements (Raw)'!E691))</f>
        <v/>
      </c>
      <c r="G693" s="6" t="str">
        <f>IF(A693="","",IF('Statements (Raw)'!F691="","",'Statements (Raw)'!F691))</f>
        <v/>
      </c>
      <c r="H693" s="9" t="str">
        <f>IF(A693="","",IF('Statements (Raw)'!G691="","",'Statements (Raw)'!G691))</f>
        <v/>
      </c>
      <c r="I693" s="10" t="str">
        <f>IF(A693="","",IF('Statements (Raw)'!H691="","",'Statements (Raw)'!H691))</f>
        <v/>
      </c>
      <c r="J693" s="10">
        <f>IF(A693="",0,IF('Statements (Raw)'!I691="",0,'Statements (Raw)'!I691))</f>
        <v>0</v>
      </c>
      <c r="K693" s="10" t="str">
        <f t="shared" si="21"/>
        <v/>
      </c>
    </row>
    <row r="694" spans="1:11" x14ac:dyDescent="0.3">
      <c r="A694" s="171" t="str">
        <f>IF(OR('Statements (Raw)'!A692="",'Statements (Raw)'!A692&gt;Holdings!$G$3),"",'Statements (Raw)'!A692)</f>
        <v/>
      </c>
      <c r="B694" s="7" t="str">
        <f>IF(A694="","",IF('Statements (Raw)'!B692="","",'Statements (Raw)'!B692))</f>
        <v/>
      </c>
      <c r="C694" s="6" t="str">
        <f>IF(A694="","",IF('Statements (Raw)'!C692&lt;&gt;"",'Statements (Raw)'!C692,IF(ISNUMBER(SEARCH("Conferimento",'Statements (Raw)'!D692)),"CASH DEPOSIT",IF(ISNUMBER(SEARCH("Prelievo",'Statements (Raw)'!D692)),"CASH WITHDRAWAL",IF(ISNUMBER(SEARCH("Bollo",'Statements (Raw)'!D692)),"STAMP DUTY",IF(ISNUMBER(SEARCH("Tobin Tax",'Statements (Raw)'!D692)),"TOBIN TAX",IF(ISNUMBER(SEARCH("Rit.provento",'Statements (Raw)'!D692)),"WITHHOLDING TAX",IF(ISNUMBER(SEARCH("Incasso Dividendi",'Statements (Raw)'!D692)),"DIVIDEND",IF(ISNUMBER(SEARCH("Cedola",'Statements (Raw)'!D692)),"COUPON",IF(ISNUMBER(SEARCH("Ratei Pass",'Statements (Raw)'!D692)),"ACCRUED INT",IF(ISNUMBER(SEARCH("Interessi Prest",'Statements (Raw)'!D692)),"SEC LENDING",IF(ISNUMBER(SEARCH("Rimborso",'Statements (Raw)'!D692)),"REDEMPTION",IF(ISNUMBER(SEARCH("Provento",'Statements (Raw)'!D692)),"DISTRIBUTION","OTHER")))))))))))))</f>
        <v/>
      </c>
      <c r="D694" s="6" t="str">
        <f>IF(A694="","",IF(C694="Saldo Iniziale","Balance",IF(C694="CASH DEPOSIT","Deposit",IF(C694="CASH WITHDRAWAL","Withdrawal",IF(C694="STAMP DUTY","Tax",IF(C694="TOBIN TAX","Tax",IF(C694="WITHHOLDING TAX","Tax",IF(C694="DIVIDEND","Dividend",IF(C694="COUPON","Coupon",IF(C694="ACCRUED INT","Accrued Int.",IF(C694="SEC LENDING","Sec. Lending",IF(C694="REDEMPTION","Redemption",IF(C694="DISTRIBUTION","Distribution",IF(ISNUMBER(SEARCH("Rimborso",'Statements (Raw)'!D692)),"Redemption",IF(ISNUMBER(SEARCH("Cedola",'Statements (Raw)'!D692)),"Coupon",IF(ISNUMBER(SEARCH("Incasso Dividendi",'Statements (Raw)'!D692)),"Dividend",IF(ISNUMBER(SEARCH("Provento Etf",'Statements (Raw)'!D692)),"Distribution",IF(ISNUMBER(SEARCH("Rit.provento",'Statements (Raw)'!D692)),"Tax",IF(ISNUMBER(SEARCH("Ratei Pass",'Statements (Raw)'!D692)),"Accrued Int.",IF(ISNUMBER(SEARCH("Interessi Prest",'Statements (Raw)'!D692)),"Sec. Lending",IF('Statements (Raw)'!G692="","Other",IF('Statements (Raw)'!G692&gt;0,"Buy","Sell"))))))))))))))))))))))</f>
        <v/>
      </c>
      <c r="E694" s="6" t="str">
        <f t="shared" si="20"/>
        <v/>
      </c>
      <c r="F694" s="8" t="str">
        <f>IF(A694="","",IF('Statements (Raw)'!E692="","",'Statements (Raw)'!E692))</f>
        <v/>
      </c>
      <c r="G694" s="6" t="str">
        <f>IF(A694="","",IF('Statements (Raw)'!F692="","",'Statements (Raw)'!F692))</f>
        <v/>
      </c>
      <c r="H694" s="9" t="str">
        <f>IF(A694="","",IF('Statements (Raw)'!G692="","",'Statements (Raw)'!G692))</f>
        <v/>
      </c>
      <c r="I694" s="10" t="str">
        <f>IF(A694="","",IF('Statements (Raw)'!H692="","",'Statements (Raw)'!H692))</f>
        <v/>
      </c>
      <c r="J694" s="10">
        <f>IF(A694="",0,IF('Statements (Raw)'!I692="",0,'Statements (Raw)'!I692))</f>
        <v>0</v>
      </c>
      <c r="K694" s="10" t="str">
        <f t="shared" si="21"/>
        <v/>
      </c>
    </row>
    <row r="695" spans="1:11" x14ac:dyDescent="0.3">
      <c r="A695" s="171" t="str">
        <f>IF(OR('Statements (Raw)'!A693="",'Statements (Raw)'!A693&gt;Holdings!$G$3),"",'Statements (Raw)'!A693)</f>
        <v/>
      </c>
      <c r="B695" s="7" t="str">
        <f>IF(A695="","",IF('Statements (Raw)'!B693="","",'Statements (Raw)'!B693))</f>
        <v/>
      </c>
      <c r="C695" s="6" t="str">
        <f>IF(A695="","",IF('Statements (Raw)'!C693&lt;&gt;"",'Statements (Raw)'!C693,IF(ISNUMBER(SEARCH("Conferimento",'Statements (Raw)'!D693)),"CASH DEPOSIT",IF(ISNUMBER(SEARCH("Prelievo",'Statements (Raw)'!D693)),"CASH WITHDRAWAL",IF(ISNUMBER(SEARCH("Bollo",'Statements (Raw)'!D693)),"STAMP DUTY",IF(ISNUMBER(SEARCH("Tobin Tax",'Statements (Raw)'!D693)),"TOBIN TAX",IF(ISNUMBER(SEARCH("Rit.provento",'Statements (Raw)'!D693)),"WITHHOLDING TAX",IF(ISNUMBER(SEARCH("Incasso Dividendi",'Statements (Raw)'!D693)),"DIVIDEND",IF(ISNUMBER(SEARCH("Cedola",'Statements (Raw)'!D693)),"COUPON",IF(ISNUMBER(SEARCH("Ratei Pass",'Statements (Raw)'!D693)),"ACCRUED INT",IF(ISNUMBER(SEARCH("Interessi Prest",'Statements (Raw)'!D693)),"SEC LENDING",IF(ISNUMBER(SEARCH("Rimborso",'Statements (Raw)'!D693)),"REDEMPTION",IF(ISNUMBER(SEARCH("Provento",'Statements (Raw)'!D693)),"DISTRIBUTION","OTHER")))))))))))))</f>
        <v/>
      </c>
      <c r="D695" s="6" t="str">
        <f>IF(A695="","",IF(C695="Saldo Iniziale","Balance",IF(C695="CASH DEPOSIT","Deposit",IF(C695="CASH WITHDRAWAL","Withdrawal",IF(C695="STAMP DUTY","Tax",IF(C695="TOBIN TAX","Tax",IF(C695="WITHHOLDING TAX","Tax",IF(C695="DIVIDEND","Dividend",IF(C695="COUPON","Coupon",IF(C695="ACCRUED INT","Accrued Int.",IF(C695="SEC LENDING","Sec. Lending",IF(C695="REDEMPTION","Redemption",IF(C695="DISTRIBUTION","Distribution",IF(ISNUMBER(SEARCH("Rimborso",'Statements (Raw)'!D693)),"Redemption",IF(ISNUMBER(SEARCH("Cedola",'Statements (Raw)'!D693)),"Coupon",IF(ISNUMBER(SEARCH("Incasso Dividendi",'Statements (Raw)'!D693)),"Dividend",IF(ISNUMBER(SEARCH("Provento Etf",'Statements (Raw)'!D693)),"Distribution",IF(ISNUMBER(SEARCH("Rit.provento",'Statements (Raw)'!D693)),"Tax",IF(ISNUMBER(SEARCH("Ratei Pass",'Statements (Raw)'!D693)),"Accrued Int.",IF(ISNUMBER(SEARCH("Interessi Prest",'Statements (Raw)'!D693)),"Sec. Lending",IF('Statements (Raw)'!G693="","Other",IF('Statements (Raw)'!G693&gt;0,"Buy","Sell"))))))))))))))))))))))</f>
        <v/>
      </c>
      <c r="E695" s="6" t="str">
        <f t="shared" si="20"/>
        <v/>
      </c>
      <c r="F695" s="8" t="str">
        <f>IF(A695="","",IF('Statements (Raw)'!E693="","",'Statements (Raw)'!E693))</f>
        <v/>
      </c>
      <c r="G695" s="6" t="str">
        <f>IF(A695="","",IF('Statements (Raw)'!F693="","",'Statements (Raw)'!F693))</f>
        <v/>
      </c>
      <c r="H695" s="9" t="str">
        <f>IF(A695="","",IF('Statements (Raw)'!G693="","",'Statements (Raw)'!G693))</f>
        <v/>
      </c>
      <c r="I695" s="10" t="str">
        <f>IF(A695="","",IF('Statements (Raw)'!H693="","",'Statements (Raw)'!H693))</f>
        <v/>
      </c>
      <c r="J695" s="10">
        <f>IF(A695="",0,IF('Statements (Raw)'!I693="",0,'Statements (Raw)'!I693))</f>
        <v>0</v>
      </c>
      <c r="K695" s="10" t="str">
        <f t="shared" si="21"/>
        <v/>
      </c>
    </row>
    <row r="696" spans="1:11" x14ac:dyDescent="0.3">
      <c r="A696" s="171" t="str">
        <f>IF(OR('Statements (Raw)'!A694="",'Statements (Raw)'!A694&gt;Holdings!$G$3),"",'Statements (Raw)'!A694)</f>
        <v/>
      </c>
      <c r="B696" s="7" t="str">
        <f>IF(A696="","",IF('Statements (Raw)'!B694="","",'Statements (Raw)'!B694))</f>
        <v/>
      </c>
      <c r="C696" s="6" t="str">
        <f>IF(A696="","",IF('Statements (Raw)'!C694&lt;&gt;"",'Statements (Raw)'!C694,IF(ISNUMBER(SEARCH("Conferimento",'Statements (Raw)'!D694)),"CASH DEPOSIT",IF(ISNUMBER(SEARCH("Prelievo",'Statements (Raw)'!D694)),"CASH WITHDRAWAL",IF(ISNUMBER(SEARCH("Bollo",'Statements (Raw)'!D694)),"STAMP DUTY",IF(ISNUMBER(SEARCH("Tobin Tax",'Statements (Raw)'!D694)),"TOBIN TAX",IF(ISNUMBER(SEARCH("Rit.provento",'Statements (Raw)'!D694)),"WITHHOLDING TAX",IF(ISNUMBER(SEARCH("Incasso Dividendi",'Statements (Raw)'!D694)),"DIVIDEND",IF(ISNUMBER(SEARCH("Cedola",'Statements (Raw)'!D694)),"COUPON",IF(ISNUMBER(SEARCH("Ratei Pass",'Statements (Raw)'!D694)),"ACCRUED INT",IF(ISNUMBER(SEARCH("Interessi Prest",'Statements (Raw)'!D694)),"SEC LENDING",IF(ISNUMBER(SEARCH("Rimborso",'Statements (Raw)'!D694)),"REDEMPTION",IF(ISNUMBER(SEARCH("Provento",'Statements (Raw)'!D694)),"DISTRIBUTION","OTHER")))))))))))))</f>
        <v/>
      </c>
      <c r="D696" s="6" t="str">
        <f>IF(A696="","",IF(C696="Saldo Iniziale","Balance",IF(C696="CASH DEPOSIT","Deposit",IF(C696="CASH WITHDRAWAL","Withdrawal",IF(C696="STAMP DUTY","Tax",IF(C696="TOBIN TAX","Tax",IF(C696="WITHHOLDING TAX","Tax",IF(C696="DIVIDEND","Dividend",IF(C696="COUPON","Coupon",IF(C696="ACCRUED INT","Accrued Int.",IF(C696="SEC LENDING","Sec. Lending",IF(C696="REDEMPTION","Redemption",IF(C696="DISTRIBUTION","Distribution",IF(ISNUMBER(SEARCH("Rimborso",'Statements (Raw)'!D694)),"Redemption",IF(ISNUMBER(SEARCH("Cedola",'Statements (Raw)'!D694)),"Coupon",IF(ISNUMBER(SEARCH("Incasso Dividendi",'Statements (Raw)'!D694)),"Dividend",IF(ISNUMBER(SEARCH("Provento Etf",'Statements (Raw)'!D694)),"Distribution",IF(ISNUMBER(SEARCH("Rit.provento",'Statements (Raw)'!D694)),"Tax",IF(ISNUMBER(SEARCH("Ratei Pass",'Statements (Raw)'!D694)),"Accrued Int.",IF(ISNUMBER(SEARCH("Interessi Prest",'Statements (Raw)'!D694)),"Sec. Lending",IF('Statements (Raw)'!G694="","Other",IF('Statements (Raw)'!G694&gt;0,"Buy","Sell"))))))))))))))))))))))</f>
        <v/>
      </c>
      <c r="E696" s="6" t="str">
        <f t="shared" si="20"/>
        <v/>
      </c>
      <c r="F696" s="8" t="str">
        <f>IF(A696="","",IF('Statements (Raw)'!E694="","",'Statements (Raw)'!E694))</f>
        <v/>
      </c>
      <c r="G696" s="6" t="str">
        <f>IF(A696="","",IF('Statements (Raw)'!F694="","",'Statements (Raw)'!F694))</f>
        <v/>
      </c>
      <c r="H696" s="9" t="str">
        <f>IF(A696="","",IF('Statements (Raw)'!G694="","",'Statements (Raw)'!G694))</f>
        <v/>
      </c>
      <c r="I696" s="10" t="str">
        <f>IF(A696="","",IF('Statements (Raw)'!H694="","",'Statements (Raw)'!H694))</f>
        <v/>
      </c>
      <c r="J696" s="10">
        <f>IF(A696="",0,IF('Statements (Raw)'!I694="",0,'Statements (Raw)'!I694))</f>
        <v>0</v>
      </c>
      <c r="K696" s="10" t="str">
        <f t="shared" si="21"/>
        <v/>
      </c>
    </row>
    <row r="697" spans="1:11" x14ac:dyDescent="0.3">
      <c r="A697" s="171" t="str">
        <f>IF(OR('Statements (Raw)'!A695="",'Statements (Raw)'!A695&gt;Holdings!$G$3),"",'Statements (Raw)'!A695)</f>
        <v/>
      </c>
      <c r="B697" s="7" t="str">
        <f>IF(A697="","",IF('Statements (Raw)'!B695="","",'Statements (Raw)'!B695))</f>
        <v/>
      </c>
      <c r="C697" s="6" t="str">
        <f>IF(A697="","",IF('Statements (Raw)'!C695&lt;&gt;"",'Statements (Raw)'!C695,IF(ISNUMBER(SEARCH("Conferimento",'Statements (Raw)'!D695)),"CASH DEPOSIT",IF(ISNUMBER(SEARCH("Prelievo",'Statements (Raw)'!D695)),"CASH WITHDRAWAL",IF(ISNUMBER(SEARCH("Bollo",'Statements (Raw)'!D695)),"STAMP DUTY",IF(ISNUMBER(SEARCH("Tobin Tax",'Statements (Raw)'!D695)),"TOBIN TAX",IF(ISNUMBER(SEARCH("Rit.provento",'Statements (Raw)'!D695)),"WITHHOLDING TAX",IF(ISNUMBER(SEARCH("Incasso Dividendi",'Statements (Raw)'!D695)),"DIVIDEND",IF(ISNUMBER(SEARCH("Cedola",'Statements (Raw)'!D695)),"COUPON",IF(ISNUMBER(SEARCH("Ratei Pass",'Statements (Raw)'!D695)),"ACCRUED INT",IF(ISNUMBER(SEARCH("Interessi Prest",'Statements (Raw)'!D695)),"SEC LENDING",IF(ISNUMBER(SEARCH("Rimborso",'Statements (Raw)'!D695)),"REDEMPTION",IF(ISNUMBER(SEARCH("Provento",'Statements (Raw)'!D695)),"DISTRIBUTION","OTHER")))))))))))))</f>
        <v/>
      </c>
      <c r="D697" s="6" t="str">
        <f>IF(A697="","",IF(C697="Saldo Iniziale","Balance",IF(C697="CASH DEPOSIT","Deposit",IF(C697="CASH WITHDRAWAL","Withdrawal",IF(C697="STAMP DUTY","Tax",IF(C697="TOBIN TAX","Tax",IF(C697="WITHHOLDING TAX","Tax",IF(C697="DIVIDEND","Dividend",IF(C697="COUPON","Coupon",IF(C697="ACCRUED INT","Accrued Int.",IF(C697="SEC LENDING","Sec. Lending",IF(C697="REDEMPTION","Redemption",IF(C697="DISTRIBUTION","Distribution",IF(ISNUMBER(SEARCH("Rimborso",'Statements (Raw)'!D695)),"Redemption",IF(ISNUMBER(SEARCH("Cedola",'Statements (Raw)'!D695)),"Coupon",IF(ISNUMBER(SEARCH("Incasso Dividendi",'Statements (Raw)'!D695)),"Dividend",IF(ISNUMBER(SEARCH("Provento Etf",'Statements (Raw)'!D695)),"Distribution",IF(ISNUMBER(SEARCH("Rit.provento",'Statements (Raw)'!D695)),"Tax",IF(ISNUMBER(SEARCH("Ratei Pass",'Statements (Raw)'!D695)),"Accrued Int.",IF(ISNUMBER(SEARCH("Interessi Prest",'Statements (Raw)'!D695)),"Sec. Lending",IF('Statements (Raw)'!G695="","Other",IF('Statements (Raw)'!G695&gt;0,"Buy","Sell"))))))))))))))))))))))</f>
        <v/>
      </c>
      <c r="E697" s="6" t="str">
        <f t="shared" si="20"/>
        <v/>
      </c>
      <c r="F697" s="8" t="str">
        <f>IF(A697="","",IF('Statements (Raw)'!E695="","",'Statements (Raw)'!E695))</f>
        <v/>
      </c>
      <c r="G697" s="6" t="str">
        <f>IF(A697="","",IF('Statements (Raw)'!F695="","",'Statements (Raw)'!F695))</f>
        <v/>
      </c>
      <c r="H697" s="9" t="str">
        <f>IF(A697="","",IF('Statements (Raw)'!G695="","",'Statements (Raw)'!G695))</f>
        <v/>
      </c>
      <c r="I697" s="10" t="str">
        <f>IF(A697="","",IF('Statements (Raw)'!H695="","",'Statements (Raw)'!H695))</f>
        <v/>
      </c>
      <c r="J697" s="10">
        <f>IF(A697="",0,IF('Statements (Raw)'!I695="",0,'Statements (Raw)'!I695))</f>
        <v>0</v>
      </c>
      <c r="K697" s="10" t="str">
        <f t="shared" si="21"/>
        <v/>
      </c>
    </row>
    <row r="698" spans="1:11" x14ac:dyDescent="0.3">
      <c r="A698" s="171" t="str">
        <f>IF(OR('Statements (Raw)'!A696="",'Statements (Raw)'!A696&gt;Holdings!$G$3),"",'Statements (Raw)'!A696)</f>
        <v/>
      </c>
      <c r="B698" s="7" t="str">
        <f>IF(A698="","",IF('Statements (Raw)'!B696="","",'Statements (Raw)'!B696))</f>
        <v/>
      </c>
      <c r="C698" s="6" t="str">
        <f>IF(A698="","",IF('Statements (Raw)'!C696&lt;&gt;"",'Statements (Raw)'!C696,IF(ISNUMBER(SEARCH("Conferimento",'Statements (Raw)'!D696)),"CASH DEPOSIT",IF(ISNUMBER(SEARCH("Prelievo",'Statements (Raw)'!D696)),"CASH WITHDRAWAL",IF(ISNUMBER(SEARCH("Bollo",'Statements (Raw)'!D696)),"STAMP DUTY",IF(ISNUMBER(SEARCH("Tobin Tax",'Statements (Raw)'!D696)),"TOBIN TAX",IF(ISNUMBER(SEARCH("Rit.provento",'Statements (Raw)'!D696)),"WITHHOLDING TAX",IF(ISNUMBER(SEARCH("Incasso Dividendi",'Statements (Raw)'!D696)),"DIVIDEND",IF(ISNUMBER(SEARCH("Cedola",'Statements (Raw)'!D696)),"COUPON",IF(ISNUMBER(SEARCH("Ratei Pass",'Statements (Raw)'!D696)),"ACCRUED INT",IF(ISNUMBER(SEARCH("Interessi Prest",'Statements (Raw)'!D696)),"SEC LENDING",IF(ISNUMBER(SEARCH("Rimborso",'Statements (Raw)'!D696)),"REDEMPTION",IF(ISNUMBER(SEARCH("Provento",'Statements (Raw)'!D696)),"DISTRIBUTION","OTHER")))))))))))))</f>
        <v/>
      </c>
      <c r="D698" s="6" t="str">
        <f>IF(A698="","",IF(C698="Saldo Iniziale","Balance",IF(C698="CASH DEPOSIT","Deposit",IF(C698="CASH WITHDRAWAL","Withdrawal",IF(C698="STAMP DUTY","Tax",IF(C698="TOBIN TAX","Tax",IF(C698="WITHHOLDING TAX","Tax",IF(C698="DIVIDEND","Dividend",IF(C698="COUPON","Coupon",IF(C698="ACCRUED INT","Accrued Int.",IF(C698="SEC LENDING","Sec. Lending",IF(C698="REDEMPTION","Redemption",IF(C698="DISTRIBUTION","Distribution",IF(ISNUMBER(SEARCH("Rimborso",'Statements (Raw)'!D696)),"Redemption",IF(ISNUMBER(SEARCH("Cedola",'Statements (Raw)'!D696)),"Coupon",IF(ISNUMBER(SEARCH("Incasso Dividendi",'Statements (Raw)'!D696)),"Dividend",IF(ISNUMBER(SEARCH("Provento Etf",'Statements (Raw)'!D696)),"Distribution",IF(ISNUMBER(SEARCH("Rit.provento",'Statements (Raw)'!D696)),"Tax",IF(ISNUMBER(SEARCH("Ratei Pass",'Statements (Raw)'!D696)),"Accrued Int.",IF(ISNUMBER(SEARCH("Interessi Prest",'Statements (Raw)'!D696)),"Sec. Lending",IF('Statements (Raw)'!G696="","Other",IF('Statements (Raw)'!G696&gt;0,"Buy","Sell"))))))))))))))))))))))</f>
        <v/>
      </c>
      <c r="E698" s="6" t="str">
        <f t="shared" si="20"/>
        <v/>
      </c>
      <c r="F698" s="8" t="str">
        <f>IF(A698="","",IF('Statements (Raw)'!E696="","",'Statements (Raw)'!E696))</f>
        <v/>
      </c>
      <c r="G698" s="6" t="str">
        <f>IF(A698="","",IF('Statements (Raw)'!F696="","",'Statements (Raw)'!F696))</f>
        <v/>
      </c>
      <c r="H698" s="9" t="str">
        <f>IF(A698="","",IF('Statements (Raw)'!G696="","",'Statements (Raw)'!G696))</f>
        <v/>
      </c>
      <c r="I698" s="10" t="str">
        <f>IF(A698="","",IF('Statements (Raw)'!H696="","",'Statements (Raw)'!H696))</f>
        <v/>
      </c>
      <c r="J698" s="10">
        <f>IF(A698="",0,IF('Statements (Raw)'!I696="",0,'Statements (Raw)'!I696))</f>
        <v>0</v>
      </c>
      <c r="K698" s="10" t="str">
        <f t="shared" si="21"/>
        <v/>
      </c>
    </row>
    <row r="699" spans="1:11" x14ac:dyDescent="0.3">
      <c r="A699" s="171" t="str">
        <f>IF(OR('Statements (Raw)'!A697="",'Statements (Raw)'!A697&gt;Holdings!$G$3),"",'Statements (Raw)'!A697)</f>
        <v/>
      </c>
      <c r="B699" s="7" t="str">
        <f>IF(A699="","",IF('Statements (Raw)'!B697="","",'Statements (Raw)'!B697))</f>
        <v/>
      </c>
      <c r="C699" s="6" t="str">
        <f>IF(A699="","",IF('Statements (Raw)'!C697&lt;&gt;"",'Statements (Raw)'!C697,IF(ISNUMBER(SEARCH("Conferimento",'Statements (Raw)'!D697)),"CASH DEPOSIT",IF(ISNUMBER(SEARCH("Prelievo",'Statements (Raw)'!D697)),"CASH WITHDRAWAL",IF(ISNUMBER(SEARCH("Bollo",'Statements (Raw)'!D697)),"STAMP DUTY",IF(ISNUMBER(SEARCH("Tobin Tax",'Statements (Raw)'!D697)),"TOBIN TAX",IF(ISNUMBER(SEARCH("Rit.provento",'Statements (Raw)'!D697)),"WITHHOLDING TAX",IF(ISNUMBER(SEARCH("Incasso Dividendi",'Statements (Raw)'!D697)),"DIVIDEND",IF(ISNUMBER(SEARCH("Cedola",'Statements (Raw)'!D697)),"COUPON",IF(ISNUMBER(SEARCH("Ratei Pass",'Statements (Raw)'!D697)),"ACCRUED INT",IF(ISNUMBER(SEARCH("Interessi Prest",'Statements (Raw)'!D697)),"SEC LENDING",IF(ISNUMBER(SEARCH("Rimborso",'Statements (Raw)'!D697)),"REDEMPTION",IF(ISNUMBER(SEARCH("Provento",'Statements (Raw)'!D697)),"DISTRIBUTION","OTHER")))))))))))))</f>
        <v/>
      </c>
      <c r="D699" s="6" t="str">
        <f>IF(A699="","",IF(C699="Saldo Iniziale","Balance",IF(C699="CASH DEPOSIT","Deposit",IF(C699="CASH WITHDRAWAL","Withdrawal",IF(C699="STAMP DUTY","Tax",IF(C699="TOBIN TAX","Tax",IF(C699="WITHHOLDING TAX","Tax",IF(C699="DIVIDEND","Dividend",IF(C699="COUPON","Coupon",IF(C699="ACCRUED INT","Accrued Int.",IF(C699="SEC LENDING","Sec. Lending",IF(C699="REDEMPTION","Redemption",IF(C699="DISTRIBUTION","Distribution",IF(ISNUMBER(SEARCH("Rimborso",'Statements (Raw)'!D697)),"Redemption",IF(ISNUMBER(SEARCH("Cedola",'Statements (Raw)'!D697)),"Coupon",IF(ISNUMBER(SEARCH("Incasso Dividendi",'Statements (Raw)'!D697)),"Dividend",IF(ISNUMBER(SEARCH("Provento Etf",'Statements (Raw)'!D697)),"Distribution",IF(ISNUMBER(SEARCH("Rit.provento",'Statements (Raw)'!D697)),"Tax",IF(ISNUMBER(SEARCH("Ratei Pass",'Statements (Raw)'!D697)),"Accrued Int.",IF(ISNUMBER(SEARCH("Interessi Prest",'Statements (Raw)'!D697)),"Sec. Lending",IF('Statements (Raw)'!G697="","Other",IF('Statements (Raw)'!G697&gt;0,"Buy","Sell"))))))))))))))))))))))</f>
        <v/>
      </c>
      <c r="E699" s="6" t="str">
        <f t="shared" si="20"/>
        <v/>
      </c>
      <c r="F699" s="8" t="str">
        <f>IF(A699="","",IF('Statements (Raw)'!E697="","",'Statements (Raw)'!E697))</f>
        <v/>
      </c>
      <c r="G699" s="6" t="str">
        <f>IF(A699="","",IF('Statements (Raw)'!F697="","",'Statements (Raw)'!F697))</f>
        <v/>
      </c>
      <c r="H699" s="9" t="str">
        <f>IF(A699="","",IF('Statements (Raw)'!G697="","",'Statements (Raw)'!G697))</f>
        <v/>
      </c>
      <c r="I699" s="10" t="str">
        <f>IF(A699="","",IF('Statements (Raw)'!H697="","",'Statements (Raw)'!H697))</f>
        <v/>
      </c>
      <c r="J699" s="10">
        <f>IF(A699="",0,IF('Statements (Raw)'!I697="",0,'Statements (Raw)'!I697))</f>
        <v>0</v>
      </c>
      <c r="K699" s="10" t="str">
        <f t="shared" si="21"/>
        <v/>
      </c>
    </row>
    <row r="700" spans="1:11" x14ac:dyDescent="0.3">
      <c r="A700" s="171" t="str">
        <f>IF(OR('Statements (Raw)'!A698="",'Statements (Raw)'!A698&gt;Holdings!$G$3),"",'Statements (Raw)'!A698)</f>
        <v/>
      </c>
      <c r="B700" s="7" t="str">
        <f>IF(A700="","",IF('Statements (Raw)'!B698="","",'Statements (Raw)'!B698))</f>
        <v/>
      </c>
      <c r="C700" s="6" t="str">
        <f>IF(A700="","",IF('Statements (Raw)'!C698&lt;&gt;"",'Statements (Raw)'!C698,IF(ISNUMBER(SEARCH("Conferimento",'Statements (Raw)'!D698)),"CASH DEPOSIT",IF(ISNUMBER(SEARCH("Prelievo",'Statements (Raw)'!D698)),"CASH WITHDRAWAL",IF(ISNUMBER(SEARCH("Bollo",'Statements (Raw)'!D698)),"STAMP DUTY",IF(ISNUMBER(SEARCH("Tobin Tax",'Statements (Raw)'!D698)),"TOBIN TAX",IF(ISNUMBER(SEARCH("Rit.provento",'Statements (Raw)'!D698)),"WITHHOLDING TAX",IF(ISNUMBER(SEARCH("Incasso Dividendi",'Statements (Raw)'!D698)),"DIVIDEND",IF(ISNUMBER(SEARCH("Cedola",'Statements (Raw)'!D698)),"COUPON",IF(ISNUMBER(SEARCH("Ratei Pass",'Statements (Raw)'!D698)),"ACCRUED INT",IF(ISNUMBER(SEARCH("Interessi Prest",'Statements (Raw)'!D698)),"SEC LENDING",IF(ISNUMBER(SEARCH("Rimborso",'Statements (Raw)'!D698)),"REDEMPTION",IF(ISNUMBER(SEARCH("Provento",'Statements (Raw)'!D698)),"DISTRIBUTION","OTHER")))))))))))))</f>
        <v/>
      </c>
      <c r="D700" s="6" t="str">
        <f>IF(A700="","",IF(C700="Saldo Iniziale","Balance",IF(C700="CASH DEPOSIT","Deposit",IF(C700="CASH WITHDRAWAL","Withdrawal",IF(C700="STAMP DUTY","Tax",IF(C700="TOBIN TAX","Tax",IF(C700="WITHHOLDING TAX","Tax",IF(C700="DIVIDEND","Dividend",IF(C700="COUPON","Coupon",IF(C700="ACCRUED INT","Accrued Int.",IF(C700="SEC LENDING","Sec. Lending",IF(C700="REDEMPTION","Redemption",IF(C700="DISTRIBUTION","Distribution",IF(ISNUMBER(SEARCH("Rimborso",'Statements (Raw)'!D698)),"Redemption",IF(ISNUMBER(SEARCH("Cedola",'Statements (Raw)'!D698)),"Coupon",IF(ISNUMBER(SEARCH("Incasso Dividendi",'Statements (Raw)'!D698)),"Dividend",IF(ISNUMBER(SEARCH("Provento Etf",'Statements (Raw)'!D698)),"Distribution",IF(ISNUMBER(SEARCH("Rit.provento",'Statements (Raw)'!D698)),"Tax",IF(ISNUMBER(SEARCH("Ratei Pass",'Statements (Raw)'!D698)),"Accrued Int.",IF(ISNUMBER(SEARCH("Interessi Prest",'Statements (Raw)'!D698)),"Sec. Lending",IF('Statements (Raw)'!G698="","Other",IF('Statements (Raw)'!G698&gt;0,"Buy","Sell"))))))))))))))))))))))</f>
        <v/>
      </c>
      <c r="E700" s="6" t="str">
        <f t="shared" si="20"/>
        <v/>
      </c>
      <c r="F700" s="8" t="str">
        <f>IF(A700="","",IF('Statements (Raw)'!E698="","",'Statements (Raw)'!E698))</f>
        <v/>
      </c>
      <c r="G700" s="6" t="str">
        <f>IF(A700="","",IF('Statements (Raw)'!F698="","",'Statements (Raw)'!F698))</f>
        <v/>
      </c>
      <c r="H700" s="9" t="str">
        <f>IF(A700="","",IF('Statements (Raw)'!G698="","",'Statements (Raw)'!G698))</f>
        <v/>
      </c>
      <c r="I700" s="10" t="str">
        <f>IF(A700="","",IF('Statements (Raw)'!H698="","",'Statements (Raw)'!H698))</f>
        <v/>
      </c>
      <c r="J700" s="10">
        <f>IF(A700="",0,IF('Statements (Raw)'!I698="",0,'Statements (Raw)'!I698))</f>
        <v>0</v>
      </c>
      <c r="K700" s="10" t="str">
        <f t="shared" si="21"/>
        <v/>
      </c>
    </row>
    <row r="701" spans="1:11" x14ac:dyDescent="0.3">
      <c r="A701" s="171" t="str">
        <f>IF(OR('Statements (Raw)'!A699="",'Statements (Raw)'!A699&gt;Holdings!$G$3),"",'Statements (Raw)'!A699)</f>
        <v/>
      </c>
      <c r="B701" s="7" t="str">
        <f>IF(A701="","",IF('Statements (Raw)'!B699="","",'Statements (Raw)'!B699))</f>
        <v/>
      </c>
      <c r="C701" s="6" t="str">
        <f>IF(A701="","",IF('Statements (Raw)'!C699&lt;&gt;"",'Statements (Raw)'!C699,IF(ISNUMBER(SEARCH("Conferimento",'Statements (Raw)'!D699)),"CASH DEPOSIT",IF(ISNUMBER(SEARCH("Prelievo",'Statements (Raw)'!D699)),"CASH WITHDRAWAL",IF(ISNUMBER(SEARCH("Bollo",'Statements (Raw)'!D699)),"STAMP DUTY",IF(ISNUMBER(SEARCH("Tobin Tax",'Statements (Raw)'!D699)),"TOBIN TAX",IF(ISNUMBER(SEARCH("Rit.provento",'Statements (Raw)'!D699)),"WITHHOLDING TAX",IF(ISNUMBER(SEARCH("Incasso Dividendi",'Statements (Raw)'!D699)),"DIVIDEND",IF(ISNUMBER(SEARCH("Cedola",'Statements (Raw)'!D699)),"COUPON",IF(ISNUMBER(SEARCH("Ratei Pass",'Statements (Raw)'!D699)),"ACCRUED INT",IF(ISNUMBER(SEARCH("Interessi Prest",'Statements (Raw)'!D699)),"SEC LENDING",IF(ISNUMBER(SEARCH("Rimborso",'Statements (Raw)'!D699)),"REDEMPTION",IF(ISNUMBER(SEARCH("Provento",'Statements (Raw)'!D699)),"DISTRIBUTION","OTHER")))))))))))))</f>
        <v/>
      </c>
      <c r="D701" s="6" t="str">
        <f>IF(A701="","",IF(C701="Saldo Iniziale","Balance",IF(C701="CASH DEPOSIT","Deposit",IF(C701="CASH WITHDRAWAL","Withdrawal",IF(C701="STAMP DUTY","Tax",IF(C701="TOBIN TAX","Tax",IF(C701="WITHHOLDING TAX","Tax",IF(C701="DIVIDEND","Dividend",IF(C701="COUPON","Coupon",IF(C701="ACCRUED INT","Accrued Int.",IF(C701="SEC LENDING","Sec. Lending",IF(C701="REDEMPTION","Redemption",IF(C701="DISTRIBUTION","Distribution",IF(ISNUMBER(SEARCH("Rimborso",'Statements (Raw)'!D699)),"Redemption",IF(ISNUMBER(SEARCH("Cedola",'Statements (Raw)'!D699)),"Coupon",IF(ISNUMBER(SEARCH("Incasso Dividendi",'Statements (Raw)'!D699)),"Dividend",IF(ISNUMBER(SEARCH("Provento Etf",'Statements (Raw)'!D699)),"Distribution",IF(ISNUMBER(SEARCH("Rit.provento",'Statements (Raw)'!D699)),"Tax",IF(ISNUMBER(SEARCH("Ratei Pass",'Statements (Raw)'!D699)),"Accrued Int.",IF(ISNUMBER(SEARCH("Interessi Prest",'Statements (Raw)'!D699)),"Sec. Lending",IF('Statements (Raw)'!G699="","Other",IF('Statements (Raw)'!G699&gt;0,"Buy","Sell"))))))))))))))))))))))</f>
        <v/>
      </c>
      <c r="E701" s="6" t="str">
        <f t="shared" si="20"/>
        <v/>
      </c>
      <c r="F701" s="8" t="str">
        <f>IF(A701="","",IF('Statements (Raw)'!E699="","",'Statements (Raw)'!E699))</f>
        <v/>
      </c>
      <c r="G701" s="6" t="str">
        <f>IF(A701="","",IF('Statements (Raw)'!F699="","",'Statements (Raw)'!F699))</f>
        <v/>
      </c>
      <c r="H701" s="9" t="str">
        <f>IF(A701="","",IF('Statements (Raw)'!G699="","",'Statements (Raw)'!G699))</f>
        <v/>
      </c>
      <c r="I701" s="10" t="str">
        <f>IF(A701="","",IF('Statements (Raw)'!H699="","",'Statements (Raw)'!H699))</f>
        <v/>
      </c>
      <c r="J701" s="10">
        <f>IF(A701="",0,IF('Statements (Raw)'!I699="",0,'Statements (Raw)'!I699))</f>
        <v>0</v>
      </c>
      <c r="K701" s="10" t="str">
        <f t="shared" si="21"/>
        <v/>
      </c>
    </row>
    <row r="702" spans="1:11" x14ac:dyDescent="0.3">
      <c r="A702" s="171" t="str">
        <f>IF(OR('Statements (Raw)'!A700="",'Statements (Raw)'!A700&gt;Holdings!$G$3),"",'Statements (Raw)'!A700)</f>
        <v/>
      </c>
      <c r="B702" s="7" t="str">
        <f>IF(A702="","",IF('Statements (Raw)'!B700="","",'Statements (Raw)'!B700))</f>
        <v/>
      </c>
      <c r="C702" s="6" t="str">
        <f>IF(A702="","",IF('Statements (Raw)'!C700&lt;&gt;"",'Statements (Raw)'!C700,IF(ISNUMBER(SEARCH("Conferimento",'Statements (Raw)'!D700)),"CASH DEPOSIT",IF(ISNUMBER(SEARCH("Prelievo",'Statements (Raw)'!D700)),"CASH WITHDRAWAL",IF(ISNUMBER(SEARCH("Bollo",'Statements (Raw)'!D700)),"STAMP DUTY",IF(ISNUMBER(SEARCH("Tobin Tax",'Statements (Raw)'!D700)),"TOBIN TAX",IF(ISNUMBER(SEARCH("Rit.provento",'Statements (Raw)'!D700)),"WITHHOLDING TAX",IF(ISNUMBER(SEARCH("Incasso Dividendi",'Statements (Raw)'!D700)),"DIVIDEND",IF(ISNUMBER(SEARCH("Cedola",'Statements (Raw)'!D700)),"COUPON",IF(ISNUMBER(SEARCH("Ratei Pass",'Statements (Raw)'!D700)),"ACCRUED INT",IF(ISNUMBER(SEARCH("Interessi Prest",'Statements (Raw)'!D700)),"SEC LENDING",IF(ISNUMBER(SEARCH("Rimborso",'Statements (Raw)'!D700)),"REDEMPTION",IF(ISNUMBER(SEARCH("Provento",'Statements (Raw)'!D700)),"DISTRIBUTION","OTHER")))))))))))))</f>
        <v/>
      </c>
      <c r="D702" s="6" t="str">
        <f>IF(A702="","",IF(C702="Saldo Iniziale","Balance",IF(C702="CASH DEPOSIT","Deposit",IF(C702="CASH WITHDRAWAL","Withdrawal",IF(C702="STAMP DUTY","Tax",IF(C702="TOBIN TAX","Tax",IF(C702="WITHHOLDING TAX","Tax",IF(C702="DIVIDEND","Dividend",IF(C702="COUPON","Coupon",IF(C702="ACCRUED INT","Accrued Int.",IF(C702="SEC LENDING","Sec. Lending",IF(C702="REDEMPTION","Redemption",IF(C702="DISTRIBUTION","Distribution",IF(ISNUMBER(SEARCH("Rimborso",'Statements (Raw)'!D700)),"Redemption",IF(ISNUMBER(SEARCH("Cedola",'Statements (Raw)'!D700)),"Coupon",IF(ISNUMBER(SEARCH("Incasso Dividendi",'Statements (Raw)'!D700)),"Dividend",IF(ISNUMBER(SEARCH("Provento Etf",'Statements (Raw)'!D700)),"Distribution",IF(ISNUMBER(SEARCH("Rit.provento",'Statements (Raw)'!D700)),"Tax",IF(ISNUMBER(SEARCH("Ratei Pass",'Statements (Raw)'!D700)),"Accrued Int.",IF(ISNUMBER(SEARCH("Interessi Prest",'Statements (Raw)'!D700)),"Sec. Lending",IF('Statements (Raw)'!G700="","Other",IF('Statements (Raw)'!G700&gt;0,"Buy","Sell"))))))))))))))))))))))</f>
        <v/>
      </c>
      <c r="E702" s="6" t="str">
        <f t="shared" si="20"/>
        <v/>
      </c>
      <c r="F702" s="8" t="str">
        <f>IF(A702="","",IF('Statements (Raw)'!E700="","",'Statements (Raw)'!E700))</f>
        <v/>
      </c>
      <c r="G702" s="6" t="str">
        <f>IF(A702="","",IF('Statements (Raw)'!F700="","",'Statements (Raw)'!F700))</f>
        <v/>
      </c>
      <c r="H702" s="9" t="str">
        <f>IF(A702="","",IF('Statements (Raw)'!G700="","",'Statements (Raw)'!G700))</f>
        <v/>
      </c>
      <c r="I702" s="10" t="str">
        <f>IF(A702="","",IF('Statements (Raw)'!H700="","",'Statements (Raw)'!H700))</f>
        <v/>
      </c>
      <c r="J702" s="10">
        <f>IF(A702="",0,IF('Statements (Raw)'!I700="",0,'Statements (Raw)'!I700))</f>
        <v>0</v>
      </c>
      <c r="K702" s="10" t="str">
        <f t="shared" si="21"/>
        <v/>
      </c>
    </row>
    <row r="703" spans="1:11" x14ac:dyDescent="0.3">
      <c r="A703" s="171" t="str">
        <f>IF(OR('Statements (Raw)'!A701="",'Statements (Raw)'!A701&gt;Holdings!$G$3),"",'Statements (Raw)'!A701)</f>
        <v/>
      </c>
      <c r="B703" s="7" t="str">
        <f>IF(A703="","",IF('Statements (Raw)'!B701="","",'Statements (Raw)'!B701))</f>
        <v/>
      </c>
      <c r="C703" s="6" t="str">
        <f>IF(A703="","",IF('Statements (Raw)'!C701&lt;&gt;"",'Statements (Raw)'!C701,IF(ISNUMBER(SEARCH("Conferimento",'Statements (Raw)'!D701)),"CASH DEPOSIT",IF(ISNUMBER(SEARCH("Prelievo",'Statements (Raw)'!D701)),"CASH WITHDRAWAL",IF(ISNUMBER(SEARCH("Bollo",'Statements (Raw)'!D701)),"STAMP DUTY",IF(ISNUMBER(SEARCH("Tobin Tax",'Statements (Raw)'!D701)),"TOBIN TAX",IF(ISNUMBER(SEARCH("Rit.provento",'Statements (Raw)'!D701)),"WITHHOLDING TAX",IF(ISNUMBER(SEARCH("Incasso Dividendi",'Statements (Raw)'!D701)),"DIVIDEND",IF(ISNUMBER(SEARCH("Cedola",'Statements (Raw)'!D701)),"COUPON",IF(ISNUMBER(SEARCH("Ratei Pass",'Statements (Raw)'!D701)),"ACCRUED INT",IF(ISNUMBER(SEARCH("Interessi Prest",'Statements (Raw)'!D701)),"SEC LENDING",IF(ISNUMBER(SEARCH("Rimborso",'Statements (Raw)'!D701)),"REDEMPTION",IF(ISNUMBER(SEARCH("Provento",'Statements (Raw)'!D701)),"DISTRIBUTION","OTHER")))))))))))))</f>
        <v/>
      </c>
      <c r="D703" s="6" t="str">
        <f>IF(A703="","",IF(C703="Saldo Iniziale","Balance",IF(C703="CASH DEPOSIT","Deposit",IF(C703="CASH WITHDRAWAL","Withdrawal",IF(C703="STAMP DUTY","Tax",IF(C703="TOBIN TAX","Tax",IF(C703="WITHHOLDING TAX","Tax",IF(C703="DIVIDEND","Dividend",IF(C703="COUPON","Coupon",IF(C703="ACCRUED INT","Accrued Int.",IF(C703="SEC LENDING","Sec. Lending",IF(C703="REDEMPTION","Redemption",IF(C703="DISTRIBUTION","Distribution",IF(ISNUMBER(SEARCH("Rimborso",'Statements (Raw)'!D701)),"Redemption",IF(ISNUMBER(SEARCH("Cedola",'Statements (Raw)'!D701)),"Coupon",IF(ISNUMBER(SEARCH("Incasso Dividendi",'Statements (Raw)'!D701)),"Dividend",IF(ISNUMBER(SEARCH("Provento Etf",'Statements (Raw)'!D701)),"Distribution",IF(ISNUMBER(SEARCH("Rit.provento",'Statements (Raw)'!D701)),"Tax",IF(ISNUMBER(SEARCH("Ratei Pass",'Statements (Raw)'!D701)),"Accrued Int.",IF(ISNUMBER(SEARCH("Interessi Prest",'Statements (Raw)'!D701)),"Sec. Lending",IF('Statements (Raw)'!G701="","Other",IF('Statements (Raw)'!G701&gt;0,"Buy","Sell"))))))))))))))))))))))</f>
        <v/>
      </c>
      <c r="E703" s="6" t="str">
        <f t="shared" si="20"/>
        <v/>
      </c>
      <c r="F703" s="8" t="str">
        <f>IF(A703="","",IF('Statements (Raw)'!E701="","",'Statements (Raw)'!E701))</f>
        <v/>
      </c>
      <c r="G703" s="6" t="str">
        <f>IF(A703="","",IF('Statements (Raw)'!F701="","",'Statements (Raw)'!F701))</f>
        <v/>
      </c>
      <c r="H703" s="9" t="str">
        <f>IF(A703="","",IF('Statements (Raw)'!G701="","",'Statements (Raw)'!G701))</f>
        <v/>
      </c>
      <c r="I703" s="10" t="str">
        <f>IF(A703="","",IF('Statements (Raw)'!H701="","",'Statements (Raw)'!H701))</f>
        <v/>
      </c>
      <c r="J703" s="10">
        <f>IF(A703="",0,IF('Statements (Raw)'!I701="",0,'Statements (Raw)'!I701))</f>
        <v>0</v>
      </c>
      <c r="K703" s="10" t="str">
        <f t="shared" si="21"/>
        <v/>
      </c>
    </row>
    <row r="704" spans="1:11" x14ac:dyDescent="0.3">
      <c r="A704" s="171" t="str">
        <f>IF(OR('Statements (Raw)'!A702="",'Statements (Raw)'!A702&gt;Holdings!$G$3),"",'Statements (Raw)'!A702)</f>
        <v/>
      </c>
      <c r="B704" s="7" t="str">
        <f>IF(A704="","",IF('Statements (Raw)'!B702="","",'Statements (Raw)'!B702))</f>
        <v/>
      </c>
      <c r="C704" s="6" t="str">
        <f>IF(A704="","",IF('Statements (Raw)'!C702&lt;&gt;"",'Statements (Raw)'!C702,IF(ISNUMBER(SEARCH("Conferimento",'Statements (Raw)'!D702)),"CASH DEPOSIT",IF(ISNUMBER(SEARCH("Prelievo",'Statements (Raw)'!D702)),"CASH WITHDRAWAL",IF(ISNUMBER(SEARCH("Bollo",'Statements (Raw)'!D702)),"STAMP DUTY",IF(ISNUMBER(SEARCH("Tobin Tax",'Statements (Raw)'!D702)),"TOBIN TAX",IF(ISNUMBER(SEARCH("Rit.provento",'Statements (Raw)'!D702)),"WITHHOLDING TAX",IF(ISNUMBER(SEARCH("Incasso Dividendi",'Statements (Raw)'!D702)),"DIVIDEND",IF(ISNUMBER(SEARCH("Cedola",'Statements (Raw)'!D702)),"COUPON",IF(ISNUMBER(SEARCH("Ratei Pass",'Statements (Raw)'!D702)),"ACCRUED INT",IF(ISNUMBER(SEARCH("Interessi Prest",'Statements (Raw)'!D702)),"SEC LENDING",IF(ISNUMBER(SEARCH("Rimborso",'Statements (Raw)'!D702)),"REDEMPTION",IF(ISNUMBER(SEARCH("Provento",'Statements (Raw)'!D702)),"DISTRIBUTION","OTHER")))))))))))))</f>
        <v/>
      </c>
      <c r="D704" s="6" t="str">
        <f>IF(A704="","",IF(C704="Saldo Iniziale","Balance",IF(C704="CASH DEPOSIT","Deposit",IF(C704="CASH WITHDRAWAL","Withdrawal",IF(C704="STAMP DUTY","Tax",IF(C704="TOBIN TAX","Tax",IF(C704="WITHHOLDING TAX","Tax",IF(C704="DIVIDEND","Dividend",IF(C704="COUPON","Coupon",IF(C704="ACCRUED INT","Accrued Int.",IF(C704="SEC LENDING","Sec. Lending",IF(C704="REDEMPTION","Redemption",IF(C704="DISTRIBUTION","Distribution",IF(ISNUMBER(SEARCH("Rimborso",'Statements (Raw)'!D702)),"Redemption",IF(ISNUMBER(SEARCH("Cedola",'Statements (Raw)'!D702)),"Coupon",IF(ISNUMBER(SEARCH("Incasso Dividendi",'Statements (Raw)'!D702)),"Dividend",IF(ISNUMBER(SEARCH("Provento Etf",'Statements (Raw)'!D702)),"Distribution",IF(ISNUMBER(SEARCH("Rit.provento",'Statements (Raw)'!D702)),"Tax",IF(ISNUMBER(SEARCH("Ratei Pass",'Statements (Raw)'!D702)),"Accrued Int.",IF(ISNUMBER(SEARCH("Interessi Prest",'Statements (Raw)'!D702)),"Sec. Lending",IF('Statements (Raw)'!G702="","Other",IF('Statements (Raw)'!G702&gt;0,"Buy","Sell"))))))))))))))))))))))</f>
        <v/>
      </c>
      <c r="E704" s="6" t="str">
        <f t="shared" si="20"/>
        <v/>
      </c>
      <c r="F704" s="8" t="str">
        <f>IF(A704="","",IF('Statements (Raw)'!E702="","",'Statements (Raw)'!E702))</f>
        <v/>
      </c>
      <c r="G704" s="6" t="str">
        <f>IF(A704="","",IF('Statements (Raw)'!F702="","",'Statements (Raw)'!F702))</f>
        <v/>
      </c>
      <c r="H704" s="9" t="str">
        <f>IF(A704="","",IF('Statements (Raw)'!G702="","",'Statements (Raw)'!G702))</f>
        <v/>
      </c>
      <c r="I704" s="10" t="str">
        <f>IF(A704="","",IF('Statements (Raw)'!H702="","",'Statements (Raw)'!H702))</f>
        <v/>
      </c>
      <c r="J704" s="10">
        <f>IF(A704="",0,IF('Statements (Raw)'!I702="",0,'Statements (Raw)'!I702))</f>
        <v>0</v>
      </c>
      <c r="K704" s="10" t="str">
        <f t="shared" si="21"/>
        <v/>
      </c>
    </row>
    <row r="705" spans="1:11" x14ac:dyDescent="0.3">
      <c r="A705" s="171" t="str">
        <f>IF(OR('Statements (Raw)'!A703="",'Statements (Raw)'!A703&gt;Holdings!$G$3),"",'Statements (Raw)'!A703)</f>
        <v/>
      </c>
      <c r="B705" s="7" t="str">
        <f>IF(A705="","",IF('Statements (Raw)'!B703="","",'Statements (Raw)'!B703))</f>
        <v/>
      </c>
      <c r="C705" s="6" t="str">
        <f>IF(A705="","",IF('Statements (Raw)'!C703&lt;&gt;"",'Statements (Raw)'!C703,IF(ISNUMBER(SEARCH("Conferimento",'Statements (Raw)'!D703)),"CASH DEPOSIT",IF(ISNUMBER(SEARCH("Prelievo",'Statements (Raw)'!D703)),"CASH WITHDRAWAL",IF(ISNUMBER(SEARCH("Bollo",'Statements (Raw)'!D703)),"STAMP DUTY",IF(ISNUMBER(SEARCH("Tobin Tax",'Statements (Raw)'!D703)),"TOBIN TAX",IF(ISNUMBER(SEARCH("Rit.provento",'Statements (Raw)'!D703)),"WITHHOLDING TAX",IF(ISNUMBER(SEARCH("Incasso Dividendi",'Statements (Raw)'!D703)),"DIVIDEND",IF(ISNUMBER(SEARCH("Cedola",'Statements (Raw)'!D703)),"COUPON",IF(ISNUMBER(SEARCH("Ratei Pass",'Statements (Raw)'!D703)),"ACCRUED INT",IF(ISNUMBER(SEARCH("Interessi Prest",'Statements (Raw)'!D703)),"SEC LENDING",IF(ISNUMBER(SEARCH("Rimborso",'Statements (Raw)'!D703)),"REDEMPTION",IF(ISNUMBER(SEARCH("Provento",'Statements (Raw)'!D703)),"DISTRIBUTION","OTHER")))))))))))))</f>
        <v/>
      </c>
      <c r="D705" s="6" t="str">
        <f>IF(A705="","",IF(C705="Saldo Iniziale","Balance",IF(C705="CASH DEPOSIT","Deposit",IF(C705="CASH WITHDRAWAL","Withdrawal",IF(C705="STAMP DUTY","Tax",IF(C705="TOBIN TAX","Tax",IF(C705="WITHHOLDING TAX","Tax",IF(C705="DIVIDEND","Dividend",IF(C705="COUPON","Coupon",IF(C705="ACCRUED INT","Accrued Int.",IF(C705="SEC LENDING","Sec. Lending",IF(C705="REDEMPTION","Redemption",IF(C705="DISTRIBUTION","Distribution",IF(ISNUMBER(SEARCH("Rimborso",'Statements (Raw)'!D703)),"Redemption",IF(ISNUMBER(SEARCH("Cedola",'Statements (Raw)'!D703)),"Coupon",IF(ISNUMBER(SEARCH("Incasso Dividendi",'Statements (Raw)'!D703)),"Dividend",IF(ISNUMBER(SEARCH("Provento Etf",'Statements (Raw)'!D703)),"Distribution",IF(ISNUMBER(SEARCH("Rit.provento",'Statements (Raw)'!D703)),"Tax",IF(ISNUMBER(SEARCH("Ratei Pass",'Statements (Raw)'!D703)),"Accrued Int.",IF(ISNUMBER(SEARCH("Interessi Prest",'Statements (Raw)'!D703)),"Sec. Lending",IF('Statements (Raw)'!G703="","Other",IF('Statements (Raw)'!G703&gt;0,"Buy","Sell"))))))))))))))))))))))</f>
        <v/>
      </c>
      <c r="E705" s="6" t="str">
        <f t="shared" si="20"/>
        <v/>
      </c>
      <c r="F705" s="8" t="str">
        <f>IF(A705="","",IF('Statements (Raw)'!E703="","",'Statements (Raw)'!E703))</f>
        <v/>
      </c>
      <c r="G705" s="6" t="str">
        <f>IF(A705="","",IF('Statements (Raw)'!F703="","",'Statements (Raw)'!F703))</f>
        <v/>
      </c>
      <c r="H705" s="9" t="str">
        <f>IF(A705="","",IF('Statements (Raw)'!G703="","",'Statements (Raw)'!G703))</f>
        <v/>
      </c>
      <c r="I705" s="10" t="str">
        <f>IF(A705="","",IF('Statements (Raw)'!H703="","",'Statements (Raw)'!H703))</f>
        <v/>
      </c>
      <c r="J705" s="10">
        <f>IF(A705="",0,IF('Statements (Raw)'!I703="",0,'Statements (Raw)'!I703))</f>
        <v>0</v>
      </c>
      <c r="K705" s="10" t="str">
        <f t="shared" si="21"/>
        <v/>
      </c>
    </row>
    <row r="706" spans="1:11" x14ac:dyDescent="0.3">
      <c r="A706" s="171" t="str">
        <f>IF(OR('Statements (Raw)'!A704="",'Statements (Raw)'!A704&gt;Holdings!$G$3),"",'Statements (Raw)'!A704)</f>
        <v/>
      </c>
      <c r="B706" s="7" t="str">
        <f>IF(A706="","",IF('Statements (Raw)'!B704="","",'Statements (Raw)'!B704))</f>
        <v/>
      </c>
      <c r="C706" s="6" t="str">
        <f>IF(A706="","",IF('Statements (Raw)'!C704&lt;&gt;"",'Statements (Raw)'!C704,IF(ISNUMBER(SEARCH("Conferimento",'Statements (Raw)'!D704)),"CASH DEPOSIT",IF(ISNUMBER(SEARCH("Prelievo",'Statements (Raw)'!D704)),"CASH WITHDRAWAL",IF(ISNUMBER(SEARCH("Bollo",'Statements (Raw)'!D704)),"STAMP DUTY",IF(ISNUMBER(SEARCH("Tobin Tax",'Statements (Raw)'!D704)),"TOBIN TAX",IF(ISNUMBER(SEARCH("Rit.provento",'Statements (Raw)'!D704)),"WITHHOLDING TAX",IF(ISNUMBER(SEARCH("Incasso Dividendi",'Statements (Raw)'!D704)),"DIVIDEND",IF(ISNUMBER(SEARCH("Cedola",'Statements (Raw)'!D704)),"COUPON",IF(ISNUMBER(SEARCH("Ratei Pass",'Statements (Raw)'!D704)),"ACCRUED INT",IF(ISNUMBER(SEARCH("Interessi Prest",'Statements (Raw)'!D704)),"SEC LENDING",IF(ISNUMBER(SEARCH("Rimborso",'Statements (Raw)'!D704)),"REDEMPTION",IF(ISNUMBER(SEARCH("Provento",'Statements (Raw)'!D704)),"DISTRIBUTION","OTHER")))))))))))))</f>
        <v/>
      </c>
      <c r="D706" s="6" t="str">
        <f>IF(A706="","",IF(C706="Saldo Iniziale","Balance",IF(C706="CASH DEPOSIT","Deposit",IF(C706="CASH WITHDRAWAL","Withdrawal",IF(C706="STAMP DUTY","Tax",IF(C706="TOBIN TAX","Tax",IF(C706="WITHHOLDING TAX","Tax",IF(C706="DIVIDEND","Dividend",IF(C706="COUPON","Coupon",IF(C706="ACCRUED INT","Accrued Int.",IF(C706="SEC LENDING","Sec. Lending",IF(C706="REDEMPTION","Redemption",IF(C706="DISTRIBUTION","Distribution",IF(ISNUMBER(SEARCH("Rimborso",'Statements (Raw)'!D704)),"Redemption",IF(ISNUMBER(SEARCH("Cedola",'Statements (Raw)'!D704)),"Coupon",IF(ISNUMBER(SEARCH("Incasso Dividendi",'Statements (Raw)'!D704)),"Dividend",IF(ISNUMBER(SEARCH("Provento Etf",'Statements (Raw)'!D704)),"Distribution",IF(ISNUMBER(SEARCH("Rit.provento",'Statements (Raw)'!D704)),"Tax",IF(ISNUMBER(SEARCH("Ratei Pass",'Statements (Raw)'!D704)),"Accrued Int.",IF(ISNUMBER(SEARCH("Interessi Prest",'Statements (Raw)'!D704)),"Sec. Lending",IF('Statements (Raw)'!G704="","Other",IF('Statements (Raw)'!G704&gt;0,"Buy","Sell"))))))))))))))))))))))</f>
        <v/>
      </c>
      <c r="E706" s="6" t="str">
        <f t="shared" si="20"/>
        <v/>
      </c>
      <c r="F706" s="8" t="str">
        <f>IF(A706="","",IF('Statements (Raw)'!E704="","",'Statements (Raw)'!E704))</f>
        <v/>
      </c>
      <c r="G706" s="6" t="str">
        <f>IF(A706="","",IF('Statements (Raw)'!F704="","",'Statements (Raw)'!F704))</f>
        <v/>
      </c>
      <c r="H706" s="9" t="str">
        <f>IF(A706="","",IF('Statements (Raw)'!G704="","",'Statements (Raw)'!G704))</f>
        <v/>
      </c>
      <c r="I706" s="10" t="str">
        <f>IF(A706="","",IF('Statements (Raw)'!H704="","",'Statements (Raw)'!H704))</f>
        <v/>
      </c>
      <c r="J706" s="10">
        <f>IF(A706="",0,IF('Statements (Raw)'!I704="",0,'Statements (Raw)'!I704))</f>
        <v>0</v>
      </c>
      <c r="K706" s="10" t="str">
        <f t="shared" si="21"/>
        <v/>
      </c>
    </row>
    <row r="707" spans="1:11" x14ac:dyDescent="0.3">
      <c r="A707" s="171" t="str">
        <f>IF(OR('Statements (Raw)'!A705="",'Statements (Raw)'!A705&gt;Holdings!$G$3),"",'Statements (Raw)'!A705)</f>
        <v/>
      </c>
      <c r="B707" s="7" t="str">
        <f>IF(A707="","",IF('Statements (Raw)'!B705="","",'Statements (Raw)'!B705))</f>
        <v/>
      </c>
      <c r="C707" s="6" t="str">
        <f>IF(A707="","",IF('Statements (Raw)'!C705&lt;&gt;"",'Statements (Raw)'!C705,IF(ISNUMBER(SEARCH("Conferimento",'Statements (Raw)'!D705)),"CASH DEPOSIT",IF(ISNUMBER(SEARCH("Prelievo",'Statements (Raw)'!D705)),"CASH WITHDRAWAL",IF(ISNUMBER(SEARCH("Bollo",'Statements (Raw)'!D705)),"STAMP DUTY",IF(ISNUMBER(SEARCH("Tobin Tax",'Statements (Raw)'!D705)),"TOBIN TAX",IF(ISNUMBER(SEARCH("Rit.provento",'Statements (Raw)'!D705)),"WITHHOLDING TAX",IF(ISNUMBER(SEARCH("Incasso Dividendi",'Statements (Raw)'!D705)),"DIVIDEND",IF(ISNUMBER(SEARCH("Cedola",'Statements (Raw)'!D705)),"COUPON",IF(ISNUMBER(SEARCH("Ratei Pass",'Statements (Raw)'!D705)),"ACCRUED INT",IF(ISNUMBER(SEARCH("Interessi Prest",'Statements (Raw)'!D705)),"SEC LENDING",IF(ISNUMBER(SEARCH("Rimborso",'Statements (Raw)'!D705)),"REDEMPTION",IF(ISNUMBER(SEARCH("Provento",'Statements (Raw)'!D705)),"DISTRIBUTION","OTHER")))))))))))))</f>
        <v/>
      </c>
      <c r="D707" s="6" t="str">
        <f>IF(A707="","",IF(C707="Saldo Iniziale","Balance",IF(C707="CASH DEPOSIT","Deposit",IF(C707="CASH WITHDRAWAL","Withdrawal",IF(C707="STAMP DUTY","Tax",IF(C707="TOBIN TAX","Tax",IF(C707="WITHHOLDING TAX","Tax",IF(C707="DIVIDEND","Dividend",IF(C707="COUPON","Coupon",IF(C707="ACCRUED INT","Accrued Int.",IF(C707="SEC LENDING","Sec. Lending",IF(C707="REDEMPTION","Redemption",IF(C707="DISTRIBUTION","Distribution",IF(ISNUMBER(SEARCH("Rimborso",'Statements (Raw)'!D705)),"Redemption",IF(ISNUMBER(SEARCH("Cedola",'Statements (Raw)'!D705)),"Coupon",IF(ISNUMBER(SEARCH("Incasso Dividendi",'Statements (Raw)'!D705)),"Dividend",IF(ISNUMBER(SEARCH("Provento Etf",'Statements (Raw)'!D705)),"Distribution",IF(ISNUMBER(SEARCH("Rit.provento",'Statements (Raw)'!D705)),"Tax",IF(ISNUMBER(SEARCH("Ratei Pass",'Statements (Raw)'!D705)),"Accrued Int.",IF(ISNUMBER(SEARCH("Interessi Prest",'Statements (Raw)'!D705)),"Sec. Lending",IF('Statements (Raw)'!G705="","Other",IF('Statements (Raw)'!G705&gt;0,"Buy","Sell"))))))))))))))))))))))</f>
        <v/>
      </c>
      <c r="E707" s="6" t="str">
        <f t="shared" si="20"/>
        <v/>
      </c>
      <c r="F707" s="8" t="str">
        <f>IF(A707="","",IF('Statements (Raw)'!E705="","",'Statements (Raw)'!E705))</f>
        <v/>
      </c>
      <c r="G707" s="6" t="str">
        <f>IF(A707="","",IF('Statements (Raw)'!F705="","",'Statements (Raw)'!F705))</f>
        <v/>
      </c>
      <c r="H707" s="9" t="str">
        <f>IF(A707="","",IF('Statements (Raw)'!G705="","",'Statements (Raw)'!G705))</f>
        <v/>
      </c>
      <c r="I707" s="10" t="str">
        <f>IF(A707="","",IF('Statements (Raw)'!H705="","",'Statements (Raw)'!H705))</f>
        <v/>
      </c>
      <c r="J707" s="10">
        <f>IF(A707="",0,IF('Statements (Raw)'!I705="",0,'Statements (Raw)'!I705))</f>
        <v>0</v>
      </c>
      <c r="K707" s="10" t="str">
        <f t="shared" si="21"/>
        <v/>
      </c>
    </row>
    <row r="708" spans="1:11" x14ac:dyDescent="0.3">
      <c r="A708" s="171" t="str">
        <f>IF(OR('Statements (Raw)'!A706="",'Statements (Raw)'!A706&gt;Holdings!$G$3),"",'Statements (Raw)'!A706)</f>
        <v/>
      </c>
      <c r="B708" s="7" t="str">
        <f>IF(A708="","",IF('Statements (Raw)'!B706="","",'Statements (Raw)'!B706))</f>
        <v/>
      </c>
      <c r="C708" s="6" t="str">
        <f>IF(A708="","",IF('Statements (Raw)'!C706&lt;&gt;"",'Statements (Raw)'!C706,IF(ISNUMBER(SEARCH("Conferimento",'Statements (Raw)'!D706)),"CASH DEPOSIT",IF(ISNUMBER(SEARCH("Prelievo",'Statements (Raw)'!D706)),"CASH WITHDRAWAL",IF(ISNUMBER(SEARCH("Bollo",'Statements (Raw)'!D706)),"STAMP DUTY",IF(ISNUMBER(SEARCH("Tobin Tax",'Statements (Raw)'!D706)),"TOBIN TAX",IF(ISNUMBER(SEARCH("Rit.provento",'Statements (Raw)'!D706)),"WITHHOLDING TAX",IF(ISNUMBER(SEARCH("Incasso Dividendi",'Statements (Raw)'!D706)),"DIVIDEND",IF(ISNUMBER(SEARCH("Cedola",'Statements (Raw)'!D706)),"COUPON",IF(ISNUMBER(SEARCH("Ratei Pass",'Statements (Raw)'!D706)),"ACCRUED INT",IF(ISNUMBER(SEARCH("Interessi Prest",'Statements (Raw)'!D706)),"SEC LENDING",IF(ISNUMBER(SEARCH("Rimborso",'Statements (Raw)'!D706)),"REDEMPTION",IF(ISNUMBER(SEARCH("Provento",'Statements (Raw)'!D706)),"DISTRIBUTION","OTHER")))))))))))))</f>
        <v/>
      </c>
      <c r="D708" s="6" t="str">
        <f>IF(A708="","",IF(C708="Saldo Iniziale","Balance",IF(C708="CASH DEPOSIT","Deposit",IF(C708="CASH WITHDRAWAL","Withdrawal",IF(C708="STAMP DUTY","Tax",IF(C708="TOBIN TAX","Tax",IF(C708="WITHHOLDING TAX","Tax",IF(C708="DIVIDEND","Dividend",IF(C708="COUPON","Coupon",IF(C708="ACCRUED INT","Accrued Int.",IF(C708="SEC LENDING","Sec. Lending",IF(C708="REDEMPTION","Redemption",IF(C708="DISTRIBUTION","Distribution",IF(ISNUMBER(SEARCH("Rimborso",'Statements (Raw)'!D706)),"Redemption",IF(ISNUMBER(SEARCH("Cedola",'Statements (Raw)'!D706)),"Coupon",IF(ISNUMBER(SEARCH("Incasso Dividendi",'Statements (Raw)'!D706)),"Dividend",IF(ISNUMBER(SEARCH("Provento Etf",'Statements (Raw)'!D706)),"Distribution",IF(ISNUMBER(SEARCH("Rit.provento",'Statements (Raw)'!D706)),"Tax",IF(ISNUMBER(SEARCH("Ratei Pass",'Statements (Raw)'!D706)),"Accrued Int.",IF(ISNUMBER(SEARCH("Interessi Prest",'Statements (Raw)'!D706)),"Sec. Lending",IF('Statements (Raw)'!G706="","Other",IF('Statements (Raw)'!G706&gt;0,"Buy","Sell"))))))))))))))))))))))</f>
        <v/>
      </c>
      <c r="E708" s="6" t="str">
        <f t="shared" si="20"/>
        <v/>
      </c>
      <c r="F708" s="8" t="str">
        <f>IF(A708="","",IF('Statements (Raw)'!E706="","",'Statements (Raw)'!E706))</f>
        <v/>
      </c>
      <c r="G708" s="6" t="str">
        <f>IF(A708="","",IF('Statements (Raw)'!F706="","",'Statements (Raw)'!F706))</f>
        <v/>
      </c>
      <c r="H708" s="9" t="str">
        <f>IF(A708="","",IF('Statements (Raw)'!G706="","",'Statements (Raw)'!G706))</f>
        <v/>
      </c>
      <c r="I708" s="10" t="str">
        <f>IF(A708="","",IF('Statements (Raw)'!H706="","",'Statements (Raw)'!H706))</f>
        <v/>
      </c>
      <c r="J708" s="10">
        <f>IF(A708="",0,IF('Statements (Raw)'!I706="",0,'Statements (Raw)'!I706))</f>
        <v>0</v>
      </c>
      <c r="K708" s="10" t="str">
        <f t="shared" si="21"/>
        <v/>
      </c>
    </row>
    <row r="709" spans="1:11" x14ac:dyDescent="0.3">
      <c r="A709" s="171" t="str">
        <f>IF(OR('Statements (Raw)'!A707="",'Statements (Raw)'!A707&gt;Holdings!$G$3),"",'Statements (Raw)'!A707)</f>
        <v/>
      </c>
      <c r="B709" s="7" t="str">
        <f>IF(A709="","",IF('Statements (Raw)'!B707="","",'Statements (Raw)'!B707))</f>
        <v/>
      </c>
      <c r="C709" s="6" t="str">
        <f>IF(A709="","",IF('Statements (Raw)'!C707&lt;&gt;"",'Statements (Raw)'!C707,IF(ISNUMBER(SEARCH("Conferimento",'Statements (Raw)'!D707)),"CASH DEPOSIT",IF(ISNUMBER(SEARCH("Prelievo",'Statements (Raw)'!D707)),"CASH WITHDRAWAL",IF(ISNUMBER(SEARCH("Bollo",'Statements (Raw)'!D707)),"STAMP DUTY",IF(ISNUMBER(SEARCH("Tobin Tax",'Statements (Raw)'!D707)),"TOBIN TAX",IF(ISNUMBER(SEARCH("Rit.provento",'Statements (Raw)'!D707)),"WITHHOLDING TAX",IF(ISNUMBER(SEARCH("Incasso Dividendi",'Statements (Raw)'!D707)),"DIVIDEND",IF(ISNUMBER(SEARCH("Cedola",'Statements (Raw)'!D707)),"COUPON",IF(ISNUMBER(SEARCH("Ratei Pass",'Statements (Raw)'!D707)),"ACCRUED INT",IF(ISNUMBER(SEARCH("Interessi Prest",'Statements (Raw)'!D707)),"SEC LENDING",IF(ISNUMBER(SEARCH("Rimborso",'Statements (Raw)'!D707)),"REDEMPTION",IF(ISNUMBER(SEARCH("Provento",'Statements (Raw)'!D707)),"DISTRIBUTION","OTHER")))))))))))))</f>
        <v/>
      </c>
      <c r="D709" s="6" t="str">
        <f>IF(A709="","",IF(C709="Saldo Iniziale","Balance",IF(C709="CASH DEPOSIT","Deposit",IF(C709="CASH WITHDRAWAL","Withdrawal",IF(C709="STAMP DUTY","Tax",IF(C709="TOBIN TAX","Tax",IF(C709="WITHHOLDING TAX","Tax",IF(C709="DIVIDEND","Dividend",IF(C709="COUPON","Coupon",IF(C709="ACCRUED INT","Accrued Int.",IF(C709="SEC LENDING","Sec. Lending",IF(C709="REDEMPTION","Redemption",IF(C709="DISTRIBUTION","Distribution",IF(ISNUMBER(SEARCH("Rimborso",'Statements (Raw)'!D707)),"Redemption",IF(ISNUMBER(SEARCH("Cedola",'Statements (Raw)'!D707)),"Coupon",IF(ISNUMBER(SEARCH("Incasso Dividendi",'Statements (Raw)'!D707)),"Dividend",IF(ISNUMBER(SEARCH("Provento Etf",'Statements (Raw)'!D707)),"Distribution",IF(ISNUMBER(SEARCH("Rit.provento",'Statements (Raw)'!D707)),"Tax",IF(ISNUMBER(SEARCH("Ratei Pass",'Statements (Raw)'!D707)),"Accrued Int.",IF(ISNUMBER(SEARCH("Interessi Prest",'Statements (Raw)'!D707)),"Sec. Lending",IF('Statements (Raw)'!G707="","Other",IF('Statements (Raw)'!G707&gt;0,"Buy","Sell"))))))))))))))))))))))</f>
        <v/>
      </c>
      <c r="E709" s="6" t="str">
        <f t="shared" ref="E709:E772" si="22">IF(D709="","",IF(OR(D709="Balance",D709="Deposit",D709="Withdrawal"),"Cash",IF(D709="Tax","Tax/Fee",IF(OR(D709="Dividend",D709="Coupon",D709="Distribution",D709="Sec. Lending",D709="Accrued Int."),"Income",IF(D709="Redemption","Bond",IF(OR(D709="Buy",D709="Sell"),IF(OR(ISNUMBER(SEARCH("BOT ",C709)),ISNUMBER(SEARCH("BTP ",C709)),ISNUMBER(SEARCH("CARRARO",C709))),"Bond",IF(OR(ISNUMBER(SEARCH("isdom",C709)),ISNUMBER(SEARCH("ISHARES",C709)),ISNUMBER(SEARCH("iShares",C709))),"ETF/ETC",IF(OR(ISNUMBER(SEARCH("Bitwise",C709)),ISNUMBER(SEARCH("BITWISE",C709))),"Crypto ETP","Stock"))),"Other"))))))</f>
        <v/>
      </c>
      <c r="F709" s="8" t="str">
        <f>IF(A709="","",IF('Statements (Raw)'!E707="","",'Statements (Raw)'!E707))</f>
        <v/>
      </c>
      <c r="G709" s="6" t="str">
        <f>IF(A709="","",IF('Statements (Raw)'!F707="","",'Statements (Raw)'!F707))</f>
        <v/>
      </c>
      <c r="H709" s="9" t="str">
        <f>IF(A709="","",IF('Statements (Raw)'!G707="","",'Statements (Raw)'!G707))</f>
        <v/>
      </c>
      <c r="I709" s="10" t="str">
        <f>IF(A709="","",IF('Statements (Raw)'!H707="","",'Statements (Raw)'!H707))</f>
        <v/>
      </c>
      <c r="J709" s="10">
        <f>IF(A709="",0,IF('Statements (Raw)'!I707="",0,'Statements (Raw)'!I707))</f>
        <v>0</v>
      </c>
      <c r="K709" s="10" t="str">
        <f t="shared" ref="K709:K772" si="23">IF(I709="","",I709+J709)</f>
        <v/>
      </c>
    </row>
    <row r="710" spans="1:11" x14ac:dyDescent="0.3">
      <c r="A710" s="171" t="str">
        <f>IF(OR('Statements (Raw)'!A708="",'Statements (Raw)'!A708&gt;Holdings!$G$3),"",'Statements (Raw)'!A708)</f>
        <v/>
      </c>
      <c r="B710" s="7" t="str">
        <f>IF(A710="","",IF('Statements (Raw)'!B708="","",'Statements (Raw)'!B708))</f>
        <v/>
      </c>
      <c r="C710" s="6" t="str">
        <f>IF(A710="","",IF('Statements (Raw)'!C708&lt;&gt;"",'Statements (Raw)'!C708,IF(ISNUMBER(SEARCH("Conferimento",'Statements (Raw)'!D708)),"CASH DEPOSIT",IF(ISNUMBER(SEARCH("Prelievo",'Statements (Raw)'!D708)),"CASH WITHDRAWAL",IF(ISNUMBER(SEARCH("Bollo",'Statements (Raw)'!D708)),"STAMP DUTY",IF(ISNUMBER(SEARCH("Tobin Tax",'Statements (Raw)'!D708)),"TOBIN TAX",IF(ISNUMBER(SEARCH("Rit.provento",'Statements (Raw)'!D708)),"WITHHOLDING TAX",IF(ISNUMBER(SEARCH("Incasso Dividendi",'Statements (Raw)'!D708)),"DIVIDEND",IF(ISNUMBER(SEARCH("Cedola",'Statements (Raw)'!D708)),"COUPON",IF(ISNUMBER(SEARCH("Ratei Pass",'Statements (Raw)'!D708)),"ACCRUED INT",IF(ISNUMBER(SEARCH("Interessi Prest",'Statements (Raw)'!D708)),"SEC LENDING",IF(ISNUMBER(SEARCH("Rimborso",'Statements (Raw)'!D708)),"REDEMPTION",IF(ISNUMBER(SEARCH("Provento",'Statements (Raw)'!D708)),"DISTRIBUTION","OTHER")))))))))))))</f>
        <v/>
      </c>
      <c r="D710" s="6" t="str">
        <f>IF(A710="","",IF(C710="Saldo Iniziale","Balance",IF(C710="CASH DEPOSIT","Deposit",IF(C710="CASH WITHDRAWAL","Withdrawal",IF(C710="STAMP DUTY","Tax",IF(C710="TOBIN TAX","Tax",IF(C710="WITHHOLDING TAX","Tax",IF(C710="DIVIDEND","Dividend",IF(C710="COUPON","Coupon",IF(C710="ACCRUED INT","Accrued Int.",IF(C710="SEC LENDING","Sec. Lending",IF(C710="REDEMPTION","Redemption",IF(C710="DISTRIBUTION","Distribution",IF(ISNUMBER(SEARCH("Rimborso",'Statements (Raw)'!D708)),"Redemption",IF(ISNUMBER(SEARCH("Cedola",'Statements (Raw)'!D708)),"Coupon",IF(ISNUMBER(SEARCH("Incasso Dividendi",'Statements (Raw)'!D708)),"Dividend",IF(ISNUMBER(SEARCH("Provento Etf",'Statements (Raw)'!D708)),"Distribution",IF(ISNUMBER(SEARCH("Rit.provento",'Statements (Raw)'!D708)),"Tax",IF(ISNUMBER(SEARCH("Ratei Pass",'Statements (Raw)'!D708)),"Accrued Int.",IF(ISNUMBER(SEARCH("Interessi Prest",'Statements (Raw)'!D708)),"Sec. Lending",IF('Statements (Raw)'!G708="","Other",IF('Statements (Raw)'!G708&gt;0,"Buy","Sell"))))))))))))))))))))))</f>
        <v/>
      </c>
      <c r="E710" s="6" t="str">
        <f t="shared" si="22"/>
        <v/>
      </c>
      <c r="F710" s="8" t="str">
        <f>IF(A710="","",IF('Statements (Raw)'!E708="","",'Statements (Raw)'!E708))</f>
        <v/>
      </c>
      <c r="G710" s="6" t="str">
        <f>IF(A710="","",IF('Statements (Raw)'!F708="","",'Statements (Raw)'!F708))</f>
        <v/>
      </c>
      <c r="H710" s="9" t="str">
        <f>IF(A710="","",IF('Statements (Raw)'!G708="","",'Statements (Raw)'!G708))</f>
        <v/>
      </c>
      <c r="I710" s="10" t="str">
        <f>IF(A710="","",IF('Statements (Raw)'!H708="","",'Statements (Raw)'!H708))</f>
        <v/>
      </c>
      <c r="J710" s="10">
        <f>IF(A710="",0,IF('Statements (Raw)'!I708="",0,'Statements (Raw)'!I708))</f>
        <v>0</v>
      </c>
      <c r="K710" s="10" t="str">
        <f t="shared" si="23"/>
        <v/>
      </c>
    </row>
    <row r="711" spans="1:11" x14ac:dyDescent="0.3">
      <c r="A711" s="171" t="str">
        <f>IF(OR('Statements (Raw)'!A709="",'Statements (Raw)'!A709&gt;Holdings!$G$3),"",'Statements (Raw)'!A709)</f>
        <v/>
      </c>
      <c r="B711" s="7" t="str">
        <f>IF(A711="","",IF('Statements (Raw)'!B709="","",'Statements (Raw)'!B709))</f>
        <v/>
      </c>
      <c r="C711" s="6" t="str">
        <f>IF(A711="","",IF('Statements (Raw)'!C709&lt;&gt;"",'Statements (Raw)'!C709,IF(ISNUMBER(SEARCH("Conferimento",'Statements (Raw)'!D709)),"CASH DEPOSIT",IF(ISNUMBER(SEARCH("Prelievo",'Statements (Raw)'!D709)),"CASH WITHDRAWAL",IF(ISNUMBER(SEARCH("Bollo",'Statements (Raw)'!D709)),"STAMP DUTY",IF(ISNUMBER(SEARCH("Tobin Tax",'Statements (Raw)'!D709)),"TOBIN TAX",IF(ISNUMBER(SEARCH("Rit.provento",'Statements (Raw)'!D709)),"WITHHOLDING TAX",IF(ISNUMBER(SEARCH("Incasso Dividendi",'Statements (Raw)'!D709)),"DIVIDEND",IF(ISNUMBER(SEARCH("Cedola",'Statements (Raw)'!D709)),"COUPON",IF(ISNUMBER(SEARCH("Ratei Pass",'Statements (Raw)'!D709)),"ACCRUED INT",IF(ISNUMBER(SEARCH("Interessi Prest",'Statements (Raw)'!D709)),"SEC LENDING",IF(ISNUMBER(SEARCH("Rimborso",'Statements (Raw)'!D709)),"REDEMPTION",IF(ISNUMBER(SEARCH("Provento",'Statements (Raw)'!D709)),"DISTRIBUTION","OTHER")))))))))))))</f>
        <v/>
      </c>
      <c r="D711" s="6" t="str">
        <f>IF(A711="","",IF(C711="Saldo Iniziale","Balance",IF(C711="CASH DEPOSIT","Deposit",IF(C711="CASH WITHDRAWAL","Withdrawal",IF(C711="STAMP DUTY","Tax",IF(C711="TOBIN TAX","Tax",IF(C711="WITHHOLDING TAX","Tax",IF(C711="DIVIDEND","Dividend",IF(C711="COUPON","Coupon",IF(C711="ACCRUED INT","Accrued Int.",IF(C711="SEC LENDING","Sec. Lending",IF(C711="REDEMPTION","Redemption",IF(C711="DISTRIBUTION","Distribution",IF(ISNUMBER(SEARCH("Rimborso",'Statements (Raw)'!D709)),"Redemption",IF(ISNUMBER(SEARCH("Cedola",'Statements (Raw)'!D709)),"Coupon",IF(ISNUMBER(SEARCH("Incasso Dividendi",'Statements (Raw)'!D709)),"Dividend",IF(ISNUMBER(SEARCH("Provento Etf",'Statements (Raw)'!D709)),"Distribution",IF(ISNUMBER(SEARCH("Rit.provento",'Statements (Raw)'!D709)),"Tax",IF(ISNUMBER(SEARCH("Ratei Pass",'Statements (Raw)'!D709)),"Accrued Int.",IF(ISNUMBER(SEARCH("Interessi Prest",'Statements (Raw)'!D709)),"Sec. Lending",IF('Statements (Raw)'!G709="","Other",IF('Statements (Raw)'!G709&gt;0,"Buy","Sell"))))))))))))))))))))))</f>
        <v/>
      </c>
      <c r="E711" s="6" t="str">
        <f t="shared" si="22"/>
        <v/>
      </c>
      <c r="F711" s="8" t="str">
        <f>IF(A711="","",IF('Statements (Raw)'!E709="","",'Statements (Raw)'!E709))</f>
        <v/>
      </c>
      <c r="G711" s="6" t="str">
        <f>IF(A711="","",IF('Statements (Raw)'!F709="","",'Statements (Raw)'!F709))</f>
        <v/>
      </c>
      <c r="H711" s="9" t="str">
        <f>IF(A711="","",IF('Statements (Raw)'!G709="","",'Statements (Raw)'!G709))</f>
        <v/>
      </c>
      <c r="I711" s="10" t="str">
        <f>IF(A711="","",IF('Statements (Raw)'!H709="","",'Statements (Raw)'!H709))</f>
        <v/>
      </c>
      <c r="J711" s="10">
        <f>IF(A711="",0,IF('Statements (Raw)'!I709="",0,'Statements (Raw)'!I709))</f>
        <v>0</v>
      </c>
      <c r="K711" s="10" t="str">
        <f t="shared" si="23"/>
        <v/>
      </c>
    </row>
    <row r="712" spans="1:11" x14ac:dyDescent="0.3">
      <c r="A712" s="171" t="str">
        <f>IF(OR('Statements (Raw)'!A710="",'Statements (Raw)'!A710&gt;Holdings!$G$3),"",'Statements (Raw)'!A710)</f>
        <v/>
      </c>
      <c r="B712" s="7" t="str">
        <f>IF(A712="","",IF('Statements (Raw)'!B710="","",'Statements (Raw)'!B710))</f>
        <v/>
      </c>
      <c r="C712" s="6" t="str">
        <f>IF(A712="","",IF('Statements (Raw)'!C710&lt;&gt;"",'Statements (Raw)'!C710,IF(ISNUMBER(SEARCH("Conferimento",'Statements (Raw)'!D710)),"CASH DEPOSIT",IF(ISNUMBER(SEARCH("Prelievo",'Statements (Raw)'!D710)),"CASH WITHDRAWAL",IF(ISNUMBER(SEARCH("Bollo",'Statements (Raw)'!D710)),"STAMP DUTY",IF(ISNUMBER(SEARCH("Tobin Tax",'Statements (Raw)'!D710)),"TOBIN TAX",IF(ISNUMBER(SEARCH("Rit.provento",'Statements (Raw)'!D710)),"WITHHOLDING TAX",IF(ISNUMBER(SEARCH("Incasso Dividendi",'Statements (Raw)'!D710)),"DIVIDEND",IF(ISNUMBER(SEARCH("Cedola",'Statements (Raw)'!D710)),"COUPON",IF(ISNUMBER(SEARCH("Ratei Pass",'Statements (Raw)'!D710)),"ACCRUED INT",IF(ISNUMBER(SEARCH("Interessi Prest",'Statements (Raw)'!D710)),"SEC LENDING",IF(ISNUMBER(SEARCH("Rimborso",'Statements (Raw)'!D710)),"REDEMPTION",IF(ISNUMBER(SEARCH("Provento",'Statements (Raw)'!D710)),"DISTRIBUTION","OTHER")))))))))))))</f>
        <v/>
      </c>
      <c r="D712" s="6" t="str">
        <f>IF(A712="","",IF(C712="Saldo Iniziale","Balance",IF(C712="CASH DEPOSIT","Deposit",IF(C712="CASH WITHDRAWAL","Withdrawal",IF(C712="STAMP DUTY","Tax",IF(C712="TOBIN TAX","Tax",IF(C712="WITHHOLDING TAX","Tax",IF(C712="DIVIDEND","Dividend",IF(C712="COUPON","Coupon",IF(C712="ACCRUED INT","Accrued Int.",IF(C712="SEC LENDING","Sec. Lending",IF(C712="REDEMPTION","Redemption",IF(C712="DISTRIBUTION","Distribution",IF(ISNUMBER(SEARCH("Rimborso",'Statements (Raw)'!D710)),"Redemption",IF(ISNUMBER(SEARCH("Cedola",'Statements (Raw)'!D710)),"Coupon",IF(ISNUMBER(SEARCH("Incasso Dividendi",'Statements (Raw)'!D710)),"Dividend",IF(ISNUMBER(SEARCH("Provento Etf",'Statements (Raw)'!D710)),"Distribution",IF(ISNUMBER(SEARCH("Rit.provento",'Statements (Raw)'!D710)),"Tax",IF(ISNUMBER(SEARCH("Ratei Pass",'Statements (Raw)'!D710)),"Accrued Int.",IF(ISNUMBER(SEARCH("Interessi Prest",'Statements (Raw)'!D710)),"Sec. Lending",IF('Statements (Raw)'!G710="","Other",IF('Statements (Raw)'!G710&gt;0,"Buy","Sell"))))))))))))))))))))))</f>
        <v/>
      </c>
      <c r="E712" s="6" t="str">
        <f t="shared" si="22"/>
        <v/>
      </c>
      <c r="F712" s="8" t="str">
        <f>IF(A712="","",IF('Statements (Raw)'!E710="","",'Statements (Raw)'!E710))</f>
        <v/>
      </c>
      <c r="G712" s="6" t="str">
        <f>IF(A712="","",IF('Statements (Raw)'!F710="","",'Statements (Raw)'!F710))</f>
        <v/>
      </c>
      <c r="H712" s="9" t="str">
        <f>IF(A712="","",IF('Statements (Raw)'!G710="","",'Statements (Raw)'!G710))</f>
        <v/>
      </c>
      <c r="I712" s="10" t="str">
        <f>IF(A712="","",IF('Statements (Raw)'!H710="","",'Statements (Raw)'!H710))</f>
        <v/>
      </c>
      <c r="J712" s="10">
        <f>IF(A712="",0,IF('Statements (Raw)'!I710="",0,'Statements (Raw)'!I710))</f>
        <v>0</v>
      </c>
      <c r="K712" s="10" t="str">
        <f t="shared" si="23"/>
        <v/>
      </c>
    </row>
    <row r="713" spans="1:11" x14ac:dyDescent="0.3">
      <c r="A713" s="171" t="str">
        <f>IF(OR('Statements (Raw)'!A711="",'Statements (Raw)'!A711&gt;Holdings!$G$3),"",'Statements (Raw)'!A711)</f>
        <v/>
      </c>
      <c r="B713" s="7" t="str">
        <f>IF(A713="","",IF('Statements (Raw)'!B711="","",'Statements (Raw)'!B711))</f>
        <v/>
      </c>
      <c r="C713" s="6" t="str">
        <f>IF(A713="","",IF('Statements (Raw)'!C711&lt;&gt;"",'Statements (Raw)'!C711,IF(ISNUMBER(SEARCH("Conferimento",'Statements (Raw)'!D711)),"CASH DEPOSIT",IF(ISNUMBER(SEARCH("Prelievo",'Statements (Raw)'!D711)),"CASH WITHDRAWAL",IF(ISNUMBER(SEARCH("Bollo",'Statements (Raw)'!D711)),"STAMP DUTY",IF(ISNUMBER(SEARCH("Tobin Tax",'Statements (Raw)'!D711)),"TOBIN TAX",IF(ISNUMBER(SEARCH("Rit.provento",'Statements (Raw)'!D711)),"WITHHOLDING TAX",IF(ISNUMBER(SEARCH("Incasso Dividendi",'Statements (Raw)'!D711)),"DIVIDEND",IF(ISNUMBER(SEARCH("Cedola",'Statements (Raw)'!D711)),"COUPON",IF(ISNUMBER(SEARCH("Ratei Pass",'Statements (Raw)'!D711)),"ACCRUED INT",IF(ISNUMBER(SEARCH("Interessi Prest",'Statements (Raw)'!D711)),"SEC LENDING",IF(ISNUMBER(SEARCH("Rimborso",'Statements (Raw)'!D711)),"REDEMPTION",IF(ISNUMBER(SEARCH("Provento",'Statements (Raw)'!D711)),"DISTRIBUTION","OTHER")))))))))))))</f>
        <v/>
      </c>
      <c r="D713" s="6" t="str">
        <f>IF(A713="","",IF(C713="Saldo Iniziale","Balance",IF(C713="CASH DEPOSIT","Deposit",IF(C713="CASH WITHDRAWAL","Withdrawal",IF(C713="STAMP DUTY","Tax",IF(C713="TOBIN TAX","Tax",IF(C713="WITHHOLDING TAX","Tax",IF(C713="DIVIDEND","Dividend",IF(C713="COUPON","Coupon",IF(C713="ACCRUED INT","Accrued Int.",IF(C713="SEC LENDING","Sec. Lending",IF(C713="REDEMPTION","Redemption",IF(C713="DISTRIBUTION","Distribution",IF(ISNUMBER(SEARCH("Rimborso",'Statements (Raw)'!D711)),"Redemption",IF(ISNUMBER(SEARCH("Cedola",'Statements (Raw)'!D711)),"Coupon",IF(ISNUMBER(SEARCH("Incasso Dividendi",'Statements (Raw)'!D711)),"Dividend",IF(ISNUMBER(SEARCH("Provento Etf",'Statements (Raw)'!D711)),"Distribution",IF(ISNUMBER(SEARCH("Rit.provento",'Statements (Raw)'!D711)),"Tax",IF(ISNUMBER(SEARCH("Ratei Pass",'Statements (Raw)'!D711)),"Accrued Int.",IF(ISNUMBER(SEARCH("Interessi Prest",'Statements (Raw)'!D711)),"Sec. Lending",IF('Statements (Raw)'!G711="","Other",IF('Statements (Raw)'!G711&gt;0,"Buy","Sell"))))))))))))))))))))))</f>
        <v/>
      </c>
      <c r="E713" s="6" t="str">
        <f t="shared" si="22"/>
        <v/>
      </c>
      <c r="F713" s="8" t="str">
        <f>IF(A713="","",IF('Statements (Raw)'!E711="","",'Statements (Raw)'!E711))</f>
        <v/>
      </c>
      <c r="G713" s="6" t="str">
        <f>IF(A713="","",IF('Statements (Raw)'!F711="","",'Statements (Raw)'!F711))</f>
        <v/>
      </c>
      <c r="H713" s="9" t="str">
        <f>IF(A713="","",IF('Statements (Raw)'!G711="","",'Statements (Raw)'!G711))</f>
        <v/>
      </c>
      <c r="I713" s="10" t="str">
        <f>IF(A713="","",IF('Statements (Raw)'!H711="","",'Statements (Raw)'!H711))</f>
        <v/>
      </c>
      <c r="J713" s="10">
        <f>IF(A713="",0,IF('Statements (Raw)'!I711="",0,'Statements (Raw)'!I711))</f>
        <v>0</v>
      </c>
      <c r="K713" s="10" t="str">
        <f t="shared" si="23"/>
        <v/>
      </c>
    </row>
    <row r="714" spans="1:11" x14ac:dyDescent="0.3">
      <c r="A714" s="171" t="str">
        <f>IF(OR('Statements (Raw)'!A712="",'Statements (Raw)'!A712&gt;Holdings!$G$3),"",'Statements (Raw)'!A712)</f>
        <v/>
      </c>
      <c r="B714" s="7" t="str">
        <f>IF(A714="","",IF('Statements (Raw)'!B712="","",'Statements (Raw)'!B712))</f>
        <v/>
      </c>
      <c r="C714" s="6" t="str">
        <f>IF(A714="","",IF('Statements (Raw)'!C712&lt;&gt;"",'Statements (Raw)'!C712,IF(ISNUMBER(SEARCH("Conferimento",'Statements (Raw)'!D712)),"CASH DEPOSIT",IF(ISNUMBER(SEARCH("Prelievo",'Statements (Raw)'!D712)),"CASH WITHDRAWAL",IF(ISNUMBER(SEARCH("Bollo",'Statements (Raw)'!D712)),"STAMP DUTY",IF(ISNUMBER(SEARCH("Tobin Tax",'Statements (Raw)'!D712)),"TOBIN TAX",IF(ISNUMBER(SEARCH("Rit.provento",'Statements (Raw)'!D712)),"WITHHOLDING TAX",IF(ISNUMBER(SEARCH("Incasso Dividendi",'Statements (Raw)'!D712)),"DIVIDEND",IF(ISNUMBER(SEARCH("Cedola",'Statements (Raw)'!D712)),"COUPON",IF(ISNUMBER(SEARCH("Ratei Pass",'Statements (Raw)'!D712)),"ACCRUED INT",IF(ISNUMBER(SEARCH("Interessi Prest",'Statements (Raw)'!D712)),"SEC LENDING",IF(ISNUMBER(SEARCH("Rimborso",'Statements (Raw)'!D712)),"REDEMPTION",IF(ISNUMBER(SEARCH("Provento",'Statements (Raw)'!D712)),"DISTRIBUTION","OTHER")))))))))))))</f>
        <v/>
      </c>
      <c r="D714" s="6" t="str">
        <f>IF(A714="","",IF(C714="Saldo Iniziale","Balance",IF(C714="CASH DEPOSIT","Deposit",IF(C714="CASH WITHDRAWAL","Withdrawal",IF(C714="STAMP DUTY","Tax",IF(C714="TOBIN TAX","Tax",IF(C714="WITHHOLDING TAX","Tax",IF(C714="DIVIDEND","Dividend",IF(C714="COUPON","Coupon",IF(C714="ACCRUED INT","Accrued Int.",IF(C714="SEC LENDING","Sec. Lending",IF(C714="REDEMPTION","Redemption",IF(C714="DISTRIBUTION","Distribution",IF(ISNUMBER(SEARCH("Rimborso",'Statements (Raw)'!D712)),"Redemption",IF(ISNUMBER(SEARCH("Cedola",'Statements (Raw)'!D712)),"Coupon",IF(ISNUMBER(SEARCH("Incasso Dividendi",'Statements (Raw)'!D712)),"Dividend",IF(ISNUMBER(SEARCH("Provento Etf",'Statements (Raw)'!D712)),"Distribution",IF(ISNUMBER(SEARCH("Rit.provento",'Statements (Raw)'!D712)),"Tax",IF(ISNUMBER(SEARCH("Ratei Pass",'Statements (Raw)'!D712)),"Accrued Int.",IF(ISNUMBER(SEARCH("Interessi Prest",'Statements (Raw)'!D712)),"Sec. Lending",IF('Statements (Raw)'!G712="","Other",IF('Statements (Raw)'!G712&gt;0,"Buy","Sell"))))))))))))))))))))))</f>
        <v/>
      </c>
      <c r="E714" s="6" t="str">
        <f t="shared" si="22"/>
        <v/>
      </c>
      <c r="F714" s="8" t="str">
        <f>IF(A714="","",IF('Statements (Raw)'!E712="","",'Statements (Raw)'!E712))</f>
        <v/>
      </c>
      <c r="G714" s="6" t="str">
        <f>IF(A714="","",IF('Statements (Raw)'!F712="","",'Statements (Raw)'!F712))</f>
        <v/>
      </c>
      <c r="H714" s="9" t="str">
        <f>IF(A714="","",IF('Statements (Raw)'!G712="","",'Statements (Raw)'!G712))</f>
        <v/>
      </c>
      <c r="I714" s="10" t="str">
        <f>IF(A714="","",IF('Statements (Raw)'!H712="","",'Statements (Raw)'!H712))</f>
        <v/>
      </c>
      <c r="J714" s="10">
        <f>IF(A714="",0,IF('Statements (Raw)'!I712="",0,'Statements (Raw)'!I712))</f>
        <v>0</v>
      </c>
      <c r="K714" s="10" t="str">
        <f t="shared" si="23"/>
        <v/>
      </c>
    </row>
    <row r="715" spans="1:11" x14ac:dyDescent="0.3">
      <c r="A715" s="171" t="str">
        <f>IF(OR('Statements (Raw)'!A713="",'Statements (Raw)'!A713&gt;Holdings!$G$3),"",'Statements (Raw)'!A713)</f>
        <v/>
      </c>
      <c r="B715" s="7" t="str">
        <f>IF(A715="","",IF('Statements (Raw)'!B713="","",'Statements (Raw)'!B713))</f>
        <v/>
      </c>
      <c r="C715" s="6" t="str">
        <f>IF(A715="","",IF('Statements (Raw)'!C713&lt;&gt;"",'Statements (Raw)'!C713,IF(ISNUMBER(SEARCH("Conferimento",'Statements (Raw)'!D713)),"CASH DEPOSIT",IF(ISNUMBER(SEARCH("Prelievo",'Statements (Raw)'!D713)),"CASH WITHDRAWAL",IF(ISNUMBER(SEARCH("Bollo",'Statements (Raw)'!D713)),"STAMP DUTY",IF(ISNUMBER(SEARCH("Tobin Tax",'Statements (Raw)'!D713)),"TOBIN TAX",IF(ISNUMBER(SEARCH("Rit.provento",'Statements (Raw)'!D713)),"WITHHOLDING TAX",IF(ISNUMBER(SEARCH("Incasso Dividendi",'Statements (Raw)'!D713)),"DIVIDEND",IF(ISNUMBER(SEARCH("Cedola",'Statements (Raw)'!D713)),"COUPON",IF(ISNUMBER(SEARCH("Ratei Pass",'Statements (Raw)'!D713)),"ACCRUED INT",IF(ISNUMBER(SEARCH("Interessi Prest",'Statements (Raw)'!D713)),"SEC LENDING",IF(ISNUMBER(SEARCH("Rimborso",'Statements (Raw)'!D713)),"REDEMPTION",IF(ISNUMBER(SEARCH("Provento",'Statements (Raw)'!D713)),"DISTRIBUTION","OTHER")))))))))))))</f>
        <v/>
      </c>
      <c r="D715" s="6" t="str">
        <f>IF(A715="","",IF(C715="Saldo Iniziale","Balance",IF(C715="CASH DEPOSIT","Deposit",IF(C715="CASH WITHDRAWAL","Withdrawal",IF(C715="STAMP DUTY","Tax",IF(C715="TOBIN TAX","Tax",IF(C715="WITHHOLDING TAX","Tax",IF(C715="DIVIDEND","Dividend",IF(C715="COUPON","Coupon",IF(C715="ACCRUED INT","Accrued Int.",IF(C715="SEC LENDING","Sec. Lending",IF(C715="REDEMPTION","Redemption",IF(C715="DISTRIBUTION","Distribution",IF(ISNUMBER(SEARCH("Rimborso",'Statements (Raw)'!D713)),"Redemption",IF(ISNUMBER(SEARCH("Cedola",'Statements (Raw)'!D713)),"Coupon",IF(ISNUMBER(SEARCH("Incasso Dividendi",'Statements (Raw)'!D713)),"Dividend",IF(ISNUMBER(SEARCH("Provento Etf",'Statements (Raw)'!D713)),"Distribution",IF(ISNUMBER(SEARCH("Rit.provento",'Statements (Raw)'!D713)),"Tax",IF(ISNUMBER(SEARCH("Ratei Pass",'Statements (Raw)'!D713)),"Accrued Int.",IF(ISNUMBER(SEARCH("Interessi Prest",'Statements (Raw)'!D713)),"Sec. Lending",IF('Statements (Raw)'!G713="","Other",IF('Statements (Raw)'!G713&gt;0,"Buy","Sell"))))))))))))))))))))))</f>
        <v/>
      </c>
      <c r="E715" s="6" t="str">
        <f t="shared" si="22"/>
        <v/>
      </c>
      <c r="F715" s="8" t="str">
        <f>IF(A715="","",IF('Statements (Raw)'!E713="","",'Statements (Raw)'!E713))</f>
        <v/>
      </c>
      <c r="G715" s="6" t="str">
        <f>IF(A715="","",IF('Statements (Raw)'!F713="","",'Statements (Raw)'!F713))</f>
        <v/>
      </c>
      <c r="H715" s="9" t="str">
        <f>IF(A715="","",IF('Statements (Raw)'!G713="","",'Statements (Raw)'!G713))</f>
        <v/>
      </c>
      <c r="I715" s="10" t="str">
        <f>IF(A715="","",IF('Statements (Raw)'!H713="","",'Statements (Raw)'!H713))</f>
        <v/>
      </c>
      <c r="J715" s="10">
        <f>IF(A715="",0,IF('Statements (Raw)'!I713="",0,'Statements (Raw)'!I713))</f>
        <v>0</v>
      </c>
      <c r="K715" s="10" t="str">
        <f t="shared" si="23"/>
        <v/>
      </c>
    </row>
    <row r="716" spans="1:11" x14ac:dyDescent="0.3">
      <c r="A716" s="171" t="str">
        <f>IF(OR('Statements (Raw)'!A714="",'Statements (Raw)'!A714&gt;Holdings!$G$3),"",'Statements (Raw)'!A714)</f>
        <v/>
      </c>
      <c r="B716" s="7" t="str">
        <f>IF(A716="","",IF('Statements (Raw)'!B714="","",'Statements (Raw)'!B714))</f>
        <v/>
      </c>
      <c r="C716" s="6" t="str">
        <f>IF(A716="","",IF('Statements (Raw)'!C714&lt;&gt;"",'Statements (Raw)'!C714,IF(ISNUMBER(SEARCH("Conferimento",'Statements (Raw)'!D714)),"CASH DEPOSIT",IF(ISNUMBER(SEARCH("Prelievo",'Statements (Raw)'!D714)),"CASH WITHDRAWAL",IF(ISNUMBER(SEARCH("Bollo",'Statements (Raw)'!D714)),"STAMP DUTY",IF(ISNUMBER(SEARCH("Tobin Tax",'Statements (Raw)'!D714)),"TOBIN TAX",IF(ISNUMBER(SEARCH("Rit.provento",'Statements (Raw)'!D714)),"WITHHOLDING TAX",IF(ISNUMBER(SEARCH("Incasso Dividendi",'Statements (Raw)'!D714)),"DIVIDEND",IF(ISNUMBER(SEARCH("Cedola",'Statements (Raw)'!D714)),"COUPON",IF(ISNUMBER(SEARCH("Ratei Pass",'Statements (Raw)'!D714)),"ACCRUED INT",IF(ISNUMBER(SEARCH("Interessi Prest",'Statements (Raw)'!D714)),"SEC LENDING",IF(ISNUMBER(SEARCH("Rimborso",'Statements (Raw)'!D714)),"REDEMPTION",IF(ISNUMBER(SEARCH("Provento",'Statements (Raw)'!D714)),"DISTRIBUTION","OTHER")))))))))))))</f>
        <v/>
      </c>
      <c r="D716" s="6" t="str">
        <f>IF(A716="","",IF(C716="Saldo Iniziale","Balance",IF(C716="CASH DEPOSIT","Deposit",IF(C716="CASH WITHDRAWAL","Withdrawal",IF(C716="STAMP DUTY","Tax",IF(C716="TOBIN TAX","Tax",IF(C716="WITHHOLDING TAX","Tax",IF(C716="DIVIDEND","Dividend",IF(C716="COUPON","Coupon",IF(C716="ACCRUED INT","Accrued Int.",IF(C716="SEC LENDING","Sec. Lending",IF(C716="REDEMPTION","Redemption",IF(C716="DISTRIBUTION","Distribution",IF(ISNUMBER(SEARCH("Rimborso",'Statements (Raw)'!D714)),"Redemption",IF(ISNUMBER(SEARCH("Cedola",'Statements (Raw)'!D714)),"Coupon",IF(ISNUMBER(SEARCH("Incasso Dividendi",'Statements (Raw)'!D714)),"Dividend",IF(ISNUMBER(SEARCH("Provento Etf",'Statements (Raw)'!D714)),"Distribution",IF(ISNUMBER(SEARCH("Rit.provento",'Statements (Raw)'!D714)),"Tax",IF(ISNUMBER(SEARCH("Ratei Pass",'Statements (Raw)'!D714)),"Accrued Int.",IF(ISNUMBER(SEARCH("Interessi Prest",'Statements (Raw)'!D714)),"Sec. Lending",IF('Statements (Raw)'!G714="","Other",IF('Statements (Raw)'!G714&gt;0,"Buy","Sell"))))))))))))))))))))))</f>
        <v/>
      </c>
      <c r="E716" s="6" t="str">
        <f t="shared" si="22"/>
        <v/>
      </c>
      <c r="F716" s="8" t="str">
        <f>IF(A716="","",IF('Statements (Raw)'!E714="","",'Statements (Raw)'!E714))</f>
        <v/>
      </c>
      <c r="G716" s="6" t="str">
        <f>IF(A716="","",IF('Statements (Raw)'!F714="","",'Statements (Raw)'!F714))</f>
        <v/>
      </c>
      <c r="H716" s="9" t="str">
        <f>IF(A716="","",IF('Statements (Raw)'!G714="","",'Statements (Raw)'!G714))</f>
        <v/>
      </c>
      <c r="I716" s="10" t="str">
        <f>IF(A716="","",IF('Statements (Raw)'!H714="","",'Statements (Raw)'!H714))</f>
        <v/>
      </c>
      <c r="J716" s="10">
        <f>IF(A716="",0,IF('Statements (Raw)'!I714="",0,'Statements (Raw)'!I714))</f>
        <v>0</v>
      </c>
      <c r="K716" s="10" t="str">
        <f t="shared" si="23"/>
        <v/>
      </c>
    </row>
    <row r="717" spans="1:11" x14ac:dyDescent="0.3">
      <c r="A717" s="171" t="str">
        <f>IF(OR('Statements (Raw)'!A715="",'Statements (Raw)'!A715&gt;Holdings!$G$3),"",'Statements (Raw)'!A715)</f>
        <v/>
      </c>
      <c r="B717" s="7" t="str">
        <f>IF(A717="","",IF('Statements (Raw)'!B715="","",'Statements (Raw)'!B715))</f>
        <v/>
      </c>
      <c r="C717" s="6" t="str">
        <f>IF(A717="","",IF('Statements (Raw)'!C715&lt;&gt;"",'Statements (Raw)'!C715,IF(ISNUMBER(SEARCH("Conferimento",'Statements (Raw)'!D715)),"CASH DEPOSIT",IF(ISNUMBER(SEARCH("Prelievo",'Statements (Raw)'!D715)),"CASH WITHDRAWAL",IF(ISNUMBER(SEARCH("Bollo",'Statements (Raw)'!D715)),"STAMP DUTY",IF(ISNUMBER(SEARCH("Tobin Tax",'Statements (Raw)'!D715)),"TOBIN TAX",IF(ISNUMBER(SEARCH("Rit.provento",'Statements (Raw)'!D715)),"WITHHOLDING TAX",IF(ISNUMBER(SEARCH("Incasso Dividendi",'Statements (Raw)'!D715)),"DIVIDEND",IF(ISNUMBER(SEARCH("Cedola",'Statements (Raw)'!D715)),"COUPON",IF(ISNUMBER(SEARCH("Ratei Pass",'Statements (Raw)'!D715)),"ACCRUED INT",IF(ISNUMBER(SEARCH("Interessi Prest",'Statements (Raw)'!D715)),"SEC LENDING",IF(ISNUMBER(SEARCH("Rimborso",'Statements (Raw)'!D715)),"REDEMPTION",IF(ISNUMBER(SEARCH("Provento",'Statements (Raw)'!D715)),"DISTRIBUTION","OTHER")))))))))))))</f>
        <v/>
      </c>
      <c r="D717" s="6" t="str">
        <f>IF(A717="","",IF(C717="Saldo Iniziale","Balance",IF(C717="CASH DEPOSIT","Deposit",IF(C717="CASH WITHDRAWAL","Withdrawal",IF(C717="STAMP DUTY","Tax",IF(C717="TOBIN TAX","Tax",IF(C717="WITHHOLDING TAX","Tax",IF(C717="DIVIDEND","Dividend",IF(C717="COUPON","Coupon",IF(C717="ACCRUED INT","Accrued Int.",IF(C717="SEC LENDING","Sec. Lending",IF(C717="REDEMPTION","Redemption",IF(C717="DISTRIBUTION","Distribution",IF(ISNUMBER(SEARCH("Rimborso",'Statements (Raw)'!D715)),"Redemption",IF(ISNUMBER(SEARCH("Cedola",'Statements (Raw)'!D715)),"Coupon",IF(ISNUMBER(SEARCH("Incasso Dividendi",'Statements (Raw)'!D715)),"Dividend",IF(ISNUMBER(SEARCH("Provento Etf",'Statements (Raw)'!D715)),"Distribution",IF(ISNUMBER(SEARCH("Rit.provento",'Statements (Raw)'!D715)),"Tax",IF(ISNUMBER(SEARCH("Ratei Pass",'Statements (Raw)'!D715)),"Accrued Int.",IF(ISNUMBER(SEARCH("Interessi Prest",'Statements (Raw)'!D715)),"Sec. Lending",IF('Statements (Raw)'!G715="","Other",IF('Statements (Raw)'!G715&gt;0,"Buy","Sell"))))))))))))))))))))))</f>
        <v/>
      </c>
      <c r="E717" s="6" t="str">
        <f t="shared" si="22"/>
        <v/>
      </c>
      <c r="F717" s="8" t="str">
        <f>IF(A717="","",IF('Statements (Raw)'!E715="","",'Statements (Raw)'!E715))</f>
        <v/>
      </c>
      <c r="G717" s="6" t="str">
        <f>IF(A717="","",IF('Statements (Raw)'!F715="","",'Statements (Raw)'!F715))</f>
        <v/>
      </c>
      <c r="H717" s="9" t="str">
        <f>IF(A717="","",IF('Statements (Raw)'!G715="","",'Statements (Raw)'!G715))</f>
        <v/>
      </c>
      <c r="I717" s="10" t="str">
        <f>IF(A717="","",IF('Statements (Raw)'!H715="","",'Statements (Raw)'!H715))</f>
        <v/>
      </c>
      <c r="J717" s="10">
        <f>IF(A717="",0,IF('Statements (Raw)'!I715="",0,'Statements (Raw)'!I715))</f>
        <v>0</v>
      </c>
      <c r="K717" s="10" t="str">
        <f t="shared" si="23"/>
        <v/>
      </c>
    </row>
    <row r="718" spans="1:11" x14ac:dyDescent="0.3">
      <c r="A718" s="171" t="str">
        <f>IF(OR('Statements (Raw)'!A716="",'Statements (Raw)'!A716&gt;Holdings!$G$3),"",'Statements (Raw)'!A716)</f>
        <v/>
      </c>
      <c r="B718" s="7" t="str">
        <f>IF(A718="","",IF('Statements (Raw)'!B716="","",'Statements (Raw)'!B716))</f>
        <v/>
      </c>
      <c r="C718" s="6" t="str">
        <f>IF(A718="","",IF('Statements (Raw)'!C716&lt;&gt;"",'Statements (Raw)'!C716,IF(ISNUMBER(SEARCH("Conferimento",'Statements (Raw)'!D716)),"CASH DEPOSIT",IF(ISNUMBER(SEARCH("Prelievo",'Statements (Raw)'!D716)),"CASH WITHDRAWAL",IF(ISNUMBER(SEARCH("Bollo",'Statements (Raw)'!D716)),"STAMP DUTY",IF(ISNUMBER(SEARCH("Tobin Tax",'Statements (Raw)'!D716)),"TOBIN TAX",IF(ISNUMBER(SEARCH("Rit.provento",'Statements (Raw)'!D716)),"WITHHOLDING TAX",IF(ISNUMBER(SEARCH("Incasso Dividendi",'Statements (Raw)'!D716)),"DIVIDEND",IF(ISNUMBER(SEARCH("Cedola",'Statements (Raw)'!D716)),"COUPON",IF(ISNUMBER(SEARCH("Ratei Pass",'Statements (Raw)'!D716)),"ACCRUED INT",IF(ISNUMBER(SEARCH("Interessi Prest",'Statements (Raw)'!D716)),"SEC LENDING",IF(ISNUMBER(SEARCH("Rimborso",'Statements (Raw)'!D716)),"REDEMPTION",IF(ISNUMBER(SEARCH("Provento",'Statements (Raw)'!D716)),"DISTRIBUTION","OTHER")))))))))))))</f>
        <v/>
      </c>
      <c r="D718" s="6" t="str">
        <f>IF(A718="","",IF(C718="Saldo Iniziale","Balance",IF(C718="CASH DEPOSIT","Deposit",IF(C718="CASH WITHDRAWAL","Withdrawal",IF(C718="STAMP DUTY","Tax",IF(C718="TOBIN TAX","Tax",IF(C718="WITHHOLDING TAX","Tax",IF(C718="DIVIDEND","Dividend",IF(C718="COUPON","Coupon",IF(C718="ACCRUED INT","Accrued Int.",IF(C718="SEC LENDING","Sec. Lending",IF(C718="REDEMPTION","Redemption",IF(C718="DISTRIBUTION","Distribution",IF(ISNUMBER(SEARCH("Rimborso",'Statements (Raw)'!D716)),"Redemption",IF(ISNUMBER(SEARCH("Cedola",'Statements (Raw)'!D716)),"Coupon",IF(ISNUMBER(SEARCH("Incasso Dividendi",'Statements (Raw)'!D716)),"Dividend",IF(ISNUMBER(SEARCH("Provento Etf",'Statements (Raw)'!D716)),"Distribution",IF(ISNUMBER(SEARCH("Rit.provento",'Statements (Raw)'!D716)),"Tax",IF(ISNUMBER(SEARCH("Ratei Pass",'Statements (Raw)'!D716)),"Accrued Int.",IF(ISNUMBER(SEARCH("Interessi Prest",'Statements (Raw)'!D716)),"Sec. Lending",IF('Statements (Raw)'!G716="","Other",IF('Statements (Raw)'!G716&gt;0,"Buy","Sell"))))))))))))))))))))))</f>
        <v/>
      </c>
      <c r="E718" s="6" t="str">
        <f t="shared" si="22"/>
        <v/>
      </c>
      <c r="F718" s="8" t="str">
        <f>IF(A718="","",IF('Statements (Raw)'!E716="","",'Statements (Raw)'!E716))</f>
        <v/>
      </c>
      <c r="G718" s="6" t="str">
        <f>IF(A718="","",IF('Statements (Raw)'!F716="","",'Statements (Raw)'!F716))</f>
        <v/>
      </c>
      <c r="H718" s="9" t="str">
        <f>IF(A718="","",IF('Statements (Raw)'!G716="","",'Statements (Raw)'!G716))</f>
        <v/>
      </c>
      <c r="I718" s="10" t="str">
        <f>IF(A718="","",IF('Statements (Raw)'!H716="","",'Statements (Raw)'!H716))</f>
        <v/>
      </c>
      <c r="J718" s="10">
        <f>IF(A718="",0,IF('Statements (Raw)'!I716="",0,'Statements (Raw)'!I716))</f>
        <v>0</v>
      </c>
      <c r="K718" s="10" t="str">
        <f t="shared" si="23"/>
        <v/>
      </c>
    </row>
    <row r="719" spans="1:11" x14ac:dyDescent="0.3">
      <c r="A719" s="171" t="str">
        <f>IF(OR('Statements (Raw)'!A717="",'Statements (Raw)'!A717&gt;Holdings!$G$3),"",'Statements (Raw)'!A717)</f>
        <v/>
      </c>
      <c r="B719" s="7" t="str">
        <f>IF(A719="","",IF('Statements (Raw)'!B717="","",'Statements (Raw)'!B717))</f>
        <v/>
      </c>
      <c r="C719" s="6" t="str">
        <f>IF(A719="","",IF('Statements (Raw)'!C717&lt;&gt;"",'Statements (Raw)'!C717,IF(ISNUMBER(SEARCH("Conferimento",'Statements (Raw)'!D717)),"CASH DEPOSIT",IF(ISNUMBER(SEARCH("Prelievo",'Statements (Raw)'!D717)),"CASH WITHDRAWAL",IF(ISNUMBER(SEARCH("Bollo",'Statements (Raw)'!D717)),"STAMP DUTY",IF(ISNUMBER(SEARCH("Tobin Tax",'Statements (Raw)'!D717)),"TOBIN TAX",IF(ISNUMBER(SEARCH("Rit.provento",'Statements (Raw)'!D717)),"WITHHOLDING TAX",IF(ISNUMBER(SEARCH("Incasso Dividendi",'Statements (Raw)'!D717)),"DIVIDEND",IF(ISNUMBER(SEARCH("Cedola",'Statements (Raw)'!D717)),"COUPON",IF(ISNUMBER(SEARCH("Ratei Pass",'Statements (Raw)'!D717)),"ACCRUED INT",IF(ISNUMBER(SEARCH("Interessi Prest",'Statements (Raw)'!D717)),"SEC LENDING",IF(ISNUMBER(SEARCH("Rimborso",'Statements (Raw)'!D717)),"REDEMPTION",IF(ISNUMBER(SEARCH("Provento",'Statements (Raw)'!D717)),"DISTRIBUTION","OTHER")))))))))))))</f>
        <v/>
      </c>
      <c r="D719" s="6" t="str">
        <f>IF(A719="","",IF(C719="Saldo Iniziale","Balance",IF(C719="CASH DEPOSIT","Deposit",IF(C719="CASH WITHDRAWAL","Withdrawal",IF(C719="STAMP DUTY","Tax",IF(C719="TOBIN TAX","Tax",IF(C719="WITHHOLDING TAX","Tax",IF(C719="DIVIDEND","Dividend",IF(C719="COUPON","Coupon",IF(C719="ACCRUED INT","Accrued Int.",IF(C719="SEC LENDING","Sec. Lending",IF(C719="REDEMPTION","Redemption",IF(C719="DISTRIBUTION","Distribution",IF(ISNUMBER(SEARCH("Rimborso",'Statements (Raw)'!D717)),"Redemption",IF(ISNUMBER(SEARCH("Cedola",'Statements (Raw)'!D717)),"Coupon",IF(ISNUMBER(SEARCH("Incasso Dividendi",'Statements (Raw)'!D717)),"Dividend",IF(ISNUMBER(SEARCH("Provento Etf",'Statements (Raw)'!D717)),"Distribution",IF(ISNUMBER(SEARCH("Rit.provento",'Statements (Raw)'!D717)),"Tax",IF(ISNUMBER(SEARCH("Ratei Pass",'Statements (Raw)'!D717)),"Accrued Int.",IF(ISNUMBER(SEARCH("Interessi Prest",'Statements (Raw)'!D717)),"Sec. Lending",IF('Statements (Raw)'!G717="","Other",IF('Statements (Raw)'!G717&gt;0,"Buy","Sell"))))))))))))))))))))))</f>
        <v/>
      </c>
      <c r="E719" s="6" t="str">
        <f t="shared" si="22"/>
        <v/>
      </c>
      <c r="F719" s="8" t="str">
        <f>IF(A719="","",IF('Statements (Raw)'!E717="","",'Statements (Raw)'!E717))</f>
        <v/>
      </c>
      <c r="G719" s="6" t="str">
        <f>IF(A719="","",IF('Statements (Raw)'!F717="","",'Statements (Raw)'!F717))</f>
        <v/>
      </c>
      <c r="H719" s="9" t="str">
        <f>IF(A719="","",IF('Statements (Raw)'!G717="","",'Statements (Raw)'!G717))</f>
        <v/>
      </c>
      <c r="I719" s="10" t="str">
        <f>IF(A719="","",IF('Statements (Raw)'!H717="","",'Statements (Raw)'!H717))</f>
        <v/>
      </c>
      <c r="J719" s="10">
        <f>IF(A719="",0,IF('Statements (Raw)'!I717="",0,'Statements (Raw)'!I717))</f>
        <v>0</v>
      </c>
      <c r="K719" s="10" t="str">
        <f t="shared" si="23"/>
        <v/>
      </c>
    </row>
    <row r="720" spans="1:11" x14ac:dyDescent="0.3">
      <c r="A720" s="171" t="str">
        <f>IF(OR('Statements (Raw)'!A718="",'Statements (Raw)'!A718&gt;Holdings!$G$3),"",'Statements (Raw)'!A718)</f>
        <v/>
      </c>
      <c r="B720" s="7" t="str">
        <f>IF(A720="","",IF('Statements (Raw)'!B718="","",'Statements (Raw)'!B718))</f>
        <v/>
      </c>
      <c r="C720" s="6" t="str">
        <f>IF(A720="","",IF('Statements (Raw)'!C718&lt;&gt;"",'Statements (Raw)'!C718,IF(ISNUMBER(SEARCH("Conferimento",'Statements (Raw)'!D718)),"CASH DEPOSIT",IF(ISNUMBER(SEARCH("Prelievo",'Statements (Raw)'!D718)),"CASH WITHDRAWAL",IF(ISNUMBER(SEARCH("Bollo",'Statements (Raw)'!D718)),"STAMP DUTY",IF(ISNUMBER(SEARCH("Tobin Tax",'Statements (Raw)'!D718)),"TOBIN TAX",IF(ISNUMBER(SEARCH("Rit.provento",'Statements (Raw)'!D718)),"WITHHOLDING TAX",IF(ISNUMBER(SEARCH("Incasso Dividendi",'Statements (Raw)'!D718)),"DIVIDEND",IF(ISNUMBER(SEARCH("Cedola",'Statements (Raw)'!D718)),"COUPON",IF(ISNUMBER(SEARCH("Ratei Pass",'Statements (Raw)'!D718)),"ACCRUED INT",IF(ISNUMBER(SEARCH("Interessi Prest",'Statements (Raw)'!D718)),"SEC LENDING",IF(ISNUMBER(SEARCH("Rimborso",'Statements (Raw)'!D718)),"REDEMPTION",IF(ISNUMBER(SEARCH("Provento",'Statements (Raw)'!D718)),"DISTRIBUTION","OTHER")))))))))))))</f>
        <v/>
      </c>
      <c r="D720" s="6" t="str">
        <f>IF(A720="","",IF(C720="Saldo Iniziale","Balance",IF(C720="CASH DEPOSIT","Deposit",IF(C720="CASH WITHDRAWAL","Withdrawal",IF(C720="STAMP DUTY","Tax",IF(C720="TOBIN TAX","Tax",IF(C720="WITHHOLDING TAX","Tax",IF(C720="DIVIDEND","Dividend",IF(C720="COUPON","Coupon",IF(C720="ACCRUED INT","Accrued Int.",IF(C720="SEC LENDING","Sec. Lending",IF(C720="REDEMPTION","Redemption",IF(C720="DISTRIBUTION","Distribution",IF(ISNUMBER(SEARCH("Rimborso",'Statements (Raw)'!D718)),"Redemption",IF(ISNUMBER(SEARCH("Cedola",'Statements (Raw)'!D718)),"Coupon",IF(ISNUMBER(SEARCH("Incasso Dividendi",'Statements (Raw)'!D718)),"Dividend",IF(ISNUMBER(SEARCH("Provento Etf",'Statements (Raw)'!D718)),"Distribution",IF(ISNUMBER(SEARCH("Rit.provento",'Statements (Raw)'!D718)),"Tax",IF(ISNUMBER(SEARCH("Ratei Pass",'Statements (Raw)'!D718)),"Accrued Int.",IF(ISNUMBER(SEARCH("Interessi Prest",'Statements (Raw)'!D718)),"Sec. Lending",IF('Statements (Raw)'!G718="","Other",IF('Statements (Raw)'!G718&gt;0,"Buy","Sell"))))))))))))))))))))))</f>
        <v/>
      </c>
      <c r="E720" s="6" t="str">
        <f t="shared" si="22"/>
        <v/>
      </c>
      <c r="F720" s="8" t="str">
        <f>IF(A720="","",IF('Statements (Raw)'!E718="","",'Statements (Raw)'!E718))</f>
        <v/>
      </c>
      <c r="G720" s="6" t="str">
        <f>IF(A720="","",IF('Statements (Raw)'!F718="","",'Statements (Raw)'!F718))</f>
        <v/>
      </c>
      <c r="H720" s="9" t="str">
        <f>IF(A720="","",IF('Statements (Raw)'!G718="","",'Statements (Raw)'!G718))</f>
        <v/>
      </c>
      <c r="I720" s="10" t="str">
        <f>IF(A720="","",IF('Statements (Raw)'!H718="","",'Statements (Raw)'!H718))</f>
        <v/>
      </c>
      <c r="J720" s="10">
        <f>IF(A720="",0,IF('Statements (Raw)'!I718="",0,'Statements (Raw)'!I718))</f>
        <v>0</v>
      </c>
      <c r="K720" s="10" t="str">
        <f t="shared" si="23"/>
        <v/>
      </c>
    </row>
    <row r="721" spans="1:11" x14ac:dyDescent="0.3">
      <c r="A721" s="171" t="str">
        <f>IF(OR('Statements (Raw)'!A719="",'Statements (Raw)'!A719&gt;Holdings!$G$3),"",'Statements (Raw)'!A719)</f>
        <v/>
      </c>
      <c r="B721" s="7" t="str">
        <f>IF(A721="","",IF('Statements (Raw)'!B719="","",'Statements (Raw)'!B719))</f>
        <v/>
      </c>
      <c r="C721" s="6" t="str">
        <f>IF(A721="","",IF('Statements (Raw)'!C719&lt;&gt;"",'Statements (Raw)'!C719,IF(ISNUMBER(SEARCH("Conferimento",'Statements (Raw)'!D719)),"CASH DEPOSIT",IF(ISNUMBER(SEARCH("Prelievo",'Statements (Raw)'!D719)),"CASH WITHDRAWAL",IF(ISNUMBER(SEARCH("Bollo",'Statements (Raw)'!D719)),"STAMP DUTY",IF(ISNUMBER(SEARCH("Tobin Tax",'Statements (Raw)'!D719)),"TOBIN TAX",IF(ISNUMBER(SEARCH("Rit.provento",'Statements (Raw)'!D719)),"WITHHOLDING TAX",IF(ISNUMBER(SEARCH("Incasso Dividendi",'Statements (Raw)'!D719)),"DIVIDEND",IF(ISNUMBER(SEARCH("Cedola",'Statements (Raw)'!D719)),"COUPON",IF(ISNUMBER(SEARCH("Ratei Pass",'Statements (Raw)'!D719)),"ACCRUED INT",IF(ISNUMBER(SEARCH("Interessi Prest",'Statements (Raw)'!D719)),"SEC LENDING",IF(ISNUMBER(SEARCH("Rimborso",'Statements (Raw)'!D719)),"REDEMPTION",IF(ISNUMBER(SEARCH("Provento",'Statements (Raw)'!D719)),"DISTRIBUTION","OTHER")))))))))))))</f>
        <v/>
      </c>
      <c r="D721" s="6" t="str">
        <f>IF(A721="","",IF(C721="Saldo Iniziale","Balance",IF(C721="CASH DEPOSIT","Deposit",IF(C721="CASH WITHDRAWAL","Withdrawal",IF(C721="STAMP DUTY","Tax",IF(C721="TOBIN TAX","Tax",IF(C721="WITHHOLDING TAX","Tax",IF(C721="DIVIDEND","Dividend",IF(C721="COUPON","Coupon",IF(C721="ACCRUED INT","Accrued Int.",IF(C721="SEC LENDING","Sec. Lending",IF(C721="REDEMPTION","Redemption",IF(C721="DISTRIBUTION","Distribution",IF(ISNUMBER(SEARCH("Rimborso",'Statements (Raw)'!D719)),"Redemption",IF(ISNUMBER(SEARCH("Cedola",'Statements (Raw)'!D719)),"Coupon",IF(ISNUMBER(SEARCH("Incasso Dividendi",'Statements (Raw)'!D719)),"Dividend",IF(ISNUMBER(SEARCH("Provento Etf",'Statements (Raw)'!D719)),"Distribution",IF(ISNUMBER(SEARCH("Rit.provento",'Statements (Raw)'!D719)),"Tax",IF(ISNUMBER(SEARCH("Ratei Pass",'Statements (Raw)'!D719)),"Accrued Int.",IF(ISNUMBER(SEARCH("Interessi Prest",'Statements (Raw)'!D719)),"Sec. Lending",IF('Statements (Raw)'!G719="","Other",IF('Statements (Raw)'!G719&gt;0,"Buy","Sell"))))))))))))))))))))))</f>
        <v/>
      </c>
      <c r="E721" s="6" t="str">
        <f t="shared" si="22"/>
        <v/>
      </c>
      <c r="F721" s="8" t="str">
        <f>IF(A721="","",IF('Statements (Raw)'!E719="","",'Statements (Raw)'!E719))</f>
        <v/>
      </c>
      <c r="G721" s="6" t="str">
        <f>IF(A721="","",IF('Statements (Raw)'!F719="","",'Statements (Raw)'!F719))</f>
        <v/>
      </c>
      <c r="H721" s="9" t="str">
        <f>IF(A721="","",IF('Statements (Raw)'!G719="","",'Statements (Raw)'!G719))</f>
        <v/>
      </c>
      <c r="I721" s="10" t="str">
        <f>IF(A721="","",IF('Statements (Raw)'!H719="","",'Statements (Raw)'!H719))</f>
        <v/>
      </c>
      <c r="J721" s="10">
        <f>IF(A721="",0,IF('Statements (Raw)'!I719="",0,'Statements (Raw)'!I719))</f>
        <v>0</v>
      </c>
      <c r="K721" s="10" t="str">
        <f t="shared" si="23"/>
        <v/>
      </c>
    </row>
    <row r="722" spans="1:11" x14ac:dyDescent="0.3">
      <c r="A722" s="171" t="str">
        <f>IF(OR('Statements (Raw)'!A720="",'Statements (Raw)'!A720&gt;Holdings!$G$3),"",'Statements (Raw)'!A720)</f>
        <v/>
      </c>
      <c r="B722" s="7" t="str">
        <f>IF(A722="","",IF('Statements (Raw)'!B720="","",'Statements (Raw)'!B720))</f>
        <v/>
      </c>
      <c r="C722" s="6" t="str">
        <f>IF(A722="","",IF('Statements (Raw)'!C720&lt;&gt;"",'Statements (Raw)'!C720,IF(ISNUMBER(SEARCH("Conferimento",'Statements (Raw)'!D720)),"CASH DEPOSIT",IF(ISNUMBER(SEARCH("Prelievo",'Statements (Raw)'!D720)),"CASH WITHDRAWAL",IF(ISNUMBER(SEARCH("Bollo",'Statements (Raw)'!D720)),"STAMP DUTY",IF(ISNUMBER(SEARCH("Tobin Tax",'Statements (Raw)'!D720)),"TOBIN TAX",IF(ISNUMBER(SEARCH("Rit.provento",'Statements (Raw)'!D720)),"WITHHOLDING TAX",IF(ISNUMBER(SEARCH("Incasso Dividendi",'Statements (Raw)'!D720)),"DIVIDEND",IF(ISNUMBER(SEARCH("Cedola",'Statements (Raw)'!D720)),"COUPON",IF(ISNUMBER(SEARCH("Ratei Pass",'Statements (Raw)'!D720)),"ACCRUED INT",IF(ISNUMBER(SEARCH("Interessi Prest",'Statements (Raw)'!D720)),"SEC LENDING",IF(ISNUMBER(SEARCH("Rimborso",'Statements (Raw)'!D720)),"REDEMPTION",IF(ISNUMBER(SEARCH("Provento",'Statements (Raw)'!D720)),"DISTRIBUTION","OTHER")))))))))))))</f>
        <v/>
      </c>
      <c r="D722" s="6" t="str">
        <f>IF(A722="","",IF(C722="Saldo Iniziale","Balance",IF(C722="CASH DEPOSIT","Deposit",IF(C722="CASH WITHDRAWAL","Withdrawal",IF(C722="STAMP DUTY","Tax",IF(C722="TOBIN TAX","Tax",IF(C722="WITHHOLDING TAX","Tax",IF(C722="DIVIDEND","Dividend",IF(C722="COUPON","Coupon",IF(C722="ACCRUED INT","Accrued Int.",IF(C722="SEC LENDING","Sec. Lending",IF(C722="REDEMPTION","Redemption",IF(C722="DISTRIBUTION","Distribution",IF(ISNUMBER(SEARCH("Rimborso",'Statements (Raw)'!D720)),"Redemption",IF(ISNUMBER(SEARCH("Cedola",'Statements (Raw)'!D720)),"Coupon",IF(ISNUMBER(SEARCH("Incasso Dividendi",'Statements (Raw)'!D720)),"Dividend",IF(ISNUMBER(SEARCH("Provento Etf",'Statements (Raw)'!D720)),"Distribution",IF(ISNUMBER(SEARCH("Rit.provento",'Statements (Raw)'!D720)),"Tax",IF(ISNUMBER(SEARCH("Ratei Pass",'Statements (Raw)'!D720)),"Accrued Int.",IF(ISNUMBER(SEARCH("Interessi Prest",'Statements (Raw)'!D720)),"Sec. Lending",IF('Statements (Raw)'!G720="","Other",IF('Statements (Raw)'!G720&gt;0,"Buy","Sell"))))))))))))))))))))))</f>
        <v/>
      </c>
      <c r="E722" s="6" t="str">
        <f t="shared" si="22"/>
        <v/>
      </c>
      <c r="F722" s="8" t="str">
        <f>IF(A722="","",IF('Statements (Raw)'!E720="","",'Statements (Raw)'!E720))</f>
        <v/>
      </c>
      <c r="G722" s="6" t="str">
        <f>IF(A722="","",IF('Statements (Raw)'!F720="","",'Statements (Raw)'!F720))</f>
        <v/>
      </c>
      <c r="H722" s="9" t="str">
        <f>IF(A722="","",IF('Statements (Raw)'!G720="","",'Statements (Raw)'!G720))</f>
        <v/>
      </c>
      <c r="I722" s="10" t="str">
        <f>IF(A722="","",IF('Statements (Raw)'!H720="","",'Statements (Raw)'!H720))</f>
        <v/>
      </c>
      <c r="J722" s="10">
        <f>IF(A722="",0,IF('Statements (Raw)'!I720="",0,'Statements (Raw)'!I720))</f>
        <v>0</v>
      </c>
      <c r="K722" s="10" t="str">
        <f t="shared" si="23"/>
        <v/>
      </c>
    </row>
    <row r="723" spans="1:11" x14ac:dyDescent="0.3">
      <c r="A723" s="171" t="str">
        <f>IF(OR('Statements (Raw)'!A721="",'Statements (Raw)'!A721&gt;Holdings!$G$3),"",'Statements (Raw)'!A721)</f>
        <v/>
      </c>
      <c r="B723" s="7" t="str">
        <f>IF(A723="","",IF('Statements (Raw)'!B721="","",'Statements (Raw)'!B721))</f>
        <v/>
      </c>
      <c r="C723" s="6" t="str">
        <f>IF(A723="","",IF('Statements (Raw)'!C721&lt;&gt;"",'Statements (Raw)'!C721,IF(ISNUMBER(SEARCH("Conferimento",'Statements (Raw)'!D721)),"CASH DEPOSIT",IF(ISNUMBER(SEARCH("Prelievo",'Statements (Raw)'!D721)),"CASH WITHDRAWAL",IF(ISNUMBER(SEARCH("Bollo",'Statements (Raw)'!D721)),"STAMP DUTY",IF(ISNUMBER(SEARCH("Tobin Tax",'Statements (Raw)'!D721)),"TOBIN TAX",IF(ISNUMBER(SEARCH("Rit.provento",'Statements (Raw)'!D721)),"WITHHOLDING TAX",IF(ISNUMBER(SEARCH("Incasso Dividendi",'Statements (Raw)'!D721)),"DIVIDEND",IF(ISNUMBER(SEARCH("Cedola",'Statements (Raw)'!D721)),"COUPON",IF(ISNUMBER(SEARCH("Ratei Pass",'Statements (Raw)'!D721)),"ACCRUED INT",IF(ISNUMBER(SEARCH("Interessi Prest",'Statements (Raw)'!D721)),"SEC LENDING",IF(ISNUMBER(SEARCH("Rimborso",'Statements (Raw)'!D721)),"REDEMPTION",IF(ISNUMBER(SEARCH("Provento",'Statements (Raw)'!D721)),"DISTRIBUTION","OTHER")))))))))))))</f>
        <v/>
      </c>
      <c r="D723" s="6" t="str">
        <f>IF(A723="","",IF(C723="Saldo Iniziale","Balance",IF(C723="CASH DEPOSIT","Deposit",IF(C723="CASH WITHDRAWAL","Withdrawal",IF(C723="STAMP DUTY","Tax",IF(C723="TOBIN TAX","Tax",IF(C723="WITHHOLDING TAX","Tax",IF(C723="DIVIDEND","Dividend",IF(C723="COUPON","Coupon",IF(C723="ACCRUED INT","Accrued Int.",IF(C723="SEC LENDING","Sec. Lending",IF(C723="REDEMPTION","Redemption",IF(C723="DISTRIBUTION","Distribution",IF(ISNUMBER(SEARCH("Rimborso",'Statements (Raw)'!D721)),"Redemption",IF(ISNUMBER(SEARCH("Cedola",'Statements (Raw)'!D721)),"Coupon",IF(ISNUMBER(SEARCH("Incasso Dividendi",'Statements (Raw)'!D721)),"Dividend",IF(ISNUMBER(SEARCH("Provento Etf",'Statements (Raw)'!D721)),"Distribution",IF(ISNUMBER(SEARCH("Rit.provento",'Statements (Raw)'!D721)),"Tax",IF(ISNUMBER(SEARCH("Ratei Pass",'Statements (Raw)'!D721)),"Accrued Int.",IF(ISNUMBER(SEARCH("Interessi Prest",'Statements (Raw)'!D721)),"Sec. Lending",IF('Statements (Raw)'!G721="","Other",IF('Statements (Raw)'!G721&gt;0,"Buy","Sell"))))))))))))))))))))))</f>
        <v/>
      </c>
      <c r="E723" s="6" t="str">
        <f t="shared" si="22"/>
        <v/>
      </c>
      <c r="F723" s="8" t="str">
        <f>IF(A723="","",IF('Statements (Raw)'!E721="","",'Statements (Raw)'!E721))</f>
        <v/>
      </c>
      <c r="G723" s="6" t="str">
        <f>IF(A723="","",IF('Statements (Raw)'!F721="","",'Statements (Raw)'!F721))</f>
        <v/>
      </c>
      <c r="H723" s="9" t="str">
        <f>IF(A723="","",IF('Statements (Raw)'!G721="","",'Statements (Raw)'!G721))</f>
        <v/>
      </c>
      <c r="I723" s="10" t="str">
        <f>IF(A723="","",IF('Statements (Raw)'!H721="","",'Statements (Raw)'!H721))</f>
        <v/>
      </c>
      <c r="J723" s="10">
        <f>IF(A723="",0,IF('Statements (Raw)'!I721="",0,'Statements (Raw)'!I721))</f>
        <v>0</v>
      </c>
      <c r="K723" s="10" t="str">
        <f t="shared" si="23"/>
        <v/>
      </c>
    </row>
    <row r="724" spans="1:11" x14ac:dyDescent="0.3">
      <c r="A724" s="171" t="str">
        <f>IF(OR('Statements (Raw)'!A722="",'Statements (Raw)'!A722&gt;Holdings!$G$3),"",'Statements (Raw)'!A722)</f>
        <v/>
      </c>
      <c r="B724" s="7" t="str">
        <f>IF(A724="","",IF('Statements (Raw)'!B722="","",'Statements (Raw)'!B722))</f>
        <v/>
      </c>
      <c r="C724" s="6" t="str">
        <f>IF(A724="","",IF('Statements (Raw)'!C722&lt;&gt;"",'Statements (Raw)'!C722,IF(ISNUMBER(SEARCH("Conferimento",'Statements (Raw)'!D722)),"CASH DEPOSIT",IF(ISNUMBER(SEARCH("Prelievo",'Statements (Raw)'!D722)),"CASH WITHDRAWAL",IF(ISNUMBER(SEARCH("Bollo",'Statements (Raw)'!D722)),"STAMP DUTY",IF(ISNUMBER(SEARCH("Tobin Tax",'Statements (Raw)'!D722)),"TOBIN TAX",IF(ISNUMBER(SEARCH("Rit.provento",'Statements (Raw)'!D722)),"WITHHOLDING TAX",IF(ISNUMBER(SEARCH("Incasso Dividendi",'Statements (Raw)'!D722)),"DIVIDEND",IF(ISNUMBER(SEARCH("Cedola",'Statements (Raw)'!D722)),"COUPON",IF(ISNUMBER(SEARCH("Ratei Pass",'Statements (Raw)'!D722)),"ACCRUED INT",IF(ISNUMBER(SEARCH("Interessi Prest",'Statements (Raw)'!D722)),"SEC LENDING",IF(ISNUMBER(SEARCH("Rimborso",'Statements (Raw)'!D722)),"REDEMPTION",IF(ISNUMBER(SEARCH("Provento",'Statements (Raw)'!D722)),"DISTRIBUTION","OTHER")))))))))))))</f>
        <v/>
      </c>
      <c r="D724" s="6" t="str">
        <f>IF(A724="","",IF(C724="Saldo Iniziale","Balance",IF(C724="CASH DEPOSIT","Deposit",IF(C724="CASH WITHDRAWAL","Withdrawal",IF(C724="STAMP DUTY","Tax",IF(C724="TOBIN TAX","Tax",IF(C724="WITHHOLDING TAX","Tax",IF(C724="DIVIDEND","Dividend",IF(C724="COUPON","Coupon",IF(C724="ACCRUED INT","Accrued Int.",IF(C724="SEC LENDING","Sec. Lending",IF(C724="REDEMPTION","Redemption",IF(C724="DISTRIBUTION","Distribution",IF(ISNUMBER(SEARCH("Rimborso",'Statements (Raw)'!D722)),"Redemption",IF(ISNUMBER(SEARCH("Cedola",'Statements (Raw)'!D722)),"Coupon",IF(ISNUMBER(SEARCH("Incasso Dividendi",'Statements (Raw)'!D722)),"Dividend",IF(ISNUMBER(SEARCH("Provento Etf",'Statements (Raw)'!D722)),"Distribution",IF(ISNUMBER(SEARCH("Rit.provento",'Statements (Raw)'!D722)),"Tax",IF(ISNUMBER(SEARCH("Ratei Pass",'Statements (Raw)'!D722)),"Accrued Int.",IF(ISNUMBER(SEARCH("Interessi Prest",'Statements (Raw)'!D722)),"Sec. Lending",IF('Statements (Raw)'!G722="","Other",IF('Statements (Raw)'!G722&gt;0,"Buy","Sell"))))))))))))))))))))))</f>
        <v/>
      </c>
      <c r="E724" s="6" t="str">
        <f t="shared" si="22"/>
        <v/>
      </c>
      <c r="F724" s="8" t="str">
        <f>IF(A724="","",IF('Statements (Raw)'!E722="","",'Statements (Raw)'!E722))</f>
        <v/>
      </c>
      <c r="G724" s="6" t="str">
        <f>IF(A724="","",IF('Statements (Raw)'!F722="","",'Statements (Raw)'!F722))</f>
        <v/>
      </c>
      <c r="H724" s="9" t="str">
        <f>IF(A724="","",IF('Statements (Raw)'!G722="","",'Statements (Raw)'!G722))</f>
        <v/>
      </c>
      <c r="I724" s="10" t="str">
        <f>IF(A724="","",IF('Statements (Raw)'!H722="","",'Statements (Raw)'!H722))</f>
        <v/>
      </c>
      <c r="J724" s="10">
        <f>IF(A724="",0,IF('Statements (Raw)'!I722="",0,'Statements (Raw)'!I722))</f>
        <v>0</v>
      </c>
      <c r="K724" s="10" t="str">
        <f t="shared" si="23"/>
        <v/>
      </c>
    </row>
    <row r="725" spans="1:11" x14ac:dyDescent="0.3">
      <c r="A725" s="171" t="str">
        <f>IF(OR('Statements (Raw)'!A723="",'Statements (Raw)'!A723&gt;Holdings!$G$3),"",'Statements (Raw)'!A723)</f>
        <v/>
      </c>
      <c r="B725" s="7" t="str">
        <f>IF(A725="","",IF('Statements (Raw)'!B723="","",'Statements (Raw)'!B723))</f>
        <v/>
      </c>
      <c r="C725" s="6" t="str">
        <f>IF(A725="","",IF('Statements (Raw)'!C723&lt;&gt;"",'Statements (Raw)'!C723,IF(ISNUMBER(SEARCH("Conferimento",'Statements (Raw)'!D723)),"CASH DEPOSIT",IF(ISNUMBER(SEARCH("Prelievo",'Statements (Raw)'!D723)),"CASH WITHDRAWAL",IF(ISNUMBER(SEARCH("Bollo",'Statements (Raw)'!D723)),"STAMP DUTY",IF(ISNUMBER(SEARCH("Tobin Tax",'Statements (Raw)'!D723)),"TOBIN TAX",IF(ISNUMBER(SEARCH("Rit.provento",'Statements (Raw)'!D723)),"WITHHOLDING TAX",IF(ISNUMBER(SEARCH("Incasso Dividendi",'Statements (Raw)'!D723)),"DIVIDEND",IF(ISNUMBER(SEARCH("Cedola",'Statements (Raw)'!D723)),"COUPON",IF(ISNUMBER(SEARCH("Ratei Pass",'Statements (Raw)'!D723)),"ACCRUED INT",IF(ISNUMBER(SEARCH("Interessi Prest",'Statements (Raw)'!D723)),"SEC LENDING",IF(ISNUMBER(SEARCH("Rimborso",'Statements (Raw)'!D723)),"REDEMPTION",IF(ISNUMBER(SEARCH("Provento",'Statements (Raw)'!D723)),"DISTRIBUTION","OTHER")))))))))))))</f>
        <v/>
      </c>
      <c r="D725" s="6" t="str">
        <f>IF(A725="","",IF(C725="Saldo Iniziale","Balance",IF(C725="CASH DEPOSIT","Deposit",IF(C725="CASH WITHDRAWAL","Withdrawal",IF(C725="STAMP DUTY","Tax",IF(C725="TOBIN TAX","Tax",IF(C725="WITHHOLDING TAX","Tax",IF(C725="DIVIDEND","Dividend",IF(C725="COUPON","Coupon",IF(C725="ACCRUED INT","Accrued Int.",IF(C725="SEC LENDING","Sec. Lending",IF(C725="REDEMPTION","Redemption",IF(C725="DISTRIBUTION","Distribution",IF(ISNUMBER(SEARCH("Rimborso",'Statements (Raw)'!D723)),"Redemption",IF(ISNUMBER(SEARCH("Cedola",'Statements (Raw)'!D723)),"Coupon",IF(ISNUMBER(SEARCH("Incasso Dividendi",'Statements (Raw)'!D723)),"Dividend",IF(ISNUMBER(SEARCH("Provento Etf",'Statements (Raw)'!D723)),"Distribution",IF(ISNUMBER(SEARCH("Rit.provento",'Statements (Raw)'!D723)),"Tax",IF(ISNUMBER(SEARCH("Ratei Pass",'Statements (Raw)'!D723)),"Accrued Int.",IF(ISNUMBER(SEARCH("Interessi Prest",'Statements (Raw)'!D723)),"Sec. Lending",IF('Statements (Raw)'!G723="","Other",IF('Statements (Raw)'!G723&gt;0,"Buy","Sell"))))))))))))))))))))))</f>
        <v/>
      </c>
      <c r="E725" s="6" t="str">
        <f t="shared" si="22"/>
        <v/>
      </c>
      <c r="F725" s="8" t="str">
        <f>IF(A725="","",IF('Statements (Raw)'!E723="","",'Statements (Raw)'!E723))</f>
        <v/>
      </c>
      <c r="G725" s="6" t="str">
        <f>IF(A725="","",IF('Statements (Raw)'!F723="","",'Statements (Raw)'!F723))</f>
        <v/>
      </c>
      <c r="H725" s="9" t="str">
        <f>IF(A725="","",IF('Statements (Raw)'!G723="","",'Statements (Raw)'!G723))</f>
        <v/>
      </c>
      <c r="I725" s="10" t="str">
        <f>IF(A725="","",IF('Statements (Raw)'!H723="","",'Statements (Raw)'!H723))</f>
        <v/>
      </c>
      <c r="J725" s="10">
        <f>IF(A725="",0,IF('Statements (Raw)'!I723="",0,'Statements (Raw)'!I723))</f>
        <v>0</v>
      </c>
      <c r="K725" s="10" t="str">
        <f t="shared" si="23"/>
        <v/>
      </c>
    </row>
    <row r="726" spans="1:11" x14ac:dyDescent="0.3">
      <c r="A726" s="171" t="str">
        <f>IF(OR('Statements (Raw)'!A724="",'Statements (Raw)'!A724&gt;Holdings!$G$3),"",'Statements (Raw)'!A724)</f>
        <v/>
      </c>
      <c r="B726" s="7" t="str">
        <f>IF(A726="","",IF('Statements (Raw)'!B724="","",'Statements (Raw)'!B724))</f>
        <v/>
      </c>
      <c r="C726" s="6" t="str">
        <f>IF(A726="","",IF('Statements (Raw)'!C724&lt;&gt;"",'Statements (Raw)'!C724,IF(ISNUMBER(SEARCH("Conferimento",'Statements (Raw)'!D724)),"CASH DEPOSIT",IF(ISNUMBER(SEARCH("Prelievo",'Statements (Raw)'!D724)),"CASH WITHDRAWAL",IF(ISNUMBER(SEARCH("Bollo",'Statements (Raw)'!D724)),"STAMP DUTY",IF(ISNUMBER(SEARCH("Tobin Tax",'Statements (Raw)'!D724)),"TOBIN TAX",IF(ISNUMBER(SEARCH("Rit.provento",'Statements (Raw)'!D724)),"WITHHOLDING TAX",IF(ISNUMBER(SEARCH("Incasso Dividendi",'Statements (Raw)'!D724)),"DIVIDEND",IF(ISNUMBER(SEARCH("Cedola",'Statements (Raw)'!D724)),"COUPON",IF(ISNUMBER(SEARCH("Ratei Pass",'Statements (Raw)'!D724)),"ACCRUED INT",IF(ISNUMBER(SEARCH("Interessi Prest",'Statements (Raw)'!D724)),"SEC LENDING",IF(ISNUMBER(SEARCH("Rimborso",'Statements (Raw)'!D724)),"REDEMPTION",IF(ISNUMBER(SEARCH("Provento",'Statements (Raw)'!D724)),"DISTRIBUTION","OTHER")))))))))))))</f>
        <v/>
      </c>
      <c r="D726" s="6" t="str">
        <f>IF(A726="","",IF(C726="Saldo Iniziale","Balance",IF(C726="CASH DEPOSIT","Deposit",IF(C726="CASH WITHDRAWAL","Withdrawal",IF(C726="STAMP DUTY","Tax",IF(C726="TOBIN TAX","Tax",IF(C726="WITHHOLDING TAX","Tax",IF(C726="DIVIDEND","Dividend",IF(C726="COUPON","Coupon",IF(C726="ACCRUED INT","Accrued Int.",IF(C726="SEC LENDING","Sec. Lending",IF(C726="REDEMPTION","Redemption",IF(C726="DISTRIBUTION","Distribution",IF(ISNUMBER(SEARCH("Rimborso",'Statements (Raw)'!D724)),"Redemption",IF(ISNUMBER(SEARCH("Cedola",'Statements (Raw)'!D724)),"Coupon",IF(ISNUMBER(SEARCH("Incasso Dividendi",'Statements (Raw)'!D724)),"Dividend",IF(ISNUMBER(SEARCH("Provento Etf",'Statements (Raw)'!D724)),"Distribution",IF(ISNUMBER(SEARCH("Rit.provento",'Statements (Raw)'!D724)),"Tax",IF(ISNUMBER(SEARCH("Ratei Pass",'Statements (Raw)'!D724)),"Accrued Int.",IF(ISNUMBER(SEARCH("Interessi Prest",'Statements (Raw)'!D724)),"Sec. Lending",IF('Statements (Raw)'!G724="","Other",IF('Statements (Raw)'!G724&gt;0,"Buy","Sell"))))))))))))))))))))))</f>
        <v/>
      </c>
      <c r="E726" s="6" t="str">
        <f t="shared" si="22"/>
        <v/>
      </c>
      <c r="F726" s="8" t="str">
        <f>IF(A726="","",IF('Statements (Raw)'!E724="","",'Statements (Raw)'!E724))</f>
        <v/>
      </c>
      <c r="G726" s="6" t="str">
        <f>IF(A726="","",IF('Statements (Raw)'!F724="","",'Statements (Raw)'!F724))</f>
        <v/>
      </c>
      <c r="H726" s="9" t="str">
        <f>IF(A726="","",IF('Statements (Raw)'!G724="","",'Statements (Raw)'!G724))</f>
        <v/>
      </c>
      <c r="I726" s="10" t="str">
        <f>IF(A726="","",IF('Statements (Raw)'!H724="","",'Statements (Raw)'!H724))</f>
        <v/>
      </c>
      <c r="J726" s="10">
        <f>IF(A726="",0,IF('Statements (Raw)'!I724="",0,'Statements (Raw)'!I724))</f>
        <v>0</v>
      </c>
      <c r="K726" s="10" t="str">
        <f t="shared" si="23"/>
        <v/>
      </c>
    </row>
    <row r="727" spans="1:11" x14ac:dyDescent="0.3">
      <c r="A727" s="171" t="str">
        <f>IF(OR('Statements (Raw)'!A725="",'Statements (Raw)'!A725&gt;Holdings!$G$3),"",'Statements (Raw)'!A725)</f>
        <v/>
      </c>
      <c r="B727" s="7" t="str">
        <f>IF(A727="","",IF('Statements (Raw)'!B725="","",'Statements (Raw)'!B725))</f>
        <v/>
      </c>
      <c r="C727" s="6" t="str">
        <f>IF(A727="","",IF('Statements (Raw)'!C725&lt;&gt;"",'Statements (Raw)'!C725,IF(ISNUMBER(SEARCH("Conferimento",'Statements (Raw)'!D725)),"CASH DEPOSIT",IF(ISNUMBER(SEARCH("Prelievo",'Statements (Raw)'!D725)),"CASH WITHDRAWAL",IF(ISNUMBER(SEARCH("Bollo",'Statements (Raw)'!D725)),"STAMP DUTY",IF(ISNUMBER(SEARCH("Tobin Tax",'Statements (Raw)'!D725)),"TOBIN TAX",IF(ISNUMBER(SEARCH("Rit.provento",'Statements (Raw)'!D725)),"WITHHOLDING TAX",IF(ISNUMBER(SEARCH("Incasso Dividendi",'Statements (Raw)'!D725)),"DIVIDEND",IF(ISNUMBER(SEARCH("Cedola",'Statements (Raw)'!D725)),"COUPON",IF(ISNUMBER(SEARCH("Ratei Pass",'Statements (Raw)'!D725)),"ACCRUED INT",IF(ISNUMBER(SEARCH("Interessi Prest",'Statements (Raw)'!D725)),"SEC LENDING",IF(ISNUMBER(SEARCH("Rimborso",'Statements (Raw)'!D725)),"REDEMPTION",IF(ISNUMBER(SEARCH("Provento",'Statements (Raw)'!D725)),"DISTRIBUTION","OTHER")))))))))))))</f>
        <v/>
      </c>
      <c r="D727" s="6" t="str">
        <f>IF(A727="","",IF(C727="Saldo Iniziale","Balance",IF(C727="CASH DEPOSIT","Deposit",IF(C727="CASH WITHDRAWAL","Withdrawal",IF(C727="STAMP DUTY","Tax",IF(C727="TOBIN TAX","Tax",IF(C727="WITHHOLDING TAX","Tax",IF(C727="DIVIDEND","Dividend",IF(C727="COUPON","Coupon",IF(C727="ACCRUED INT","Accrued Int.",IF(C727="SEC LENDING","Sec. Lending",IF(C727="REDEMPTION","Redemption",IF(C727="DISTRIBUTION","Distribution",IF(ISNUMBER(SEARCH("Rimborso",'Statements (Raw)'!D725)),"Redemption",IF(ISNUMBER(SEARCH("Cedola",'Statements (Raw)'!D725)),"Coupon",IF(ISNUMBER(SEARCH("Incasso Dividendi",'Statements (Raw)'!D725)),"Dividend",IF(ISNUMBER(SEARCH("Provento Etf",'Statements (Raw)'!D725)),"Distribution",IF(ISNUMBER(SEARCH("Rit.provento",'Statements (Raw)'!D725)),"Tax",IF(ISNUMBER(SEARCH("Ratei Pass",'Statements (Raw)'!D725)),"Accrued Int.",IF(ISNUMBER(SEARCH("Interessi Prest",'Statements (Raw)'!D725)),"Sec. Lending",IF('Statements (Raw)'!G725="","Other",IF('Statements (Raw)'!G725&gt;0,"Buy","Sell"))))))))))))))))))))))</f>
        <v/>
      </c>
      <c r="E727" s="6" t="str">
        <f t="shared" si="22"/>
        <v/>
      </c>
      <c r="F727" s="8" t="str">
        <f>IF(A727="","",IF('Statements (Raw)'!E725="","",'Statements (Raw)'!E725))</f>
        <v/>
      </c>
      <c r="G727" s="6" t="str">
        <f>IF(A727="","",IF('Statements (Raw)'!F725="","",'Statements (Raw)'!F725))</f>
        <v/>
      </c>
      <c r="H727" s="9" t="str">
        <f>IF(A727="","",IF('Statements (Raw)'!G725="","",'Statements (Raw)'!G725))</f>
        <v/>
      </c>
      <c r="I727" s="10" t="str">
        <f>IF(A727="","",IF('Statements (Raw)'!H725="","",'Statements (Raw)'!H725))</f>
        <v/>
      </c>
      <c r="J727" s="10">
        <f>IF(A727="",0,IF('Statements (Raw)'!I725="",0,'Statements (Raw)'!I725))</f>
        <v>0</v>
      </c>
      <c r="K727" s="10" t="str">
        <f t="shared" si="23"/>
        <v/>
      </c>
    </row>
    <row r="728" spans="1:11" x14ac:dyDescent="0.3">
      <c r="A728" s="171" t="str">
        <f>IF(OR('Statements (Raw)'!A726="",'Statements (Raw)'!A726&gt;Holdings!$G$3),"",'Statements (Raw)'!A726)</f>
        <v/>
      </c>
      <c r="B728" s="7" t="str">
        <f>IF(A728="","",IF('Statements (Raw)'!B726="","",'Statements (Raw)'!B726))</f>
        <v/>
      </c>
      <c r="C728" s="6" t="str">
        <f>IF(A728="","",IF('Statements (Raw)'!C726&lt;&gt;"",'Statements (Raw)'!C726,IF(ISNUMBER(SEARCH("Conferimento",'Statements (Raw)'!D726)),"CASH DEPOSIT",IF(ISNUMBER(SEARCH("Prelievo",'Statements (Raw)'!D726)),"CASH WITHDRAWAL",IF(ISNUMBER(SEARCH("Bollo",'Statements (Raw)'!D726)),"STAMP DUTY",IF(ISNUMBER(SEARCH("Tobin Tax",'Statements (Raw)'!D726)),"TOBIN TAX",IF(ISNUMBER(SEARCH("Rit.provento",'Statements (Raw)'!D726)),"WITHHOLDING TAX",IF(ISNUMBER(SEARCH("Incasso Dividendi",'Statements (Raw)'!D726)),"DIVIDEND",IF(ISNUMBER(SEARCH("Cedola",'Statements (Raw)'!D726)),"COUPON",IF(ISNUMBER(SEARCH("Ratei Pass",'Statements (Raw)'!D726)),"ACCRUED INT",IF(ISNUMBER(SEARCH("Interessi Prest",'Statements (Raw)'!D726)),"SEC LENDING",IF(ISNUMBER(SEARCH("Rimborso",'Statements (Raw)'!D726)),"REDEMPTION",IF(ISNUMBER(SEARCH("Provento",'Statements (Raw)'!D726)),"DISTRIBUTION","OTHER")))))))))))))</f>
        <v/>
      </c>
      <c r="D728" s="6" t="str">
        <f>IF(A728="","",IF(C728="Saldo Iniziale","Balance",IF(C728="CASH DEPOSIT","Deposit",IF(C728="CASH WITHDRAWAL","Withdrawal",IF(C728="STAMP DUTY","Tax",IF(C728="TOBIN TAX","Tax",IF(C728="WITHHOLDING TAX","Tax",IF(C728="DIVIDEND","Dividend",IF(C728="COUPON","Coupon",IF(C728="ACCRUED INT","Accrued Int.",IF(C728="SEC LENDING","Sec. Lending",IF(C728="REDEMPTION","Redemption",IF(C728="DISTRIBUTION","Distribution",IF(ISNUMBER(SEARCH("Rimborso",'Statements (Raw)'!D726)),"Redemption",IF(ISNUMBER(SEARCH("Cedola",'Statements (Raw)'!D726)),"Coupon",IF(ISNUMBER(SEARCH("Incasso Dividendi",'Statements (Raw)'!D726)),"Dividend",IF(ISNUMBER(SEARCH("Provento Etf",'Statements (Raw)'!D726)),"Distribution",IF(ISNUMBER(SEARCH("Rit.provento",'Statements (Raw)'!D726)),"Tax",IF(ISNUMBER(SEARCH("Ratei Pass",'Statements (Raw)'!D726)),"Accrued Int.",IF(ISNUMBER(SEARCH("Interessi Prest",'Statements (Raw)'!D726)),"Sec. Lending",IF('Statements (Raw)'!G726="","Other",IF('Statements (Raw)'!G726&gt;0,"Buy","Sell"))))))))))))))))))))))</f>
        <v/>
      </c>
      <c r="E728" s="6" t="str">
        <f t="shared" si="22"/>
        <v/>
      </c>
      <c r="F728" s="8" t="str">
        <f>IF(A728="","",IF('Statements (Raw)'!E726="","",'Statements (Raw)'!E726))</f>
        <v/>
      </c>
      <c r="G728" s="6" t="str">
        <f>IF(A728="","",IF('Statements (Raw)'!F726="","",'Statements (Raw)'!F726))</f>
        <v/>
      </c>
      <c r="H728" s="9" t="str">
        <f>IF(A728="","",IF('Statements (Raw)'!G726="","",'Statements (Raw)'!G726))</f>
        <v/>
      </c>
      <c r="I728" s="10" t="str">
        <f>IF(A728="","",IF('Statements (Raw)'!H726="","",'Statements (Raw)'!H726))</f>
        <v/>
      </c>
      <c r="J728" s="10">
        <f>IF(A728="",0,IF('Statements (Raw)'!I726="",0,'Statements (Raw)'!I726))</f>
        <v>0</v>
      </c>
      <c r="K728" s="10" t="str">
        <f t="shared" si="23"/>
        <v/>
      </c>
    </row>
    <row r="729" spans="1:11" x14ac:dyDescent="0.3">
      <c r="A729" s="171" t="str">
        <f>IF(OR('Statements (Raw)'!A727="",'Statements (Raw)'!A727&gt;Holdings!$G$3),"",'Statements (Raw)'!A727)</f>
        <v/>
      </c>
      <c r="B729" s="7" t="str">
        <f>IF(A729="","",IF('Statements (Raw)'!B727="","",'Statements (Raw)'!B727))</f>
        <v/>
      </c>
      <c r="C729" s="6" t="str">
        <f>IF(A729="","",IF('Statements (Raw)'!C727&lt;&gt;"",'Statements (Raw)'!C727,IF(ISNUMBER(SEARCH("Conferimento",'Statements (Raw)'!D727)),"CASH DEPOSIT",IF(ISNUMBER(SEARCH("Prelievo",'Statements (Raw)'!D727)),"CASH WITHDRAWAL",IF(ISNUMBER(SEARCH("Bollo",'Statements (Raw)'!D727)),"STAMP DUTY",IF(ISNUMBER(SEARCH("Tobin Tax",'Statements (Raw)'!D727)),"TOBIN TAX",IF(ISNUMBER(SEARCH("Rit.provento",'Statements (Raw)'!D727)),"WITHHOLDING TAX",IF(ISNUMBER(SEARCH("Incasso Dividendi",'Statements (Raw)'!D727)),"DIVIDEND",IF(ISNUMBER(SEARCH("Cedola",'Statements (Raw)'!D727)),"COUPON",IF(ISNUMBER(SEARCH("Ratei Pass",'Statements (Raw)'!D727)),"ACCRUED INT",IF(ISNUMBER(SEARCH("Interessi Prest",'Statements (Raw)'!D727)),"SEC LENDING",IF(ISNUMBER(SEARCH("Rimborso",'Statements (Raw)'!D727)),"REDEMPTION",IF(ISNUMBER(SEARCH("Provento",'Statements (Raw)'!D727)),"DISTRIBUTION","OTHER")))))))))))))</f>
        <v/>
      </c>
      <c r="D729" s="6" t="str">
        <f>IF(A729="","",IF(C729="Saldo Iniziale","Balance",IF(C729="CASH DEPOSIT","Deposit",IF(C729="CASH WITHDRAWAL","Withdrawal",IF(C729="STAMP DUTY","Tax",IF(C729="TOBIN TAX","Tax",IF(C729="WITHHOLDING TAX","Tax",IF(C729="DIVIDEND","Dividend",IF(C729="COUPON","Coupon",IF(C729="ACCRUED INT","Accrued Int.",IF(C729="SEC LENDING","Sec. Lending",IF(C729="REDEMPTION","Redemption",IF(C729="DISTRIBUTION","Distribution",IF(ISNUMBER(SEARCH("Rimborso",'Statements (Raw)'!D727)),"Redemption",IF(ISNUMBER(SEARCH("Cedola",'Statements (Raw)'!D727)),"Coupon",IF(ISNUMBER(SEARCH("Incasso Dividendi",'Statements (Raw)'!D727)),"Dividend",IF(ISNUMBER(SEARCH("Provento Etf",'Statements (Raw)'!D727)),"Distribution",IF(ISNUMBER(SEARCH("Rit.provento",'Statements (Raw)'!D727)),"Tax",IF(ISNUMBER(SEARCH("Ratei Pass",'Statements (Raw)'!D727)),"Accrued Int.",IF(ISNUMBER(SEARCH("Interessi Prest",'Statements (Raw)'!D727)),"Sec. Lending",IF('Statements (Raw)'!G727="","Other",IF('Statements (Raw)'!G727&gt;0,"Buy","Sell"))))))))))))))))))))))</f>
        <v/>
      </c>
      <c r="E729" s="6" t="str">
        <f t="shared" si="22"/>
        <v/>
      </c>
      <c r="F729" s="8" t="str">
        <f>IF(A729="","",IF('Statements (Raw)'!E727="","",'Statements (Raw)'!E727))</f>
        <v/>
      </c>
      <c r="G729" s="6" t="str">
        <f>IF(A729="","",IF('Statements (Raw)'!F727="","",'Statements (Raw)'!F727))</f>
        <v/>
      </c>
      <c r="H729" s="9" t="str">
        <f>IF(A729="","",IF('Statements (Raw)'!G727="","",'Statements (Raw)'!G727))</f>
        <v/>
      </c>
      <c r="I729" s="10" t="str">
        <f>IF(A729="","",IF('Statements (Raw)'!H727="","",'Statements (Raw)'!H727))</f>
        <v/>
      </c>
      <c r="J729" s="10">
        <f>IF(A729="",0,IF('Statements (Raw)'!I727="",0,'Statements (Raw)'!I727))</f>
        <v>0</v>
      </c>
      <c r="K729" s="10" t="str">
        <f t="shared" si="23"/>
        <v/>
      </c>
    </row>
    <row r="730" spans="1:11" x14ac:dyDescent="0.3">
      <c r="A730" s="171" t="str">
        <f>IF(OR('Statements (Raw)'!A728="",'Statements (Raw)'!A728&gt;Holdings!$G$3),"",'Statements (Raw)'!A728)</f>
        <v/>
      </c>
      <c r="B730" s="7" t="str">
        <f>IF(A730="","",IF('Statements (Raw)'!B728="","",'Statements (Raw)'!B728))</f>
        <v/>
      </c>
      <c r="C730" s="6" t="str">
        <f>IF(A730="","",IF('Statements (Raw)'!C728&lt;&gt;"",'Statements (Raw)'!C728,IF(ISNUMBER(SEARCH("Conferimento",'Statements (Raw)'!D728)),"CASH DEPOSIT",IF(ISNUMBER(SEARCH("Prelievo",'Statements (Raw)'!D728)),"CASH WITHDRAWAL",IF(ISNUMBER(SEARCH("Bollo",'Statements (Raw)'!D728)),"STAMP DUTY",IF(ISNUMBER(SEARCH("Tobin Tax",'Statements (Raw)'!D728)),"TOBIN TAX",IF(ISNUMBER(SEARCH("Rit.provento",'Statements (Raw)'!D728)),"WITHHOLDING TAX",IF(ISNUMBER(SEARCH("Incasso Dividendi",'Statements (Raw)'!D728)),"DIVIDEND",IF(ISNUMBER(SEARCH("Cedola",'Statements (Raw)'!D728)),"COUPON",IF(ISNUMBER(SEARCH("Ratei Pass",'Statements (Raw)'!D728)),"ACCRUED INT",IF(ISNUMBER(SEARCH("Interessi Prest",'Statements (Raw)'!D728)),"SEC LENDING",IF(ISNUMBER(SEARCH("Rimborso",'Statements (Raw)'!D728)),"REDEMPTION",IF(ISNUMBER(SEARCH("Provento",'Statements (Raw)'!D728)),"DISTRIBUTION","OTHER")))))))))))))</f>
        <v/>
      </c>
      <c r="D730" s="6" t="str">
        <f>IF(A730="","",IF(C730="Saldo Iniziale","Balance",IF(C730="CASH DEPOSIT","Deposit",IF(C730="CASH WITHDRAWAL","Withdrawal",IF(C730="STAMP DUTY","Tax",IF(C730="TOBIN TAX","Tax",IF(C730="WITHHOLDING TAX","Tax",IF(C730="DIVIDEND","Dividend",IF(C730="COUPON","Coupon",IF(C730="ACCRUED INT","Accrued Int.",IF(C730="SEC LENDING","Sec. Lending",IF(C730="REDEMPTION","Redemption",IF(C730="DISTRIBUTION","Distribution",IF(ISNUMBER(SEARCH("Rimborso",'Statements (Raw)'!D728)),"Redemption",IF(ISNUMBER(SEARCH("Cedola",'Statements (Raw)'!D728)),"Coupon",IF(ISNUMBER(SEARCH("Incasso Dividendi",'Statements (Raw)'!D728)),"Dividend",IF(ISNUMBER(SEARCH("Provento Etf",'Statements (Raw)'!D728)),"Distribution",IF(ISNUMBER(SEARCH("Rit.provento",'Statements (Raw)'!D728)),"Tax",IF(ISNUMBER(SEARCH("Ratei Pass",'Statements (Raw)'!D728)),"Accrued Int.",IF(ISNUMBER(SEARCH("Interessi Prest",'Statements (Raw)'!D728)),"Sec. Lending",IF('Statements (Raw)'!G728="","Other",IF('Statements (Raw)'!G728&gt;0,"Buy","Sell"))))))))))))))))))))))</f>
        <v/>
      </c>
      <c r="E730" s="6" t="str">
        <f t="shared" si="22"/>
        <v/>
      </c>
      <c r="F730" s="8" t="str">
        <f>IF(A730="","",IF('Statements (Raw)'!E728="","",'Statements (Raw)'!E728))</f>
        <v/>
      </c>
      <c r="G730" s="6" t="str">
        <f>IF(A730="","",IF('Statements (Raw)'!F728="","",'Statements (Raw)'!F728))</f>
        <v/>
      </c>
      <c r="H730" s="9" t="str">
        <f>IF(A730="","",IF('Statements (Raw)'!G728="","",'Statements (Raw)'!G728))</f>
        <v/>
      </c>
      <c r="I730" s="10" t="str">
        <f>IF(A730="","",IF('Statements (Raw)'!H728="","",'Statements (Raw)'!H728))</f>
        <v/>
      </c>
      <c r="J730" s="10">
        <f>IF(A730="",0,IF('Statements (Raw)'!I728="",0,'Statements (Raw)'!I728))</f>
        <v>0</v>
      </c>
      <c r="K730" s="10" t="str">
        <f t="shared" si="23"/>
        <v/>
      </c>
    </row>
    <row r="731" spans="1:11" x14ac:dyDescent="0.3">
      <c r="A731" s="171" t="str">
        <f>IF(OR('Statements (Raw)'!A729="",'Statements (Raw)'!A729&gt;Holdings!$G$3),"",'Statements (Raw)'!A729)</f>
        <v/>
      </c>
      <c r="B731" s="7" t="str">
        <f>IF(A731="","",IF('Statements (Raw)'!B729="","",'Statements (Raw)'!B729))</f>
        <v/>
      </c>
      <c r="C731" s="6" t="str">
        <f>IF(A731="","",IF('Statements (Raw)'!C729&lt;&gt;"",'Statements (Raw)'!C729,IF(ISNUMBER(SEARCH("Conferimento",'Statements (Raw)'!D729)),"CASH DEPOSIT",IF(ISNUMBER(SEARCH("Prelievo",'Statements (Raw)'!D729)),"CASH WITHDRAWAL",IF(ISNUMBER(SEARCH("Bollo",'Statements (Raw)'!D729)),"STAMP DUTY",IF(ISNUMBER(SEARCH("Tobin Tax",'Statements (Raw)'!D729)),"TOBIN TAX",IF(ISNUMBER(SEARCH("Rit.provento",'Statements (Raw)'!D729)),"WITHHOLDING TAX",IF(ISNUMBER(SEARCH("Incasso Dividendi",'Statements (Raw)'!D729)),"DIVIDEND",IF(ISNUMBER(SEARCH("Cedola",'Statements (Raw)'!D729)),"COUPON",IF(ISNUMBER(SEARCH("Ratei Pass",'Statements (Raw)'!D729)),"ACCRUED INT",IF(ISNUMBER(SEARCH("Interessi Prest",'Statements (Raw)'!D729)),"SEC LENDING",IF(ISNUMBER(SEARCH("Rimborso",'Statements (Raw)'!D729)),"REDEMPTION",IF(ISNUMBER(SEARCH("Provento",'Statements (Raw)'!D729)),"DISTRIBUTION","OTHER")))))))))))))</f>
        <v/>
      </c>
      <c r="D731" s="6" t="str">
        <f>IF(A731="","",IF(C731="Saldo Iniziale","Balance",IF(C731="CASH DEPOSIT","Deposit",IF(C731="CASH WITHDRAWAL","Withdrawal",IF(C731="STAMP DUTY","Tax",IF(C731="TOBIN TAX","Tax",IF(C731="WITHHOLDING TAX","Tax",IF(C731="DIVIDEND","Dividend",IF(C731="COUPON","Coupon",IF(C731="ACCRUED INT","Accrued Int.",IF(C731="SEC LENDING","Sec. Lending",IF(C731="REDEMPTION","Redemption",IF(C731="DISTRIBUTION","Distribution",IF(ISNUMBER(SEARCH("Rimborso",'Statements (Raw)'!D729)),"Redemption",IF(ISNUMBER(SEARCH("Cedola",'Statements (Raw)'!D729)),"Coupon",IF(ISNUMBER(SEARCH("Incasso Dividendi",'Statements (Raw)'!D729)),"Dividend",IF(ISNUMBER(SEARCH("Provento Etf",'Statements (Raw)'!D729)),"Distribution",IF(ISNUMBER(SEARCH("Rit.provento",'Statements (Raw)'!D729)),"Tax",IF(ISNUMBER(SEARCH("Ratei Pass",'Statements (Raw)'!D729)),"Accrued Int.",IF(ISNUMBER(SEARCH("Interessi Prest",'Statements (Raw)'!D729)),"Sec. Lending",IF('Statements (Raw)'!G729="","Other",IF('Statements (Raw)'!G729&gt;0,"Buy","Sell"))))))))))))))))))))))</f>
        <v/>
      </c>
      <c r="E731" s="6" t="str">
        <f t="shared" si="22"/>
        <v/>
      </c>
      <c r="F731" s="8" t="str">
        <f>IF(A731="","",IF('Statements (Raw)'!E729="","",'Statements (Raw)'!E729))</f>
        <v/>
      </c>
      <c r="G731" s="6" t="str">
        <f>IF(A731="","",IF('Statements (Raw)'!F729="","",'Statements (Raw)'!F729))</f>
        <v/>
      </c>
      <c r="H731" s="9" t="str">
        <f>IF(A731="","",IF('Statements (Raw)'!G729="","",'Statements (Raw)'!G729))</f>
        <v/>
      </c>
      <c r="I731" s="10" t="str">
        <f>IF(A731="","",IF('Statements (Raw)'!H729="","",'Statements (Raw)'!H729))</f>
        <v/>
      </c>
      <c r="J731" s="10">
        <f>IF(A731="",0,IF('Statements (Raw)'!I729="",0,'Statements (Raw)'!I729))</f>
        <v>0</v>
      </c>
      <c r="K731" s="10" t="str">
        <f t="shared" si="23"/>
        <v/>
      </c>
    </row>
    <row r="732" spans="1:11" x14ac:dyDescent="0.3">
      <c r="A732" s="171" t="str">
        <f>IF(OR('Statements (Raw)'!A730="",'Statements (Raw)'!A730&gt;Holdings!$G$3),"",'Statements (Raw)'!A730)</f>
        <v/>
      </c>
      <c r="B732" s="7" t="str">
        <f>IF(A732="","",IF('Statements (Raw)'!B730="","",'Statements (Raw)'!B730))</f>
        <v/>
      </c>
      <c r="C732" s="6" t="str">
        <f>IF(A732="","",IF('Statements (Raw)'!C730&lt;&gt;"",'Statements (Raw)'!C730,IF(ISNUMBER(SEARCH("Conferimento",'Statements (Raw)'!D730)),"CASH DEPOSIT",IF(ISNUMBER(SEARCH("Prelievo",'Statements (Raw)'!D730)),"CASH WITHDRAWAL",IF(ISNUMBER(SEARCH("Bollo",'Statements (Raw)'!D730)),"STAMP DUTY",IF(ISNUMBER(SEARCH("Tobin Tax",'Statements (Raw)'!D730)),"TOBIN TAX",IF(ISNUMBER(SEARCH("Rit.provento",'Statements (Raw)'!D730)),"WITHHOLDING TAX",IF(ISNUMBER(SEARCH("Incasso Dividendi",'Statements (Raw)'!D730)),"DIVIDEND",IF(ISNUMBER(SEARCH("Cedola",'Statements (Raw)'!D730)),"COUPON",IF(ISNUMBER(SEARCH("Ratei Pass",'Statements (Raw)'!D730)),"ACCRUED INT",IF(ISNUMBER(SEARCH("Interessi Prest",'Statements (Raw)'!D730)),"SEC LENDING",IF(ISNUMBER(SEARCH("Rimborso",'Statements (Raw)'!D730)),"REDEMPTION",IF(ISNUMBER(SEARCH("Provento",'Statements (Raw)'!D730)),"DISTRIBUTION","OTHER")))))))))))))</f>
        <v/>
      </c>
      <c r="D732" s="6" t="str">
        <f>IF(A732="","",IF(C732="Saldo Iniziale","Balance",IF(C732="CASH DEPOSIT","Deposit",IF(C732="CASH WITHDRAWAL","Withdrawal",IF(C732="STAMP DUTY","Tax",IF(C732="TOBIN TAX","Tax",IF(C732="WITHHOLDING TAX","Tax",IF(C732="DIVIDEND","Dividend",IF(C732="COUPON","Coupon",IF(C732="ACCRUED INT","Accrued Int.",IF(C732="SEC LENDING","Sec. Lending",IF(C732="REDEMPTION","Redemption",IF(C732="DISTRIBUTION","Distribution",IF(ISNUMBER(SEARCH("Rimborso",'Statements (Raw)'!D730)),"Redemption",IF(ISNUMBER(SEARCH("Cedola",'Statements (Raw)'!D730)),"Coupon",IF(ISNUMBER(SEARCH("Incasso Dividendi",'Statements (Raw)'!D730)),"Dividend",IF(ISNUMBER(SEARCH("Provento Etf",'Statements (Raw)'!D730)),"Distribution",IF(ISNUMBER(SEARCH("Rit.provento",'Statements (Raw)'!D730)),"Tax",IF(ISNUMBER(SEARCH("Ratei Pass",'Statements (Raw)'!D730)),"Accrued Int.",IF(ISNUMBER(SEARCH("Interessi Prest",'Statements (Raw)'!D730)),"Sec. Lending",IF('Statements (Raw)'!G730="","Other",IF('Statements (Raw)'!G730&gt;0,"Buy","Sell"))))))))))))))))))))))</f>
        <v/>
      </c>
      <c r="E732" s="6" t="str">
        <f t="shared" si="22"/>
        <v/>
      </c>
      <c r="F732" s="8" t="str">
        <f>IF(A732="","",IF('Statements (Raw)'!E730="","",'Statements (Raw)'!E730))</f>
        <v/>
      </c>
      <c r="G732" s="6" t="str">
        <f>IF(A732="","",IF('Statements (Raw)'!F730="","",'Statements (Raw)'!F730))</f>
        <v/>
      </c>
      <c r="H732" s="9" t="str">
        <f>IF(A732="","",IF('Statements (Raw)'!G730="","",'Statements (Raw)'!G730))</f>
        <v/>
      </c>
      <c r="I732" s="10" t="str">
        <f>IF(A732="","",IF('Statements (Raw)'!H730="","",'Statements (Raw)'!H730))</f>
        <v/>
      </c>
      <c r="J732" s="10">
        <f>IF(A732="",0,IF('Statements (Raw)'!I730="",0,'Statements (Raw)'!I730))</f>
        <v>0</v>
      </c>
      <c r="K732" s="10" t="str">
        <f t="shared" si="23"/>
        <v/>
      </c>
    </row>
    <row r="733" spans="1:11" x14ac:dyDescent="0.3">
      <c r="A733" s="171" t="str">
        <f>IF(OR('Statements (Raw)'!A731="",'Statements (Raw)'!A731&gt;Holdings!$G$3),"",'Statements (Raw)'!A731)</f>
        <v/>
      </c>
      <c r="B733" s="7" t="str">
        <f>IF(A733="","",IF('Statements (Raw)'!B731="","",'Statements (Raw)'!B731))</f>
        <v/>
      </c>
      <c r="C733" s="6" t="str">
        <f>IF(A733="","",IF('Statements (Raw)'!C731&lt;&gt;"",'Statements (Raw)'!C731,IF(ISNUMBER(SEARCH("Conferimento",'Statements (Raw)'!D731)),"CASH DEPOSIT",IF(ISNUMBER(SEARCH("Prelievo",'Statements (Raw)'!D731)),"CASH WITHDRAWAL",IF(ISNUMBER(SEARCH("Bollo",'Statements (Raw)'!D731)),"STAMP DUTY",IF(ISNUMBER(SEARCH("Tobin Tax",'Statements (Raw)'!D731)),"TOBIN TAX",IF(ISNUMBER(SEARCH("Rit.provento",'Statements (Raw)'!D731)),"WITHHOLDING TAX",IF(ISNUMBER(SEARCH("Incasso Dividendi",'Statements (Raw)'!D731)),"DIVIDEND",IF(ISNUMBER(SEARCH("Cedola",'Statements (Raw)'!D731)),"COUPON",IF(ISNUMBER(SEARCH("Ratei Pass",'Statements (Raw)'!D731)),"ACCRUED INT",IF(ISNUMBER(SEARCH("Interessi Prest",'Statements (Raw)'!D731)),"SEC LENDING",IF(ISNUMBER(SEARCH("Rimborso",'Statements (Raw)'!D731)),"REDEMPTION",IF(ISNUMBER(SEARCH("Provento",'Statements (Raw)'!D731)),"DISTRIBUTION","OTHER")))))))))))))</f>
        <v/>
      </c>
      <c r="D733" s="6" t="str">
        <f>IF(A733="","",IF(C733="Saldo Iniziale","Balance",IF(C733="CASH DEPOSIT","Deposit",IF(C733="CASH WITHDRAWAL","Withdrawal",IF(C733="STAMP DUTY","Tax",IF(C733="TOBIN TAX","Tax",IF(C733="WITHHOLDING TAX","Tax",IF(C733="DIVIDEND","Dividend",IF(C733="COUPON","Coupon",IF(C733="ACCRUED INT","Accrued Int.",IF(C733="SEC LENDING","Sec. Lending",IF(C733="REDEMPTION","Redemption",IF(C733="DISTRIBUTION","Distribution",IF(ISNUMBER(SEARCH("Rimborso",'Statements (Raw)'!D731)),"Redemption",IF(ISNUMBER(SEARCH("Cedola",'Statements (Raw)'!D731)),"Coupon",IF(ISNUMBER(SEARCH("Incasso Dividendi",'Statements (Raw)'!D731)),"Dividend",IF(ISNUMBER(SEARCH("Provento Etf",'Statements (Raw)'!D731)),"Distribution",IF(ISNUMBER(SEARCH("Rit.provento",'Statements (Raw)'!D731)),"Tax",IF(ISNUMBER(SEARCH("Ratei Pass",'Statements (Raw)'!D731)),"Accrued Int.",IF(ISNUMBER(SEARCH("Interessi Prest",'Statements (Raw)'!D731)),"Sec. Lending",IF('Statements (Raw)'!G731="","Other",IF('Statements (Raw)'!G731&gt;0,"Buy","Sell"))))))))))))))))))))))</f>
        <v/>
      </c>
      <c r="E733" s="6" t="str">
        <f t="shared" si="22"/>
        <v/>
      </c>
      <c r="F733" s="8" t="str">
        <f>IF(A733="","",IF('Statements (Raw)'!E731="","",'Statements (Raw)'!E731))</f>
        <v/>
      </c>
      <c r="G733" s="6" t="str">
        <f>IF(A733="","",IF('Statements (Raw)'!F731="","",'Statements (Raw)'!F731))</f>
        <v/>
      </c>
      <c r="H733" s="9" t="str">
        <f>IF(A733="","",IF('Statements (Raw)'!G731="","",'Statements (Raw)'!G731))</f>
        <v/>
      </c>
      <c r="I733" s="10" t="str">
        <f>IF(A733="","",IF('Statements (Raw)'!H731="","",'Statements (Raw)'!H731))</f>
        <v/>
      </c>
      <c r="J733" s="10">
        <f>IF(A733="",0,IF('Statements (Raw)'!I731="",0,'Statements (Raw)'!I731))</f>
        <v>0</v>
      </c>
      <c r="K733" s="10" t="str">
        <f t="shared" si="23"/>
        <v/>
      </c>
    </row>
    <row r="734" spans="1:11" x14ac:dyDescent="0.3">
      <c r="A734" s="171" t="str">
        <f>IF(OR('Statements (Raw)'!A732="",'Statements (Raw)'!A732&gt;Holdings!$G$3),"",'Statements (Raw)'!A732)</f>
        <v/>
      </c>
      <c r="B734" s="7" t="str">
        <f>IF(A734="","",IF('Statements (Raw)'!B732="","",'Statements (Raw)'!B732))</f>
        <v/>
      </c>
      <c r="C734" s="6" t="str">
        <f>IF(A734="","",IF('Statements (Raw)'!C732&lt;&gt;"",'Statements (Raw)'!C732,IF(ISNUMBER(SEARCH("Conferimento",'Statements (Raw)'!D732)),"CASH DEPOSIT",IF(ISNUMBER(SEARCH("Prelievo",'Statements (Raw)'!D732)),"CASH WITHDRAWAL",IF(ISNUMBER(SEARCH("Bollo",'Statements (Raw)'!D732)),"STAMP DUTY",IF(ISNUMBER(SEARCH("Tobin Tax",'Statements (Raw)'!D732)),"TOBIN TAX",IF(ISNUMBER(SEARCH("Rit.provento",'Statements (Raw)'!D732)),"WITHHOLDING TAX",IF(ISNUMBER(SEARCH("Incasso Dividendi",'Statements (Raw)'!D732)),"DIVIDEND",IF(ISNUMBER(SEARCH("Cedola",'Statements (Raw)'!D732)),"COUPON",IF(ISNUMBER(SEARCH("Ratei Pass",'Statements (Raw)'!D732)),"ACCRUED INT",IF(ISNUMBER(SEARCH("Interessi Prest",'Statements (Raw)'!D732)),"SEC LENDING",IF(ISNUMBER(SEARCH("Rimborso",'Statements (Raw)'!D732)),"REDEMPTION",IF(ISNUMBER(SEARCH("Provento",'Statements (Raw)'!D732)),"DISTRIBUTION","OTHER")))))))))))))</f>
        <v/>
      </c>
      <c r="D734" s="6" t="str">
        <f>IF(A734="","",IF(C734="Saldo Iniziale","Balance",IF(C734="CASH DEPOSIT","Deposit",IF(C734="CASH WITHDRAWAL","Withdrawal",IF(C734="STAMP DUTY","Tax",IF(C734="TOBIN TAX","Tax",IF(C734="WITHHOLDING TAX","Tax",IF(C734="DIVIDEND","Dividend",IF(C734="COUPON","Coupon",IF(C734="ACCRUED INT","Accrued Int.",IF(C734="SEC LENDING","Sec. Lending",IF(C734="REDEMPTION","Redemption",IF(C734="DISTRIBUTION","Distribution",IF(ISNUMBER(SEARCH("Rimborso",'Statements (Raw)'!D732)),"Redemption",IF(ISNUMBER(SEARCH("Cedola",'Statements (Raw)'!D732)),"Coupon",IF(ISNUMBER(SEARCH("Incasso Dividendi",'Statements (Raw)'!D732)),"Dividend",IF(ISNUMBER(SEARCH("Provento Etf",'Statements (Raw)'!D732)),"Distribution",IF(ISNUMBER(SEARCH("Rit.provento",'Statements (Raw)'!D732)),"Tax",IF(ISNUMBER(SEARCH("Ratei Pass",'Statements (Raw)'!D732)),"Accrued Int.",IF(ISNUMBER(SEARCH("Interessi Prest",'Statements (Raw)'!D732)),"Sec. Lending",IF('Statements (Raw)'!G732="","Other",IF('Statements (Raw)'!G732&gt;0,"Buy","Sell"))))))))))))))))))))))</f>
        <v/>
      </c>
      <c r="E734" s="6" t="str">
        <f t="shared" si="22"/>
        <v/>
      </c>
      <c r="F734" s="8" t="str">
        <f>IF(A734="","",IF('Statements (Raw)'!E732="","",'Statements (Raw)'!E732))</f>
        <v/>
      </c>
      <c r="G734" s="6" t="str">
        <f>IF(A734="","",IF('Statements (Raw)'!F732="","",'Statements (Raw)'!F732))</f>
        <v/>
      </c>
      <c r="H734" s="9" t="str">
        <f>IF(A734="","",IF('Statements (Raw)'!G732="","",'Statements (Raw)'!G732))</f>
        <v/>
      </c>
      <c r="I734" s="10" t="str">
        <f>IF(A734="","",IF('Statements (Raw)'!H732="","",'Statements (Raw)'!H732))</f>
        <v/>
      </c>
      <c r="J734" s="10">
        <f>IF(A734="",0,IF('Statements (Raw)'!I732="",0,'Statements (Raw)'!I732))</f>
        <v>0</v>
      </c>
      <c r="K734" s="10" t="str">
        <f t="shared" si="23"/>
        <v/>
      </c>
    </row>
    <row r="735" spans="1:11" x14ac:dyDescent="0.3">
      <c r="A735" s="171" t="str">
        <f>IF(OR('Statements (Raw)'!A733="",'Statements (Raw)'!A733&gt;Holdings!$G$3),"",'Statements (Raw)'!A733)</f>
        <v/>
      </c>
      <c r="B735" s="7" t="str">
        <f>IF(A735="","",IF('Statements (Raw)'!B733="","",'Statements (Raw)'!B733))</f>
        <v/>
      </c>
      <c r="C735" s="6" t="str">
        <f>IF(A735="","",IF('Statements (Raw)'!C733&lt;&gt;"",'Statements (Raw)'!C733,IF(ISNUMBER(SEARCH("Conferimento",'Statements (Raw)'!D733)),"CASH DEPOSIT",IF(ISNUMBER(SEARCH("Prelievo",'Statements (Raw)'!D733)),"CASH WITHDRAWAL",IF(ISNUMBER(SEARCH("Bollo",'Statements (Raw)'!D733)),"STAMP DUTY",IF(ISNUMBER(SEARCH("Tobin Tax",'Statements (Raw)'!D733)),"TOBIN TAX",IF(ISNUMBER(SEARCH("Rit.provento",'Statements (Raw)'!D733)),"WITHHOLDING TAX",IF(ISNUMBER(SEARCH("Incasso Dividendi",'Statements (Raw)'!D733)),"DIVIDEND",IF(ISNUMBER(SEARCH("Cedola",'Statements (Raw)'!D733)),"COUPON",IF(ISNUMBER(SEARCH("Ratei Pass",'Statements (Raw)'!D733)),"ACCRUED INT",IF(ISNUMBER(SEARCH("Interessi Prest",'Statements (Raw)'!D733)),"SEC LENDING",IF(ISNUMBER(SEARCH("Rimborso",'Statements (Raw)'!D733)),"REDEMPTION",IF(ISNUMBER(SEARCH("Provento",'Statements (Raw)'!D733)),"DISTRIBUTION","OTHER")))))))))))))</f>
        <v/>
      </c>
      <c r="D735" s="6" t="str">
        <f>IF(A735="","",IF(C735="Saldo Iniziale","Balance",IF(C735="CASH DEPOSIT","Deposit",IF(C735="CASH WITHDRAWAL","Withdrawal",IF(C735="STAMP DUTY","Tax",IF(C735="TOBIN TAX","Tax",IF(C735="WITHHOLDING TAX","Tax",IF(C735="DIVIDEND","Dividend",IF(C735="COUPON","Coupon",IF(C735="ACCRUED INT","Accrued Int.",IF(C735="SEC LENDING","Sec. Lending",IF(C735="REDEMPTION","Redemption",IF(C735="DISTRIBUTION","Distribution",IF(ISNUMBER(SEARCH("Rimborso",'Statements (Raw)'!D733)),"Redemption",IF(ISNUMBER(SEARCH("Cedola",'Statements (Raw)'!D733)),"Coupon",IF(ISNUMBER(SEARCH("Incasso Dividendi",'Statements (Raw)'!D733)),"Dividend",IF(ISNUMBER(SEARCH("Provento Etf",'Statements (Raw)'!D733)),"Distribution",IF(ISNUMBER(SEARCH("Rit.provento",'Statements (Raw)'!D733)),"Tax",IF(ISNUMBER(SEARCH("Ratei Pass",'Statements (Raw)'!D733)),"Accrued Int.",IF(ISNUMBER(SEARCH("Interessi Prest",'Statements (Raw)'!D733)),"Sec. Lending",IF('Statements (Raw)'!G733="","Other",IF('Statements (Raw)'!G733&gt;0,"Buy","Sell"))))))))))))))))))))))</f>
        <v/>
      </c>
      <c r="E735" s="6" t="str">
        <f t="shared" si="22"/>
        <v/>
      </c>
      <c r="F735" s="8" t="str">
        <f>IF(A735="","",IF('Statements (Raw)'!E733="","",'Statements (Raw)'!E733))</f>
        <v/>
      </c>
      <c r="G735" s="6" t="str">
        <f>IF(A735="","",IF('Statements (Raw)'!F733="","",'Statements (Raw)'!F733))</f>
        <v/>
      </c>
      <c r="H735" s="9" t="str">
        <f>IF(A735="","",IF('Statements (Raw)'!G733="","",'Statements (Raw)'!G733))</f>
        <v/>
      </c>
      <c r="I735" s="10" t="str">
        <f>IF(A735="","",IF('Statements (Raw)'!H733="","",'Statements (Raw)'!H733))</f>
        <v/>
      </c>
      <c r="J735" s="10">
        <f>IF(A735="",0,IF('Statements (Raw)'!I733="",0,'Statements (Raw)'!I733))</f>
        <v>0</v>
      </c>
      <c r="K735" s="10" t="str">
        <f t="shared" si="23"/>
        <v/>
      </c>
    </row>
    <row r="736" spans="1:11" x14ac:dyDescent="0.3">
      <c r="A736" s="171" t="str">
        <f>IF(OR('Statements (Raw)'!A734="",'Statements (Raw)'!A734&gt;Holdings!$G$3),"",'Statements (Raw)'!A734)</f>
        <v/>
      </c>
      <c r="B736" s="7" t="str">
        <f>IF(A736="","",IF('Statements (Raw)'!B734="","",'Statements (Raw)'!B734))</f>
        <v/>
      </c>
      <c r="C736" s="6" t="str">
        <f>IF(A736="","",IF('Statements (Raw)'!C734&lt;&gt;"",'Statements (Raw)'!C734,IF(ISNUMBER(SEARCH("Conferimento",'Statements (Raw)'!D734)),"CASH DEPOSIT",IF(ISNUMBER(SEARCH("Prelievo",'Statements (Raw)'!D734)),"CASH WITHDRAWAL",IF(ISNUMBER(SEARCH("Bollo",'Statements (Raw)'!D734)),"STAMP DUTY",IF(ISNUMBER(SEARCH("Tobin Tax",'Statements (Raw)'!D734)),"TOBIN TAX",IF(ISNUMBER(SEARCH("Rit.provento",'Statements (Raw)'!D734)),"WITHHOLDING TAX",IF(ISNUMBER(SEARCH("Incasso Dividendi",'Statements (Raw)'!D734)),"DIVIDEND",IF(ISNUMBER(SEARCH("Cedola",'Statements (Raw)'!D734)),"COUPON",IF(ISNUMBER(SEARCH("Ratei Pass",'Statements (Raw)'!D734)),"ACCRUED INT",IF(ISNUMBER(SEARCH("Interessi Prest",'Statements (Raw)'!D734)),"SEC LENDING",IF(ISNUMBER(SEARCH("Rimborso",'Statements (Raw)'!D734)),"REDEMPTION",IF(ISNUMBER(SEARCH("Provento",'Statements (Raw)'!D734)),"DISTRIBUTION","OTHER")))))))))))))</f>
        <v/>
      </c>
      <c r="D736" s="6" t="str">
        <f>IF(A736="","",IF(C736="Saldo Iniziale","Balance",IF(C736="CASH DEPOSIT","Deposit",IF(C736="CASH WITHDRAWAL","Withdrawal",IF(C736="STAMP DUTY","Tax",IF(C736="TOBIN TAX","Tax",IF(C736="WITHHOLDING TAX","Tax",IF(C736="DIVIDEND","Dividend",IF(C736="COUPON","Coupon",IF(C736="ACCRUED INT","Accrued Int.",IF(C736="SEC LENDING","Sec. Lending",IF(C736="REDEMPTION","Redemption",IF(C736="DISTRIBUTION","Distribution",IF(ISNUMBER(SEARCH("Rimborso",'Statements (Raw)'!D734)),"Redemption",IF(ISNUMBER(SEARCH("Cedola",'Statements (Raw)'!D734)),"Coupon",IF(ISNUMBER(SEARCH("Incasso Dividendi",'Statements (Raw)'!D734)),"Dividend",IF(ISNUMBER(SEARCH("Provento Etf",'Statements (Raw)'!D734)),"Distribution",IF(ISNUMBER(SEARCH("Rit.provento",'Statements (Raw)'!D734)),"Tax",IF(ISNUMBER(SEARCH("Ratei Pass",'Statements (Raw)'!D734)),"Accrued Int.",IF(ISNUMBER(SEARCH("Interessi Prest",'Statements (Raw)'!D734)),"Sec. Lending",IF('Statements (Raw)'!G734="","Other",IF('Statements (Raw)'!G734&gt;0,"Buy","Sell"))))))))))))))))))))))</f>
        <v/>
      </c>
      <c r="E736" s="6" t="str">
        <f t="shared" si="22"/>
        <v/>
      </c>
      <c r="F736" s="8" t="str">
        <f>IF(A736="","",IF('Statements (Raw)'!E734="","",'Statements (Raw)'!E734))</f>
        <v/>
      </c>
      <c r="G736" s="6" t="str">
        <f>IF(A736="","",IF('Statements (Raw)'!F734="","",'Statements (Raw)'!F734))</f>
        <v/>
      </c>
      <c r="H736" s="9" t="str">
        <f>IF(A736="","",IF('Statements (Raw)'!G734="","",'Statements (Raw)'!G734))</f>
        <v/>
      </c>
      <c r="I736" s="10" t="str">
        <f>IF(A736="","",IF('Statements (Raw)'!H734="","",'Statements (Raw)'!H734))</f>
        <v/>
      </c>
      <c r="J736" s="10">
        <f>IF(A736="",0,IF('Statements (Raw)'!I734="",0,'Statements (Raw)'!I734))</f>
        <v>0</v>
      </c>
      <c r="K736" s="10" t="str">
        <f t="shared" si="23"/>
        <v/>
      </c>
    </row>
    <row r="737" spans="1:11" x14ac:dyDescent="0.3">
      <c r="A737" s="171" t="str">
        <f>IF(OR('Statements (Raw)'!A735="",'Statements (Raw)'!A735&gt;Holdings!$G$3),"",'Statements (Raw)'!A735)</f>
        <v/>
      </c>
      <c r="B737" s="7" t="str">
        <f>IF(A737="","",IF('Statements (Raw)'!B735="","",'Statements (Raw)'!B735))</f>
        <v/>
      </c>
      <c r="C737" s="6" t="str">
        <f>IF(A737="","",IF('Statements (Raw)'!C735&lt;&gt;"",'Statements (Raw)'!C735,IF(ISNUMBER(SEARCH("Conferimento",'Statements (Raw)'!D735)),"CASH DEPOSIT",IF(ISNUMBER(SEARCH("Prelievo",'Statements (Raw)'!D735)),"CASH WITHDRAWAL",IF(ISNUMBER(SEARCH("Bollo",'Statements (Raw)'!D735)),"STAMP DUTY",IF(ISNUMBER(SEARCH("Tobin Tax",'Statements (Raw)'!D735)),"TOBIN TAX",IF(ISNUMBER(SEARCH("Rit.provento",'Statements (Raw)'!D735)),"WITHHOLDING TAX",IF(ISNUMBER(SEARCH("Incasso Dividendi",'Statements (Raw)'!D735)),"DIVIDEND",IF(ISNUMBER(SEARCH("Cedola",'Statements (Raw)'!D735)),"COUPON",IF(ISNUMBER(SEARCH("Ratei Pass",'Statements (Raw)'!D735)),"ACCRUED INT",IF(ISNUMBER(SEARCH("Interessi Prest",'Statements (Raw)'!D735)),"SEC LENDING",IF(ISNUMBER(SEARCH("Rimborso",'Statements (Raw)'!D735)),"REDEMPTION",IF(ISNUMBER(SEARCH("Provento",'Statements (Raw)'!D735)),"DISTRIBUTION","OTHER")))))))))))))</f>
        <v/>
      </c>
      <c r="D737" s="6" t="str">
        <f>IF(A737="","",IF(C737="Saldo Iniziale","Balance",IF(C737="CASH DEPOSIT","Deposit",IF(C737="CASH WITHDRAWAL","Withdrawal",IF(C737="STAMP DUTY","Tax",IF(C737="TOBIN TAX","Tax",IF(C737="WITHHOLDING TAX","Tax",IF(C737="DIVIDEND","Dividend",IF(C737="COUPON","Coupon",IF(C737="ACCRUED INT","Accrued Int.",IF(C737="SEC LENDING","Sec. Lending",IF(C737="REDEMPTION","Redemption",IF(C737="DISTRIBUTION","Distribution",IF(ISNUMBER(SEARCH("Rimborso",'Statements (Raw)'!D735)),"Redemption",IF(ISNUMBER(SEARCH("Cedola",'Statements (Raw)'!D735)),"Coupon",IF(ISNUMBER(SEARCH("Incasso Dividendi",'Statements (Raw)'!D735)),"Dividend",IF(ISNUMBER(SEARCH("Provento Etf",'Statements (Raw)'!D735)),"Distribution",IF(ISNUMBER(SEARCH("Rit.provento",'Statements (Raw)'!D735)),"Tax",IF(ISNUMBER(SEARCH("Ratei Pass",'Statements (Raw)'!D735)),"Accrued Int.",IF(ISNUMBER(SEARCH("Interessi Prest",'Statements (Raw)'!D735)),"Sec. Lending",IF('Statements (Raw)'!G735="","Other",IF('Statements (Raw)'!G735&gt;0,"Buy","Sell"))))))))))))))))))))))</f>
        <v/>
      </c>
      <c r="E737" s="6" t="str">
        <f t="shared" si="22"/>
        <v/>
      </c>
      <c r="F737" s="8" t="str">
        <f>IF(A737="","",IF('Statements (Raw)'!E735="","",'Statements (Raw)'!E735))</f>
        <v/>
      </c>
      <c r="G737" s="6" t="str">
        <f>IF(A737="","",IF('Statements (Raw)'!F735="","",'Statements (Raw)'!F735))</f>
        <v/>
      </c>
      <c r="H737" s="9" t="str">
        <f>IF(A737="","",IF('Statements (Raw)'!G735="","",'Statements (Raw)'!G735))</f>
        <v/>
      </c>
      <c r="I737" s="10" t="str">
        <f>IF(A737="","",IF('Statements (Raw)'!H735="","",'Statements (Raw)'!H735))</f>
        <v/>
      </c>
      <c r="J737" s="10">
        <f>IF(A737="",0,IF('Statements (Raw)'!I735="",0,'Statements (Raw)'!I735))</f>
        <v>0</v>
      </c>
      <c r="K737" s="10" t="str">
        <f t="shared" si="23"/>
        <v/>
      </c>
    </row>
    <row r="738" spans="1:11" x14ac:dyDescent="0.3">
      <c r="A738" s="171" t="str">
        <f>IF(OR('Statements (Raw)'!A736="",'Statements (Raw)'!A736&gt;Holdings!$G$3),"",'Statements (Raw)'!A736)</f>
        <v/>
      </c>
      <c r="B738" s="7" t="str">
        <f>IF(A738="","",IF('Statements (Raw)'!B736="","",'Statements (Raw)'!B736))</f>
        <v/>
      </c>
      <c r="C738" s="6" t="str">
        <f>IF(A738="","",IF('Statements (Raw)'!C736&lt;&gt;"",'Statements (Raw)'!C736,IF(ISNUMBER(SEARCH("Conferimento",'Statements (Raw)'!D736)),"CASH DEPOSIT",IF(ISNUMBER(SEARCH("Prelievo",'Statements (Raw)'!D736)),"CASH WITHDRAWAL",IF(ISNUMBER(SEARCH("Bollo",'Statements (Raw)'!D736)),"STAMP DUTY",IF(ISNUMBER(SEARCH("Tobin Tax",'Statements (Raw)'!D736)),"TOBIN TAX",IF(ISNUMBER(SEARCH("Rit.provento",'Statements (Raw)'!D736)),"WITHHOLDING TAX",IF(ISNUMBER(SEARCH("Incasso Dividendi",'Statements (Raw)'!D736)),"DIVIDEND",IF(ISNUMBER(SEARCH("Cedola",'Statements (Raw)'!D736)),"COUPON",IF(ISNUMBER(SEARCH("Ratei Pass",'Statements (Raw)'!D736)),"ACCRUED INT",IF(ISNUMBER(SEARCH("Interessi Prest",'Statements (Raw)'!D736)),"SEC LENDING",IF(ISNUMBER(SEARCH("Rimborso",'Statements (Raw)'!D736)),"REDEMPTION",IF(ISNUMBER(SEARCH("Provento",'Statements (Raw)'!D736)),"DISTRIBUTION","OTHER")))))))))))))</f>
        <v/>
      </c>
      <c r="D738" s="6" t="str">
        <f>IF(A738="","",IF(C738="Saldo Iniziale","Balance",IF(C738="CASH DEPOSIT","Deposit",IF(C738="CASH WITHDRAWAL","Withdrawal",IF(C738="STAMP DUTY","Tax",IF(C738="TOBIN TAX","Tax",IF(C738="WITHHOLDING TAX","Tax",IF(C738="DIVIDEND","Dividend",IF(C738="COUPON","Coupon",IF(C738="ACCRUED INT","Accrued Int.",IF(C738="SEC LENDING","Sec. Lending",IF(C738="REDEMPTION","Redemption",IF(C738="DISTRIBUTION","Distribution",IF(ISNUMBER(SEARCH("Rimborso",'Statements (Raw)'!D736)),"Redemption",IF(ISNUMBER(SEARCH("Cedola",'Statements (Raw)'!D736)),"Coupon",IF(ISNUMBER(SEARCH("Incasso Dividendi",'Statements (Raw)'!D736)),"Dividend",IF(ISNUMBER(SEARCH("Provento Etf",'Statements (Raw)'!D736)),"Distribution",IF(ISNUMBER(SEARCH("Rit.provento",'Statements (Raw)'!D736)),"Tax",IF(ISNUMBER(SEARCH("Ratei Pass",'Statements (Raw)'!D736)),"Accrued Int.",IF(ISNUMBER(SEARCH("Interessi Prest",'Statements (Raw)'!D736)),"Sec. Lending",IF('Statements (Raw)'!G736="","Other",IF('Statements (Raw)'!G736&gt;0,"Buy","Sell"))))))))))))))))))))))</f>
        <v/>
      </c>
      <c r="E738" s="6" t="str">
        <f t="shared" si="22"/>
        <v/>
      </c>
      <c r="F738" s="8" t="str">
        <f>IF(A738="","",IF('Statements (Raw)'!E736="","",'Statements (Raw)'!E736))</f>
        <v/>
      </c>
      <c r="G738" s="6" t="str">
        <f>IF(A738="","",IF('Statements (Raw)'!F736="","",'Statements (Raw)'!F736))</f>
        <v/>
      </c>
      <c r="H738" s="9" t="str">
        <f>IF(A738="","",IF('Statements (Raw)'!G736="","",'Statements (Raw)'!G736))</f>
        <v/>
      </c>
      <c r="I738" s="10" t="str">
        <f>IF(A738="","",IF('Statements (Raw)'!H736="","",'Statements (Raw)'!H736))</f>
        <v/>
      </c>
      <c r="J738" s="10">
        <f>IF(A738="",0,IF('Statements (Raw)'!I736="",0,'Statements (Raw)'!I736))</f>
        <v>0</v>
      </c>
      <c r="K738" s="10" t="str">
        <f t="shared" si="23"/>
        <v/>
      </c>
    </row>
    <row r="739" spans="1:11" x14ac:dyDescent="0.3">
      <c r="A739" s="171" t="str">
        <f>IF(OR('Statements (Raw)'!A737="",'Statements (Raw)'!A737&gt;Holdings!$G$3),"",'Statements (Raw)'!A737)</f>
        <v/>
      </c>
      <c r="B739" s="7" t="str">
        <f>IF(A739="","",IF('Statements (Raw)'!B737="","",'Statements (Raw)'!B737))</f>
        <v/>
      </c>
      <c r="C739" s="6" t="str">
        <f>IF(A739="","",IF('Statements (Raw)'!C737&lt;&gt;"",'Statements (Raw)'!C737,IF(ISNUMBER(SEARCH("Conferimento",'Statements (Raw)'!D737)),"CASH DEPOSIT",IF(ISNUMBER(SEARCH("Prelievo",'Statements (Raw)'!D737)),"CASH WITHDRAWAL",IF(ISNUMBER(SEARCH("Bollo",'Statements (Raw)'!D737)),"STAMP DUTY",IF(ISNUMBER(SEARCH("Tobin Tax",'Statements (Raw)'!D737)),"TOBIN TAX",IF(ISNUMBER(SEARCH("Rit.provento",'Statements (Raw)'!D737)),"WITHHOLDING TAX",IF(ISNUMBER(SEARCH("Incasso Dividendi",'Statements (Raw)'!D737)),"DIVIDEND",IF(ISNUMBER(SEARCH("Cedola",'Statements (Raw)'!D737)),"COUPON",IF(ISNUMBER(SEARCH("Ratei Pass",'Statements (Raw)'!D737)),"ACCRUED INT",IF(ISNUMBER(SEARCH("Interessi Prest",'Statements (Raw)'!D737)),"SEC LENDING",IF(ISNUMBER(SEARCH("Rimborso",'Statements (Raw)'!D737)),"REDEMPTION",IF(ISNUMBER(SEARCH("Provento",'Statements (Raw)'!D737)),"DISTRIBUTION","OTHER")))))))))))))</f>
        <v/>
      </c>
      <c r="D739" s="6" t="str">
        <f>IF(A739="","",IF(C739="Saldo Iniziale","Balance",IF(C739="CASH DEPOSIT","Deposit",IF(C739="CASH WITHDRAWAL","Withdrawal",IF(C739="STAMP DUTY","Tax",IF(C739="TOBIN TAX","Tax",IF(C739="WITHHOLDING TAX","Tax",IF(C739="DIVIDEND","Dividend",IF(C739="COUPON","Coupon",IF(C739="ACCRUED INT","Accrued Int.",IF(C739="SEC LENDING","Sec. Lending",IF(C739="REDEMPTION","Redemption",IF(C739="DISTRIBUTION","Distribution",IF(ISNUMBER(SEARCH("Rimborso",'Statements (Raw)'!D737)),"Redemption",IF(ISNUMBER(SEARCH("Cedola",'Statements (Raw)'!D737)),"Coupon",IF(ISNUMBER(SEARCH("Incasso Dividendi",'Statements (Raw)'!D737)),"Dividend",IF(ISNUMBER(SEARCH("Provento Etf",'Statements (Raw)'!D737)),"Distribution",IF(ISNUMBER(SEARCH("Rit.provento",'Statements (Raw)'!D737)),"Tax",IF(ISNUMBER(SEARCH("Ratei Pass",'Statements (Raw)'!D737)),"Accrued Int.",IF(ISNUMBER(SEARCH("Interessi Prest",'Statements (Raw)'!D737)),"Sec. Lending",IF('Statements (Raw)'!G737="","Other",IF('Statements (Raw)'!G737&gt;0,"Buy","Sell"))))))))))))))))))))))</f>
        <v/>
      </c>
      <c r="E739" s="6" t="str">
        <f t="shared" si="22"/>
        <v/>
      </c>
      <c r="F739" s="8" t="str">
        <f>IF(A739="","",IF('Statements (Raw)'!E737="","",'Statements (Raw)'!E737))</f>
        <v/>
      </c>
      <c r="G739" s="6" t="str">
        <f>IF(A739="","",IF('Statements (Raw)'!F737="","",'Statements (Raw)'!F737))</f>
        <v/>
      </c>
      <c r="H739" s="9" t="str">
        <f>IF(A739="","",IF('Statements (Raw)'!G737="","",'Statements (Raw)'!G737))</f>
        <v/>
      </c>
      <c r="I739" s="10" t="str">
        <f>IF(A739="","",IF('Statements (Raw)'!H737="","",'Statements (Raw)'!H737))</f>
        <v/>
      </c>
      <c r="J739" s="10">
        <f>IF(A739="",0,IF('Statements (Raw)'!I737="",0,'Statements (Raw)'!I737))</f>
        <v>0</v>
      </c>
      <c r="K739" s="10" t="str">
        <f t="shared" si="23"/>
        <v/>
      </c>
    </row>
    <row r="740" spans="1:11" x14ac:dyDescent="0.3">
      <c r="A740" s="171" t="str">
        <f>IF(OR('Statements (Raw)'!A738="",'Statements (Raw)'!A738&gt;Holdings!$G$3),"",'Statements (Raw)'!A738)</f>
        <v/>
      </c>
      <c r="B740" s="7" t="str">
        <f>IF(A740="","",IF('Statements (Raw)'!B738="","",'Statements (Raw)'!B738))</f>
        <v/>
      </c>
      <c r="C740" s="6" t="str">
        <f>IF(A740="","",IF('Statements (Raw)'!C738&lt;&gt;"",'Statements (Raw)'!C738,IF(ISNUMBER(SEARCH("Conferimento",'Statements (Raw)'!D738)),"CASH DEPOSIT",IF(ISNUMBER(SEARCH("Prelievo",'Statements (Raw)'!D738)),"CASH WITHDRAWAL",IF(ISNUMBER(SEARCH("Bollo",'Statements (Raw)'!D738)),"STAMP DUTY",IF(ISNUMBER(SEARCH("Tobin Tax",'Statements (Raw)'!D738)),"TOBIN TAX",IF(ISNUMBER(SEARCH("Rit.provento",'Statements (Raw)'!D738)),"WITHHOLDING TAX",IF(ISNUMBER(SEARCH("Incasso Dividendi",'Statements (Raw)'!D738)),"DIVIDEND",IF(ISNUMBER(SEARCH("Cedola",'Statements (Raw)'!D738)),"COUPON",IF(ISNUMBER(SEARCH("Ratei Pass",'Statements (Raw)'!D738)),"ACCRUED INT",IF(ISNUMBER(SEARCH("Interessi Prest",'Statements (Raw)'!D738)),"SEC LENDING",IF(ISNUMBER(SEARCH("Rimborso",'Statements (Raw)'!D738)),"REDEMPTION",IF(ISNUMBER(SEARCH("Provento",'Statements (Raw)'!D738)),"DISTRIBUTION","OTHER")))))))))))))</f>
        <v/>
      </c>
      <c r="D740" s="6" t="str">
        <f>IF(A740="","",IF(C740="Saldo Iniziale","Balance",IF(C740="CASH DEPOSIT","Deposit",IF(C740="CASH WITHDRAWAL","Withdrawal",IF(C740="STAMP DUTY","Tax",IF(C740="TOBIN TAX","Tax",IF(C740="WITHHOLDING TAX","Tax",IF(C740="DIVIDEND","Dividend",IF(C740="COUPON","Coupon",IF(C740="ACCRUED INT","Accrued Int.",IF(C740="SEC LENDING","Sec. Lending",IF(C740="REDEMPTION","Redemption",IF(C740="DISTRIBUTION","Distribution",IF(ISNUMBER(SEARCH("Rimborso",'Statements (Raw)'!D738)),"Redemption",IF(ISNUMBER(SEARCH("Cedola",'Statements (Raw)'!D738)),"Coupon",IF(ISNUMBER(SEARCH("Incasso Dividendi",'Statements (Raw)'!D738)),"Dividend",IF(ISNUMBER(SEARCH("Provento Etf",'Statements (Raw)'!D738)),"Distribution",IF(ISNUMBER(SEARCH("Rit.provento",'Statements (Raw)'!D738)),"Tax",IF(ISNUMBER(SEARCH("Ratei Pass",'Statements (Raw)'!D738)),"Accrued Int.",IF(ISNUMBER(SEARCH("Interessi Prest",'Statements (Raw)'!D738)),"Sec. Lending",IF('Statements (Raw)'!G738="","Other",IF('Statements (Raw)'!G738&gt;0,"Buy","Sell"))))))))))))))))))))))</f>
        <v/>
      </c>
      <c r="E740" s="6" t="str">
        <f t="shared" si="22"/>
        <v/>
      </c>
      <c r="F740" s="8" t="str">
        <f>IF(A740="","",IF('Statements (Raw)'!E738="","",'Statements (Raw)'!E738))</f>
        <v/>
      </c>
      <c r="G740" s="6" t="str">
        <f>IF(A740="","",IF('Statements (Raw)'!F738="","",'Statements (Raw)'!F738))</f>
        <v/>
      </c>
      <c r="H740" s="9" t="str">
        <f>IF(A740="","",IF('Statements (Raw)'!G738="","",'Statements (Raw)'!G738))</f>
        <v/>
      </c>
      <c r="I740" s="10" t="str">
        <f>IF(A740="","",IF('Statements (Raw)'!H738="","",'Statements (Raw)'!H738))</f>
        <v/>
      </c>
      <c r="J740" s="10">
        <f>IF(A740="",0,IF('Statements (Raw)'!I738="",0,'Statements (Raw)'!I738))</f>
        <v>0</v>
      </c>
      <c r="K740" s="10" t="str">
        <f t="shared" si="23"/>
        <v/>
      </c>
    </row>
    <row r="741" spans="1:11" x14ac:dyDescent="0.3">
      <c r="A741" s="171" t="str">
        <f>IF(OR('Statements (Raw)'!A739="",'Statements (Raw)'!A739&gt;Holdings!$G$3),"",'Statements (Raw)'!A739)</f>
        <v/>
      </c>
      <c r="B741" s="7" t="str">
        <f>IF(A741="","",IF('Statements (Raw)'!B739="","",'Statements (Raw)'!B739))</f>
        <v/>
      </c>
      <c r="C741" s="6" t="str">
        <f>IF(A741="","",IF('Statements (Raw)'!C739&lt;&gt;"",'Statements (Raw)'!C739,IF(ISNUMBER(SEARCH("Conferimento",'Statements (Raw)'!D739)),"CASH DEPOSIT",IF(ISNUMBER(SEARCH("Prelievo",'Statements (Raw)'!D739)),"CASH WITHDRAWAL",IF(ISNUMBER(SEARCH("Bollo",'Statements (Raw)'!D739)),"STAMP DUTY",IF(ISNUMBER(SEARCH("Tobin Tax",'Statements (Raw)'!D739)),"TOBIN TAX",IF(ISNUMBER(SEARCH("Rit.provento",'Statements (Raw)'!D739)),"WITHHOLDING TAX",IF(ISNUMBER(SEARCH("Incasso Dividendi",'Statements (Raw)'!D739)),"DIVIDEND",IF(ISNUMBER(SEARCH("Cedola",'Statements (Raw)'!D739)),"COUPON",IF(ISNUMBER(SEARCH("Ratei Pass",'Statements (Raw)'!D739)),"ACCRUED INT",IF(ISNUMBER(SEARCH("Interessi Prest",'Statements (Raw)'!D739)),"SEC LENDING",IF(ISNUMBER(SEARCH("Rimborso",'Statements (Raw)'!D739)),"REDEMPTION",IF(ISNUMBER(SEARCH("Provento",'Statements (Raw)'!D739)),"DISTRIBUTION","OTHER")))))))))))))</f>
        <v/>
      </c>
      <c r="D741" s="6" t="str">
        <f>IF(A741="","",IF(C741="Saldo Iniziale","Balance",IF(C741="CASH DEPOSIT","Deposit",IF(C741="CASH WITHDRAWAL","Withdrawal",IF(C741="STAMP DUTY","Tax",IF(C741="TOBIN TAX","Tax",IF(C741="WITHHOLDING TAX","Tax",IF(C741="DIVIDEND","Dividend",IF(C741="COUPON","Coupon",IF(C741="ACCRUED INT","Accrued Int.",IF(C741="SEC LENDING","Sec. Lending",IF(C741="REDEMPTION","Redemption",IF(C741="DISTRIBUTION","Distribution",IF(ISNUMBER(SEARCH("Rimborso",'Statements (Raw)'!D739)),"Redemption",IF(ISNUMBER(SEARCH("Cedola",'Statements (Raw)'!D739)),"Coupon",IF(ISNUMBER(SEARCH("Incasso Dividendi",'Statements (Raw)'!D739)),"Dividend",IF(ISNUMBER(SEARCH("Provento Etf",'Statements (Raw)'!D739)),"Distribution",IF(ISNUMBER(SEARCH("Rit.provento",'Statements (Raw)'!D739)),"Tax",IF(ISNUMBER(SEARCH("Ratei Pass",'Statements (Raw)'!D739)),"Accrued Int.",IF(ISNUMBER(SEARCH("Interessi Prest",'Statements (Raw)'!D739)),"Sec. Lending",IF('Statements (Raw)'!G739="","Other",IF('Statements (Raw)'!G739&gt;0,"Buy","Sell"))))))))))))))))))))))</f>
        <v/>
      </c>
      <c r="E741" s="6" t="str">
        <f t="shared" si="22"/>
        <v/>
      </c>
      <c r="F741" s="8" t="str">
        <f>IF(A741="","",IF('Statements (Raw)'!E739="","",'Statements (Raw)'!E739))</f>
        <v/>
      </c>
      <c r="G741" s="6" t="str">
        <f>IF(A741="","",IF('Statements (Raw)'!F739="","",'Statements (Raw)'!F739))</f>
        <v/>
      </c>
      <c r="H741" s="9" t="str">
        <f>IF(A741="","",IF('Statements (Raw)'!G739="","",'Statements (Raw)'!G739))</f>
        <v/>
      </c>
      <c r="I741" s="10" t="str">
        <f>IF(A741="","",IF('Statements (Raw)'!H739="","",'Statements (Raw)'!H739))</f>
        <v/>
      </c>
      <c r="J741" s="10">
        <f>IF(A741="",0,IF('Statements (Raw)'!I739="",0,'Statements (Raw)'!I739))</f>
        <v>0</v>
      </c>
      <c r="K741" s="10" t="str">
        <f t="shared" si="23"/>
        <v/>
      </c>
    </row>
    <row r="742" spans="1:11" x14ac:dyDescent="0.3">
      <c r="A742" s="171" t="str">
        <f>IF(OR('Statements (Raw)'!A740="",'Statements (Raw)'!A740&gt;Holdings!$G$3),"",'Statements (Raw)'!A740)</f>
        <v/>
      </c>
      <c r="B742" s="7" t="str">
        <f>IF(A742="","",IF('Statements (Raw)'!B740="","",'Statements (Raw)'!B740))</f>
        <v/>
      </c>
      <c r="C742" s="6" t="str">
        <f>IF(A742="","",IF('Statements (Raw)'!C740&lt;&gt;"",'Statements (Raw)'!C740,IF(ISNUMBER(SEARCH("Conferimento",'Statements (Raw)'!D740)),"CASH DEPOSIT",IF(ISNUMBER(SEARCH("Prelievo",'Statements (Raw)'!D740)),"CASH WITHDRAWAL",IF(ISNUMBER(SEARCH("Bollo",'Statements (Raw)'!D740)),"STAMP DUTY",IF(ISNUMBER(SEARCH("Tobin Tax",'Statements (Raw)'!D740)),"TOBIN TAX",IF(ISNUMBER(SEARCH("Rit.provento",'Statements (Raw)'!D740)),"WITHHOLDING TAX",IF(ISNUMBER(SEARCH("Incasso Dividendi",'Statements (Raw)'!D740)),"DIVIDEND",IF(ISNUMBER(SEARCH("Cedola",'Statements (Raw)'!D740)),"COUPON",IF(ISNUMBER(SEARCH("Ratei Pass",'Statements (Raw)'!D740)),"ACCRUED INT",IF(ISNUMBER(SEARCH("Interessi Prest",'Statements (Raw)'!D740)),"SEC LENDING",IF(ISNUMBER(SEARCH("Rimborso",'Statements (Raw)'!D740)),"REDEMPTION",IF(ISNUMBER(SEARCH("Provento",'Statements (Raw)'!D740)),"DISTRIBUTION","OTHER")))))))))))))</f>
        <v/>
      </c>
      <c r="D742" s="6" t="str">
        <f>IF(A742="","",IF(C742="Saldo Iniziale","Balance",IF(C742="CASH DEPOSIT","Deposit",IF(C742="CASH WITHDRAWAL","Withdrawal",IF(C742="STAMP DUTY","Tax",IF(C742="TOBIN TAX","Tax",IF(C742="WITHHOLDING TAX","Tax",IF(C742="DIVIDEND","Dividend",IF(C742="COUPON","Coupon",IF(C742="ACCRUED INT","Accrued Int.",IF(C742="SEC LENDING","Sec. Lending",IF(C742="REDEMPTION","Redemption",IF(C742="DISTRIBUTION","Distribution",IF(ISNUMBER(SEARCH("Rimborso",'Statements (Raw)'!D740)),"Redemption",IF(ISNUMBER(SEARCH("Cedola",'Statements (Raw)'!D740)),"Coupon",IF(ISNUMBER(SEARCH("Incasso Dividendi",'Statements (Raw)'!D740)),"Dividend",IF(ISNUMBER(SEARCH("Provento Etf",'Statements (Raw)'!D740)),"Distribution",IF(ISNUMBER(SEARCH("Rit.provento",'Statements (Raw)'!D740)),"Tax",IF(ISNUMBER(SEARCH("Ratei Pass",'Statements (Raw)'!D740)),"Accrued Int.",IF(ISNUMBER(SEARCH("Interessi Prest",'Statements (Raw)'!D740)),"Sec. Lending",IF('Statements (Raw)'!G740="","Other",IF('Statements (Raw)'!G740&gt;0,"Buy","Sell"))))))))))))))))))))))</f>
        <v/>
      </c>
      <c r="E742" s="6" t="str">
        <f t="shared" si="22"/>
        <v/>
      </c>
      <c r="F742" s="8" t="str">
        <f>IF(A742="","",IF('Statements (Raw)'!E740="","",'Statements (Raw)'!E740))</f>
        <v/>
      </c>
      <c r="G742" s="6" t="str">
        <f>IF(A742="","",IF('Statements (Raw)'!F740="","",'Statements (Raw)'!F740))</f>
        <v/>
      </c>
      <c r="H742" s="9" t="str">
        <f>IF(A742="","",IF('Statements (Raw)'!G740="","",'Statements (Raw)'!G740))</f>
        <v/>
      </c>
      <c r="I742" s="10" t="str">
        <f>IF(A742="","",IF('Statements (Raw)'!H740="","",'Statements (Raw)'!H740))</f>
        <v/>
      </c>
      <c r="J742" s="10">
        <f>IF(A742="",0,IF('Statements (Raw)'!I740="",0,'Statements (Raw)'!I740))</f>
        <v>0</v>
      </c>
      <c r="K742" s="10" t="str">
        <f t="shared" si="23"/>
        <v/>
      </c>
    </row>
    <row r="743" spans="1:11" x14ac:dyDescent="0.3">
      <c r="A743" s="171" t="str">
        <f>IF(OR('Statements (Raw)'!A741="",'Statements (Raw)'!A741&gt;Holdings!$G$3),"",'Statements (Raw)'!A741)</f>
        <v/>
      </c>
      <c r="B743" s="7" t="str">
        <f>IF(A743="","",IF('Statements (Raw)'!B741="","",'Statements (Raw)'!B741))</f>
        <v/>
      </c>
      <c r="C743" s="6" t="str">
        <f>IF(A743="","",IF('Statements (Raw)'!C741&lt;&gt;"",'Statements (Raw)'!C741,IF(ISNUMBER(SEARCH("Conferimento",'Statements (Raw)'!D741)),"CASH DEPOSIT",IF(ISNUMBER(SEARCH("Prelievo",'Statements (Raw)'!D741)),"CASH WITHDRAWAL",IF(ISNUMBER(SEARCH("Bollo",'Statements (Raw)'!D741)),"STAMP DUTY",IF(ISNUMBER(SEARCH("Tobin Tax",'Statements (Raw)'!D741)),"TOBIN TAX",IF(ISNUMBER(SEARCH("Rit.provento",'Statements (Raw)'!D741)),"WITHHOLDING TAX",IF(ISNUMBER(SEARCH("Incasso Dividendi",'Statements (Raw)'!D741)),"DIVIDEND",IF(ISNUMBER(SEARCH("Cedola",'Statements (Raw)'!D741)),"COUPON",IF(ISNUMBER(SEARCH("Ratei Pass",'Statements (Raw)'!D741)),"ACCRUED INT",IF(ISNUMBER(SEARCH("Interessi Prest",'Statements (Raw)'!D741)),"SEC LENDING",IF(ISNUMBER(SEARCH("Rimborso",'Statements (Raw)'!D741)),"REDEMPTION",IF(ISNUMBER(SEARCH("Provento",'Statements (Raw)'!D741)),"DISTRIBUTION","OTHER")))))))))))))</f>
        <v/>
      </c>
      <c r="D743" s="6" t="str">
        <f>IF(A743="","",IF(C743="Saldo Iniziale","Balance",IF(C743="CASH DEPOSIT","Deposit",IF(C743="CASH WITHDRAWAL","Withdrawal",IF(C743="STAMP DUTY","Tax",IF(C743="TOBIN TAX","Tax",IF(C743="WITHHOLDING TAX","Tax",IF(C743="DIVIDEND","Dividend",IF(C743="COUPON","Coupon",IF(C743="ACCRUED INT","Accrued Int.",IF(C743="SEC LENDING","Sec. Lending",IF(C743="REDEMPTION","Redemption",IF(C743="DISTRIBUTION","Distribution",IF(ISNUMBER(SEARCH("Rimborso",'Statements (Raw)'!D741)),"Redemption",IF(ISNUMBER(SEARCH("Cedola",'Statements (Raw)'!D741)),"Coupon",IF(ISNUMBER(SEARCH("Incasso Dividendi",'Statements (Raw)'!D741)),"Dividend",IF(ISNUMBER(SEARCH("Provento Etf",'Statements (Raw)'!D741)),"Distribution",IF(ISNUMBER(SEARCH("Rit.provento",'Statements (Raw)'!D741)),"Tax",IF(ISNUMBER(SEARCH("Ratei Pass",'Statements (Raw)'!D741)),"Accrued Int.",IF(ISNUMBER(SEARCH("Interessi Prest",'Statements (Raw)'!D741)),"Sec. Lending",IF('Statements (Raw)'!G741="","Other",IF('Statements (Raw)'!G741&gt;0,"Buy","Sell"))))))))))))))))))))))</f>
        <v/>
      </c>
      <c r="E743" s="6" t="str">
        <f t="shared" si="22"/>
        <v/>
      </c>
      <c r="F743" s="8" t="str">
        <f>IF(A743="","",IF('Statements (Raw)'!E741="","",'Statements (Raw)'!E741))</f>
        <v/>
      </c>
      <c r="G743" s="6" t="str">
        <f>IF(A743="","",IF('Statements (Raw)'!F741="","",'Statements (Raw)'!F741))</f>
        <v/>
      </c>
      <c r="H743" s="9" t="str">
        <f>IF(A743="","",IF('Statements (Raw)'!G741="","",'Statements (Raw)'!G741))</f>
        <v/>
      </c>
      <c r="I743" s="10" t="str">
        <f>IF(A743="","",IF('Statements (Raw)'!H741="","",'Statements (Raw)'!H741))</f>
        <v/>
      </c>
      <c r="J743" s="10">
        <f>IF(A743="",0,IF('Statements (Raw)'!I741="",0,'Statements (Raw)'!I741))</f>
        <v>0</v>
      </c>
      <c r="K743" s="10" t="str">
        <f t="shared" si="23"/>
        <v/>
      </c>
    </row>
    <row r="744" spans="1:11" x14ac:dyDescent="0.3">
      <c r="A744" s="171" t="str">
        <f>IF(OR('Statements (Raw)'!A742="",'Statements (Raw)'!A742&gt;Holdings!$G$3),"",'Statements (Raw)'!A742)</f>
        <v/>
      </c>
      <c r="B744" s="7" t="str">
        <f>IF(A744="","",IF('Statements (Raw)'!B742="","",'Statements (Raw)'!B742))</f>
        <v/>
      </c>
      <c r="C744" s="6" t="str">
        <f>IF(A744="","",IF('Statements (Raw)'!C742&lt;&gt;"",'Statements (Raw)'!C742,IF(ISNUMBER(SEARCH("Conferimento",'Statements (Raw)'!D742)),"CASH DEPOSIT",IF(ISNUMBER(SEARCH("Prelievo",'Statements (Raw)'!D742)),"CASH WITHDRAWAL",IF(ISNUMBER(SEARCH("Bollo",'Statements (Raw)'!D742)),"STAMP DUTY",IF(ISNUMBER(SEARCH("Tobin Tax",'Statements (Raw)'!D742)),"TOBIN TAX",IF(ISNUMBER(SEARCH("Rit.provento",'Statements (Raw)'!D742)),"WITHHOLDING TAX",IF(ISNUMBER(SEARCH("Incasso Dividendi",'Statements (Raw)'!D742)),"DIVIDEND",IF(ISNUMBER(SEARCH("Cedola",'Statements (Raw)'!D742)),"COUPON",IF(ISNUMBER(SEARCH("Ratei Pass",'Statements (Raw)'!D742)),"ACCRUED INT",IF(ISNUMBER(SEARCH("Interessi Prest",'Statements (Raw)'!D742)),"SEC LENDING",IF(ISNUMBER(SEARCH("Rimborso",'Statements (Raw)'!D742)),"REDEMPTION",IF(ISNUMBER(SEARCH("Provento",'Statements (Raw)'!D742)),"DISTRIBUTION","OTHER")))))))))))))</f>
        <v/>
      </c>
      <c r="D744" s="6" t="str">
        <f>IF(A744="","",IF(C744="Saldo Iniziale","Balance",IF(C744="CASH DEPOSIT","Deposit",IF(C744="CASH WITHDRAWAL","Withdrawal",IF(C744="STAMP DUTY","Tax",IF(C744="TOBIN TAX","Tax",IF(C744="WITHHOLDING TAX","Tax",IF(C744="DIVIDEND","Dividend",IF(C744="COUPON","Coupon",IF(C744="ACCRUED INT","Accrued Int.",IF(C744="SEC LENDING","Sec. Lending",IF(C744="REDEMPTION","Redemption",IF(C744="DISTRIBUTION","Distribution",IF(ISNUMBER(SEARCH("Rimborso",'Statements (Raw)'!D742)),"Redemption",IF(ISNUMBER(SEARCH("Cedola",'Statements (Raw)'!D742)),"Coupon",IF(ISNUMBER(SEARCH("Incasso Dividendi",'Statements (Raw)'!D742)),"Dividend",IF(ISNUMBER(SEARCH("Provento Etf",'Statements (Raw)'!D742)),"Distribution",IF(ISNUMBER(SEARCH("Rit.provento",'Statements (Raw)'!D742)),"Tax",IF(ISNUMBER(SEARCH("Ratei Pass",'Statements (Raw)'!D742)),"Accrued Int.",IF(ISNUMBER(SEARCH("Interessi Prest",'Statements (Raw)'!D742)),"Sec. Lending",IF('Statements (Raw)'!G742="","Other",IF('Statements (Raw)'!G742&gt;0,"Buy","Sell"))))))))))))))))))))))</f>
        <v/>
      </c>
      <c r="E744" s="6" t="str">
        <f t="shared" si="22"/>
        <v/>
      </c>
      <c r="F744" s="8" t="str">
        <f>IF(A744="","",IF('Statements (Raw)'!E742="","",'Statements (Raw)'!E742))</f>
        <v/>
      </c>
      <c r="G744" s="6" t="str">
        <f>IF(A744="","",IF('Statements (Raw)'!F742="","",'Statements (Raw)'!F742))</f>
        <v/>
      </c>
      <c r="H744" s="9" t="str">
        <f>IF(A744="","",IF('Statements (Raw)'!G742="","",'Statements (Raw)'!G742))</f>
        <v/>
      </c>
      <c r="I744" s="10" t="str">
        <f>IF(A744="","",IF('Statements (Raw)'!H742="","",'Statements (Raw)'!H742))</f>
        <v/>
      </c>
      <c r="J744" s="10">
        <f>IF(A744="",0,IF('Statements (Raw)'!I742="",0,'Statements (Raw)'!I742))</f>
        <v>0</v>
      </c>
      <c r="K744" s="10" t="str">
        <f t="shared" si="23"/>
        <v/>
      </c>
    </row>
    <row r="745" spans="1:11" x14ac:dyDescent="0.3">
      <c r="A745" s="171" t="str">
        <f>IF(OR('Statements (Raw)'!A743="",'Statements (Raw)'!A743&gt;Holdings!$G$3),"",'Statements (Raw)'!A743)</f>
        <v/>
      </c>
      <c r="B745" s="7" t="str">
        <f>IF(A745="","",IF('Statements (Raw)'!B743="","",'Statements (Raw)'!B743))</f>
        <v/>
      </c>
      <c r="C745" s="6" t="str">
        <f>IF(A745="","",IF('Statements (Raw)'!C743&lt;&gt;"",'Statements (Raw)'!C743,IF(ISNUMBER(SEARCH("Conferimento",'Statements (Raw)'!D743)),"CASH DEPOSIT",IF(ISNUMBER(SEARCH("Prelievo",'Statements (Raw)'!D743)),"CASH WITHDRAWAL",IF(ISNUMBER(SEARCH("Bollo",'Statements (Raw)'!D743)),"STAMP DUTY",IF(ISNUMBER(SEARCH("Tobin Tax",'Statements (Raw)'!D743)),"TOBIN TAX",IF(ISNUMBER(SEARCH("Rit.provento",'Statements (Raw)'!D743)),"WITHHOLDING TAX",IF(ISNUMBER(SEARCH("Incasso Dividendi",'Statements (Raw)'!D743)),"DIVIDEND",IF(ISNUMBER(SEARCH("Cedola",'Statements (Raw)'!D743)),"COUPON",IF(ISNUMBER(SEARCH("Ratei Pass",'Statements (Raw)'!D743)),"ACCRUED INT",IF(ISNUMBER(SEARCH("Interessi Prest",'Statements (Raw)'!D743)),"SEC LENDING",IF(ISNUMBER(SEARCH("Rimborso",'Statements (Raw)'!D743)),"REDEMPTION",IF(ISNUMBER(SEARCH("Provento",'Statements (Raw)'!D743)),"DISTRIBUTION","OTHER")))))))))))))</f>
        <v/>
      </c>
      <c r="D745" s="6" t="str">
        <f>IF(A745="","",IF(C745="Saldo Iniziale","Balance",IF(C745="CASH DEPOSIT","Deposit",IF(C745="CASH WITHDRAWAL","Withdrawal",IF(C745="STAMP DUTY","Tax",IF(C745="TOBIN TAX","Tax",IF(C745="WITHHOLDING TAX","Tax",IF(C745="DIVIDEND","Dividend",IF(C745="COUPON","Coupon",IF(C745="ACCRUED INT","Accrued Int.",IF(C745="SEC LENDING","Sec. Lending",IF(C745="REDEMPTION","Redemption",IF(C745="DISTRIBUTION","Distribution",IF(ISNUMBER(SEARCH("Rimborso",'Statements (Raw)'!D743)),"Redemption",IF(ISNUMBER(SEARCH("Cedola",'Statements (Raw)'!D743)),"Coupon",IF(ISNUMBER(SEARCH("Incasso Dividendi",'Statements (Raw)'!D743)),"Dividend",IF(ISNUMBER(SEARCH("Provento Etf",'Statements (Raw)'!D743)),"Distribution",IF(ISNUMBER(SEARCH("Rit.provento",'Statements (Raw)'!D743)),"Tax",IF(ISNUMBER(SEARCH("Ratei Pass",'Statements (Raw)'!D743)),"Accrued Int.",IF(ISNUMBER(SEARCH("Interessi Prest",'Statements (Raw)'!D743)),"Sec. Lending",IF('Statements (Raw)'!G743="","Other",IF('Statements (Raw)'!G743&gt;0,"Buy","Sell"))))))))))))))))))))))</f>
        <v/>
      </c>
      <c r="E745" s="6" t="str">
        <f t="shared" si="22"/>
        <v/>
      </c>
      <c r="F745" s="8" t="str">
        <f>IF(A745="","",IF('Statements (Raw)'!E743="","",'Statements (Raw)'!E743))</f>
        <v/>
      </c>
      <c r="G745" s="6" t="str">
        <f>IF(A745="","",IF('Statements (Raw)'!F743="","",'Statements (Raw)'!F743))</f>
        <v/>
      </c>
      <c r="H745" s="9" t="str">
        <f>IF(A745="","",IF('Statements (Raw)'!G743="","",'Statements (Raw)'!G743))</f>
        <v/>
      </c>
      <c r="I745" s="10" t="str">
        <f>IF(A745="","",IF('Statements (Raw)'!H743="","",'Statements (Raw)'!H743))</f>
        <v/>
      </c>
      <c r="J745" s="10">
        <f>IF(A745="",0,IF('Statements (Raw)'!I743="",0,'Statements (Raw)'!I743))</f>
        <v>0</v>
      </c>
      <c r="K745" s="10" t="str">
        <f t="shared" si="23"/>
        <v/>
      </c>
    </row>
    <row r="746" spans="1:11" x14ac:dyDescent="0.3">
      <c r="A746" s="171" t="str">
        <f>IF(OR('Statements (Raw)'!A744="",'Statements (Raw)'!A744&gt;Holdings!$G$3),"",'Statements (Raw)'!A744)</f>
        <v/>
      </c>
      <c r="B746" s="7" t="str">
        <f>IF(A746="","",IF('Statements (Raw)'!B744="","",'Statements (Raw)'!B744))</f>
        <v/>
      </c>
      <c r="C746" s="6" t="str">
        <f>IF(A746="","",IF('Statements (Raw)'!C744&lt;&gt;"",'Statements (Raw)'!C744,IF(ISNUMBER(SEARCH("Conferimento",'Statements (Raw)'!D744)),"CASH DEPOSIT",IF(ISNUMBER(SEARCH("Prelievo",'Statements (Raw)'!D744)),"CASH WITHDRAWAL",IF(ISNUMBER(SEARCH("Bollo",'Statements (Raw)'!D744)),"STAMP DUTY",IF(ISNUMBER(SEARCH("Tobin Tax",'Statements (Raw)'!D744)),"TOBIN TAX",IF(ISNUMBER(SEARCH("Rit.provento",'Statements (Raw)'!D744)),"WITHHOLDING TAX",IF(ISNUMBER(SEARCH("Incasso Dividendi",'Statements (Raw)'!D744)),"DIVIDEND",IF(ISNUMBER(SEARCH("Cedola",'Statements (Raw)'!D744)),"COUPON",IF(ISNUMBER(SEARCH("Ratei Pass",'Statements (Raw)'!D744)),"ACCRUED INT",IF(ISNUMBER(SEARCH("Interessi Prest",'Statements (Raw)'!D744)),"SEC LENDING",IF(ISNUMBER(SEARCH("Rimborso",'Statements (Raw)'!D744)),"REDEMPTION",IF(ISNUMBER(SEARCH("Provento",'Statements (Raw)'!D744)),"DISTRIBUTION","OTHER")))))))))))))</f>
        <v/>
      </c>
      <c r="D746" s="6" t="str">
        <f>IF(A746="","",IF(C746="Saldo Iniziale","Balance",IF(C746="CASH DEPOSIT","Deposit",IF(C746="CASH WITHDRAWAL","Withdrawal",IF(C746="STAMP DUTY","Tax",IF(C746="TOBIN TAX","Tax",IF(C746="WITHHOLDING TAX","Tax",IF(C746="DIVIDEND","Dividend",IF(C746="COUPON","Coupon",IF(C746="ACCRUED INT","Accrued Int.",IF(C746="SEC LENDING","Sec. Lending",IF(C746="REDEMPTION","Redemption",IF(C746="DISTRIBUTION","Distribution",IF(ISNUMBER(SEARCH("Rimborso",'Statements (Raw)'!D744)),"Redemption",IF(ISNUMBER(SEARCH("Cedola",'Statements (Raw)'!D744)),"Coupon",IF(ISNUMBER(SEARCH("Incasso Dividendi",'Statements (Raw)'!D744)),"Dividend",IF(ISNUMBER(SEARCH("Provento Etf",'Statements (Raw)'!D744)),"Distribution",IF(ISNUMBER(SEARCH("Rit.provento",'Statements (Raw)'!D744)),"Tax",IF(ISNUMBER(SEARCH("Ratei Pass",'Statements (Raw)'!D744)),"Accrued Int.",IF(ISNUMBER(SEARCH("Interessi Prest",'Statements (Raw)'!D744)),"Sec. Lending",IF('Statements (Raw)'!G744="","Other",IF('Statements (Raw)'!G744&gt;0,"Buy","Sell"))))))))))))))))))))))</f>
        <v/>
      </c>
      <c r="E746" s="6" t="str">
        <f t="shared" si="22"/>
        <v/>
      </c>
      <c r="F746" s="8" t="str">
        <f>IF(A746="","",IF('Statements (Raw)'!E744="","",'Statements (Raw)'!E744))</f>
        <v/>
      </c>
      <c r="G746" s="6" t="str">
        <f>IF(A746="","",IF('Statements (Raw)'!F744="","",'Statements (Raw)'!F744))</f>
        <v/>
      </c>
      <c r="H746" s="9" t="str">
        <f>IF(A746="","",IF('Statements (Raw)'!G744="","",'Statements (Raw)'!G744))</f>
        <v/>
      </c>
      <c r="I746" s="10" t="str">
        <f>IF(A746="","",IF('Statements (Raw)'!H744="","",'Statements (Raw)'!H744))</f>
        <v/>
      </c>
      <c r="J746" s="10">
        <f>IF(A746="",0,IF('Statements (Raw)'!I744="",0,'Statements (Raw)'!I744))</f>
        <v>0</v>
      </c>
      <c r="K746" s="10" t="str">
        <f t="shared" si="23"/>
        <v/>
      </c>
    </row>
    <row r="747" spans="1:11" x14ac:dyDescent="0.3">
      <c r="A747" s="171" t="str">
        <f>IF(OR('Statements (Raw)'!A745="",'Statements (Raw)'!A745&gt;Holdings!$G$3),"",'Statements (Raw)'!A745)</f>
        <v/>
      </c>
      <c r="B747" s="7" t="str">
        <f>IF(A747="","",IF('Statements (Raw)'!B745="","",'Statements (Raw)'!B745))</f>
        <v/>
      </c>
      <c r="C747" s="6" t="str">
        <f>IF(A747="","",IF('Statements (Raw)'!C745&lt;&gt;"",'Statements (Raw)'!C745,IF(ISNUMBER(SEARCH("Conferimento",'Statements (Raw)'!D745)),"CASH DEPOSIT",IF(ISNUMBER(SEARCH("Prelievo",'Statements (Raw)'!D745)),"CASH WITHDRAWAL",IF(ISNUMBER(SEARCH("Bollo",'Statements (Raw)'!D745)),"STAMP DUTY",IF(ISNUMBER(SEARCH("Tobin Tax",'Statements (Raw)'!D745)),"TOBIN TAX",IF(ISNUMBER(SEARCH("Rit.provento",'Statements (Raw)'!D745)),"WITHHOLDING TAX",IF(ISNUMBER(SEARCH("Incasso Dividendi",'Statements (Raw)'!D745)),"DIVIDEND",IF(ISNUMBER(SEARCH("Cedola",'Statements (Raw)'!D745)),"COUPON",IF(ISNUMBER(SEARCH("Ratei Pass",'Statements (Raw)'!D745)),"ACCRUED INT",IF(ISNUMBER(SEARCH("Interessi Prest",'Statements (Raw)'!D745)),"SEC LENDING",IF(ISNUMBER(SEARCH("Rimborso",'Statements (Raw)'!D745)),"REDEMPTION",IF(ISNUMBER(SEARCH("Provento",'Statements (Raw)'!D745)),"DISTRIBUTION","OTHER")))))))))))))</f>
        <v/>
      </c>
      <c r="D747" s="6" t="str">
        <f>IF(A747="","",IF(C747="Saldo Iniziale","Balance",IF(C747="CASH DEPOSIT","Deposit",IF(C747="CASH WITHDRAWAL","Withdrawal",IF(C747="STAMP DUTY","Tax",IF(C747="TOBIN TAX","Tax",IF(C747="WITHHOLDING TAX","Tax",IF(C747="DIVIDEND","Dividend",IF(C747="COUPON","Coupon",IF(C747="ACCRUED INT","Accrued Int.",IF(C747="SEC LENDING","Sec. Lending",IF(C747="REDEMPTION","Redemption",IF(C747="DISTRIBUTION","Distribution",IF(ISNUMBER(SEARCH("Rimborso",'Statements (Raw)'!D745)),"Redemption",IF(ISNUMBER(SEARCH("Cedola",'Statements (Raw)'!D745)),"Coupon",IF(ISNUMBER(SEARCH("Incasso Dividendi",'Statements (Raw)'!D745)),"Dividend",IF(ISNUMBER(SEARCH("Provento Etf",'Statements (Raw)'!D745)),"Distribution",IF(ISNUMBER(SEARCH("Rit.provento",'Statements (Raw)'!D745)),"Tax",IF(ISNUMBER(SEARCH("Ratei Pass",'Statements (Raw)'!D745)),"Accrued Int.",IF(ISNUMBER(SEARCH("Interessi Prest",'Statements (Raw)'!D745)),"Sec. Lending",IF('Statements (Raw)'!G745="","Other",IF('Statements (Raw)'!G745&gt;0,"Buy","Sell"))))))))))))))))))))))</f>
        <v/>
      </c>
      <c r="E747" s="6" t="str">
        <f t="shared" si="22"/>
        <v/>
      </c>
      <c r="F747" s="8" t="str">
        <f>IF(A747="","",IF('Statements (Raw)'!E745="","",'Statements (Raw)'!E745))</f>
        <v/>
      </c>
      <c r="G747" s="6" t="str">
        <f>IF(A747="","",IF('Statements (Raw)'!F745="","",'Statements (Raw)'!F745))</f>
        <v/>
      </c>
      <c r="H747" s="9" t="str">
        <f>IF(A747="","",IF('Statements (Raw)'!G745="","",'Statements (Raw)'!G745))</f>
        <v/>
      </c>
      <c r="I747" s="10" t="str">
        <f>IF(A747="","",IF('Statements (Raw)'!H745="","",'Statements (Raw)'!H745))</f>
        <v/>
      </c>
      <c r="J747" s="10">
        <f>IF(A747="",0,IF('Statements (Raw)'!I745="",0,'Statements (Raw)'!I745))</f>
        <v>0</v>
      </c>
      <c r="K747" s="10" t="str">
        <f t="shared" si="23"/>
        <v/>
      </c>
    </row>
    <row r="748" spans="1:11" x14ac:dyDescent="0.3">
      <c r="A748" s="171" t="str">
        <f>IF(OR('Statements (Raw)'!A746="",'Statements (Raw)'!A746&gt;Holdings!$G$3),"",'Statements (Raw)'!A746)</f>
        <v/>
      </c>
      <c r="B748" s="7" t="str">
        <f>IF(A748="","",IF('Statements (Raw)'!B746="","",'Statements (Raw)'!B746))</f>
        <v/>
      </c>
      <c r="C748" s="6" t="str">
        <f>IF(A748="","",IF('Statements (Raw)'!C746&lt;&gt;"",'Statements (Raw)'!C746,IF(ISNUMBER(SEARCH("Conferimento",'Statements (Raw)'!D746)),"CASH DEPOSIT",IF(ISNUMBER(SEARCH("Prelievo",'Statements (Raw)'!D746)),"CASH WITHDRAWAL",IF(ISNUMBER(SEARCH("Bollo",'Statements (Raw)'!D746)),"STAMP DUTY",IF(ISNUMBER(SEARCH("Tobin Tax",'Statements (Raw)'!D746)),"TOBIN TAX",IF(ISNUMBER(SEARCH("Rit.provento",'Statements (Raw)'!D746)),"WITHHOLDING TAX",IF(ISNUMBER(SEARCH("Incasso Dividendi",'Statements (Raw)'!D746)),"DIVIDEND",IF(ISNUMBER(SEARCH("Cedola",'Statements (Raw)'!D746)),"COUPON",IF(ISNUMBER(SEARCH("Ratei Pass",'Statements (Raw)'!D746)),"ACCRUED INT",IF(ISNUMBER(SEARCH("Interessi Prest",'Statements (Raw)'!D746)),"SEC LENDING",IF(ISNUMBER(SEARCH("Rimborso",'Statements (Raw)'!D746)),"REDEMPTION",IF(ISNUMBER(SEARCH("Provento",'Statements (Raw)'!D746)),"DISTRIBUTION","OTHER")))))))))))))</f>
        <v/>
      </c>
      <c r="D748" s="6" t="str">
        <f>IF(A748="","",IF(C748="Saldo Iniziale","Balance",IF(C748="CASH DEPOSIT","Deposit",IF(C748="CASH WITHDRAWAL","Withdrawal",IF(C748="STAMP DUTY","Tax",IF(C748="TOBIN TAX","Tax",IF(C748="WITHHOLDING TAX","Tax",IF(C748="DIVIDEND","Dividend",IF(C748="COUPON","Coupon",IF(C748="ACCRUED INT","Accrued Int.",IF(C748="SEC LENDING","Sec. Lending",IF(C748="REDEMPTION","Redemption",IF(C748="DISTRIBUTION","Distribution",IF(ISNUMBER(SEARCH("Rimborso",'Statements (Raw)'!D746)),"Redemption",IF(ISNUMBER(SEARCH("Cedola",'Statements (Raw)'!D746)),"Coupon",IF(ISNUMBER(SEARCH("Incasso Dividendi",'Statements (Raw)'!D746)),"Dividend",IF(ISNUMBER(SEARCH("Provento Etf",'Statements (Raw)'!D746)),"Distribution",IF(ISNUMBER(SEARCH("Rit.provento",'Statements (Raw)'!D746)),"Tax",IF(ISNUMBER(SEARCH("Ratei Pass",'Statements (Raw)'!D746)),"Accrued Int.",IF(ISNUMBER(SEARCH("Interessi Prest",'Statements (Raw)'!D746)),"Sec. Lending",IF('Statements (Raw)'!G746="","Other",IF('Statements (Raw)'!G746&gt;0,"Buy","Sell"))))))))))))))))))))))</f>
        <v/>
      </c>
      <c r="E748" s="6" t="str">
        <f t="shared" si="22"/>
        <v/>
      </c>
      <c r="F748" s="8" t="str">
        <f>IF(A748="","",IF('Statements (Raw)'!E746="","",'Statements (Raw)'!E746))</f>
        <v/>
      </c>
      <c r="G748" s="6" t="str">
        <f>IF(A748="","",IF('Statements (Raw)'!F746="","",'Statements (Raw)'!F746))</f>
        <v/>
      </c>
      <c r="H748" s="9" t="str">
        <f>IF(A748="","",IF('Statements (Raw)'!G746="","",'Statements (Raw)'!G746))</f>
        <v/>
      </c>
      <c r="I748" s="10" t="str">
        <f>IF(A748="","",IF('Statements (Raw)'!H746="","",'Statements (Raw)'!H746))</f>
        <v/>
      </c>
      <c r="J748" s="10">
        <f>IF(A748="",0,IF('Statements (Raw)'!I746="",0,'Statements (Raw)'!I746))</f>
        <v>0</v>
      </c>
      <c r="K748" s="10" t="str">
        <f t="shared" si="23"/>
        <v/>
      </c>
    </row>
    <row r="749" spans="1:11" x14ac:dyDescent="0.3">
      <c r="A749" s="171" t="str">
        <f>IF(OR('Statements (Raw)'!A747="",'Statements (Raw)'!A747&gt;Holdings!$G$3),"",'Statements (Raw)'!A747)</f>
        <v/>
      </c>
      <c r="B749" s="7" t="str">
        <f>IF(A749="","",IF('Statements (Raw)'!B747="","",'Statements (Raw)'!B747))</f>
        <v/>
      </c>
      <c r="C749" s="6" t="str">
        <f>IF(A749="","",IF('Statements (Raw)'!C747&lt;&gt;"",'Statements (Raw)'!C747,IF(ISNUMBER(SEARCH("Conferimento",'Statements (Raw)'!D747)),"CASH DEPOSIT",IF(ISNUMBER(SEARCH("Prelievo",'Statements (Raw)'!D747)),"CASH WITHDRAWAL",IF(ISNUMBER(SEARCH("Bollo",'Statements (Raw)'!D747)),"STAMP DUTY",IF(ISNUMBER(SEARCH("Tobin Tax",'Statements (Raw)'!D747)),"TOBIN TAX",IF(ISNUMBER(SEARCH("Rit.provento",'Statements (Raw)'!D747)),"WITHHOLDING TAX",IF(ISNUMBER(SEARCH("Incasso Dividendi",'Statements (Raw)'!D747)),"DIVIDEND",IF(ISNUMBER(SEARCH("Cedola",'Statements (Raw)'!D747)),"COUPON",IF(ISNUMBER(SEARCH("Ratei Pass",'Statements (Raw)'!D747)),"ACCRUED INT",IF(ISNUMBER(SEARCH("Interessi Prest",'Statements (Raw)'!D747)),"SEC LENDING",IF(ISNUMBER(SEARCH("Rimborso",'Statements (Raw)'!D747)),"REDEMPTION",IF(ISNUMBER(SEARCH("Provento",'Statements (Raw)'!D747)),"DISTRIBUTION","OTHER")))))))))))))</f>
        <v/>
      </c>
      <c r="D749" s="6" t="str">
        <f>IF(A749="","",IF(C749="Saldo Iniziale","Balance",IF(C749="CASH DEPOSIT","Deposit",IF(C749="CASH WITHDRAWAL","Withdrawal",IF(C749="STAMP DUTY","Tax",IF(C749="TOBIN TAX","Tax",IF(C749="WITHHOLDING TAX","Tax",IF(C749="DIVIDEND","Dividend",IF(C749="COUPON","Coupon",IF(C749="ACCRUED INT","Accrued Int.",IF(C749="SEC LENDING","Sec. Lending",IF(C749="REDEMPTION","Redemption",IF(C749="DISTRIBUTION","Distribution",IF(ISNUMBER(SEARCH("Rimborso",'Statements (Raw)'!D747)),"Redemption",IF(ISNUMBER(SEARCH("Cedola",'Statements (Raw)'!D747)),"Coupon",IF(ISNUMBER(SEARCH("Incasso Dividendi",'Statements (Raw)'!D747)),"Dividend",IF(ISNUMBER(SEARCH("Provento Etf",'Statements (Raw)'!D747)),"Distribution",IF(ISNUMBER(SEARCH("Rit.provento",'Statements (Raw)'!D747)),"Tax",IF(ISNUMBER(SEARCH("Ratei Pass",'Statements (Raw)'!D747)),"Accrued Int.",IF(ISNUMBER(SEARCH("Interessi Prest",'Statements (Raw)'!D747)),"Sec. Lending",IF('Statements (Raw)'!G747="","Other",IF('Statements (Raw)'!G747&gt;0,"Buy","Sell"))))))))))))))))))))))</f>
        <v/>
      </c>
      <c r="E749" s="6" t="str">
        <f t="shared" si="22"/>
        <v/>
      </c>
      <c r="F749" s="8" t="str">
        <f>IF(A749="","",IF('Statements (Raw)'!E747="","",'Statements (Raw)'!E747))</f>
        <v/>
      </c>
      <c r="G749" s="6" t="str">
        <f>IF(A749="","",IF('Statements (Raw)'!F747="","",'Statements (Raw)'!F747))</f>
        <v/>
      </c>
      <c r="H749" s="9" t="str">
        <f>IF(A749="","",IF('Statements (Raw)'!G747="","",'Statements (Raw)'!G747))</f>
        <v/>
      </c>
      <c r="I749" s="10" t="str">
        <f>IF(A749="","",IF('Statements (Raw)'!H747="","",'Statements (Raw)'!H747))</f>
        <v/>
      </c>
      <c r="J749" s="10">
        <f>IF(A749="",0,IF('Statements (Raw)'!I747="",0,'Statements (Raw)'!I747))</f>
        <v>0</v>
      </c>
      <c r="K749" s="10" t="str">
        <f t="shared" si="23"/>
        <v/>
      </c>
    </row>
    <row r="750" spans="1:11" x14ac:dyDescent="0.3">
      <c r="A750" s="171" t="str">
        <f>IF(OR('Statements (Raw)'!A748="",'Statements (Raw)'!A748&gt;Holdings!$G$3),"",'Statements (Raw)'!A748)</f>
        <v/>
      </c>
      <c r="B750" s="7" t="str">
        <f>IF(A750="","",IF('Statements (Raw)'!B748="","",'Statements (Raw)'!B748))</f>
        <v/>
      </c>
      <c r="C750" s="6" t="str">
        <f>IF(A750="","",IF('Statements (Raw)'!C748&lt;&gt;"",'Statements (Raw)'!C748,IF(ISNUMBER(SEARCH("Conferimento",'Statements (Raw)'!D748)),"CASH DEPOSIT",IF(ISNUMBER(SEARCH("Prelievo",'Statements (Raw)'!D748)),"CASH WITHDRAWAL",IF(ISNUMBER(SEARCH("Bollo",'Statements (Raw)'!D748)),"STAMP DUTY",IF(ISNUMBER(SEARCH("Tobin Tax",'Statements (Raw)'!D748)),"TOBIN TAX",IF(ISNUMBER(SEARCH("Rit.provento",'Statements (Raw)'!D748)),"WITHHOLDING TAX",IF(ISNUMBER(SEARCH("Incasso Dividendi",'Statements (Raw)'!D748)),"DIVIDEND",IF(ISNUMBER(SEARCH("Cedola",'Statements (Raw)'!D748)),"COUPON",IF(ISNUMBER(SEARCH("Ratei Pass",'Statements (Raw)'!D748)),"ACCRUED INT",IF(ISNUMBER(SEARCH("Interessi Prest",'Statements (Raw)'!D748)),"SEC LENDING",IF(ISNUMBER(SEARCH("Rimborso",'Statements (Raw)'!D748)),"REDEMPTION",IF(ISNUMBER(SEARCH("Provento",'Statements (Raw)'!D748)),"DISTRIBUTION","OTHER")))))))))))))</f>
        <v/>
      </c>
      <c r="D750" s="6" t="str">
        <f>IF(A750="","",IF(C750="Saldo Iniziale","Balance",IF(C750="CASH DEPOSIT","Deposit",IF(C750="CASH WITHDRAWAL","Withdrawal",IF(C750="STAMP DUTY","Tax",IF(C750="TOBIN TAX","Tax",IF(C750="WITHHOLDING TAX","Tax",IF(C750="DIVIDEND","Dividend",IF(C750="COUPON","Coupon",IF(C750="ACCRUED INT","Accrued Int.",IF(C750="SEC LENDING","Sec. Lending",IF(C750="REDEMPTION","Redemption",IF(C750="DISTRIBUTION","Distribution",IF(ISNUMBER(SEARCH("Rimborso",'Statements (Raw)'!D748)),"Redemption",IF(ISNUMBER(SEARCH("Cedola",'Statements (Raw)'!D748)),"Coupon",IF(ISNUMBER(SEARCH("Incasso Dividendi",'Statements (Raw)'!D748)),"Dividend",IF(ISNUMBER(SEARCH("Provento Etf",'Statements (Raw)'!D748)),"Distribution",IF(ISNUMBER(SEARCH("Rit.provento",'Statements (Raw)'!D748)),"Tax",IF(ISNUMBER(SEARCH("Ratei Pass",'Statements (Raw)'!D748)),"Accrued Int.",IF(ISNUMBER(SEARCH("Interessi Prest",'Statements (Raw)'!D748)),"Sec. Lending",IF('Statements (Raw)'!G748="","Other",IF('Statements (Raw)'!G748&gt;0,"Buy","Sell"))))))))))))))))))))))</f>
        <v/>
      </c>
      <c r="E750" s="6" t="str">
        <f t="shared" si="22"/>
        <v/>
      </c>
      <c r="F750" s="8" t="str">
        <f>IF(A750="","",IF('Statements (Raw)'!E748="","",'Statements (Raw)'!E748))</f>
        <v/>
      </c>
      <c r="G750" s="6" t="str">
        <f>IF(A750="","",IF('Statements (Raw)'!F748="","",'Statements (Raw)'!F748))</f>
        <v/>
      </c>
      <c r="H750" s="9" t="str">
        <f>IF(A750="","",IF('Statements (Raw)'!G748="","",'Statements (Raw)'!G748))</f>
        <v/>
      </c>
      <c r="I750" s="10" t="str">
        <f>IF(A750="","",IF('Statements (Raw)'!H748="","",'Statements (Raw)'!H748))</f>
        <v/>
      </c>
      <c r="J750" s="10">
        <f>IF(A750="",0,IF('Statements (Raw)'!I748="",0,'Statements (Raw)'!I748))</f>
        <v>0</v>
      </c>
      <c r="K750" s="10" t="str">
        <f t="shared" si="23"/>
        <v/>
      </c>
    </row>
    <row r="751" spans="1:11" x14ac:dyDescent="0.3">
      <c r="A751" s="171" t="str">
        <f>IF(OR('Statements (Raw)'!A749="",'Statements (Raw)'!A749&gt;Holdings!$G$3),"",'Statements (Raw)'!A749)</f>
        <v/>
      </c>
      <c r="B751" s="7" t="str">
        <f>IF(A751="","",IF('Statements (Raw)'!B749="","",'Statements (Raw)'!B749))</f>
        <v/>
      </c>
      <c r="C751" s="6" t="str">
        <f>IF(A751="","",IF('Statements (Raw)'!C749&lt;&gt;"",'Statements (Raw)'!C749,IF(ISNUMBER(SEARCH("Conferimento",'Statements (Raw)'!D749)),"CASH DEPOSIT",IF(ISNUMBER(SEARCH("Prelievo",'Statements (Raw)'!D749)),"CASH WITHDRAWAL",IF(ISNUMBER(SEARCH("Bollo",'Statements (Raw)'!D749)),"STAMP DUTY",IF(ISNUMBER(SEARCH("Tobin Tax",'Statements (Raw)'!D749)),"TOBIN TAX",IF(ISNUMBER(SEARCH("Rit.provento",'Statements (Raw)'!D749)),"WITHHOLDING TAX",IF(ISNUMBER(SEARCH("Incasso Dividendi",'Statements (Raw)'!D749)),"DIVIDEND",IF(ISNUMBER(SEARCH("Cedola",'Statements (Raw)'!D749)),"COUPON",IF(ISNUMBER(SEARCH("Ratei Pass",'Statements (Raw)'!D749)),"ACCRUED INT",IF(ISNUMBER(SEARCH("Interessi Prest",'Statements (Raw)'!D749)),"SEC LENDING",IF(ISNUMBER(SEARCH("Rimborso",'Statements (Raw)'!D749)),"REDEMPTION",IF(ISNUMBER(SEARCH("Provento",'Statements (Raw)'!D749)),"DISTRIBUTION","OTHER")))))))))))))</f>
        <v/>
      </c>
      <c r="D751" s="6" t="str">
        <f>IF(A751="","",IF(C751="Saldo Iniziale","Balance",IF(C751="CASH DEPOSIT","Deposit",IF(C751="CASH WITHDRAWAL","Withdrawal",IF(C751="STAMP DUTY","Tax",IF(C751="TOBIN TAX","Tax",IF(C751="WITHHOLDING TAX","Tax",IF(C751="DIVIDEND","Dividend",IF(C751="COUPON","Coupon",IF(C751="ACCRUED INT","Accrued Int.",IF(C751="SEC LENDING","Sec. Lending",IF(C751="REDEMPTION","Redemption",IF(C751="DISTRIBUTION","Distribution",IF(ISNUMBER(SEARCH("Rimborso",'Statements (Raw)'!D749)),"Redemption",IF(ISNUMBER(SEARCH("Cedola",'Statements (Raw)'!D749)),"Coupon",IF(ISNUMBER(SEARCH("Incasso Dividendi",'Statements (Raw)'!D749)),"Dividend",IF(ISNUMBER(SEARCH("Provento Etf",'Statements (Raw)'!D749)),"Distribution",IF(ISNUMBER(SEARCH("Rit.provento",'Statements (Raw)'!D749)),"Tax",IF(ISNUMBER(SEARCH("Ratei Pass",'Statements (Raw)'!D749)),"Accrued Int.",IF(ISNUMBER(SEARCH("Interessi Prest",'Statements (Raw)'!D749)),"Sec. Lending",IF('Statements (Raw)'!G749="","Other",IF('Statements (Raw)'!G749&gt;0,"Buy","Sell"))))))))))))))))))))))</f>
        <v/>
      </c>
      <c r="E751" s="6" t="str">
        <f t="shared" si="22"/>
        <v/>
      </c>
      <c r="F751" s="8" t="str">
        <f>IF(A751="","",IF('Statements (Raw)'!E749="","",'Statements (Raw)'!E749))</f>
        <v/>
      </c>
      <c r="G751" s="6" t="str">
        <f>IF(A751="","",IF('Statements (Raw)'!F749="","",'Statements (Raw)'!F749))</f>
        <v/>
      </c>
      <c r="H751" s="9" t="str">
        <f>IF(A751="","",IF('Statements (Raw)'!G749="","",'Statements (Raw)'!G749))</f>
        <v/>
      </c>
      <c r="I751" s="10" t="str">
        <f>IF(A751="","",IF('Statements (Raw)'!H749="","",'Statements (Raw)'!H749))</f>
        <v/>
      </c>
      <c r="J751" s="10">
        <f>IF(A751="",0,IF('Statements (Raw)'!I749="",0,'Statements (Raw)'!I749))</f>
        <v>0</v>
      </c>
      <c r="K751" s="10" t="str">
        <f t="shared" si="23"/>
        <v/>
      </c>
    </row>
    <row r="752" spans="1:11" x14ac:dyDescent="0.3">
      <c r="A752" s="171" t="str">
        <f>IF(OR('Statements (Raw)'!A750="",'Statements (Raw)'!A750&gt;Holdings!$G$3),"",'Statements (Raw)'!A750)</f>
        <v/>
      </c>
      <c r="B752" s="7" t="str">
        <f>IF(A752="","",IF('Statements (Raw)'!B750="","",'Statements (Raw)'!B750))</f>
        <v/>
      </c>
      <c r="C752" s="6" t="str">
        <f>IF(A752="","",IF('Statements (Raw)'!C750&lt;&gt;"",'Statements (Raw)'!C750,IF(ISNUMBER(SEARCH("Conferimento",'Statements (Raw)'!D750)),"CASH DEPOSIT",IF(ISNUMBER(SEARCH("Prelievo",'Statements (Raw)'!D750)),"CASH WITHDRAWAL",IF(ISNUMBER(SEARCH("Bollo",'Statements (Raw)'!D750)),"STAMP DUTY",IF(ISNUMBER(SEARCH("Tobin Tax",'Statements (Raw)'!D750)),"TOBIN TAX",IF(ISNUMBER(SEARCH("Rit.provento",'Statements (Raw)'!D750)),"WITHHOLDING TAX",IF(ISNUMBER(SEARCH("Incasso Dividendi",'Statements (Raw)'!D750)),"DIVIDEND",IF(ISNUMBER(SEARCH("Cedola",'Statements (Raw)'!D750)),"COUPON",IF(ISNUMBER(SEARCH("Ratei Pass",'Statements (Raw)'!D750)),"ACCRUED INT",IF(ISNUMBER(SEARCH("Interessi Prest",'Statements (Raw)'!D750)),"SEC LENDING",IF(ISNUMBER(SEARCH("Rimborso",'Statements (Raw)'!D750)),"REDEMPTION",IF(ISNUMBER(SEARCH("Provento",'Statements (Raw)'!D750)),"DISTRIBUTION","OTHER")))))))))))))</f>
        <v/>
      </c>
      <c r="D752" s="6" t="str">
        <f>IF(A752="","",IF(C752="Saldo Iniziale","Balance",IF(C752="CASH DEPOSIT","Deposit",IF(C752="CASH WITHDRAWAL","Withdrawal",IF(C752="STAMP DUTY","Tax",IF(C752="TOBIN TAX","Tax",IF(C752="WITHHOLDING TAX","Tax",IF(C752="DIVIDEND","Dividend",IF(C752="COUPON","Coupon",IF(C752="ACCRUED INT","Accrued Int.",IF(C752="SEC LENDING","Sec. Lending",IF(C752="REDEMPTION","Redemption",IF(C752="DISTRIBUTION","Distribution",IF(ISNUMBER(SEARCH("Rimborso",'Statements (Raw)'!D750)),"Redemption",IF(ISNUMBER(SEARCH("Cedola",'Statements (Raw)'!D750)),"Coupon",IF(ISNUMBER(SEARCH("Incasso Dividendi",'Statements (Raw)'!D750)),"Dividend",IF(ISNUMBER(SEARCH("Provento Etf",'Statements (Raw)'!D750)),"Distribution",IF(ISNUMBER(SEARCH("Rit.provento",'Statements (Raw)'!D750)),"Tax",IF(ISNUMBER(SEARCH("Ratei Pass",'Statements (Raw)'!D750)),"Accrued Int.",IF(ISNUMBER(SEARCH("Interessi Prest",'Statements (Raw)'!D750)),"Sec. Lending",IF('Statements (Raw)'!G750="","Other",IF('Statements (Raw)'!G750&gt;0,"Buy","Sell"))))))))))))))))))))))</f>
        <v/>
      </c>
      <c r="E752" s="6" t="str">
        <f t="shared" si="22"/>
        <v/>
      </c>
      <c r="F752" s="8" t="str">
        <f>IF(A752="","",IF('Statements (Raw)'!E750="","",'Statements (Raw)'!E750))</f>
        <v/>
      </c>
      <c r="G752" s="6" t="str">
        <f>IF(A752="","",IF('Statements (Raw)'!F750="","",'Statements (Raw)'!F750))</f>
        <v/>
      </c>
      <c r="H752" s="9" t="str">
        <f>IF(A752="","",IF('Statements (Raw)'!G750="","",'Statements (Raw)'!G750))</f>
        <v/>
      </c>
      <c r="I752" s="10" t="str">
        <f>IF(A752="","",IF('Statements (Raw)'!H750="","",'Statements (Raw)'!H750))</f>
        <v/>
      </c>
      <c r="J752" s="10">
        <f>IF(A752="",0,IF('Statements (Raw)'!I750="",0,'Statements (Raw)'!I750))</f>
        <v>0</v>
      </c>
      <c r="K752" s="10" t="str">
        <f t="shared" si="23"/>
        <v/>
      </c>
    </row>
    <row r="753" spans="1:11" x14ac:dyDescent="0.3">
      <c r="A753" s="171" t="str">
        <f>IF(OR('Statements (Raw)'!A751="",'Statements (Raw)'!A751&gt;Holdings!$G$3),"",'Statements (Raw)'!A751)</f>
        <v/>
      </c>
      <c r="B753" s="7" t="str">
        <f>IF(A753="","",IF('Statements (Raw)'!B751="","",'Statements (Raw)'!B751))</f>
        <v/>
      </c>
      <c r="C753" s="6" t="str">
        <f>IF(A753="","",IF('Statements (Raw)'!C751&lt;&gt;"",'Statements (Raw)'!C751,IF(ISNUMBER(SEARCH("Conferimento",'Statements (Raw)'!D751)),"CASH DEPOSIT",IF(ISNUMBER(SEARCH("Prelievo",'Statements (Raw)'!D751)),"CASH WITHDRAWAL",IF(ISNUMBER(SEARCH("Bollo",'Statements (Raw)'!D751)),"STAMP DUTY",IF(ISNUMBER(SEARCH("Tobin Tax",'Statements (Raw)'!D751)),"TOBIN TAX",IF(ISNUMBER(SEARCH("Rit.provento",'Statements (Raw)'!D751)),"WITHHOLDING TAX",IF(ISNUMBER(SEARCH("Incasso Dividendi",'Statements (Raw)'!D751)),"DIVIDEND",IF(ISNUMBER(SEARCH("Cedola",'Statements (Raw)'!D751)),"COUPON",IF(ISNUMBER(SEARCH("Ratei Pass",'Statements (Raw)'!D751)),"ACCRUED INT",IF(ISNUMBER(SEARCH("Interessi Prest",'Statements (Raw)'!D751)),"SEC LENDING",IF(ISNUMBER(SEARCH("Rimborso",'Statements (Raw)'!D751)),"REDEMPTION",IF(ISNUMBER(SEARCH("Provento",'Statements (Raw)'!D751)),"DISTRIBUTION","OTHER")))))))))))))</f>
        <v/>
      </c>
      <c r="D753" s="6" t="str">
        <f>IF(A753="","",IF(C753="Saldo Iniziale","Balance",IF(C753="CASH DEPOSIT","Deposit",IF(C753="CASH WITHDRAWAL","Withdrawal",IF(C753="STAMP DUTY","Tax",IF(C753="TOBIN TAX","Tax",IF(C753="WITHHOLDING TAX","Tax",IF(C753="DIVIDEND","Dividend",IF(C753="COUPON","Coupon",IF(C753="ACCRUED INT","Accrued Int.",IF(C753="SEC LENDING","Sec. Lending",IF(C753="REDEMPTION","Redemption",IF(C753="DISTRIBUTION","Distribution",IF(ISNUMBER(SEARCH("Rimborso",'Statements (Raw)'!D751)),"Redemption",IF(ISNUMBER(SEARCH("Cedola",'Statements (Raw)'!D751)),"Coupon",IF(ISNUMBER(SEARCH("Incasso Dividendi",'Statements (Raw)'!D751)),"Dividend",IF(ISNUMBER(SEARCH("Provento Etf",'Statements (Raw)'!D751)),"Distribution",IF(ISNUMBER(SEARCH("Rit.provento",'Statements (Raw)'!D751)),"Tax",IF(ISNUMBER(SEARCH("Ratei Pass",'Statements (Raw)'!D751)),"Accrued Int.",IF(ISNUMBER(SEARCH("Interessi Prest",'Statements (Raw)'!D751)),"Sec. Lending",IF('Statements (Raw)'!G751="","Other",IF('Statements (Raw)'!G751&gt;0,"Buy","Sell"))))))))))))))))))))))</f>
        <v/>
      </c>
      <c r="E753" s="6" t="str">
        <f t="shared" si="22"/>
        <v/>
      </c>
      <c r="F753" s="8" t="str">
        <f>IF(A753="","",IF('Statements (Raw)'!E751="","",'Statements (Raw)'!E751))</f>
        <v/>
      </c>
      <c r="G753" s="6" t="str">
        <f>IF(A753="","",IF('Statements (Raw)'!F751="","",'Statements (Raw)'!F751))</f>
        <v/>
      </c>
      <c r="H753" s="9" t="str">
        <f>IF(A753="","",IF('Statements (Raw)'!G751="","",'Statements (Raw)'!G751))</f>
        <v/>
      </c>
      <c r="I753" s="10" t="str">
        <f>IF(A753="","",IF('Statements (Raw)'!H751="","",'Statements (Raw)'!H751))</f>
        <v/>
      </c>
      <c r="J753" s="10">
        <f>IF(A753="",0,IF('Statements (Raw)'!I751="",0,'Statements (Raw)'!I751))</f>
        <v>0</v>
      </c>
      <c r="K753" s="10" t="str">
        <f t="shared" si="23"/>
        <v/>
      </c>
    </row>
    <row r="754" spans="1:11" x14ac:dyDescent="0.3">
      <c r="A754" s="171" t="str">
        <f>IF(OR('Statements (Raw)'!A752="",'Statements (Raw)'!A752&gt;Holdings!$G$3),"",'Statements (Raw)'!A752)</f>
        <v/>
      </c>
      <c r="B754" s="7" t="str">
        <f>IF(A754="","",IF('Statements (Raw)'!B752="","",'Statements (Raw)'!B752))</f>
        <v/>
      </c>
      <c r="C754" s="6" t="str">
        <f>IF(A754="","",IF('Statements (Raw)'!C752&lt;&gt;"",'Statements (Raw)'!C752,IF(ISNUMBER(SEARCH("Conferimento",'Statements (Raw)'!D752)),"CASH DEPOSIT",IF(ISNUMBER(SEARCH("Prelievo",'Statements (Raw)'!D752)),"CASH WITHDRAWAL",IF(ISNUMBER(SEARCH("Bollo",'Statements (Raw)'!D752)),"STAMP DUTY",IF(ISNUMBER(SEARCH("Tobin Tax",'Statements (Raw)'!D752)),"TOBIN TAX",IF(ISNUMBER(SEARCH("Rit.provento",'Statements (Raw)'!D752)),"WITHHOLDING TAX",IF(ISNUMBER(SEARCH("Incasso Dividendi",'Statements (Raw)'!D752)),"DIVIDEND",IF(ISNUMBER(SEARCH("Cedola",'Statements (Raw)'!D752)),"COUPON",IF(ISNUMBER(SEARCH("Ratei Pass",'Statements (Raw)'!D752)),"ACCRUED INT",IF(ISNUMBER(SEARCH("Interessi Prest",'Statements (Raw)'!D752)),"SEC LENDING",IF(ISNUMBER(SEARCH("Rimborso",'Statements (Raw)'!D752)),"REDEMPTION",IF(ISNUMBER(SEARCH("Provento",'Statements (Raw)'!D752)),"DISTRIBUTION","OTHER")))))))))))))</f>
        <v/>
      </c>
      <c r="D754" s="6" t="str">
        <f>IF(A754="","",IF(C754="Saldo Iniziale","Balance",IF(C754="CASH DEPOSIT","Deposit",IF(C754="CASH WITHDRAWAL","Withdrawal",IF(C754="STAMP DUTY","Tax",IF(C754="TOBIN TAX","Tax",IF(C754="WITHHOLDING TAX","Tax",IF(C754="DIVIDEND","Dividend",IF(C754="COUPON","Coupon",IF(C754="ACCRUED INT","Accrued Int.",IF(C754="SEC LENDING","Sec. Lending",IF(C754="REDEMPTION","Redemption",IF(C754="DISTRIBUTION","Distribution",IF(ISNUMBER(SEARCH("Rimborso",'Statements (Raw)'!D752)),"Redemption",IF(ISNUMBER(SEARCH("Cedola",'Statements (Raw)'!D752)),"Coupon",IF(ISNUMBER(SEARCH("Incasso Dividendi",'Statements (Raw)'!D752)),"Dividend",IF(ISNUMBER(SEARCH("Provento Etf",'Statements (Raw)'!D752)),"Distribution",IF(ISNUMBER(SEARCH("Rit.provento",'Statements (Raw)'!D752)),"Tax",IF(ISNUMBER(SEARCH("Ratei Pass",'Statements (Raw)'!D752)),"Accrued Int.",IF(ISNUMBER(SEARCH("Interessi Prest",'Statements (Raw)'!D752)),"Sec. Lending",IF('Statements (Raw)'!G752="","Other",IF('Statements (Raw)'!G752&gt;0,"Buy","Sell"))))))))))))))))))))))</f>
        <v/>
      </c>
      <c r="E754" s="6" t="str">
        <f t="shared" si="22"/>
        <v/>
      </c>
      <c r="F754" s="8" t="str">
        <f>IF(A754="","",IF('Statements (Raw)'!E752="","",'Statements (Raw)'!E752))</f>
        <v/>
      </c>
      <c r="G754" s="6" t="str">
        <f>IF(A754="","",IF('Statements (Raw)'!F752="","",'Statements (Raw)'!F752))</f>
        <v/>
      </c>
      <c r="H754" s="9" t="str">
        <f>IF(A754="","",IF('Statements (Raw)'!G752="","",'Statements (Raw)'!G752))</f>
        <v/>
      </c>
      <c r="I754" s="10" t="str">
        <f>IF(A754="","",IF('Statements (Raw)'!H752="","",'Statements (Raw)'!H752))</f>
        <v/>
      </c>
      <c r="J754" s="10">
        <f>IF(A754="",0,IF('Statements (Raw)'!I752="",0,'Statements (Raw)'!I752))</f>
        <v>0</v>
      </c>
      <c r="K754" s="10" t="str">
        <f t="shared" si="23"/>
        <v/>
      </c>
    </row>
    <row r="755" spans="1:11" x14ac:dyDescent="0.3">
      <c r="A755" s="171" t="str">
        <f>IF(OR('Statements (Raw)'!A753="",'Statements (Raw)'!A753&gt;Holdings!$G$3),"",'Statements (Raw)'!A753)</f>
        <v/>
      </c>
      <c r="B755" s="7" t="str">
        <f>IF(A755="","",IF('Statements (Raw)'!B753="","",'Statements (Raw)'!B753))</f>
        <v/>
      </c>
      <c r="C755" s="6" t="str">
        <f>IF(A755="","",IF('Statements (Raw)'!C753&lt;&gt;"",'Statements (Raw)'!C753,IF(ISNUMBER(SEARCH("Conferimento",'Statements (Raw)'!D753)),"CASH DEPOSIT",IF(ISNUMBER(SEARCH("Prelievo",'Statements (Raw)'!D753)),"CASH WITHDRAWAL",IF(ISNUMBER(SEARCH("Bollo",'Statements (Raw)'!D753)),"STAMP DUTY",IF(ISNUMBER(SEARCH("Tobin Tax",'Statements (Raw)'!D753)),"TOBIN TAX",IF(ISNUMBER(SEARCH("Rit.provento",'Statements (Raw)'!D753)),"WITHHOLDING TAX",IF(ISNUMBER(SEARCH("Incasso Dividendi",'Statements (Raw)'!D753)),"DIVIDEND",IF(ISNUMBER(SEARCH("Cedola",'Statements (Raw)'!D753)),"COUPON",IF(ISNUMBER(SEARCH("Ratei Pass",'Statements (Raw)'!D753)),"ACCRUED INT",IF(ISNUMBER(SEARCH("Interessi Prest",'Statements (Raw)'!D753)),"SEC LENDING",IF(ISNUMBER(SEARCH("Rimborso",'Statements (Raw)'!D753)),"REDEMPTION",IF(ISNUMBER(SEARCH("Provento",'Statements (Raw)'!D753)),"DISTRIBUTION","OTHER")))))))))))))</f>
        <v/>
      </c>
      <c r="D755" s="6" t="str">
        <f>IF(A755="","",IF(C755="Saldo Iniziale","Balance",IF(C755="CASH DEPOSIT","Deposit",IF(C755="CASH WITHDRAWAL","Withdrawal",IF(C755="STAMP DUTY","Tax",IF(C755="TOBIN TAX","Tax",IF(C755="WITHHOLDING TAX","Tax",IF(C755="DIVIDEND","Dividend",IF(C755="COUPON","Coupon",IF(C755="ACCRUED INT","Accrued Int.",IF(C755="SEC LENDING","Sec. Lending",IF(C755="REDEMPTION","Redemption",IF(C755="DISTRIBUTION","Distribution",IF(ISNUMBER(SEARCH("Rimborso",'Statements (Raw)'!D753)),"Redemption",IF(ISNUMBER(SEARCH("Cedola",'Statements (Raw)'!D753)),"Coupon",IF(ISNUMBER(SEARCH("Incasso Dividendi",'Statements (Raw)'!D753)),"Dividend",IF(ISNUMBER(SEARCH("Provento Etf",'Statements (Raw)'!D753)),"Distribution",IF(ISNUMBER(SEARCH("Rit.provento",'Statements (Raw)'!D753)),"Tax",IF(ISNUMBER(SEARCH("Ratei Pass",'Statements (Raw)'!D753)),"Accrued Int.",IF(ISNUMBER(SEARCH("Interessi Prest",'Statements (Raw)'!D753)),"Sec. Lending",IF('Statements (Raw)'!G753="","Other",IF('Statements (Raw)'!G753&gt;0,"Buy","Sell"))))))))))))))))))))))</f>
        <v/>
      </c>
      <c r="E755" s="6" t="str">
        <f t="shared" si="22"/>
        <v/>
      </c>
      <c r="F755" s="8" t="str">
        <f>IF(A755="","",IF('Statements (Raw)'!E753="","",'Statements (Raw)'!E753))</f>
        <v/>
      </c>
      <c r="G755" s="6" t="str">
        <f>IF(A755="","",IF('Statements (Raw)'!F753="","",'Statements (Raw)'!F753))</f>
        <v/>
      </c>
      <c r="H755" s="9" t="str">
        <f>IF(A755="","",IF('Statements (Raw)'!G753="","",'Statements (Raw)'!G753))</f>
        <v/>
      </c>
      <c r="I755" s="10" t="str">
        <f>IF(A755="","",IF('Statements (Raw)'!H753="","",'Statements (Raw)'!H753))</f>
        <v/>
      </c>
      <c r="J755" s="10">
        <f>IF(A755="",0,IF('Statements (Raw)'!I753="",0,'Statements (Raw)'!I753))</f>
        <v>0</v>
      </c>
      <c r="K755" s="10" t="str">
        <f t="shared" si="23"/>
        <v/>
      </c>
    </row>
    <row r="756" spans="1:11" x14ac:dyDescent="0.3">
      <c r="A756" s="171" t="str">
        <f>IF(OR('Statements (Raw)'!A754="",'Statements (Raw)'!A754&gt;Holdings!$G$3),"",'Statements (Raw)'!A754)</f>
        <v/>
      </c>
      <c r="B756" s="7" t="str">
        <f>IF(A756="","",IF('Statements (Raw)'!B754="","",'Statements (Raw)'!B754))</f>
        <v/>
      </c>
      <c r="C756" s="6" t="str">
        <f>IF(A756="","",IF('Statements (Raw)'!C754&lt;&gt;"",'Statements (Raw)'!C754,IF(ISNUMBER(SEARCH("Conferimento",'Statements (Raw)'!D754)),"CASH DEPOSIT",IF(ISNUMBER(SEARCH("Prelievo",'Statements (Raw)'!D754)),"CASH WITHDRAWAL",IF(ISNUMBER(SEARCH("Bollo",'Statements (Raw)'!D754)),"STAMP DUTY",IF(ISNUMBER(SEARCH("Tobin Tax",'Statements (Raw)'!D754)),"TOBIN TAX",IF(ISNUMBER(SEARCH("Rit.provento",'Statements (Raw)'!D754)),"WITHHOLDING TAX",IF(ISNUMBER(SEARCH("Incasso Dividendi",'Statements (Raw)'!D754)),"DIVIDEND",IF(ISNUMBER(SEARCH("Cedola",'Statements (Raw)'!D754)),"COUPON",IF(ISNUMBER(SEARCH("Ratei Pass",'Statements (Raw)'!D754)),"ACCRUED INT",IF(ISNUMBER(SEARCH("Interessi Prest",'Statements (Raw)'!D754)),"SEC LENDING",IF(ISNUMBER(SEARCH("Rimborso",'Statements (Raw)'!D754)),"REDEMPTION",IF(ISNUMBER(SEARCH("Provento",'Statements (Raw)'!D754)),"DISTRIBUTION","OTHER")))))))))))))</f>
        <v/>
      </c>
      <c r="D756" s="6" t="str">
        <f>IF(A756="","",IF(C756="Saldo Iniziale","Balance",IF(C756="CASH DEPOSIT","Deposit",IF(C756="CASH WITHDRAWAL","Withdrawal",IF(C756="STAMP DUTY","Tax",IF(C756="TOBIN TAX","Tax",IF(C756="WITHHOLDING TAX","Tax",IF(C756="DIVIDEND","Dividend",IF(C756="COUPON","Coupon",IF(C756="ACCRUED INT","Accrued Int.",IF(C756="SEC LENDING","Sec. Lending",IF(C756="REDEMPTION","Redemption",IF(C756="DISTRIBUTION","Distribution",IF(ISNUMBER(SEARCH("Rimborso",'Statements (Raw)'!D754)),"Redemption",IF(ISNUMBER(SEARCH("Cedola",'Statements (Raw)'!D754)),"Coupon",IF(ISNUMBER(SEARCH("Incasso Dividendi",'Statements (Raw)'!D754)),"Dividend",IF(ISNUMBER(SEARCH("Provento Etf",'Statements (Raw)'!D754)),"Distribution",IF(ISNUMBER(SEARCH("Rit.provento",'Statements (Raw)'!D754)),"Tax",IF(ISNUMBER(SEARCH("Ratei Pass",'Statements (Raw)'!D754)),"Accrued Int.",IF(ISNUMBER(SEARCH("Interessi Prest",'Statements (Raw)'!D754)),"Sec. Lending",IF('Statements (Raw)'!G754="","Other",IF('Statements (Raw)'!G754&gt;0,"Buy","Sell"))))))))))))))))))))))</f>
        <v/>
      </c>
      <c r="E756" s="6" t="str">
        <f t="shared" si="22"/>
        <v/>
      </c>
      <c r="F756" s="8" t="str">
        <f>IF(A756="","",IF('Statements (Raw)'!E754="","",'Statements (Raw)'!E754))</f>
        <v/>
      </c>
      <c r="G756" s="6" t="str">
        <f>IF(A756="","",IF('Statements (Raw)'!F754="","",'Statements (Raw)'!F754))</f>
        <v/>
      </c>
      <c r="H756" s="9" t="str">
        <f>IF(A756="","",IF('Statements (Raw)'!G754="","",'Statements (Raw)'!G754))</f>
        <v/>
      </c>
      <c r="I756" s="10" t="str">
        <f>IF(A756="","",IF('Statements (Raw)'!H754="","",'Statements (Raw)'!H754))</f>
        <v/>
      </c>
      <c r="J756" s="10">
        <f>IF(A756="",0,IF('Statements (Raw)'!I754="",0,'Statements (Raw)'!I754))</f>
        <v>0</v>
      </c>
      <c r="K756" s="10" t="str">
        <f t="shared" si="23"/>
        <v/>
      </c>
    </row>
    <row r="757" spans="1:11" x14ac:dyDescent="0.3">
      <c r="A757" s="171" t="str">
        <f>IF(OR('Statements (Raw)'!A755="",'Statements (Raw)'!A755&gt;Holdings!$G$3),"",'Statements (Raw)'!A755)</f>
        <v/>
      </c>
      <c r="B757" s="7" t="str">
        <f>IF(A757="","",IF('Statements (Raw)'!B755="","",'Statements (Raw)'!B755))</f>
        <v/>
      </c>
      <c r="C757" s="6" t="str">
        <f>IF(A757="","",IF('Statements (Raw)'!C755&lt;&gt;"",'Statements (Raw)'!C755,IF(ISNUMBER(SEARCH("Conferimento",'Statements (Raw)'!D755)),"CASH DEPOSIT",IF(ISNUMBER(SEARCH("Prelievo",'Statements (Raw)'!D755)),"CASH WITHDRAWAL",IF(ISNUMBER(SEARCH("Bollo",'Statements (Raw)'!D755)),"STAMP DUTY",IF(ISNUMBER(SEARCH("Tobin Tax",'Statements (Raw)'!D755)),"TOBIN TAX",IF(ISNUMBER(SEARCH("Rit.provento",'Statements (Raw)'!D755)),"WITHHOLDING TAX",IF(ISNUMBER(SEARCH("Incasso Dividendi",'Statements (Raw)'!D755)),"DIVIDEND",IF(ISNUMBER(SEARCH("Cedola",'Statements (Raw)'!D755)),"COUPON",IF(ISNUMBER(SEARCH("Ratei Pass",'Statements (Raw)'!D755)),"ACCRUED INT",IF(ISNUMBER(SEARCH("Interessi Prest",'Statements (Raw)'!D755)),"SEC LENDING",IF(ISNUMBER(SEARCH("Rimborso",'Statements (Raw)'!D755)),"REDEMPTION",IF(ISNUMBER(SEARCH("Provento",'Statements (Raw)'!D755)),"DISTRIBUTION","OTHER")))))))))))))</f>
        <v/>
      </c>
      <c r="D757" s="6" t="str">
        <f>IF(A757="","",IF(C757="Saldo Iniziale","Balance",IF(C757="CASH DEPOSIT","Deposit",IF(C757="CASH WITHDRAWAL","Withdrawal",IF(C757="STAMP DUTY","Tax",IF(C757="TOBIN TAX","Tax",IF(C757="WITHHOLDING TAX","Tax",IF(C757="DIVIDEND","Dividend",IF(C757="COUPON","Coupon",IF(C757="ACCRUED INT","Accrued Int.",IF(C757="SEC LENDING","Sec. Lending",IF(C757="REDEMPTION","Redemption",IF(C757="DISTRIBUTION","Distribution",IF(ISNUMBER(SEARCH("Rimborso",'Statements (Raw)'!D755)),"Redemption",IF(ISNUMBER(SEARCH("Cedola",'Statements (Raw)'!D755)),"Coupon",IF(ISNUMBER(SEARCH("Incasso Dividendi",'Statements (Raw)'!D755)),"Dividend",IF(ISNUMBER(SEARCH("Provento Etf",'Statements (Raw)'!D755)),"Distribution",IF(ISNUMBER(SEARCH("Rit.provento",'Statements (Raw)'!D755)),"Tax",IF(ISNUMBER(SEARCH("Ratei Pass",'Statements (Raw)'!D755)),"Accrued Int.",IF(ISNUMBER(SEARCH("Interessi Prest",'Statements (Raw)'!D755)),"Sec. Lending",IF('Statements (Raw)'!G755="","Other",IF('Statements (Raw)'!G755&gt;0,"Buy","Sell"))))))))))))))))))))))</f>
        <v/>
      </c>
      <c r="E757" s="6" t="str">
        <f t="shared" si="22"/>
        <v/>
      </c>
      <c r="F757" s="8" t="str">
        <f>IF(A757="","",IF('Statements (Raw)'!E755="","",'Statements (Raw)'!E755))</f>
        <v/>
      </c>
      <c r="G757" s="6" t="str">
        <f>IF(A757="","",IF('Statements (Raw)'!F755="","",'Statements (Raw)'!F755))</f>
        <v/>
      </c>
      <c r="H757" s="9" t="str">
        <f>IF(A757="","",IF('Statements (Raw)'!G755="","",'Statements (Raw)'!G755))</f>
        <v/>
      </c>
      <c r="I757" s="10" t="str">
        <f>IF(A757="","",IF('Statements (Raw)'!H755="","",'Statements (Raw)'!H755))</f>
        <v/>
      </c>
      <c r="J757" s="10">
        <f>IF(A757="",0,IF('Statements (Raw)'!I755="",0,'Statements (Raw)'!I755))</f>
        <v>0</v>
      </c>
      <c r="K757" s="10" t="str">
        <f t="shared" si="23"/>
        <v/>
      </c>
    </row>
    <row r="758" spans="1:11" x14ac:dyDescent="0.3">
      <c r="A758" s="171" t="str">
        <f>IF(OR('Statements (Raw)'!A756="",'Statements (Raw)'!A756&gt;Holdings!$G$3),"",'Statements (Raw)'!A756)</f>
        <v/>
      </c>
      <c r="B758" s="7" t="str">
        <f>IF(A758="","",IF('Statements (Raw)'!B756="","",'Statements (Raw)'!B756))</f>
        <v/>
      </c>
      <c r="C758" s="6" t="str">
        <f>IF(A758="","",IF('Statements (Raw)'!C756&lt;&gt;"",'Statements (Raw)'!C756,IF(ISNUMBER(SEARCH("Conferimento",'Statements (Raw)'!D756)),"CASH DEPOSIT",IF(ISNUMBER(SEARCH("Prelievo",'Statements (Raw)'!D756)),"CASH WITHDRAWAL",IF(ISNUMBER(SEARCH("Bollo",'Statements (Raw)'!D756)),"STAMP DUTY",IF(ISNUMBER(SEARCH("Tobin Tax",'Statements (Raw)'!D756)),"TOBIN TAX",IF(ISNUMBER(SEARCH("Rit.provento",'Statements (Raw)'!D756)),"WITHHOLDING TAX",IF(ISNUMBER(SEARCH("Incasso Dividendi",'Statements (Raw)'!D756)),"DIVIDEND",IF(ISNUMBER(SEARCH("Cedola",'Statements (Raw)'!D756)),"COUPON",IF(ISNUMBER(SEARCH("Ratei Pass",'Statements (Raw)'!D756)),"ACCRUED INT",IF(ISNUMBER(SEARCH("Interessi Prest",'Statements (Raw)'!D756)),"SEC LENDING",IF(ISNUMBER(SEARCH("Rimborso",'Statements (Raw)'!D756)),"REDEMPTION",IF(ISNUMBER(SEARCH("Provento",'Statements (Raw)'!D756)),"DISTRIBUTION","OTHER")))))))))))))</f>
        <v/>
      </c>
      <c r="D758" s="6" t="str">
        <f>IF(A758="","",IF(C758="Saldo Iniziale","Balance",IF(C758="CASH DEPOSIT","Deposit",IF(C758="CASH WITHDRAWAL","Withdrawal",IF(C758="STAMP DUTY","Tax",IF(C758="TOBIN TAX","Tax",IF(C758="WITHHOLDING TAX","Tax",IF(C758="DIVIDEND","Dividend",IF(C758="COUPON","Coupon",IF(C758="ACCRUED INT","Accrued Int.",IF(C758="SEC LENDING","Sec. Lending",IF(C758="REDEMPTION","Redemption",IF(C758="DISTRIBUTION","Distribution",IF(ISNUMBER(SEARCH("Rimborso",'Statements (Raw)'!D756)),"Redemption",IF(ISNUMBER(SEARCH("Cedola",'Statements (Raw)'!D756)),"Coupon",IF(ISNUMBER(SEARCH("Incasso Dividendi",'Statements (Raw)'!D756)),"Dividend",IF(ISNUMBER(SEARCH("Provento Etf",'Statements (Raw)'!D756)),"Distribution",IF(ISNUMBER(SEARCH("Rit.provento",'Statements (Raw)'!D756)),"Tax",IF(ISNUMBER(SEARCH("Ratei Pass",'Statements (Raw)'!D756)),"Accrued Int.",IF(ISNUMBER(SEARCH("Interessi Prest",'Statements (Raw)'!D756)),"Sec. Lending",IF('Statements (Raw)'!G756="","Other",IF('Statements (Raw)'!G756&gt;0,"Buy","Sell"))))))))))))))))))))))</f>
        <v/>
      </c>
      <c r="E758" s="6" t="str">
        <f t="shared" si="22"/>
        <v/>
      </c>
      <c r="F758" s="8" t="str">
        <f>IF(A758="","",IF('Statements (Raw)'!E756="","",'Statements (Raw)'!E756))</f>
        <v/>
      </c>
      <c r="G758" s="6" t="str">
        <f>IF(A758="","",IF('Statements (Raw)'!F756="","",'Statements (Raw)'!F756))</f>
        <v/>
      </c>
      <c r="H758" s="9" t="str">
        <f>IF(A758="","",IF('Statements (Raw)'!G756="","",'Statements (Raw)'!G756))</f>
        <v/>
      </c>
      <c r="I758" s="10" t="str">
        <f>IF(A758="","",IF('Statements (Raw)'!H756="","",'Statements (Raw)'!H756))</f>
        <v/>
      </c>
      <c r="J758" s="10">
        <f>IF(A758="",0,IF('Statements (Raw)'!I756="",0,'Statements (Raw)'!I756))</f>
        <v>0</v>
      </c>
      <c r="K758" s="10" t="str">
        <f t="shared" si="23"/>
        <v/>
      </c>
    </row>
    <row r="759" spans="1:11" x14ac:dyDescent="0.3">
      <c r="A759" s="171" t="str">
        <f>IF(OR('Statements (Raw)'!A757="",'Statements (Raw)'!A757&gt;Holdings!$G$3),"",'Statements (Raw)'!A757)</f>
        <v/>
      </c>
      <c r="B759" s="7" t="str">
        <f>IF(A759="","",IF('Statements (Raw)'!B757="","",'Statements (Raw)'!B757))</f>
        <v/>
      </c>
      <c r="C759" s="6" t="str">
        <f>IF(A759="","",IF('Statements (Raw)'!C757&lt;&gt;"",'Statements (Raw)'!C757,IF(ISNUMBER(SEARCH("Conferimento",'Statements (Raw)'!D757)),"CASH DEPOSIT",IF(ISNUMBER(SEARCH("Prelievo",'Statements (Raw)'!D757)),"CASH WITHDRAWAL",IF(ISNUMBER(SEARCH("Bollo",'Statements (Raw)'!D757)),"STAMP DUTY",IF(ISNUMBER(SEARCH("Tobin Tax",'Statements (Raw)'!D757)),"TOBIN TAX",IF(ISNUMBER(SEARCH("Rit.provento",'Statements (Raw)'!D757)),"WITHHOLDING TAX",IF(ISNUMBER(SEARCH("Incasso Dividendi",'Statements (Raw)'!D757)),"DIVIDEND",IF(ISNUMBER(SEARCH("Cedola",'Statements (Raw)'!D757)),"COUPON",IF(ISNUMBER(SEARCH("Ratei Pass",'Statements (Raw)'!D757)),"ACCRUED INT",IF(ISNUMBER(SEARCH("Interessi Prest",'Statements (Raw)'!D757)),"SEC LENDING",IF(ISNUMBER(SEARCH("Rimborso",'Statements (Raw)'!D757)),"REDEMPTION",IF(ISNUMBER(SEARCH("Provento",'Statements (Raw)'!D757)),"DISTRIBUTION","OTHER")))))))))))))</f>
        <v/>
      </c>
      <c r="D759" s="6" t="str">
        <f>IF(A759="","",IF(C759="Saldo Iniziale","Balance",IF(C759="CASH DEPOSIT","Deposit",IF(C759="CASH WITHDRAWAL","Withdrawal",IF(C759="STAMP DUTY","Tax",IF(C759="TOBIN TAX","Tax",IF(C759="WITHHOLDING TAX","Tax",IF(C759="DIVIDEND","Dividend",IF(C759="COUPON","Coupon",IF(C759="ACCRUED INT","Accrued Int.",IF(C759="SEC LENDING","Sec. Lending",IF(C759="REDEMPTION","Redemption",IF(C759="DISTRIBUTION","Distribution",IF(ISNUMBER(SEARCH("Rimborso",'Statements (Raw)'!D757)),"Redemption",IF(ISNUMBER(SEARCH("Cedola",'Statements (Raw)'!D757)),"Coupon",IF(ISNUMBER(SEARCH("Incasso Dividendi",'Statements (Raw)'!D757)),"Dividend",IF(ISNUMBER(SEARCH("Provento Etf",'Statements (Raw)'!D757)),"Distribution",IF(ISNUMBER(SEARCH("Rit.provento",'Statements (Raw)'!D757)),"Tax",IF(ISNUMBER(SEARCH("Ratei Pass",'Statements (Raw)'!D757)),"Accrued Int.",IF(ISNUMBER(SEARCH("Interessi Prest",'Statements (Raw)'!D757)),"Sec. Lending",IF('Statements (Raw)'!G757="","Other",IF('Statements (Raw)'!G757&gt;0,"Buy","Sell"))))))))))))))))))))))</f>
        <v/>
      </c>
      <c r="E759" s="6" t="str">
        <f t="shared" si="22"/>
        <v/>
      </c>
      <c r="F759" s="8" t="str">
        <f>IF(A759="","",IF('Statements (Raw)'!E757="","",'Statements (Raw)'!E757))</f>
        <v/>
      </c>
      <c r="G759" s="6" t="str">
        <f>IF(A759="","",IF('Statements (Raw)'!F757="","",'Statements (Raw)'!F757))</f>
        <v/>
      </c>
      <c r="H759" s="9" t="str">
        <f>IF(A759="","",IF('Statements (Raw)'!G757="","",'Statements (Raw)'!G757))</f>
        <v/>
      </c>
      <c r="I759" s="10" t="str">
        <f>IF(A759="","",IF('Statements (Raw)'!H757="","",'Statements (Raw)'!H757))</f>
        <v/>
      </c>
      <c r="J759" s="10">
        <f>IF(A759="",0,IF('Statements (Raw)'!I757="",0,'Statements (Raw)'!I757))</f>
        <v>0</v>
      </c>
      <c r="K759" s="10" t="str">
        <f t="shared" si="23"/>
        <v/>
      </c>
    </row>
    <row r="760" spans="1:11" x14ac:dyDescent="0.3">
      <c r="A760" s="171" t="str">
        <f>IF(OR('Statements (Raw)'!A758="",'Statements (Raw)'!A758&gt;Holdings!$G$3),"",'Statements (Raw)'!A758)</f>
        <v/>
      </c>
      <c r="B760" s="7" t="str">
        <f>IF(A760="","",IF('Statements (Raw)'!B758="","",'Statements (Raw)'!B758))</f>
        <v/>
      </c>
      <c r="C760" s="6" t="str">
        <f>IF(A760="","",IF('Statements (Raw)'!C758&lt;&gt;"",'Statements (Raw)'!C758,IF(ISNUMBER(SEARCH("Conferimento",'Statements (Raw)'!D758)),"CASH DEPOSIT",IF(ISNUMBER(SEARCH("Prelievo",'Statements (Raw)'!D758)),"CASH WITHDRAWAL",IF(ISNUMBER(SEARCH("Bollo",'Statements (Raw)'!D758)),"STAMP DUTY",IF(ISNUMBER(SEARCH("Tobin Tax",'Statements (Raw)'!D758)),"TOBIN TAX",IF(ISNUMBER(SEARCH("Rit.provento",'Statements (Raw)'!D758)),"WITHHOLDING TAX",IF(ISNUMBER(SEARCH("Incasso Dividendi",'Statements (Raw)'!D758)),"DIVIDEND",IF(ISNUMBER(SEARCH("Cedola",'Statements (Raw)'!D758)),"COUPON",IF(ISNUMBER(SEARCH("Ratei Pass",'Statements (Raw)'!D758)),"ACCRUED INT",IF(ISNUMBER(SEARCH("Interessi Prest",'Statements (Raw)'!D758)),"SEC LENDING",IF(ISNUMBER(SEARCH("Rimborso",'Statements (Raw)'!D758)),"REDEMPTION",IF(ISNUMBER(SEARCH("Provento",'Statements (Raw)'!D758)),"DISTRIBUTION","OTHER")))))))))))))</f>
        <v/>
      </c>
      <c r="D760" s="6" t="str">
        <f>IF(A760="","",IF(C760="Saldo Iniziale","Balance",IF(C760="CASH DEPOSIT","Deposit",IF(C760="CASH WITHDRAWAL","Withdrawal",IF(C760="STAMP DUTY","Tax",IF(C760="TOBIN TAX","Tax",IF(C760="WITHHOLDING TAX","Tax",IF(C760="DIVIDEND","Dividend",IF(C760="COUPON","Coupon",IF(C760="ACCRUED INT","Accrued Int.",IF(C760="SEC LENDING","Sec. Lending",IF(C760="REDEMPTION","Redemption",IF(C760="DISTRIBUTION","Distribution",IF(ISNUMBER(SEARCH("Rimborso",'Statements (Raw)'!D758)),"Redemption",IF(ISNUMBER(SEARCH("Cedola",'Statements (Raw)'!D758)),"Coupon",IF(ISNUMBER(SEARCH("Incasso Dividendi",'Statements (Raw)'!D758)),"Dividend",IF(ISNUMBER(SEARCH("Provento Etf",'Statements (Raw)'!D758)),"Distribution",IF(ISNUMBER(SEARCH("Rit.provento",'Statements (Raw)'!D758)),"Tax",IF(ISNUMBER(SEARCH("Ratei Pass",'Statements (Raw)'!D758)),"Accrued Int.",IF(ISNUMBER(SEARCH("Interessi Prest",'Statements (Raw)'!D758)),"Sec. Lending",IF('Statements (Raw)'!G758="","Other",IF('Statements (Raw)'!G758&gt;0,"Buy","Sell"))))))))))))))))))))))</f>
        <v/>
      </c>
      <c r="E760" s="6" t="str">
        <f t="shared" si="22"/>
        <v/>
      </c>
      <c r="F760" s="8" t="str">
        <f>IF(A760="","",IF('Statements (Raw)'!E758="","",'Statements (Raw)'!E758))</f>
        <v/>
      </c>
      <c r="G760" s="6" t="str">
        <f>IF(A760="","",IF('Statements (Raw)'!F758="","",'Statements (Raw)'!F758))</f>
        <v/>
      </c>
      <c r="H760" s="9" t="str">
        <f>IF(A760="","",IF('Statements (Raw)'!G758="","",'Statements (Raw)'!G758))</f>
        <v/>
      </c>
      <c r="I760" s="10" t="str">
        <f>IF(A760="","",IF('Statements (Raw)'!H758="","",'Statements (Raw)'!H758))</f>
        <v/>
      </c>
      <c r="J760" s="10">
        <f>IF(A760="",0,IF('Statements (Raw)'!I758="",0,'Statements (Raw)'!I758))</f>
        <v>0</v>
      </c>
      <c r="K760" s="10" t="str">
        <f t="shared" si="23"/>
        <v/>
      </c>
    </row>
    <row r="761" spans="1:11" x14ac:dyDescent="0.3">
      <c r="A761" s="171" t="str">
        <f>IF(OR('Statements (Raw)'!A759="",'Statements (Raw)'!A759&gt;Holdings!$G$3),"",'Statements (Raw)'!A759)</f>
        <v/>
      </c>
      <c r="B761" s="7" t="str">
        <f>IF(A761="","",IF('Statements (Raw)'!B759="","",'Statements (Raw)'!B759))</f>
        <v/>
      </c>
      <c r="C761" s="6" t="str">
        <f>IF(A761="","",IF('Statements (Raw)'!C759&lt;&gt;"",'Statements (Raw)'!C759,IF(ISNUMBER(SEARCH("Conferimento",'Statements (Raw)'!D759)),"CASH DEPOSIT",IF(ISNUMBER(SEARCH("Prelievo",'Statements (Raw)'!D759)),"CASH WITHDRAWAL",IF(ISNUMBER(SEARCH("Bollo",'Statements (Raw)'!D759)),"STAMP DUTY",IF(ISNUMBER(SEARCH("Tobin Tax",'Statements (Raw)'!D759)),"TOBIN TAX",IF(ISNUMBER(SEARCH("Rit.provento",'Statements (Raw)'!D759)),"WITHHOLDING TAX",IF(ISNUMBER(SEARCH("Incasso Dividendi",'Statements (Raw)'!D759)),"DIVIDEND",IF(ISNUMBER(SEARCH("Cedola",'Statements (Raw)'!D759)),"COUPON",IF(ISNUMBER(SEARCH("Ratei Pass",'Statements (Raw)'!D759)),"ACCRUED INT",IF(ISNUMBER(SEARCH("Interessi Prest",'Statements (Raw)'!D759)),"SEC LENDING",IF(ISNUMBER(SEARCH("Rimborso",'Statements (Raw)'!D759)),"REDEMPTION",IF(ISNUMBER(SEARCH("Provento",'Statements (Raw)'!D759)),"DISTRIBUTION","OTHER")))))))))))))</f>
        <v/>
      </c>
      <c r="D761" s="6" t="str">
        <f>IF(A761="","",IF(C761="Saldo Iniziale","Balance",IF(C761="CASH DEPOSIT","Deposit",IF(C761="CASH WITHDRAWAL","Withdrawal",IF(C761="STAMP DUTY","Tax",IF(C761="TOBIN TAX","Tax",IF(C761="WITHHOLDING TAX","Tax",IF(C761="DIVIDEND","Dividend",IF(C761="COUPON","Coupon",IF(C761="ACCRUED INT","Accrued Int.",IF(C761="SEC LENDING","Sec. Lending",IF(C761="REDEMPTION","Redemption",IF(C761="DISTRIBUTION","Distribution",IF(ISNUMBER(SEARCH("Rimborso",'Statements (Raw)'!D759)),"Redemption",IF(ISNUMBER(SEARCH("Cedola",'Statements (Raw)'!D759)),"Coupon",IF(ISNUMBER(SEARCH("Incasso Dividendi",'Statements (Raw)'!D759)),"Dividend",IF(ISNUMBER(SEARCH("Provento Etf",'Statements (Raw)'!D759)),"Distribution",IF(ISNUMBER(SEARCH("Rit.provento",'Statements (Raw)'!D759)),"Tax",IF(ISNUMBER(SEARCH("Ratei Pass",'Statements (Raw)'!D759)),"Accrued Int.",IF(ISNUMBER(SEARCH("Interessi Prest",'Statements (Raw)'!D759)),"Sec. Lending",IF('Statements (Raw)'!G759="","Other",IF('Statements (Raw)'!G759&gt;0,"Buy","Sell"))))))))))))))))))))))</f>
        <v/>
      </c>
      <c r="E761" s="6" t="str">
        <f t="shared" si="22"/>
        <v/>
      </c>
      <c r="F761" s="8" t="str">
        <f>IF(A761="","",IF('Statements (Raw)'!E759="","",'Statements (Raw)'!E759))</f>
        <v/>
      </c>
      <c r="G761" s="6" t="str">
        <f>IF(A761="","",IF('Statements (Raw)'!F759="","",'Statements (Raw)'!F759))</f>
        <v/>
      </c>
      <c r="H761" s="9" t="str">
        <f>IF(A761="","",IF('Statements (Raw)'!G759="","",'Statements (Raw)'!G759))</f>
        <v/>
      </c>
      <c r="I761" s="10" t="str">
        <f>IF(A761="","",IF('Statements (Raw)'!H759="","",'Statements (Raw)'!H759))</f>
        <v/>
      </c>
      <c r="J761" s="10">
        <f>IF(A761="",0,IF('Statements (Raw)'!I759="",0,'Statements (Raw)'!I759))</f>
        <v>0</v>
      </c>
      <c r="K761" s="10" t="str">
        <f t="shared" si="23"/>
        <v/>
      </c>
    </row>
    <row r="762" spans="1:11" x14ac:dyDescent="0.3">
      <c r="A762" s="171" t="str">
        <f>IF(OR('Statements (Raw)'!A760="",'Statements (Raw)'!A760&gt;Holdings!$G$3),"",'Statements (Raw)'!A760)</f>
        <v/>
      </c>
      <c r="B762" s="7" t="str">
        <f>IF(A762="","",IF('Statements (Raw)'!B760="","",'Statements (Raw)'!B760))</f>
        <v/>
      </c>
      <c r="C762" s="6" t="str">
        <f>IF(A762="","",IF('Statements (Raw)'!C760&lt;&gt;"",'Statements (Raw)'!C760,IF(ISNUMBER(SEARCH("Conferimento",'Statements (Raw)'!D760)),"CASH DEPOSIT",IF(ISNUMBER(SEARCH("Prelievo",'Statements (Raw)'!D760)),"CASH WITHDRAWAL",IF(ISNUMBER(SEARCH("Bollo",'Statements (Raw)'!D760)),"STAMP DUTY",IF(ISNUMBER(SEARCH("Tobin Tax",'Statements (Raw)'!D760)),"TOBIN TAX",IF(ISNUMBER(SEARCH("Rit.provento",'Statements (Raw)'!D760)),"WITHHOLDING TAX",IF(ISNUMBER(SEARCH("Incasso Dividendi",'Statements (Raw)'!D760)),"DIVIDEND",IF(ISNUMBER(SEARCH("Cedola",'Statements (Raw)'!D760)),"COUPON",IF(ISNUMBER(SEARCH("Ratei Pass",'Statements (Raw)'!D760)),"ACCRUED INT",IF(ISNUMBER(SEARCH("Interessi Prest",'Statements (Raw)'!D760)),"SEC LENDING",IF(ISNUMBER(SEARCH("Rimborso",'Statements (Raw)'!D760)),"REDEMPTION",IF(ISNUMBER(SEARCH("Provento",'Statements (Raw)'!D760)),"DISTRIBUTION","OTHER")))))))))))))</f>
        <v/>
      </c>
      <c r="D762" s="6" t="str">
        <f>IF(A762="","",IF(C762="Saldo Iniziale","Balance",IF(C762="CASH DEPOSIT","Deposit",IF(C762="CASH WITHDRAWAL","Withdrawal",IF(C762="STAMP DUTY","Tax",IF(C762="TOBIN TAX","Tax",IF(C762="WITHHOLDING TAX","Tax",IF(C762="DIVIDEND","Dividend",IF(C762="COUPON","Coupon",IF(C762="ACCRUED INT","Accrued Int.",IF(C762="SEC LENDING","Sec. Lending",IF(C762="REDEMPTION","Redemption",IF(C762="DISTRIBUTION","Distribution",IF(ISNUMBER(SEARCH("Rimborso",'Statements (Raw)'!D760)),"Redemption",IF(ISNUMBER(SEARCH("Cedola",'Statements (Raw)'!D760)),"Coupon",IF(ISNUMBER(SEARCH("Incasso Dividendi",'Statements (Raw)'!D760)),"Dividend",IF(ISNUMBER(SEARCH("Provento Etf",'Statements (Raw)'!D760)),"Distribution",IF(ISNUMBER(SEARCH("Rit.provento",'Statements (Raw)'!D760)),"Tax",IF(ISNUMBER(SEARCH("Ratei Pass",'Statements (Raw)'!D760)),"Accrued Int.",IF(ISNUMBER(SEARCH("Interessi Prest",'Statements (Raw)'!D760)),"Sec. Lending",IF('Statements (Raw)'!G760="","Other",IF('Statements (Raw)'!G760&gt;0,"Buy","Sell"))))))))))))))))))))))</f>
        <v/>
      </c>
      <c r="E762" s="6" t="str">
        <f t="shared" si="22"/>
        <v/>
      </c>
      <c r="F762" s="8" t="str">
        <f>IF(A762="","",IF('Statements (Raw)'!E760="","",'Statements (Raw)'!E760))</f>
        <v/>
      </c>
      <c r="G762" s="6" t="str">
        <f>IF(A762="","",IF('Statements (Raw)'!F760="","",'Statements (Raw)'!F760))</f>
        <v/>
      </c>
      <c r="H762" s="9" t="str">
        <f>IF(A762="","",IF('Statements (Raw)'!G760="","",'Statements (Raw)'!G760))</f>
        <v/>
      </c>
      <c r="I762" s="10" t="str">
        <f>IF(A762="","",IF('Statements (Raw)'!H760="","",'Statements (Raw)'!H760))</f>
        <v/>
      </c>
      <c r="J762" s="10">
        <f>IF(A762="",0,IF('Statements (Raw)'!I760="",0,'Statements (Raw)'!I760))</f>
        <v>0</v>
      </c>
      <c r="K762" s="10" t="str">
        <f t="shared" si="23"/>
        <v/>
      </c>
    </row>
    <row r="763" spans="1:11" x14ac:dyDescent="0.3">
      <c r="A763" s="171" t="str">
        <f>IF(OR('Statements (Raw)'!A761="",'Statements (Raw)'!A761&gt;Holdings!$G$3),"",'Statements (Raw)'!A761)</f>
        <v/>
      </c>
      <c r="B763" s="7" t="str">
        <f>IF(A763="","",IF('Statements (Raw)'!B761="","",'Statements (Raw)'!B761))</f>
        <v/>
      </c>
      <c r="C763" s="6" t="str">
        <f>IF(A763="","",IF('Statements (Raw)'!C761&lt;&gt;"",'Statements (Raw)'!C761,IF(ISNUMBER(SEARCH("Conferimento",'Statements (Raw)'!D761)),"CASH DEPOSIT",IF(ISNUMBER(SEARCH("Prelievo",'Statements (Raw)'!D761)),"CASH WITHDRAWAL",IF(ISNUMBER(SEARCH("Bollo",'Statements (Raw)'!D761)),"STAMP DUTY",IF(ISNUMBER(SEARCH("Tobin Tax",'Statements (Raw)'!D761)),"TOBIN TAX",IF(ISNUMBER(SEARCH("Rit.provento",'Statements (Raw)'!D761)),"WITHHOLDING TAX",IF(ISNUMBER(SEARCH("Incasso Dividendi",'Statements (Raw)'!D761)),"DIVIDEND",IF(ISNUMBER(SEARCH("Cedola",'Statements (Raw)'!D761)),"COUPON",IF(ISNUMBER(SEARCH("Ratei Pass",'Statements (Raw)'!D761)),"ACCRUED INT",IF(ISNUMBER(SEARCH("Interessi Prest",'Statements (Raw)'!D761)),"SEC LENDING",IF(ISNUMBER(SEARCH("Rimborso",'Statements (Raw)'!D761)),"REDEMPTION",IF(ISNUMBER(SEARCH("Provento",'Statements (Raw)'!D761)),"DISTRIBUTION","OTHER")))))))))))))</f>
        <v/>
      </c>
      <c r="D763" s="6" t="str">
        <f>IF(A763="","",IF(C763="Saldo Iniziale","Balance",IF(C763="CASH DEPOSIT","Deposit",IF(C763="CASH WITHDRAWAL","Withdrawal",IF(C763="STAMP DUTY","Tax",IF(C763="TOBIN TAX","Tax",IF(C763="WITHHOLDING TAX","Tax",IF(C763="DIVIDEND","Dividend",IF(C763="COUPON","Coupon",IF(C763="ACCRUED INT","Accrued Int.",IF(C763="SEC LENDING","Sec. Lending",IF(C763="REDEMPTION","Redemption",IF(C763="DISTRIBUTION","Distribution",IF(ISNUMBER(SEARCH("Rimborso",'Statements (Raw)'!D761)),"Redemption",IF(ISNUMBER(SEARCH("Cedola",'Statements (Raw)'!D761)),"Coupon",IF(ISNUMBER(SEARCH("Incasso Dividendi",'Statements (Raw)'!D761)),"Dividend",IF(ISNUMBER(SEARCH("Provento Etf",'Statements (Raw)'!D761)),"Distribution",IF(ISNUMBER(SEARCH("Rit.provento",'Statements (Raw)'!D761)),"Tax",IF(ISNUMBER(SEARCH("Ratei Pass",'Statements (Raw)'!D761)),"Accrued Int.",IF(ISNUMBER(SEARCH("Interessi Prest",'Statements (Raw)'!D761)),"Sec. Lending",IF('Statements (Raw)'!G761="","Other",IF('Statements (Raw)'!G761&gt;0,"Buy","Sell"))))))))))))))))))))))</f>
        <v/>
      </c>
      <c r="E763" s="6" t="str">
        <f t="shared" si="22"/>
        <v/>
      </c>
      <c r="F763" s="8" t="str">
        <f>IF(A763="","",IF('Statements (Raw)'!E761="","",'Statements (Raw)'!E761))</f>
        <v/>
      </c>
      <c r="G763" s="6" t="str">
        <f>IF(A763="","",IF('Statements (Raw)'!F761="","",'Statements (Raw)'!F761))</f>
        <v/>
      </c>
      <c r="H763" s="9" t="str">
        <f>IF(A763="","",IF('Statements (Raw)'!G761="","",'Statements (Raw)'!G761))</f>
        <v/>
      </c>
      <c r="I763" s="10" t="str">
        <f>IF(A763="","",IF('Statements (Raw)'!H761="","",'Statements (Raw)'!H761))</f>
        <v/>
      </c>
      <c r="J763" s="10">
        <f>IF(A763="",0,IF('Statements (Raw)'!I761="",0,'Statements (Raw)'!I761))</f>
        <v>0</v>
      </c>
      <c r="K763" s="10" t="str">
        <f t="shared" si="23"/>
        <v/>
      </c>
    </row>
    <row r="764" spans="1:11" x14ac:dyDescent="0.3">
      <c r="A764" s="171" t="str">
        <f>IF(OR('Statements (Raw)'!A762="",'Statements (Raw)'!A762&gt;Holdings!$G$3),"",'Statements (Raw)'!A762)</f>
        <v/>
      </c>
      <c r="B764" s="7" t="str">
        <f>IF(A764="","",IF('Statements (Raw)'!B762="","",'Statements (Raw)'!B762))</f>
        <v/>
      </c>
      <c r="C764" s="6" t="str">
        <f>IF(A764="","",IF('Statements (Raw)'!C762&lt;&gt;"",'Statements (Raw)'!C762,IF(ISNUMBER(SEARCH("Conferimento",'Statements (Raw)'!D762)),"CASH DEPOSIT",IF(ISNUMBER(SEARCH("Prelievo",'Statements (Raw)'!D762)),"CASH WITHDRAWAL",IF(ISNUMBER(SEARCH("Bollo",'Statements (Raw)'!D762)),"STAMP DUTY",IF(ISNUMBER(SEARCH("Tobin Tax",'Statements (Raw)'!D762)),"TOBIN TAX",IF(ISNUMBER(SEARCH("Rit.provento",'Statements (Raw)'!D762)),"WITHHOLDING TAX",IF(ISNUMBER(SEARCH("Incasso Dividendi",'Statements (Raw)'!D762)),"DIVIDEND",IF(ISNUMBER(SEARCH("Cedola",'Statements (Raw)'!D762)),"COUPON",IF(ISNUMBER(SEARCH("Ratei Pass",'Statements (Raw)'!D762)),"ACCRUED INT",IF(ISNUMBER(SEARCH("Interessi Prest",'Statements (Raw)'!D762)),"SEC LENDING",IF(ISNUMBER(SEARCH("Rimborso",'Statements (Raw)'!D762)),"REDEMPTION",IF(ISNUMBER(SEARCH("Provento",'Statements (Raw)'!D762)),"DISTRIBUTION","OTHER")))))))))))))</f>
        <v/>
      </c>
      <c r="D764" s="6" t="str">
        <f>IF(A764="","",IF(C764="Saldo Iniziale","Balance",IF(C764="CASH DEPOSIT","Deposit",IF(C764="CASH WITHDRAWAL","Withdrawal",IF(C764="STAMP DUTY","Tax",IF(C764="TOBIN TAX","Tax",IF(C764="WITHHOLDING TAX","Tax",IF(C764="DIVIDEND","Dividend",IF(C764="COUPON","Coupon",IF(C764="ACCRUED INT","Accrued Int.",IF(C764="SEC LENDING","Sec. Lending",IF(C764="REDEMPTION","Redemption",IF(C764="DISTRIBUTION","Distribution",IF(ISNUMBER(SEARCH("Rimborso",'Statements (Raw)'!D762)),"Redemption",IF(ISNUMBER(SEARCH("Cedola",'Statements (Raw)'!D762)),"Coupon",IF(ISNUMBER(SEARCH("Incasso Dividendi",'Statements (Raw)'!D762)),"Dividend",IF(ISNUMBER(SEARCH("Provento Etf",'Statements (Raw)'!D762)),"Distribution",IF(ISNUMBER(SEARCH("Rit.provento",'Statements (Raw)'!D762)),"Tax",IF(ISNUMBER(SEARCH("Ratei Pass",'Statements (Raw)'!D762)),"Accrued Int.",IF(ISNUMBER(SEARCH("Interessi Prest",'Statements (Raw)'!D762)),"Sec. Lending",IF('Statements (Raw)'!G762="","Other",IF('Statements (Raw)'!G762&gt;0,"Buy","Sell"))))))))))))))))))))))</f>
        <v/>
      </c>
      <c r="E764" s="6" t="str">
        <f t="shared" si="22"/>
        <v/>
      </c>
      <c r="F764" s="8" t="str">
        <f>IF(A764="","",IF('Statements (Raw)'!E762="","",'Statements (Raw)'!E762))</f>
        <v/>
      </c>
      <c r="G764" s="6" t="str">
        <f>IF(A764="","",IF('Statements (Raw)'!F762="","",'Statements (Raw)'!F762))</f>
        <v/>
      </c>
      <c r="H764" s="9" t="str">
        <f>IF(A764="","",IF('Statements (Raw)'!G762="","",'Statements (Raw)'!G762))</f>
        <v/>
      </c>
      <c r="I764" s="10" t="str">
        <f>IF(A764="","",IF('Statements (Raw)'!H762="","",'Statements (Raw)'!H762))</f>
        <v/>
      </c>
      <c r="J764" s="10">
        <f>IF(A764="",0,IF('Statements (Raw)'!I762="",0,'Statements (Raw)'!I762))</f>
        <v>0</v>
      </c>
      <c r="K764" s="10" t="str">
        <f t="shared" si="23"/>
        <v/>
      </c>
    </row>
    <row r="765" spans="1:11" x14ac:dyDescent="0.3">
      <c r="A765" s="171" t="str">
        <f>IF(OR('Statements (Raw)'!A763="",'Statements (Raw)'!A763&gt;Holdings!$G$3),"",'Statements (Raw)'!A763)</f>
        <v/>
      </c>
      <c r="B765" s="7" t="str">
        <f>IF(A765="","",IF('Statements (Raw)'!B763="","",'Statements (Raw)'!B763))</f>
        <v/>
      </c>
      <c r="C765" s="6" t="str">
        <f>IF(A765="","",IF('Statements (Raw)'!C763&lt;&gt;"",'Statements (Raw)'!C763,IF(ISNUMBER(SEARCH("Conferimento",'Statements (Raw)'!D763)),"CASH DEPOSIT",IF(ISNUMBER(SEARCH("Prelievo",'Statements (Raw)'!D763)),"CASH WITHDRAWAL",IF(ISNUMBER(SEARCH("Bollo",'Statements (Raw)'!D763)),"STAMP DUTY",IF(ISNUMBER(SEARCH("Tobin Tax",'Statements (Raw)'!D763)),"TOBIN TAX",IF(ISNUMBER(SEARCH("Rit.provento",'Statements (Raw)'!D763)),"WITHHOLDING TAX",IF(ISNUMBER(SEARCH("Incasso Dividendi",'Statements (Raw)'!D763)),"DIVIDEND",IF(ISNUMBER(SEARCH("Cedola",'Statements (Raw)'!D763)),"COUPON",IF(ISNUMBER(SEARCH("Ratei Pass",'Statements (Raw)'!D763)),"ACCRUED INT",IF(ISNUMBER(SEARCH("Interessi Prest",'Statements (Raw)'!D763)),"SEC LENDING",IF(ISNUMBER(SEARCH("Rimborso",'Statements (Raw)'!D763)),"REDEMPTION",IF(ISNUMBER(SEARCH("Provento",'Statements (Raw)'!D763)),"DISTRIBUTION","OTHER")))))))))))))</f>
        <v/>
      </c>
      <c r="D765" s="6" t="str">
        <f>IF(A765="","",IF(C765="Saldo Iniziale","Balance",IF(C765="CASH DEPOSIT","Deposit",IF(C765="CASH WITHDRAWAL","Withdrawal",IF(C765="STAMP DUTY","Tax",IF(C765="TOBIN TAX","Tax",IF(C765="WITHHOLDING TAX","Tax",IF(C765="DIVIDEND","Dividend",IF(C765="COUPON","Coupon",IF(C765="ACCRUED INT","Accrued Int.",IF(C765="SEC LENDING","Sec. Lending",IF(C765="REDEMPTION","Redemption",IF(C765="DISTRIBUTION","Distribution",IF(ISNUMBER(SEARCH("Rimborso",'Statements (Raw)'!D763)),"Redemption",IF(ISNUMBER(SEARCH("Cedola",'Statements (Raw)'!D763)),"Coupon",IF(ISNUMBER(SEARCH("Incasso Dividendi",'Statements (Raw)'!D763)),"Dividend",IF(ISNUMBER(SEARCH("Provento Etf",'Statements (Raw)'!D763)),"Distribution",IF(ISNUMBER(SEARCH("Rit.provento",'Statements (Raw)'!D763)),"Tax",IF(ISNUMBER(SEARCH("Ratei Pass",'Statements (Raw)'!D763)),"Accrued Int.",IF(ISNUMBER(SEARCH("Interessi Prest",'Statements (Raw)'!D763)),"Sec. Lending",IF('Statements (Raw)'!G763="","Other",IF('Statements (Raw)'!G763&gt;0,"Buy","Sell"))))))))))))))))))))))</f>
        <v/>
      </c>
      <c r="E765" s="6" t="str">
        <f t="shared" si="22"/>
        <v/>
      </c>
      <c r="F765" s="8" t="str">
        <f>IF(A765="","",IF('Statements (Raw)'!E763="","",'Statements (Raw)'!E763))</f>
        <v/>
      </c>
      <c r="G765" s="6" t="str">
        <f>IF(A765="","",IF('Statements (Raw)'!F763="","",'Statements (Raw)'!F763))</f>
        <v/>
      </c>
      <c r="H765" s="9" t="str">
        <f>IF(A765="","",IF('Statements (Raw)'!G763="","",'Statements (Raw)'!G763))</f>
        <v/>
      </c>
      <c r="I765" s="10" t="str">
        <f>IF(A765="","",IF('Statements (Raw)'!H763="","",'Statements (Raw)'!H763))</f>
        <v/>
      </c>
      <c r="J765" s="10">
        <f>IF(A765="",0,IF('Statements (Raw)'!I763="",0,'Statements (Raw)'!I763))</f>
        <v>0</v>
      </c>
      <c r="K765" s="10" t="str">
        <f t="shared" si="23"/>
        <v/>
      </c>
    </row>
    <row r="766" spans="1:11" x14ac:dyDescent="0.3">
      <c r="A766" s="171" t="str">
        <f>IF(OR('Statements (Raw)'!A764="",'Statements (Raw)'!A764&gt;Holdings!$G$3),"",'Statements (Raw)'!A764)</f>
        <v/>
      </c>
      <c r="B766" s="7" t="str">
        <f>IF(A766="","",IF('Statements (Raw)'!B764="","",'Statements (Raw)'!B764))</f>
        <v/>
      </c>
      <c r="C766" s="6" t="str">
        <f>IF(A766="","",IF('Statements (Raw)'!C764&lt;&gt;"",'Statements (Raw)'!C764,IF(ISNUMBER(SEARCH("Conferimento",'Statements (Raw)'!D764)),"CASH DEPOSIT",IF(ISNUMBER(SEARCH("Prelievo",'Statements (Raw)'!D764)),"CASH WITHDRAWAL",IF(ISNUMBER(SEARCH("Bollo",'Statements (Raw)'!D764)),"STAMP DUTY",IF(ISNUMBER(SEARCH("Tobin Tax",'Statements (Raw)'!D764)),"TOBIN TAX",IF(ISNUMBER(SEARCH("Rit.provento",'Statements (Raw)'!D764)),"WITHHOLDING TAX",IF(ISNUMBER(SEARCH("Incasso Dividendi",'Statements (Raw)'!D764)),"DIVIDEND",IF(ISNUMBER(SEARCH("Cedola",'Statements (Raw)'!D764)),"COUPON",IF(ISNUMBER(SEARCH("Ratei Pass",'Statements (Raw)'!D764)),"ACCRUED INT",IF(ISNUMBER(SEARCH("Interessi Prest",'Statements (Raw)'!D764)),"SEC LENDING",IF(ISNUMBER(SEARCH("Rimborso",'Statements (Raw)'!D764)),"REDEMPTION",IF(ISNUMBER(SEARCH("Provento",'Statements (Raw)'!D764)),"DISTRIBUTION","OTHER")))))))))))))</f>
        <v/>
      </c>
      <c r="D766" s="6" t="str">
        <f>IF(A766="","",IF(C766="Saldo Iniziale","Balance",IF(C766="CASH DEPOSIT","Deposit",IF(C766="CASH WITHDRAWAL","Withdrawal",IF(C766="STAMP DUTY","Tax",IF(C766="TOBIN TAX","Tax",IF(C766="WITHHOLDING TAX","Tax",IF(C766="DIVIDEND","Dividend",IF(C766="COUPON","Coupon",IF(C766="ACCRUED INT","Accrued Int.",IF(C766="SEC LENDING","Sec. Lending",IF(C766="REDEMPTION","Redemption",IF(C766="DISTRIBUTION","Distribution",IF(ISNUMBER(SEARCH("Rimborso",'Statements (Raw)'!D764)),"Redemption",IF(ISNUMBER(SEARCH("Cedola",'Statements (Raw)'!D764)),"Coupon",IF(ISNUMBER(SEARCH("Incasso Dividendi",'Statements (Raw)'!D764)),"Dividend",IF(ISNUMBER(SEARCH("Provento Etf",'Statements (Raw)'!D764)),"Distribution",IF(ISNUMBER(SEARCH("Rit.provento",'Statements (Raw)'!D764)),"Tax",IF(ISNUMBER(SEARCH("Ratei Pass",'Statements (Raw)'!D764)),"Accrued Int.",IF(ISNUMBER(SEARCH("Interessi Prest",'Statements (Raw)'!D764)),"Sec. Lending",IF('Statements (Raw)'!G764="","Other",IF('Statements (Raw)'!G764&gt;0,"Buy","Sell"))))))))))))))))))))))</f>
        <v/>
      </c>
      <c r="E766" s="6" t="str">
        <f t="shared" si="22"/>
        <v/>
      </c>
      <c r="F766" s="8" t="str">
        <f>IF(A766="","",IF('Statements (Raw)'!E764="","",'Statements (Raw)'!E764))</f>
        <v/>
      </c>
      <c r="G766" s="6" t="str">
        <f>IF(A766="","",IF('Statements (Raw)'!F764="","",'Statements (Raw)'!F764))</f>
        <v/>
      </c>
      <c r="H766" s="9" t="str">
        <f>IF(A766="","",IF('Statements (Raw)'!G764="","",'Statements (Raw)'!G764))</f>
        <v/>
      </c>
      <c r="I766" s="10" t="str">
        <f>IF(A766="","",IF('Statements (Raw)'!H764="","",'Statements (Raw)'!H764))</f>
        <v/>
      </c>
      <c r="J766" s="10">
        <f>IF(A766="",0,IF('Statements (Raw)'!I764="",0,'Statements (Raw)'!I764))</f>
        <v>0</v>
      </c>
      <c r="K766" s="10" t="str">
        <f t="shared" si="23"/>
        <v/>
      </c>
    </row>
    <row r="767" spans="1:11" x14ac:dyDescent="0.3">
      <c r="A767" s="171" t="str">
        <f>IF(OR('Statements (Raw)'!A765="",'Statements (Raw)'!A765&gt;Holdings!$G$3),"",'Statements (Raw)'!A765)</f>
        <v/>
      </c>
      <c r="B767" s="7" t="str">
        <f>IF(A767="","",IF('Statements (Raw)'!B765="","",'Statements (Raw)'!B765))</f>
        <v/>
      </c>
      <c r="C767" s="6" t="str">
        <f>IF(A767="","",IF('Statements (Raw)'!C765&lt;&gt;"",'Statements (Raw)'!C765,IF(ISNUMBER(SEARCH("Conferimento",'Statements (Raw)'!D765)),"CASH DEPOSIT",IF(ISNUMBER(SEARCH("Prelievo",'Statements (Raw)'!D765)),"CASH WITHDRAWAL",IF(ISNUMBER(SEARCH("Bollo",'Statements (Raw)'!D765)),"STAMP DUTY",IF(ISNUMBER(SEARCH("Tobin Tax",'Statements (Raw)'!D765)),"TOBIN TAX",IF(ISNUMBER(SEARCH("Rit.provento",'Statements (Raw)'!D765)),"WITHHOLDING TAX",IF(ISNUMBER(SEARCH("Incasso Dividendi",'Statements (Raw)'!D765)),"DIVIDEND",IF(ISNUMBER(SEARCH("Cedola",'Statements (Raw)'!D765)),"COUPON",IF(ISNUMBER(SEARCH("Ratei Pass",'Statements (Raw)'!D765)),"ACCRUED INT",IF(ISNUMBER(SEARCH("Interessi Prest",'Statements (Raw)'!D765)),"SEC LENDING",IF(ISNUMBER(SEARCH("Rimborso",'Statements (Raw)'!D765)),"REDEMPTION",IF(ISNUMBER(SEARCH("Provento",'Statements (Raw)'!D765)),"DISTRIBUTION","OTHER")))))))))))))</f>
        <v/>
      </c>
      <c r="D767" s="6" t="str">
        <f>IF(A767="","",IF(C767="Saldo Iniziale","Balance",IF(C767="CASH DEPOSIT","Deposit",IF(C767="CASH WITHDRAWAL","Withdrawal",IF(C767="STAMP DUTY","Tax",IF(C767="TOBIN TAX","Tax",IF(C767="WITHHOLDING TAX","Tax",IF(C767="DIVIDEND","Dividend",IF(C767="COUPON","Coupon",IF(C767="ACCRUED INT","Accrued Int.",IF(C767="SEC LENDING","Sec. Lending",IF(C767="REDEMPTION","Redemption",IF(C767="DISTRIBUTION","Distribution",IF(ISNUMBER(SEARCH("Rimborso",'Statements (Raw)'!D765)),"Redemption",IF(ISNUMBER(SEARCH("Cedola",'Statements (Raw)'!D765)),"Coupon",IF(ISNUMBER(SEARCH("Incasso Dividendi",'Statements (Raw)'!D765)),"Dividend",IF(ISNUMBER(SEARCH("Provento Etf",'Statements (Raw)'!D765)),"Distribution",IF(ISNUMBER(SEARCH("Rit.provento",'Statements (Raw)'!D765)),"Tax",IF(ISNUMBER(SEARCH("Ratei Pass",'Statements (Raw)'!D765)),"Accrued Int.",IF(ISNUMBER(SEARCH("Interessi Prest",'Statements (Raw)'!D765)),"Sec. Lending",IF('Statements (Raw)'!G765="","Other",IF('Statements (Raw)'!G765&gt;0,"Buy","Sell"))))))))))))))))))))))</f>
        <v/>
      </c>
      <c r="E767" s="6" t="str">
        <f t="shared" si="22"/>
        <v/>
      </c>
      <c r="F767" s="8" t="str">
        <f>IF(A767="","",IF('Statements (Raw)'!E765="","",'Statements (Raw)'!E765))</f>
        <v/>
      </c>
      <c r="G767" s="6" t="str">
        <f>IF(A767="","",IF('Statements (Raw)'!F765="","",'Statements (Raw)'!F765))</f>
        <v/>
      </c>
      <c r="H767" s="9" t="str">
        <f>IF(A767="","",IF('Statements (Raw)'!G765="","",'Statements (Raw)'!G765))</f>
        <v/>
      </c>
      <c r="I767" s="10" t="str">
        <f>IF(A767="","",IF('Statements (Raw)'!H765="","",'Statements (Raw)'!H765))</f>
        <v/>
      </c>
      <c r="J767" s="10">
        <f>IF(A767="",0,IF('Statements (Raw)'!I765="",0,'Statements (Raw)'!I765))</f>
        <v>0</v>
      </c>
      <c r="K767" s="10" t="str">
        <f t="shared" si="23"/>
        <v/>
      </c>
    </row>
    <row r="768" spans="1:11" x14ac:dyDescent="0.3">
      <c r="A768" s="171" t="str">
        <f>IF(OR('Statements (Raw)'!A766="",'Statements (Raw)'!A766&gt;Holdings!$G$3),"",'Statements (Raw)'!A766)</f>
        <v/>
      </c>
      <c r="B768" s="7" t="str">
        <f>IF(A768="","",IF('Statements (Raw)'!B766="","",'Statements (Raw)'!B766))</f>
        <v/>
      </c>
      <c r="C768" s="6" t="str">
        <f>IF(A768="","",IF('Statements (Raw)'!C766&lt;&gt;"",'Statements (Raw)'!C766,IF(ISNUMBER(SEARCH("Conferimento",'Statements (Raw)'!D766)),"CASH DEPOSIT",IF(ISNUMBER(SEARCH("Prelievo",'Statements (Raw)'!D766)),"CASH WITHDRAWAL",IF(ISNUMBER(SEARCH("Bollo",'Statements (Raw)'!D766)),"STAMP DUTY",IF(ISNUMBER(SEARCH("Tobin Tax",'Statements (Raw)'!D766)),"TOBIN TAX",IF(ISNUMBER(SEARCH("Rit.provento",'Statements (Raw)'!D766)),"WITHHOLDING TAX",IF(ISNUMBER(SEARCH("Incasso Dividendi",'Statements (Raw)'!D766)),"DIVIDEND",IF(ISNUMBER(SEARCH("Cedola",'Statements (Raw)'!D766)),"COUPON",IF(ISNUMBER(SEARCH("Ratei Pass",'Statements (Raw)'!D766)),"ACCRUED INT",IF(ISNUMBER(SEARCH("Interessi Prest",'Statements (Raw)'!D766)),"SEC LENDING",IF(ISNUMBER(SEARCH("Rimborso",'Statements (Raw)'!D766)),"REDEMPTION",IF(ISNUMBER(SEARCH("Provento",'Statements (Raw)'!D766)),"DISTRIBUTION","OTHER")))))))))))))</f>
        <v/>
      </c>
      <c r="D768" s="6" t="str">
        <f>IF(A768="","",IF(C768="Saldo Iniziale","Balance",IF(C768="CASH DEPOSIT","Deposit",IF(C768="CASH WITHDRAWAL","Withdrawal",IF(C768="STAMP DUTY","Tax",IF(C768="TOBIN TAX","Tax",IF(C768="WITHHOLDING TAX","Tax",IF(C768="DIVIDEND","Dividend",IF(C768="COUPON","Coupon",IF(C768="ACCRUED INT","Accrued Int.",IF(C768="SEC LENDING","Sec. Lending",IF(C768="REDEMPTION","Redemption",IF(C768="DISTRIBUTION","Distribution",IF(ISNUMBER(SEARCH("Rimborso",'Statements (Raw)'!D766)),"Redemption",IF(ISNUMBER(SEARCH("Cedola",'Statements (Raw)'!D766)),"Coupon",IF(ISNUMBER(SEARCH("Incasso Dividendi",'Statements (Raw)'!D766)),"Dividend",IF(ISNUMBER(SEARCH("Provento Etf",'Statements (Raw)'!D766)),"Distribution",IF(ISNUMBER(SEARCH("Rit.provento",'Statements (Raw)'!D766)),"Tax",IF(ISNUMBER(SEARCH("Ratei Pass",'Statements (Raw)'!D766)),"Accrued Int.",IF(ISNUMBER(SEARCH("Interessi Prest",'Statements (Raw)'!D766)),"Sec. Lending",IF('Statements (Raw)'!G766="","Other",IF('Statements (Raw)'!G766&gt;0,"Buy","Sell"))))))))))))))))))))))</f>
        <v/>
      </c>
      <c r="E768" s="6" t="str">
        <f t="shared" si="22"/>
        <v/>
      </c>
      <c r="F768" s="8" t="str">
        <f>IF(A768="","",IF('Statements (Raw)'!E766="","",'Statements (Raw)'!E766))</f>
        <v/>
      </c>
      <c r="G768" s="6" t="str">
        <f>IF(A768="","",IF('Statements (Raw)'!F766="","",'Statements (Raw)'!F766))</f>
        <v/>
      </c>
      <c r="H768" s="9" t="str">
        <f>IF(A768="","",IF('Statements (Raw)'!G766="","",'Statements (Raw)'!G766))</f>
        <v/>
      </c>
      <c r="I768" s="10" t="str">
        <f>IF(A768="","",IF('Statements (Raw)'!H766="","",'Statements (Raw)'!H766))</f>
        <v/>
      </c>
      <c r="J768" s="10">
        <f>IF(A768="",0,IF('Statements (Raw)'!I766="",0,'Statements (Raw)'!I766))</f>
        <v>0</v>
      </c>
      <c r="K768" s="10" t="str">
        <f t="shared" si="23"/>
        <v/>
      </c>
    </row>
    <row r="769" spans="1:11" x14ac:dyDescent="0.3">
      <c r="A769" s="171" t="str">
        <f>IF(OR('Statements (Raw)'!A767="",'Statements (Raw)'!A767&gt;Holdings!$G$3),"",'Statements (Raw)'!A767)</f>
        <v/>
      </c>
      <c r="B769" s="7" t="str">
        <f>IF(A769="","",IF('Statements (Raw)'!B767="","",'Statements (Raw)'!B767))</f>
        <v/>
      </c>
      <c r="C769" s="6" t="str">
        <f>IF(A769="","",IF('Statements (Raw)'!C767&lt;&gt;"",'Statements (Raw)'!C767,IF(ISNUMBER(SEARCH("Conferimento",'Statements (Raw)'!D767)),"CASH DEPOSIT",IF(ISNUMBER(SEARCH("Prelievo",'Statements (Raw)'!D767)),"CASH WITHDRAWAL",IF(ISNUMBER(SEARCH("Bollo",'Statements (Raw)'!D767)),"STAMP DUTY",IF(ISNUMBER(SEARCH("Tobin Tax",'Statements (Raw)'!D767)),"TOBIN TAX",IF(ISNUMBER(SEARCH("Rit.provento",'Statements (Raw)'!D767)),"WITHHOLDING TAX",IF(ISNUMBER(SEARCH("Incasso Dividendi",'Statements (Raw)'!D767)),"DIVIDEND",IF(ISNUMBER(SEARCH("Cedola",'Statements (Raw)'!D767)),"COUPON",IF(ISNUMBER(SEARCH("Ratei Pass",'Statements (Raw)'!D767)),"ACCRUED INT",IF(ISNUMBER(SEARCH("Interessi Prest",'Statements (Raw)'!D767)),"SEC LENDING",IF(ISNUMBER(SEARCH("Rimborso",'Statements (Raw)'!D767)),"REDEMPTION",IF(ISNUMBER(SEARCH("Provento",'Statements (Raw)'!D767)),"DISTRIBUTION","OTHER")))))))))))))</f>
        <v/>
      </c>
      <c r="D769" s="6" t="str">
        <f>IF(A769="","",IF(C769="Saldo Iniziale","Balance",IF(C769="CASH DEPOSIT","Deposit",IF(C769="CASH WITHDRAWAL","Withdrawal",IF(C769="STAMP DUTY","Tax",IF(C769="TOBIN TAX","Tax",IF(C769="WITHHOLDING TAX","Tax",IF(C769="DIVIDEND","Dividend",IF(C769="COUPON","Coupon",IF(C769="ACCRUED INT","Accrued Int.",IF(C769="SEC LENDING","Sec. Lending",IF(C769="REDEMPTION","Redemption",IF(C769="DISTRIBUTION","Distribution",IF(ISNUMBER(SEARCH("Rimborso",'Statements (Raw)'!D767)),"Redemption",IF(ISNUMBER(SEARCH("Cedola",'Statements (Raw)'!D767)),"Coupon",IF(ISNUMBER(SEARCH("Incasso Dividendi",'Statements (Raw)'!D767)),"Dividend",IF(ISNUMBER(SEARCH("Provento Etf",'Statements (Raw)'!D767)),"Distribution",IF(ISNUMBER(SEARCH("Rit.provento",'Statements (Raw)'!D767)),"Tax",IF(ISNUMBER(SEARCH("Ratei Pass",'Statements (Raw)'!D767)),"Accrued Int.",IF(ISNUMBER(SEARCH("Interessi Prest",'Statements (Raw)'!D767)),"Sec. Lending",IF('Statements (Raw)'!G767="","Other",IF('Statements (Raw)'!G767&gt;0,"Buy","Sell"))))))))))))))))))))))</f>
        <v/>
      </c>
      <c r="E769" s="6" t="str">
        <f t="shared" si="22"/>
        <v/>
      </c>
      <c r="F769" s="8" t="str">
        <f>IF(A769="","",IF('Statements (Raw)'!E767="","",'Statements (Raw)'!E767))</f>
        <v/>
      </c>
      <c r="G769" s="6" t="str">
        <f>IF(A769="","",IF('Statements (Raw)'!F767="","",'Statements (Raw)'!F767))</f>
        <v/>
      </c>
      <c r="H769" s="9" t="str">
        <f>IF(A769="","",IF('Statements (Raw)'!G767="","",'Statements (Raw)'!G767))</f>
        <v/>
      </c>
      <c r="I769" s="10" t="str">
        <f>IF(A769="","",IF('Statements (Raw)'!H767="","",'Statements (Raw)'!H767))</f>
        <v/>
      </c>
      <c r="J769" s="10">
        <f>IF(A769="",0,IF('Statements (Raw)'!I767="",0,'Statements (Raw)'!I767))</f>
        <v>0</v>
      </c>
      <c r="K769" s="10" t="str">
        <f t="shared" si="23"/>
        <v/>
      </c>
    </row>
    <row r="770" spans="1:11" x14ac:dyDescent="0.3">
      <c r="A770" s="171" t="str">
        <f>IF(OR('Statements (Raw)'!A768="",'Statements (Raw)'!A768&gt;Holdings!$G$3),"",'Statements (Raw)'!A768)</f>
        <v/>
      </c>
      <c r="B770" s="7" t="str">
        <f>IF(A770="","",IF('Statements (Raw)'!B768="","",'Statements (Raw)'!B768))</f>
        <v/>
      </c>
      <c r="C770" s="6" t="str">
        <f>IF(A770="","",IF('Statements (Raw)'!C768&lt;&gt;"",'Statements (Raw)'!C768,IF(ISNUMBER(SEARCH("Conferimento",'Statements (Raw)'!D768)),"CASH DEPOSIT",IF(ISNUMBER(SEARCH("Prelievo",'Statements (Raw)'!D768)),"CASH WITHDRAWAL",IF(ISNUMBER(SEARCH("Bollo",'Statements (Raw)'!D768)),"STAMP DUTY",IF(ISNUMBER(SEARCH("Tobin Tax",'Statements (Raw)'!D768)),"TOBIN TAX",IF(ISNUMBER(SEARCH("Rit.provento",'Statements (Raw)'!D768)),"WITHHOLDING TAX",IF(ISNUMBER(SEARCH("Incasso Dividendi",'Statements (Raw)'!D768)),"DIVIDEND",IF(ISNUMBER(SEARCH("Cedola",'Statements (Raw)'!D768)),"COUPON",IF(ISNUMBER(SEARCH("Ratei Pass",'Statements (Raw)'!D768)),"ACCRUED INT",IF(ISNUMBER(SEARCH("Interessi Prest",'Statements (Raw)'!D768)),"SEC LENDING",IF(ISNUMBER(SEARCH("Rimborso",'Statements (Raw)'!D768)),"REDEMPTION",IF(ISNUMBER(SEARCH("Provento",'Statements (Raw)'!D768)),"DISTRIBUTION","OTHER")))))))))))))</f>
        <v/>
      </c>
      <c r="D770" s="6" t="str">
        <f>IF(A770="","",IF(C770="Saldo Iniziale","Balance",IF(C770="CASH DEPOSIT","Deposit",IF(C770="CASH WITHDRAWAL","Withdrawal",IF(C770="STAMP DUTY","Tax",IF(C770="TOBIN TAX","Tax",IF(C770="WITHHOLDING TAX","Tax",IF(C770="DIVIDEND","Dividend",IF(C770="COUPON","Coupon",IF(C770="ACCRUED INT","Accrued Int.",IF(C770="SEC LENDING","Sec. Lending",IF(C770="REDEMPTION","Redemption",IF(C770="DISTRIBUTION","Distribution",IF(ISNUMBER(SEARCH("Rimborso",'Statements (Raw)'!D768)),"Redemption",IF(ISNUMBER(SEARCH("Cedola",'Statements (Raw)'!D768)),"Coupon",IF(ISNUMBER(SEARCH("Incasso Dividendi",'Statements (Raw)'!D768)),"Dividend",IF(ISNUMBER(SEARCH("Provento Etf",'Statements (Raw)'!D768)),"Distribution",IF(ISNUMBER(SEARCH("Rit.provento",'Statements (Raw)'!D768)),"Tax",IF(ISNUMBER(SEARCH("Ratei Pass",'Statements (Raw)'!D768)),"Accrued Int.",IF(ISNUMBER(SEARCH("Interessi Prest",'Statements (Raw)'!D768)),"Sec. Lending",IF('Statements (Raw)'!G768="","Other",IF('Statements (Raw)'!G768&gt;0,"Buy","Sell"))))))))))))))))))))))</f>
        <v/>
      </c>
      <c r="E770" s="6" t="str">
        <f t="shared" si="22"/>
        <v/>
      </c>
      <c r="F770" s="8" t="str">
        <f>IF(A770="","",IF('Statements (Raw)'!E768="","",'Statements (Raw)'!E768))</f>
        <v/>
      </c>
      <c r="G770" s="6" t="str">
        <f>IF(A770="","",IF('Statements (Raw)'!F768="","",'Statements (Raw)'!F768))</f>
        <v/>
      </c>
      <c r="H770" s="9" t="str">
        <f>IF(A770="","",IF('Statements (Raw)'!G768="","",'Statements (Raw)'!G768))</f>
        <v/>
      </c>
      <c r="I770" s="10" t="str">
        <f>IF(A770="","",IF('Statements (Raw)'!H768="","",'Statements (Raw)'!H768))</f>
        <v/>
      </c>
      <c r="J770" s="10">
        <f>IF(A770="",0,IF('Statements (Raw)'!I768="",0,'Statements (Raw)'!I768))</f>
        <v>0</v>
      </c>
      <c r="K770" s="10" t="str">
        <f t="shared" si="23"/>
        <v/>
      </c>
    </row>
    <row r="771" spans="1:11" x14ac:dyDescent="0.3">
      <c r="A771" s="171" t="str">
        <f>IF(OR('Statements (Raw)'!A769="",'Statements (Raw)'!A769&gt;Holdings!$G$3),"",'Statements (Raw)'!A769)</f>
        <v/>
      </c>
      <c r="B771" s="7" t="str">
        <f>IF(A771="","",IF('Statements (Raw)'!B769="","",'Statements (Raw)'!B769))</f>
        <v/>
      </c>
      <c r="C771" s="6" t="str">
        <f>IF(A771="","",IF('Statements (Raw)'!C769&lt;&gt;"",'Statements (Raw)'!C769,IF(ISNUMBER(SEARCH("Conferimento",'Statements (Raw)'!D769)),"CASH DEPOSIT",IF(ISNUMBER(SEARCH("Prelievo",'Statements (Raw)'!D769)),"CASH WITHDRAWAL",IF(ISNUMBER(SEARCH("Bollo",'Statements (Raw)'!D769)),"STAMP DUTY",IF(ISNUMBER(SEARCH("Tobin Tax",'Statements (Raw)'!D769)),"TOBIN TAX",IF(ISNUMBER(SEARCH("Rit.provento",'Statements (Raw)'!D769)),"WITHHOLDING TAX",IF(ISNUMBER(SEARCH("Incasso Dividendi",'Statements (Raw)'!D769)),"DIVIDEND",IF(ISNUMBER(SEARCH("Cedola",'Statements (Raw)'!D769)),"COUPON",IF(ISNUMBER(SEARCH("Ratei Pass",'Statements (Raw)'!D769)),"ACCRUED INT",IF(ISNUMBER(SEARCH("Interessi Prest",'Statements (Raw)'!D769)),"SEC LENDING",IF(ISNUMBER(SEARCH("Rimborso",'Statements (Raw)'!D769)),"REDEMPTION",IF(ISNUMBER(SEARCH("Provento",'Statements (Raw)'!D769)),"DISTRIBUTION","OTHER")))))))))))))</f>
        <v/>
      </c>
      <c r="D771" s="6" t="str">
        <f>IF(A771="","",IF(C771="Saldo Iniziale","Balance",IF(C771="CASH DEPOSIT","Deposit",IF(C771="CASH WITHDRAWAL","Withdrawal",IF(C771="STAMP DUTY","Tax",IF(C771="TOBIN TAX","Tax",IF(C771="WITHHOLDING TAX","Tax",IF(C771="DIVIDEND","Dividend",IF(C771="COUPON","Coupon",IF(C771="ACCRUED INT","Accrued Int.",IF(C771="SEC LENDING","Sec. Lending",IF(C771="REDEMPTION","Redemption",IF(C771="DISTRIBUTION","Distribution",IF(ISNUMBER(SEARCH("Rimborso",'Statements (Raw)'!D769)),"Redemption",IF(ISNUMBER(SEARCH("Cedola",'Statements (Raw)'!D769)),"Coupon",IF(ISNUMBER(SEARCH("Incasso Dividendi",'Statements (Raw)'!D769)),"Dividend",IF(ISNUMBER(SEARCH("Provento Etf",'Statements (Raw)'!D769)),"Distribution",IF(ISNUMBER(SEARCH("Rit.provento",'Statements (Raw)'!D769)),"Tax",IF(ISNUMBER(SEARCH("Ratei Pass",'Statements (Raw)'!D769)),"Accrued Int.",IF(ISNUMBER(SEARCH("Interessi Prest",'Statements (Raw)'!D769)),"Sec. Lending",IF('Statements (Raw)'!G769="","Other",IF('Statements (Raw)'!G769&gt;0,"Buy","Sell"))))))))))))))))))))))</f>
        <v/>
      </c>
      <c r="E771" s="6" t="str">
        <f t="shared" si="22"/>
        <v/>
      </c>
      <c r="F771" s="8" t="str">
        <f>IF(A771="","",IF('Statements (Raw)'!E769="","",'Statements (Raw)'!E769))</f>
        <v/>
      </c>
      <c r="G771" s="6" t="str">
        <f>IF(A771="","",IF('Statements (Raw)'!F769="","",'Statements (Raw)'!F769))</f>
        <v/>
      </c>
      <c r="H771" s="9" t="str">
        <f>IF(A771="","",IF('Statements (Raw)'!G769="","",'Statements (Raw)'!G769))</f>
        <v/>
      </c>
      <c r="I771" s="10" t="str">
        <f>IF(A771="","",IF('Statements (Raw)'!H769="","",'Statements (Raw)'!H769))</f>
        <v/>
      </c>
      <c r="J771" s="10">
        <f>IF(A771="",0,IF('Statements (Raw)'!I769="",0,'Statements (Raw)'!I769))</f>
        <v>0</v>
      </c>
      <c r="K771" s="10" t="str">
        <f t="shared" si="23"/>
        <v/>
      </c>
    </row>
    <row r="772" spans="1:11" x14ac:dyDescent="0.3">
      <c r="A772" s="171" t="str">
        <f>IF(OR('Statements (Raw)'!A770="",'Statements (Raw)'!A770&gt;Holdings!$G$3),"",'Statements (Raw)'!A770)</f>
        <v/>
      </c>
      <c r="B772" s="7" t="str">
        <f>IF(A772="","",IF('Statements (Raw)'!B770="","",'Statements (Raw)'!B770))</f>
        <v/>
      </c>
      <c r="C772" s="6" t="str">
        <f>IF(A772="","",IF('Statements (Raw)'!C770&lt;&gt;"",'Statements (Raw)'!C770,IF(ISNUMBER(SEARCH("Conferimento",'Statements (Raw)'!D770)),"CASH DEPOSIT",IF(ISNUMBER(SEARCH("Prelievo",'Statements (Raw)'!D770)),"CASH WITHDRAWAL",IF(ISNUMBER(SEARCH("Bollo",'Statements (Raw)'!D770)),"STAMP DUTY",IF(ISNUMBER(SEARCH("Tobin Tax",'Statements (Raw)'!D770)),"TOBIN TAX",IF(ISNUMBER(SEARCH("Rit.provento",'Statements (Raw)'!D770)),"WITHHOLDING TAX",IF(ISNUMBER(SEARCH("Incasso Dividendi",'Statements (Raw)'!D770)),"DIVIDEND",IF(ISNUMBER(SEARCH("Cedola",'Statements (Raw)'!D770)),"COUPON",IF(ISNUMBER(SEARCH("Ratei Pass",'Statements (Raw)'!D770)),"ACCRUED INT",IF(ISNUMBER(SEARCH("Interessi Prest",'Statements (Raw)'!D770)),"SEC LENDING",IF(ISNUMBER(SEARCH("Rimborso",'Statements (Raw)'!D770)),"REDEMPTION",IF(ISNUMBER(SEARCH("Provento",'Statements (Raw)'!D770)),"DISTRIBUTION","OTHER")))))))))))))</f>
        <v/>
      </c>
      <c r="D772" s="6" t="str">
        <f>IF(A772="","",IF(C772="Saldo Iniziale","Balance",IF(C772="CASH DEPOSIT","Deposit",IF(C772="CASH WITHDRAWAL","Withdrawal",IF(C772="STAMP DUTY","Tax",IF(C772="TOBIN TAX","Tax",IF(C772="WITHHOLDING TAX","Tax",IF(C772="DIVIDEND","Dividend",IF(C772="COUPON","Coupon",IF(C772="ACCRUED INT","Accrued Int.",IF(C772="SEC LENDING","Sec. Lending",IF(C772="REDEMPTION","Redemption",IF(C772="DISTRIBUTION","Distribution",IF(ISNUMBER(SEARCH("Rimborso",'Statements (Raw)'!D770)),"Redemption",IF(ISNUMBER(SEARCH("Cedola",'Statements (Raw)'!D770)),"Coupon",IF(ISNUMBER(SEARCH("Incasso Dividendi",'Statements (Raw)'!D770)),"Dividend",IF(ISNUMBER(SEARCH("Provento Etf",'Statements (Raw)'!D770)),"Distribution",IF(ISNUMBER(SEARCH("Rit.provento",'Statements (Raw)'!D770)),"Tax",IF(ISNUMBER(SEARCH("Ratei Pass",'Statements (Raw)'!D770)),"Accrued Int.",IF(ISNUMBER(SEARCH("Interessi Prest",'Statements (Raw)'!D770)),"Sec. Lending",IF('Statements (Raw)'!G770="","Other",IF('Statements (Raw)'!G770&gt;0,"Buy","Sell"))))))))))))))))))))))</f>
        <v/>
      </c>
      <c r="E772" s="6" t="str">
        <f t="shared" si="22"/>
        <v/>
      </c>
      <c r="F772" s="8" t="str">
        <f>IF(A772="","",IF('Statements (Raw)'!E770="","",'Statements (Raw)'!E770))</f>
        <v/>
      </c>
      <c r="G772" s="6" t="str">
        <f>IF(A772="","",IF('Statements (Raw)'!F770="","",'Statements (Raw)'!F770))</f>
        <v/>
      </c>
      <c r="H772" s="9" t="str">
        <f>IF(A772="","",IF('Statements (Raw)'!G770="","",'Statements (Raw)'!G770))</f>
        <v/>
      </c>
      <c r="I772" s="10" t="str">
        <f>IF(A772="","",IF('Statements (Raw)'!H770="","",'Statements (Raw)'!H770))</f>
        <v/>
      </c>
      <c r="J772" s="10">
        <f>IF(A772="",0,IF('Statements (Raw)'!I770="",0,'Statements (Raw)'!I770))</f>
        <v>0</v>
      </c>
      <c r="K772" s="10" t="str">
        <f t="shared" si="23"/>
        <v/>
      </c>
    </row>
    <row r="773" spans="1:11" x14ac:dyDescent="0.3">
      <c r="A773" s="171" t="str">
        <f>IF(OR('Statements (Raw)'!A771="",'Statements (Raw)'!A771&gt;Holdings!$G$3),"",'Statements (Raw)'!A771)</f>
        <v/>
      </c>
      <c r="B773" s="7" t="str">
        <f>IF(A773="","",IF('Statements (Raw)'!B771="","",'Statements (Raw)'!B771))</f>
        <v/>
      </c>
      <c r="C773" s="6" t="str">
        <f>IF(A773="","",IF('Statements (Raw)'!C771&lt;&gt;"",'Statements (Raw)'!C771,IF(ISNUMBER(SEARCH("Conferimento",'Statements (Raw)'!D771)),"CASH DEPOSIT",IF(ISNUMBER(SEARCH("Prelievo",'Statements (Raw)'!D771)),"CASH WITHDRAWAL",IF(ISNUMBER(SEARCH("Bollo",'Statements (Raw)'!D771)),"STAMP DUTY",IF(ISNUMBER(SEARCH("Tobin Tax",'Statements (Raw)'!D771)),"TOBIN TAX",IF(ISNUMBER(SEARCH("Rit.provento",'Statements (Raw)'!D771)),"WITHHOLDING TAX",IF(ISNUMBER(SEARCH("Incasso Dividendi",'Statements (Raw)'!D771)),"DIVIDEND",IF(ISNUMBER(SEARCH("Cedola",'Statements (Raw)'!D771)),"COUPON",IF(ISNUMBER(SEARCH("Ratei Pass",'Statements (Raw)'!D771)),"ACCRUED INT",IF(ISNUMBER(SEARCH("Interessi Prest",'Statements (Raw)'!D771)),"SEC LENDING",IF(ISNUMBER(SEARCH("Rimborso",'Statements (Raw)'!D771)),"REDEMPTION",IF(ISNUMBER(SEARCH("Provento",'Statements (Raw)'!D771)),"DISTRIBUTION","OTHER")))))))))))))</f>
        <v/>
      </c>
      <c r="D773" s="6" t="str">
        <f>IF(A773="","",IF(C773="Saldo Iniziale","Balance",IF(C773="CASH DEPOSIT","Deposit",IF(C773="CASH WITHDRAWAL","Withdrawal",IF(C773="STAMP DUTY","Tax",IF(C773="TOBIN TAX","Tax",IF(C773="WITHHOLDING TAX","Tax",IF(C773="DIVIDEND","Dividend",IF(C773="COUPON","Coupon",IF(C773="ACCRUED INT","Accrued Int.",IF(C773="SEC LENDING","Sec. Lending",IF(C773="REDEMPTION","Redemption",IF(C773="DISTRIBUTION","Distribution",IF(ISNUMBER(SEARCH("Rimborso",'Statements (Raw)'!D771)),"Redemption",IF(ISNUMBER(SEARCH("Cedola",'Statements (Raw)'!D771)),"Coupon",IF(ISNUMBER(SEARCH("Incasso Dividendi",'Statements (Raw)'!D771)),"Dividend",IF(ISNUMBER(SEARCH("Provento Etf",'Statements (Raw)'!D771)),"Distribution",IF(ISNUMBER(SEARCH("Rit.provento",'Statements (Raw)'!D771)),"Tax",IF(ISNUMBER(SEARCH("Ratei Pass",'Statements (Raw)'!D771)),"Accrued Int.",IF(ISNUMBER(SEARCH("Interessi Prest",'Statements (Raw)'!D771)),"Sec. Lending",IF('Statements (Raw)'!G771="","Other",IF('Statements (Raw)'!G771&gt;0,"Buy","Sell"))))))))))))))))))))))</f>
        <v/>
      </c>
      <c r="E773" s="6" t="str">
        <f t="shared" ref="E773:E836" si="24">IF(D773="","",IF(OR(D773="Balance",D773="Deposit",D773="Withdrawal"),"Cash",IF(D773="Tax","Tax/Fee",IF(OR(D773="Dividend",D773="Coupon",D773="Distribution",D773="Sec. Lending",D773="Accrued Int."),"Income",IF(D773="Redemption","Bond",IF(OR(D773="Buy",D773="Sell"),IF(OR(ISNUMBER(SEARCH("BOT ",C773)),ISNUMBER(SEARCH("BTP ",C773)),ISNUMBER(SEARCH("CARRARO",C773))),"Bond",IF(OR(ISNUMBER(SEARCH("isdom",C773)),ISNUMBER(SEARCH("ISHARES",C773)),ISNUMBER(SEARCH("iShares",C773))),"ETF/ETC",IF(OR(ISNUMBER(SEARCH("Bitwise",C773)),ISNUMBER(SEARCH("BITWISE",C773))),"Crypto ETP","Stock"))),"Other"))))))</f>
        <v/>
      </c>
      <c r="F773" s="8" t="str">
        <f>IF(A773="","",IF('Statements (Raw)'!E771="","",'Statements (Raw)'!E771))</f>
        <v/>
      </c>
      <c r="G773" s="6" t="str">
        <f>IF(A773="","",IF('Statements (Raw)'!F771="","",'Statements (Raw)'!F771))</f>
        <v/>
      </c>
      <c r="H773" s="9" t="str">
        <f>IF(A773="","",IF('Statements (Raw)'!G771="","",'Statements (Raw)'!G771))</f>
        <v/>
      </c>
      <c r="I773" s="10" t="str">
        <f>IF(A773="","",IF('Statements (Raw)'!H771="","",'Statements (Raw)'!H771))</f>
        <v/>
      </c>
      <c r="J773" s="10">
        <f>IF(A773="",0,IF('Statements (Raw)'!I771="",0,'Statements (Raw)'!I771))</f>
        <v>0</v>
      </c>
      <c r="K773" s="10" t="str">
        <f t="shared" ref="K773:K836" si="25">IF(I773="","",I773+J773)</f>
        <v/>
      </c>
    </row>
    <row r="774" spans="1:11" x14ac:dyDescent="0.3">
      <c r="A774" s="171" t="str">
        <f>IF(OR('Statements (Raw)'!A772="",'Statements (Raw)'!A772&gt;Holdings!$G$3),"",'Statements (Raw)'!A772)</f>
        <v/>
      </c>
      <c r="B774" s="7" t="str">
        <f>IF(A774="","",IF('Statements (Raw)'!B772="","",'Statements (Raw)'!B772))</f>
        <v/>
      </c>
      <c r="C774" s="6" t="str">
        <f>IF(A774="","",IF('Statements (Raw)'!C772&lt;&gt;"",'Statements (Raw)'!C772,IF(ISNUMBER(SEARCH("Conferimento",'Statements (Raw)'!D772)),"CASH DEPOSIT",IF(ISNUMBER(SEARCH("Prelievo",'Statements (Raw)'!D772)),"CASH WITHDRAWAL",IF(ISNUMBER(SEARCH("Bollo",'Statements (Raw)'!D772)),"STAMP DUTY",IF(ISNUMBER(SEARCH("Tobin Tax",'Statements (Raw)'!D772)),"TOBIN TAX",IF(ISNUMBER(SEARCH("Rit.provento",'Statements (Raw)'!D772)),"WITHHOLDING TAX",IF(ISNUMBER(SEARCH("Incasso Dividendi",'Statements (Raw)'!D772)),"DIVIDEND",IF(ISNUMBER(SEARCH("Cedola",'Statements (Raw)'!D772)),"COUPON",IF(ISNUMBER(SEARCH("Ratei Pass",'Statements (Raw)'!D772)),"ACCRUED INT",IF(ISNUMBER(SEARCH("Interessi Prest",'Statements (Raw)'!D772)),"SEC LENDING",IF(ISNUMBER(SEARCH("Rimborso",'Statements (Raw)'!D772)),"REDEMPTION",IF(ISNUMBER(SEARCH("Provento",'Statements (Raw)'!D772)),"DISTRIBUTION","OTHER")))))))))))))</f>
        <v/>
      </c>
      <c r="D774" s="6" t="str">
        <f>IF(A774="","",IF(C774="Saldo Iniziale","Balance",IF(C774="CASH DEPOSIT","Deposit",IF(C774="CASH WITHDRAWAL","Withdrawal",IF(C774="STAMP DUTY","Tax",IF(C774="TOBIN TAX","Tax",IF(C774="WITHHOLDING TAX","Tax",IF(C774="DIVIDEND","Dividend",IF(C774="COUPON","Coupon",IF(C774="ACCRUED INT","Accrued Int.",IF(C774="SEC LENDING","Sec. Lending",IF(C774="REDEMPTION","Redemption",IF(C774="DISTRIBUTION","Distribution",IF(ISNUMBER(SEARCH("Rimborso",'Statements (Raw)'!D772)),"Redemption",IF(ISNUMBER(SEARCH("Cedola",'Statements (Raw)'!D772)),"Coupon",IF(ISNUMBER(SEARCH("Incasso Dividendi",'Statements (Raw)'!D772)),"Dividend",IF(ISNUMBER(SEARCH("Provento Etf",'Statements (Raw)'!D772)),"Distribution",IF(ISNUMBER(SEARCH("Rit.provento",'Statements (Raw)'!D772)),"Tax",IF(ISNUMBER(SEARCH("Ratei Pass",'Statements (Raw)'!D772)),"Accrued Int.",IF(ISNUMBER(SEARCH("Interessi Prest",'Statements (Raw)'!D772)),"Sec. Lending",IF('Statements (Raw)'!G772="","Other",IF('Statements (Raw)'!G772&gt;0,"Buy","Sell"))))))))))))))))))))))</f>
        <v/>
      </c>
      <c r="E774" s="6" t="str">
        <f t="shared" si="24"/>
        <v/>
      </c>
      <c r="F774" s="8" t="str">
        <f>IF(A774="","",IF('Statements (Raw)'!E772="","",'Statements (Raw)'!E772))</f>
        <v/>
      </c>
      <c r="G774" s="6" t="str">
        <f>IF(A774="","",IF('Statements (Raw)'!F772="","",'Statements (Raw)'!F772))</f>
        <v/>
      </c>
      <c r="H774" s="9" t="str">
        <f>IF(A774="","",IF('Statements (Raw)'!G772="","",'Statements (Raw)'!G772))</f>
        <v/>
      </c>
      <c r="I774" s="10" t="str">
        <f>IF(A774="","",IF('Statements (Raw)'!H772="","",'Statements (Raw)'!H772))</f>
        <v/>
      </c>
      <c r="J774" s="10">
        <f>IF(A774="",0,IF('Statements (Raw)'!I772="",0,'Statements (Raw)'!I772))</f>
        <v>0</v>
      </c>
      <c r="K774" s="10" t="str">
        <f t="shared" si="25"/>
        <v/>
      </c>
    </row>
    <row r="775" spans="1:11" x14ac:dyDescent="0.3">
      <c r="A775" s="171" t="str">
        <f>IF(OR('Statements (Raw)'!A773="",'Statements (Raw)'!A773&gt;Holdings!$G$3),"",'Statements (Raw)'!A773)</f>
        <v/>
      </c>
      <c r="B775" s="7" t="str">
        <f>IF(A775="","",IF('Statements (Raw)'!B773="","",'Statements (Raw)'!B773))</f>
        <v/>
      </c>
      <c r="C775" s="6" t="str">
        <f>IF(A775="","",IF('Statements (Raw)'!C773&lt;&gt;"",'Statements (Raw)'!C773,IF(ISNUMBER(SEARCH("Conferimento",'Statements (Raw)'!D773)),"CASH DEPOSIT",IF(ISNUMBER(SEARCH("Prelievo",'Statements (Raw)'!D773)),"CASH WITHDRAWAL",IF(ISNUMBER(SEARCH("Bollo",'Statements (Raw)'!D773)),"STAMP DUTY",IF(ISNUMBER(SEARCH("Tobin Tax",'Statements (Raw)'!D773)),"TOBIN TAX",IF(ISNUMBER(SEARCH("Rit.provento",'Statements (Raw)'!D773)),"WITHHOLDING TAX",IF(ISNUMBER(SEARCH("Incasso Dividendi",'Statements (Raw)'!D773)),"DIVIDEND",IF(ISNUMBER(SEARCH("Cedola",'Statements (Raw)'!D773)),"COUPON",IF(ISNUMBER(SEARCH("Ratei Pass",'Statements (Raw)'!D773)),"ACCRUED INT",IF(ISNUMBER(SEARCH("Interessi Prest",'Statements (Raw)'!D773)),"SEC LENDING",IF(ISNUMBER(SEARCH("Rimborso",'Statements (Raw)'!D773)),"REDEMPTION",IF(ISNUMBER(SEARCH("Provento",'Statements (Raw)'!D773)),"DISTRIBUTION","OTHER")))))))))))))</f>
        <v/>
      </c>
      <c r="D775" s="6" t="str">
        <f>IF(A775="","",IF(C775="Saldo Iniziale","Balance",IF(C775="CASH DEPOSIT","Deposit",IF(C775="CASH WITHDRAWAL","Withdrawal",IF(C775="STAMP DUTY","Tax",IF(C775="TOBIN TAX","Tax",IF(C775="WITHHOLDING TAX","Tax",IF(C775="DIVIDEND","Dividend",IF(C775="COUPON","Coupon",IF(C775="ACCRUED INT","Accrued Int.",IF(C775="SEC LENDING","Sec. Lending",IF(C775="REDEMPTION","Redemption",IF(C775="DISTRIBUTION","Distribution",IF(ISNUMBER(SEARCH("Rimborso",'Statements (Raw)'!D773)),"Redemption",IF(ISNUMBER(SEARCH("Cedola",'Statements (Raw)'!D773)),"Coupon",IF(ISNUMBER(SEARCH("Incasso Dividendi",'Statements (Raw)'!D773)),"Dividend",IF(ISNUMBER(SEARCH("Provento Etf",'Statements (Raw)'!D773)),"Distribution",IF(ISNUMBER(SEARCH("Rit.provento",'Statements (Raw)'!D773)),"Tax",IF(ISNUMBER(SEARCH("Ratei Pass",'Statements (Raw)'!D773)),"Accrued Int.",IF(ISNUMBER(SEARCH("Interessi Prest",'Statements (Raw)'!D773)),"Sec. Lending",IF('Statements (Raw)'!G773="","Other",IF('Statements (Raw)'!G773&gt;0,"Buy","Sell"))))))))))))))))))))))</f>
        <v/>
      </c>
      <c r="E775" s="6" t="str">
        <f t="shared" si="24"/>
        <v/>
      </c>
      <c r="F775" s="8" t="str">
        <f>IF(A775="","",IF('Statements (Raw)'!E773="","",'Statements (Raw)'!E773))</f>
        <v/>
      </c>
      <c r="G775" s="6" t="str">
        <f>IF(A775="","",IF('Statements (Raw)'!F773="","",'Statements (Raw)'!F773))</f>
        <v/>
      </c>
      <c r="H775" s="9" t="str">
        <f>IF(A775="","",IF('Statements (Raw)'!G773="","",'Statements (Raw)'!G773))</f>
        <v/>
      </c>
      <c r="I775" s="10" t="str">
        <f>IF(A775="","",IF('Statements (Raw)'!H773="","",'Statements (Raw)'!H773))</f>
        <v/>
      </c>
      <c r="J775" s="10">
        <f>IF(A775="",0,IF('Statements (Raw)'!I773="",0,'Statements (Raw)'!I773))</f>
        <v>0</v>
      </c>
      <c r="K775" s="10" t="str">
        <f t="shared" si="25"/>
        <v/>
      </c>
    </row>
    <row r="776" spans="1:11" x14ac:dyDescent="0.3">
      <c r="A776" s="171" t="str">
        <f>IF(OR('Statements (Raw)'!A774="",'Statements (Raw)'!A774&gt;Holdings!$G$3),"",'Statements (Raw)'!A774)</f>
        <v/>
      </c>
      <c r="B776" s="7" t="str">
        <f>IF(A776="","",IF('Statements (Raw)'!B774="","",'Statements (Raw)'!B774))</f>
        <v/>
      </c>
      <c r="C776" s="6" t="str">
        <f>IF(A776="","",IF('Statements (Raw)'!C774&lt;&gt;"",'Statements (Raw)'!C774,IF(ISNUMBER(SEARCH("Conferimento",'Statements (Raw)'!D774)),"CASH DEPOSIT",IF(ISNUMBER(SEARCH("Prelievo",'Statements (Raw)'!D774)),"CASH WITHDRAWAL",IF(ISNUMBER(SEARCH("Bollo",'Statements (Raw)'!D774)),"STAMP DUTY",IF(ISNUMBER(SEARCH("Tobin Tax",'Statements (Raw)'!D774)),"TOBIN TAX",IF(ISNUMBER(SEARCH("Rit.provento",'Statements (Raw)'!D774)),"WITHHOLDING TAX",IF(ISNUMBER(SEARCH("Incasso Dividendi",'Statements (Raw)'!D774)),"DIVIDEND",IF(ISNUMBER(SEARCH("Cedola",'Statements (Raw)'!D774)),"COUPON",IF(ISNUMBER(SEARCH("Ratei Pass",'Statements (Raw)'!D774)),"ACCRUED INT",IF(ISNUMBER(SEARCH("Interessi Prest",'Statements (Raw)'!D774)),"SEC LENDING",IF(ISNUMBER(SEARCH("Rimborso",'Statements (Raw)'!D774)),"REDEMPTION",IF(ISNUMBER(SEARCH("Provento",'Statements (Raw)'!D774)),"DISTRIBUTION","OTHER")))))))))))))</f>
        <v/>
      </c>
      <c r="D776" s="6" t="str">
        <f>IF(A776="","",IF(C776="Saldo Iniziale","Balance",IF(C776="CASH DEPOSIT","Deposit",IF(C776="CASH WITHDRAWAL","Withdrawal",IF(C776="STAMP DUTY","Tax",IF(C776="TOBIN TAX","Tax",IF(C776="WITHHOLDING TAX","Tax",IF(C776="DIVIDEND","Dividend",IF(C776="COUPON","Coupon",IF(C776="ACCRUED INT","Accrued Int.",IF(C776="SEC LENDING","Sec. Lending",IF(C776="REDEMPTION","Redemption",IF(C776="DISTRIBUTION","Distribution",IF(ISNUMBER(SEARCH("Rimborso",'Statements (Raw)'!D774)),"Redemption",IF(ISNUMBER(SEARCH("Cedola",'Statements (Raw)'!D774)),"Coupon",IF(ISNUMBER(SEARCH("Incasso Dividendi",'Statements (Raw)'!D774)),"Dividend",IF(ISNUMBER(SEARCH("Provento Etf",'Statements (Raw)'!D774)),"Distribution",IF(ISNUMBER(SEARCH("Rit.provento",'Statements (Raw)'!D774)),"Tax",IF(ISNUMBER(SEARCH("Ratei Pass",'Statements (Raw)'!D774)),"Accrued Int.",IF(ISNUMBER(SEARCH("Interessi Prest",'Statements (Raw)'!D774)),"Sec. Lending",IF('Statements (Raw)'!G774="","Other",IF('Statements (Raw)'!G774&gt;0,"Buy","Sell"))))))))))))))))))))))</f>
        <v/>
      </c>
      <c r="E776" s="6" t="str">
        <f t="shared" si="24"/>
        <v/>
      </c>
      <c r="F776" s="8" t="str">
        <f>IF(A776="","",IF('Statements (Raw)'!E774="","",'Statements (Raw)'!E774))</f>
        <v/>
      </c>
      <c r="G776" s="6" t="str">
        <f>IF(A776="","",IF('Statements (Raw)'!F774="","",'Statements (Raw)'!F774))</f>
        <v/>
      </c>
      <c r="H776" s="9" t="str">
        <f>IF(A776="","",IF('Statements (Raw)'!G774="","",'Statements (Raw)'!G774))</f>
        <v/>
      </c>
      <c r="I776" s="10" t="str">
        <f>IF(A776="","",IF('Statements (Raw)'!H774="","",'Statements (Raw)'!H774))</f>
        <v/>
      </c>
      <c r="J776" s="10">
        <f>IF(A776="",0,IF('Statements (Raw)'!I774="",0,'Statements (Raw)'!I774))</f>
        <v>0</v>
      </c>
      <c r="K776" s="10" t="str">
        <f t="shared" si="25"/>
        <v/>
      </c>
    </row>
    <row r="777" spans="1:11" x14ac:dyDescent="0.3">
      <c r="A777" s="171" t="str">
        <f>IF(OR('Statements (Raw)'!A775="",'Statements (Raw)'!A775&gt;Holdings!$G$3),"",'Statements (Raw)'!A775)</f>
        <v/>
      </c>
      <c r="B777" s="7" t="str">
        <f>IF(A777="","",IF('Statements (Raw)'!B775="","",'Statements (Raw)'!B775))</f>
        <v/>
      </c>
      <c r="C777" s="6" t="str">
        <f>IF(A777="","",IF('Statements (Raw)'!C775&lt;&gt;"",'Statements (Raw)'!C775,IF(ISNUMBER(SEARCH("Conferimento",'Statements (Raw)'!D775)),"CASH DEPOSIT",IF(ISNUMBER(SEARCH("Prelievo",'Statements (Raw)'!D775)),"CASH WITHDRAWAL",IF(ISNUMBER(SEARCH("Bollo",'Statements (Raw)'!D775)),"STAMP DUTY",IF(ISNUMBER(SEARCH("Tobin Tax",'Statements (Raw)'!D775)),"TOBIN TAX",IF(ISNUMBER(SEARCH("Rit.provento",'Statements (Raw)'!D775)),"WITHHOLDING TAX",IF(ISNUMBER(SEARCH("Incasso Dividendi",'Statements (Raw)'!D775)),"DIVIDEND",IF(ISNUMBER(SEARCH("Cedola",'Statements (Raw)'!D775)),"COUPON",IF(ISNUMBER(SEARCH("Ratei Pass",'Statements (Raw)'!D775)),"ACCRUED INT",IF(ISNUMBER(SEARCH("Interessi Prest",'Statements (Raw)'!D775)),"SEC LENDING",IF(ISNUMBER(SEARCH("Rimborso",'Statements (Raw)'!D775)),"REDEMPTION",IF(ISNUMBER(SEARCH("Provento",'Statements (Raw)'!D775)),"DISTRIBUTION","OTHER")))))))))))))</f>
        <v/>
      </c>
      <c r="D777" s="6" t="str">
        <f>IF(A777="","",IF(C777="Saldo Iniziale","Balance",IF(C777="CASH DEPOSIT","Deposit",IF(C777="CASH WITHDRAWAL","Withdrawal",IF(C777="STAMP DUTY","Tax",IF(C777="TOBIN TAX","Tax",IF(C777="WITHHOLDING TAX","Tax",IF(C777="DIVIDEND","Dividend",IF(C777="COUPON","Coupon",IF(C777="ACCRUED INT","Accrued Int.",IF(C777="SEC LENDING","Sec. Lending",IF(C777="REDEMPTION","Redemption",IF(C777="DISTRIBUTION","Distribution",IF(ISNUMBER(SEARCH("Rimborso",'Statements (Raw)'!D775)),"Redemption",IF(ISNUMBER(SEARCH("Cedola",'Statements (Raw)'!D775)),"Coupon",IF(ISNUMBER(SEARCH("Incasso Dividendi",'Statements (Raw)'!D775)),"Dividend",IF(ISNUMBER(SEARCH("Provento Etf",'Statements (Raw)'!D775)),"Distribution",IF(ISNUMBER(SEARCH("Rit.provento",'Statements (Raw)'!D775)),"Tax",IF(ISNUMBER(SEARCH("Ratei Pass",'Statements (Raw)'!D775)),"Accrued Int.",IF(ISNUMBER(SEARCH("Interessi Prest",'Statements (Raw)'!D775)),"Sec. Lending",IF('Statements (Raw)'!G775="","Other",IF('Statements (Raw)'!G775&gt;0,"Buy","Sell"))))))))))))))))))))))</f>
        <v/>
      </c>
      <c r="E777" s="6" t="str">
        <f t="shared" si="24"/>
        <v/>
      </c>
      <c r="F777" s="8" t="str">
        <f>IF(A777="","",IF('Statements (Raw)'!E775="","",'Statements (Raw)'!E775))</f>
        <v/>
      </c>
      <c r="G777" s="6" t="str">
        <f>IF(A777="","",IF('Statements (Raw)'!F775="","",'Statements (Raw)'!F775))</f>
        <v/>
      </c>
      <c r="H777" s="9" t="str">
        <f>IF(A777="","",IF('Statements (Raw)'!G775="","",'Statements (Raw)'!G775))</f>
        <v/>
      </c>
      <c r="I777" s="10" t="str">
        <f>IF(A777="","",IF('Statements (Raw)'!H775="","",'Statements (Raw)'!H775))</f>
        <v/>
      </c>
      <c r="J777" s="10">
        <f>IF(A777="",0,IF('Statements (Raw)'!I775="",0,'Statements (Raw)'!I775))</f>
        <v>0</v>
      </c>
      <c r="K777" s="10" t="str">
        <f t="shared" si="25"/>
        <v/>
      </c>
    </row>
    <row r="778" spans="1:11" x14ac:dyDescent="0.3">
      <c r="A778" s="171" t="str">
        <f>IF(OR('Statements (Raw)'!A776="",'Statements (Raw)'!A776&gt;Holdings!$G$3),"",'Statements (Raw)'!A776)</f>
        <v/>
      </c>
      <c r="B778" s="7" t="str">
        <f>IF(A778="","",IF('Statements (Raw)'!B776="","",'Statements (Raw)'!B776))</f>
        <v/>
      </c>
      <c r="C778" s="6" t="str">
        <f>IF(A778="","",IF('Statements (Raw)'!C776&lt;&gt;"",'Statements (Raw)'!C776,IF(ISNUMBER(SEARCH("Conferimento",'Statements (Raw)'!D776)),"CASH DEPOSIT",IF(ISNUMBER(SEARCH("Prelievo",'Statements (Raw)'!D776)),"CASH WITHDRAWAL",IF(ISNUMBER(SEARCH("Bollo",'Statements (Raw)'!D776)),"STAMP DUTY",IF(ISNUMBER(SEARCH("Tobin Tax",'Statements (Raw)'!D776)),"TOBIN TAX",IF(ISNUMBER(SEARCH("Rit.provento",'Statements (Raw)'!D776)),"WITHHOLDING TAX",IF(ISNUMBER(SEARCH("Incasso Dividendi",'Statements (Raw)'!D776)),"DIVIDEND",IF(ISNUMBER(SEARCH("Cedola",'Statements (Raw)'!D776)),"COUPON",IF(ISNUMBER(SEARCH("Ratei Pass",'Statements (Raw)'!D776)),"ACCRUED INT",IF(ISNUMBER(SEARCH("Interessi Prest",'Statements (Raw)'!D776)),"SEC LENDING",IF(ISNUMBER(SEARCH("Rimborso",'Statements (Raw)'!D776)),"REDEMPTION",IF(ISNUMBER(SEARCH("Provento",'Statements (Raw)'!D776)),"DISTRIBUTION","OTHER")))))))))))))</f>
        <v/>
      </c>
      <c r="D778" s="6" t="str">
        <f>IF(A778="","",IF(C778="Saldo Iniziale","Balance",IF(C778="CASH DEPOSIT","Deposit",IF(C778="CASH WITHDRAWAL","Withdrawal",IF(C778="STAMP DUTY","Tax",IF(C778="TOBIN TAX","Tax",IF(C778="WITHHOLDING TAX","Tax",IF(C778="DIVIDEND","Dividend",IF(C778="COUPON","Coupon",IF(C778="ACCRUED INT","Accrued Int.",IF(C778="SEC LENDING","Sec. Lending",IF(C778="REDEMPTION","Redemption",IF(C778="DISTRIBUTION","Distribution",IF(ISNUMBER(SEARCH("Rimborso",'Statements (Raw)'!D776)),"Redemption",IF(ISNUMBER(SEARCH("Cedola",'Statements (Raw)'!D776)),"Coupon",IF(ISNUMBER(SEARCH("Incasso Dividendi",'Statements (Raw)'!D776)),"Dividend",IF(ISNUMBER(SEARCH("Provento Etf",'Statements (Raw)'!D776)),"Distribution",IF(ISNUMBER(SEARCH("Rit.provento",'Statements (Raw)'!D776)),"Tax",IF(ISNUMBER(SEARCH("Ratei Pass",'Statements (Raw)'!D776)),"Accrued Int.",IF(ISNUMBER(SEARCH("Interessi Prest",'Statements (Raw)'!D776)),"Sec. Lending",IF('Statements (Raw)'!G776="","Other",IF('Statements (Raw)'!G776&gt;0,"Buy","Sell"))))))))))))))))))))))</f>
        <v/>
      </c>
      <c r="E778" s="6" t="str">
        <f t="shared" si="24"/>
        <v/>
      </c>
      <c r="F778" s="8" t="str">
        <f>IF(A778="","",IF('Statements (Raw)'!E776="","",'Statements (Raw)'!E776))</f>
        <v/>
      </c>
      <c r="G778" s="6" t="str">
        <f>IF(A778="","",IF('Statements (Raw)'!F776="","",'Statements (Raw)'!F776))</f>
        <v/>
      </c>
      <c r="H778" s="9" t="str">
        <f>IF(A778="","",IF('Statements (Raw)'!G776="","",'Statements (Raw)'!G776))</f>
        <v/>
      </c>
      <c r="I778" s="10" t="str">
        <f>IF(A778="","",IF('Statements (Raw)'!H776="","",'Statements (Raw)'!H776))</f>
        <v/>
      </c>
      <c r="J778" s="10">
        <f>IF(A778="",0,IF('Statements (Raw)'!I776="",0,'Statements (Raw)'!I776))</f>
        <v>0</v>
      </c>
      <c r="K778" s="10" t="str">
        <f t="shared" si="25"/>
        <v/>
      </c>
    </row>
    <row r="779" spans="1:11" x14ac:dyDescent="0.3">
      <c r="A779" s="171" t="str">
        <f>IF(OR('Statements (Raw)'!A777="",'Statements (Raw)'!A777&gt;Holdings!$G$3),"",'Statements (Raw)'!A777)</f>
        <v/>
      </c>
      <c r="B779" s="7" t="str">
        <f>IF(A779="","",IF('Statements (Raw)'!B777="","",'Statements (Raw)'!B777))</f>
        <v/>
      </c>
      <c r="C779" s="6" t="str">
        <f>IF(A779="","",IF('Statements (Raw)'!C777&lt;&gt;"",'Statements (Raw)'!C777,IF(ISNUMBER(SEARCH("Conferimento",'Statements (Raw)'!D777)),"CASH DEPOSIT",IF(ISNUMBER(SEARCH("Prelievo",'Statements (Raw)'!D777)),"CASH WITHDRAWAL",IF(ISNUMBER(SEARCH("Bollo",'Statements (Raw)'!D777)),"STAMP DUTY",IF(ISNUMBER(SEARCH("Tobin Tax",'Statements (Raw)'!D777)),"TOBIN TAX",IF(ISNUMBER(SEARCH("Rit.provento",'Statements (Raw)'!D777)),"WITHHOLDING TAX",IF(ISNUMBER(SEARCH("Incasso Dividendi",'Statements (Raw)'!D777)),"DIVIDEND",IF(ISNUMBER(SEARCH("Cedola",'Statements (Raw)'!D777)),"COUPON",IF(ISNUMBER(SEARCH("Ratei Pass",'Statements (Raw)'!D777)),"ACCRUED INT",IF(ISNUMBER(SEARCH("Interessi Prest",'Statements (Raw)'!D777)),"SEC LENDING",IF(ISNUMBER(SEARCH("Rimborso",'Statements (Raw)'!D777)),"REDEMPTION",IF(ISNUMBER(SEARCH("Provento",'Statements (Raw)'!D777)),"DISTRIBUTION","OTHER")))))))))))))</f>
        <v/>
      </c>
      <c r="D779" s="6" t="str">
        <f>IF(A779="","",IF(C779="Saldo Iniziale","Balance",IF(C779="CASH DEPOSIT","Deposit",IF(C779="CASH WITHDRAWAL","Withdrawal",IF(C779="STAMP DUTY","Tax",IF(C779="TOBIN TAX","Tax",IF(C779="WITHHOLDING TAX","Tax",IF(C779="DIVIDEND","Dividend",IF(C779="COUPON","Coupon",IF(C779="ACCRUED INT","Accrued Int.",IF(C779="SEC LENDING","Sec. Lending",IF(C779="REDEMPTION","Redemption",IF(C779="DISTRIBUTION","Distribution",IF(ISNUMBER(SEARCH("Rimborso",'Statements (Raw)'!D777)),"Redemption",IF(ISNUMBER(SEARCH("Cedola",'Statements (Raw)'!D777)),"Coupon",IF(ISNUMBER(SEARCH("Incasso Dividendi",'Statements (Raw)'!D777)),"Dividend",IF(ISNUMBER(SEARCH("Provento Etf",'Statements (Raw)'!D777)),"Distribution",IF(ISNUMBER(SEARCH("Rit.provento",'Statements (Raw)'!D777)),"Tax",IF(ISNUMBER(SEARCH("Ratei Pass",'Statements (Raw)'!D777)),"Accrued Int.",IF(ISNUMBER(SEARCH("Interessi Prest",'Statements (Raw)'!D777)),"Sec. Lending",IF('Statements (Raw)'!G777="","Other",IF('Statements (Raw)'!G777&gt;0,"Buy","Sell"))))))))))))))))))))))</f>
        <v/>
      </c>
      <c r="E779" s="6" t="str">
        <f t="shared" si="24"/>
        <v/>
      </c>
      <c r="F779" s="8" t="str">
        <f>IF(A779="","",IF('Statements (Raw)'!E777="","",'Statements (Raw)'!E777))</f>
        <v/>
      </c>
      <c r="G779" s="6" t="str">
        <f>IF(A779="","",IF('Statements (Raw)'!F777="","",'Statements (Raw)'!F777))</f>
        <v/>
      </c>
      <c r="H779" s="9" t="str">
        <f>IF(A779="","",IF('Statements (Raw)'!G777="","",'Statements (Raw)'!G777))</f>
        <v/>
      </c>
      <c r="I779" s="10" t="str">
        <f>IF(A779="","",IF('Statements (Raw)'!H777="","",'Statements (Raw)'!H777))</f>
        <v/>
      </c>
      <c r="J779" s="10">
        <f>IF(A779="",0,IF('Statements (Raw)'!I777="",0,'Statements (Raw)'!I777))</f>
        <v>0</v>
      </c>
      <c r="K779" s="10" t="str">
        <f t="shared" si="25"/>
        <v/>
      </c>
    </row>
    <row r="780" spans="1:11" x14ac:dyDescent="0.3">
      <c r="A780" s="171" t="str">
        <f>IF(OR('Statements (Raw)'!A778="",'Statements (Raw)'!A778&gt;Holdings!$G$3),"",'Statements (Raw)'!A778)</f>
        <v/>
      </c>
      <c r="B780" s="7" t="str">
        <f>IF(A780="","",IF('Statements (Raw)'!B778="","",'Statements (Raw)'!B778))</f>
        <v/>
      </c>
      <c r="C780" s="6" t="str">
        <f>IF(A780="","",IF('Statements (Raw)'!C778&lt;&gt;"",'Statements (Raw)'!C778,IF(ISNUMBER(SEARCH("Conferimento",'Statements (Raw)'!D778)),"CASH DEPOSIT",IF(ISNUMBER(SEARCH("Prelievo",'Statements (Raw)'!D778)),"CASH WITHDRAWAL",IF(ISNUMBER(SEARCH("Bollo",'Statements (Raw)'!D778)),"STAMP DUTY",IF(ISNUMBER(SEARCH("Tobin Tax",'Statements (Raw)'!D778)),"TOBIN TAX",IF(ISNUMBER(SEARCH("Rit.provento",'Statements (Raw)'!D778)),"WITHHOLDING TAX",IF(ISNUMBER(SEARCH("Incasso Dividendi",'Statements (Raw)'!D778)),"DIVIDEND",IF(ISNUMBER(SEARCH("Cedola",'Statements (Raw)'!D778)),"COUPON",IF(ISNUMBER(SEARCH("Ratei Pass",'Statements (Raw)'!D778)),"ACCRUED INT",IF(ISNUMBER(SEARCH("Interessi Prest",'Statements (Raw)'!D778)),"SEC LENDING",IF(ISNUMBER(SEARCH("Rimborso",'Statements (Raw)'!D778)),"REDEMPTION",IF(ISNUMBER(SEARCH("Provento",'Statements (Raw)'!D778)),"DISTRIBUTION","OTHER")))))))))))))</f>
        <v/>
      </c>
      <c r="D780" s="6" t="str">
        <f>IF(A780="","",IF(C780="Saldo Iniziale","Balance",IF(C780="CASH DEPOSIT","Deposit",IF(C780="CASH WITHDRAWAL","Withdrawal",IF(C780="STAMP DUTY","Tax",IF(C780="TOBIN TAX","Tax",IF(C780="WITHHOLDING TAX","Tax",IF(C780="DIVIDEND","Dividend",IF(C780="COUPON","Coupon",IF(C780="ACCRUED INT","Accrued Int.",IF(C780="SEC LENDING","Sec. Lending",IF(C780="REDEMPTION","Redemption",IF(C780="DISTRIBUTION","Distribution",IF(ISNUMBER(SEARCH("Rimborso",'Statements (Raw)'!D778)),"Redemption",IF(ISNUMBER(SEARCH("Cedola",'Statements (Raw)'!D778)),"Coupon",IF(ISNUMBER(SEARCH("Incasso Dividendi",'Statements (Raw)'!D778)),"Dividend",IF(ISNUMBER(SEARCH("Provento Etf",'Statements (Raw)'!D778)),"Distribution",IF(ISNUMBER(SEARCH("Rit.provento",'Statements (Raw)'!D778)),"Tax",IF(ISNUMBER(SEARCH("Ratei Pass",'Statements (Raw)'!D778)),"Accrued Int.",IF(ISNUMBER(SEARCH("Interessi Prest",'Statements (Raw)'!D778)),"Sec. Lending",IF('Statements (Raw)'!G778="","Other",IF('Statements (Raw)'!G778&gt;0,"Buy","Sell"))))))))))))))))))))))</f>
        <v/>
      </c>
      <c r="E780" s="6" t="str">
        <f t="shared" si="24"/>
        <v/>
      </c>
      <c r="F780" s="8" t="str">
        <f>IF(A780="","",IF('Statements (Raw)'!E778="","",'Statements (Raw)'!E778))</f>
        <v/>
      </c>
      <c r="G780" s="6" t="str">
        <f>IF(A780="","",IF('Statements (Raw)'!F778="","",'Statements (Raw)'!F778))</f>
        <v/>
      </c>
      <c r="H780" s="9" t="str">
        <f>IF(A780="","",IF('Statements (Raw)'!G778="","",'Statements (Raw)'!G778))</f>
        <v/>
      </c>
      <c r="I780" s="10" t="str">
        <f>IF(A780="","",IF('Statements (Raw)'!H778="","",'Statements (Raw)'!H778))</f>
        <v/>
      </c>
      <c r="J780" s="10">
        <f>IF(A780="",0,IF('Statements (Raw)'!I778="",0,'Statements (Raw)'!I778))</f>
        <v>0</v>
      </c>
      <c r="K780" s="10" t="str">
        <f t="shared" si="25"/>
        <v/>
      </c>
    </row>
    <row r="781" spans="1:11" x14ac:dyDescent="0.3">
      <c r="A781" s="171" t="str">
        <f>IF(OR('Statements (Raw)'!A779="",'Statements (Raw)'!A779&gt;Holdings!$G$3),"",'Statements (Raw)'!A779)</f>
        <v/>
      </c>
      <c r="B781" s="7" t="str">
        <f>IF(A781="","",IF('Statements (Raw)'!B779="","",'Statements (Raw)'!B779))</f>
        <v/>
      </c>
      <c r="C781" s="6" t="str">
        <f>IF(A781="","",IF('Statements (Raw)'!C779&lt;&gt;"",'Statements (Raw)'!C779,IF(ISNUMBER(SEARCH("Conferimento",'Statements (Raw)'!D779)),"CASH DEPOSIT",IF(ISNUMBER(SEARCH("Prelievo",'Statements (Raw)'!D779)),"CASH WITHDRAWAL",IF(ISNUMBER(SEARCH("Bollo",'Statements (Raw)'!D779)),"STAMP DUTY",IF(ISNUMBER(SEARCH("Tobin Tax",'Statements (Raw)'!D779)),"TOBIN TAX",IF(ISNUMBER(SEARCH("Rit.provento",'Statements (Raw)'!D779)),"WITHHOLDING TAX",IF(ISNUMBER(SEARCH("Incasso Dividendi",'Statements (Raw)'!D779)),"DIVIDEND",IF(ISNUMBER(SEARCH("Cedola",'Statements (Raw)'!D779)),"COUPON",IF(ISNUMBER(SEARCH("Ratei Pass",'Statements (Raw)'!D779)),"ACCRUED INT",IF(ISNUMBER(SEARCH("Interessi Prest",'Statements (Raw)'!D779)),"SEC LENDING",IF(ISNUMBER(SEARCH("Rimborso",'Statements (Raw)'!D779)),"REDEMPTION",IF(ISNUMBER(SEARCH("Provento",'Statements (Raw)'!D779)),"DISTRIBUTION","OTHER")))))))))))))</f>
        <v/>
      </c>
      <c r="D781" s="6" t="str">
        <f>IF(A781="","",IF(C781="Saldo Iniziale","Balance",IF(C781="CASH DEPOSIT","Deposit",IF(C781="CASH WITHDRAWAL","Withdrawal",IF(C781="STAMP DUTY","Tax",IF(C781="TOBIN TAX","Tax",IF(C781="WITHHOLDING TAX","Tax",IF(C781="DIVIDEND","Dividend",IF(C781="COUPON","Coupon",IF(C781="ACCRUED INT","Accrued Int.",IF(C781="SEC LENDING","Sec. Lending",IF(C781="REDEMPTION","Redemption",IF(C781="DISTRIBUTION","Distribution",IF(ISNUMBER(SEARCH("Rimborso",'Statements (Raw)'!D779)),"Redemption",IF(ISNUMBER(SEARCH("Cedola",'Statements (Raw)'!D779)),"Coupon",IF(ISNUMBER(SEARCH("Incasso Dividendi",'Statements (Raw)'!D779)),"Dividend",IF(ISNUMBER(SEARCH("Provento Etf",'Statements (Raw)'!D779)),"Distribution",IF(ISNUMBER(SEARCH("Rit.provento",'Statements (Raw)'!D779)),"Tax",IF(ISNUMBER(SEARCH("Ratei Pass",'Statements (Raw)'!D779)),"Accrued Int.",IF(ISNUMBER(SEARCH("Interessi Prest",'Statements (Raw)'!D779)),"Sec. Lending",IF('Statements (Raw)'!G779="","Other",IF('Statements (Raw)'!G779&gt;0,"Buy","Sell"))))))))))))))))))))))</f>
        <v/>
      </c>
      <c r="E781" s="6" t="str">
        <f t="shared" si="24"/>
        <v/>
      </c>
      <c r="F781" s="8" t="str">
        <f>IF(A781="","",IF('Statements (Raw)'!E779="","",'Statements (Raw)'!E779))</f>
        <v/>
      </c>
      <c r="G781" s="6" t="str">
        <f>IF(A781="","",IF('Statements (Raw)'!F779="","",'Statements (Raw)'!F779))</f>
        <v/>
      </c>
      <c r="H781" s="9" t="str">
        <f>IF(A781="","",IF('Statements (Raw)'!G779="","",'Statements (Raw)'!G779))</f>
        <v/>
      </c>
      <c r="I781" s="10" t="str">
        <f>IF(A781="","",IF('Statements (Raw)'!H779="","",'Statements (Raw)'!H779))</f>
        <v/>
      </c>
      <c r="J781" s="10">
        <f>IF(A781="",0,IF('Statements (Raw)'!I779="",0,'Statements (Raw)'!I779))</f>
        <v>0</v>
      </c>
      <c r="K781" s="10" t="str">
        <f t="shared" si="25"/>
        <v/>
      </c>
    </row>
    <row r="782" spans="1:11" x14ac:dyDescent="0.3">
      <c r="A782" s="171" t="str">
        <f>IF(OR('Statements (Raw)'!A780="",'Statements (Raw)'!A780&gt;Holdings!$G$3),"",'Statements (Raw)'!A780)</f>
        <v/>
      </c>
      <c r="B782" s="7" t="str">
        <f>IF(A782="","",IF('Statements (Raw)'!B780="","",'Statements (Raw)'!B780))</f>
        <v/>
      </c>
      <c r="C782" s="6" t="str">
        <f>IF(A782="","",IF('Statements (Raw)'!C780&lt;&gt;"",'Statements (Raw)'!C780,IF(ISNUMBER(SEARCH("Conferimento",'Statements (Raw)'!D780)),"CASH DEPOSIT",IF(ISNUMBER(SEARCH("Prelievo",'Statements (Raw)'!D780)),"CASH WITHDRAWAL",IF(ISNUMBER(SEARCH("Bollo",'Statements (Raw)'!D780)),"STAMP DUTY",IF(ISNUMBER(SEARCH("Tobin Tax",'Statements (Raw)'!D780)),"TOBIN TAX",IF(ISNUMBER(SEARCH("Rit.provento",'Statements (Raw)'!D780)),"WITHHOLDING TAX",IF(ISNUMBER(SEARCH("Incasso Dividendi",'Statements (Raw)'!D780)),"DIVIDEND",IF(ISNUMBER(SEARCH("Cedola",'Statements (Raw)'!D780)),"COUPON",IF(ISNUMBER(SEARCH("Ratei Pass",'Statements (Raw)'!D780)),"ACCRUED INT",IF(ISNUMBER(SEARCH("Interessi Prest",'Statements (Raw)'!D780)),"SEC LENDING",IF(ISNUMBER(SEARCH("Rimborso",'Statements (Raw)'!D780)),"REDEMPTION",IF(ISNUMBER(SEARCH("Provento",'Statements (Raw)'!D780)),"DISTRIBUTION","OTHER")))))))))))))</f>
        <v/>
      </c>
      <c r="D782" s="6" t="str">
        <f>IF(A782="","",IF(C782="Saldo Iniziale","Balance",IF(C782="CASH DEPOSIT","Deposit",IF(C782="CASH WITHDRAWAL","Withdrawal",IF(C782="STAMP DUTY","Tax",IF(C782="TOBIN TAX","Tax",IF(C782="WITHHOLDING TAX","Tax",IF(C782="DIVIDEND","Dividend",IF(C782="COUPON","Coupon",IF(C782="ACCRUED INT","Accrued Int.",IF(C782="SEC LENDING","Sec. Lending",IF(C782="REDEMPTION","Redemption",IF(C782="DISTRIBUTION","Distribution",IF(ISNUMBER(SEARCH("Rimborso",'Statements (Raw)'!D780)),"Redemption",IF(ISNUMBER(SEARCH("Cedola",'Statements (Raw)'!D780)),"Coupon",IF(ISNUMBER(SEARCH("Incasso Dividendi",'Statements (Raw)'!D780)),"Dividend",IF(ISNUMBER(SEARCH("Provento Etf",'Statements (Raw)'!D780)),"Distribution",IF(ISNUMBER(SEARCH("Rit.provento",'Statements (Raw)'!D780)),"Tax",IF(ISNUMBER(SEARCH("Ratei Pass",'Statements (Raw)'!D780)),"Accrued Int.",IF(ISNUMBER(SEARCH("Interessi Prest",'Statements (Raw)'!D780)),"Sec. Lending",IF('Statements (Raw)'!G780="","Other",IF('Statements (Raw)'!G780&gt;0,"Buy","Sell"))))))))))))))))))))))</f>
        <v/>
      </c>
      <c r="E782" s="6" t="str">
        <f t="shared" si="24"/>
        <v/>
      </c>
      <c r="F782" s="8" t="str">
        <f>IF(A782="","",IF('Statements (Raw)'!E780="","",'Statements (Raw)'!E780))</f>
        <v/>
      </c>
      <c r="G782" s="6" t="str">
        <f>IF(A782="","",IF('Statements (Raw)'!F780="","",'Statements (Raw)'!F780))</f>
        <v/>
      </c>
      <c r="H782" s="9" t="str">
        <f>IF(A782="","",IF('Statements (Raw)'!G780="","",'Statements (Raw)'!G780))</f>
        <v/>
      </c>
      <c r="I782" s="10" t="str">
        <f>IF(A782="","",IF('Statements (Raw)'!H780="","",'Statements (Raw)'!H780))</f>
        <v/>
      </c>
      <c r="J782" s="10">
        <f>IF(A782="",0,IF('Statements (Raw)'!I780="",0,'Statements (Raw)'!I780))</f>
        <v>0</v>
      </c>
      <c r="K782" s="10" t="str">
        <f t="shared" si="25"/>
        <v/>
      </c>
    </row>
    <row r="783" spans="1:11" x14ac:dyDescent="0.3">
      <c r="A783" s="171" t="str">
        <f>IF(OR('Statements (Raw)'!A781="",'Statements (Raw)'!A781&gt;Holdings!$G$3),"",'Statements (Raw)'!A781)</f>
        <v/>
      </c>
      <c r="B783" s="7" t="str">
        <f>IF(A783="","",IF('Statements (Raw)'!B781="","",'Statements (Raw)'!B781))</f>
        <v/>
      </c>
      <c r="C783" s="6" t="str">
        <f>IF(A783="","",IF('Statements (Raw)'!C781&lt;&gt;"",'Statements (Raw)'!C781,IF(ISNUMBER(SEARCH("Conferimento",'Statements (Raw)'!D781)),"CASH DEPOSIT",IF(ISNUMBER(SEARCH("Prelievo",'Statements (Raw)'!D781)),"CASH WITHDRAWAL",IF(ISNUMBER(SEARCH("Bollo",'Statements (Raw)'!D781)),"STAMP DUTY",IF(ISNUMBER(SEARCH("Tobin Tax",'Statements (Raw)'!D781)),"TOBIN TAX",IF(ISNUMBER(SEARCH("Rit.provento",'Statements (Raw)'!D781)),"WITHHOLDING TAX",IF(ISNUMBER(SEARCH("Incasso Dividendi",'Statements (Raw)'!D781)),"DIVIDEND",IF(ISNUMBER(SEARCH("Cedola",'Statements (Raw)'!D781)),"COUPON",IF(ISNUMBER(SEARCH("Ratei Pass",'Statements (Raw)'!D781)),"ACCRUED INT",IF(ISNUMBER(SEARCH("Interessi Prest",'Statements (Raw)'!D781)),"SEC LENDING",IF(ISNUMBER(SEARCH("Rimborso",'Statements (Raw)'!D781)),"REDEMPTION",IF(ISNUMBER(SEARCH("Provento",'Statements (Raw)'!D781)),"DISTRIBUTION","OTHER")))))))))))))</f>
        <v/>
      </c>
      <c r="D783" s="6" t="str">
        <f>IF(A783="","",IF(C783="Saldo Iniziale","Balance",IF(C783="CASH DEPOSIT","Deposit",IF(C783="CASH WITHDRAWAL","Withdrawal",IF(C783="STAMP DUTY","Tax",IF(C783="TOBIN TAX","Tax",IF(C783="WITHHOLDING TAX","Tax",IF(C783="DIVIDEND","Dividend",IF(C783="COUPON","Coupon",IF(C783="ACCRUED INT","Accrued Int.",IF(C783="SEC LENDING","Sec. Lending",IF(C783="REDEMPTION","Redemption",IF(C783="DISTRIBUTION","Distribution",IF(ISNUMBER(SEARCH("Rimborso",'Statements (Raw)'!D781)),"Redemption",IF(ISNUMBER(SEARCH("Cedola",'Statements (Raw)'!D781)),"Coupon",IF(ISNUMBER(SEARCH("Incasso Dividendi",'Statements (Raw)'!D781)),"Dividend",IF(ISNUMBER(SEARCH("Provento Etf",'Statements (Raw)'!D781)),"Distribution",IF(ISNUMBER(SEARCH("Rit.provento",'Statements (Raw)'!D781)),"Tax",IF(ISNUMBER(SEARCH("Ratei Pass",'Statements (Raw)'!D781)),"Accrued Int.",IF(ISNUMBER(SEARCH("Interessi Prest",'Statements (Raw)'!D781)),"Sec. Lending",IF('Statements (Raw)'!G781="","Other",IF('Statements (Raw)'!G781&gt;0,"Buy","Sell"))))))))))))))))))))))</f>
        <v/>
      </c>
      <c r="E783" s="6" t="str">
        <f t="shared" si="24"/>
        <v/>
      </c>
      <c r="F783" s="8" t="str">
        <f>IF(A783="","",IF('Statements (Raw)'!E781="","",'Statements (Raw)'!E781))</f>
        <v/>
      </c>
      <c r="G783" s="6" t="str">
        <f>IF(A783="","",IF('Statements (Raw)'!F781="","",'Statements (Raw)'!F781))</f>
        <v/>
      </c>
      <c r="H783" s="9" t="str">
        <f>IF(A783="","",IF('Statements (Raw)'!G781="","",'Statements (Raw)'!G781))</f>
        <v/>
      </c>
      <c r="I783" s="10" t="str">
        <f>IF(A783="","",IF('Statements (Raw)'!H781="","",'Statements (Raw)'!H781))</f>
        <v/>
      </c>
      <c r="J783" s="10">
        <f>IF(A783="",0,IF('Statements (Raw)'!I781="",0,'Statements (Raw)'!I781))</f>
        <v>0</v>
      </c>
      <c r="K783" s="10" t="str">
        <f t="shared" si="25"/>
        <v/>
      </c>
    </row>
    <row r="784" spans="1:11" x14ac:dyDescent="0.3">
      <c r="A784" s="171" t="str">
        <f>IF(OR('Statements (Raw)'!A782="",'Statements (Raw)'!A782&gt;Holdings!$G$3),"",'Statements (Raw)'!A782)</f>
        <v/>
      </c>
      <c r="B784" s="7" t="str">
        <f>IF(A784="","",IF('Statements (Raw)'!B782="","",'Statements (Raw)'!B782))</f>
        <v/>
      </c>
      <c r="C784" s="6" t="str">
        <f>IF(A784="","",IF('Statements (Raw)'!C782&lt;&gt;"",'Statements (Raw)'!C782,IF(ISNUMBER(SEARCH("Conferimento",'Statements (Raw)'!D782)),"CASH DEPOSIT",IF(ISNUMBER(SEARCH("Prelievo",'Statements (Raw)'!D782)),"CASH WITHDRAWAL",IF(ISNUMBER(SEARCH("Bollo",'Statements (Raw)'!D782)),"STAMP DUTY",IF(ISNUMBER(SEARCH("Tobin Tax",'Statements (Raw)'!D782)),"TOBIN TAX",IF(ISNUMBER(SEARCH("Rit.provento",'Statements (Raw)'!D782)),"WITHHOLDING TAX",IF(ISNUMBER(SEARCH("Incasso Dividendi",'Statements (Raw)'!D782)),"DIVIDEND",IF(ISNUMBER(SEARCH("Cedola",'Statements (Raw)'!D782)),"COUPON",IF(ISNUMBER(SEARCH("Ratei Pass",'Statements (Raw)'!D782)),"ACCRUED INT",IF(ISNUMBER(SEARCH("Interessi Prest",'Statements (Raw)'!D782)),"SEC LENDING",IF(ISNUMBER(SEARCH("Rimborso",'Statements (Raw)'!D782)),"REDEMPTION",IF(ISNUMBER(SEARCH("Provento",'Statements (Raw)'!D782)),"DISTRIBUTION","OTHER")))))))))))))</f>
        <v/>
      </c>
      <c r="D784" s="6" t="str">
        <f>IF(A784="","",IF(C784="Saldo Iniziale","Balance",IF(C784="CASH DEPOSIT","Deposit",IF(C784="CASH WITHDRAWAL","Withdrawal",IF(C784="STAMP DUTY","Tax",IF(C784="TOBIN TAX","Tax",IF(C784="WITHHOLDING TAX","Tax",IF(C784="DIVIDEND","Dividend",IF(C784="COUPON","Coupon",IF(C784="ACCRUED INT","Accrued Int.",IF(C784="SEC LENDING","Sec. Lending",IF(C784="REDEMPTION","Redemption",IF(C784="DISTRIBUTION","Distribution",IF(ISNUMBER(SEARCH("Rimborso",'Statements (Raw)'!D782)),"Redemption",IF(ISNUMBER(SEARCH("Cedola",'Statements (Raw)'!D782)),"Coupon",IF(ISNUMBER(SEARCH("Incasso Dividendi",'Statements (Raw)'!D782)),"Dividend",IF(ISNUMBER(SEARCH("Provento Etf",'Statements (Raw)'!D782)),"Distribution",IF(ISNUMBER(SEARCH("Rit.provento",'Statements (Raw)'!D782)),"Tax",IF(ISNUMBER(SEARCH("Ratei Pass",'Statements (Raw)'!D782)),"Accrued Int.",IF(ISNUMBER(SEARCH("Interessi Prest",'Statements (Raw)'!D782)),"Sec. Lending",IF('Statements (Raw)'!G782="","Other",IF('Statements (Raw)'!G782&gt;0,"Buy","Sell"))))))))))))))))))))))</f>
        <v/>
      </c>
      <c r="E784" s="6" t="str">
        <f t="shared" si="24"/>
        <v/>
      </c>
      <c r="F784" s="8" t="str">
        <f>IF(A784="","",IF('Statements (Raw)'!E782="","",'Statements (Raw)'!E782))</f>
        <v/>
      </c>
      <c r="G784" s="6" t="str">
        <f>IF(A784="","",IF('Statements (Raw)'!F782="","",'Statements (Raw)'!F782))</f>
        <v/>
      </c>
      <c r="H784" s="9" t="str">
        <f>IF(A784="","",IF('Statements (Raw)'!G782="","",'Statements (Raw)'!G782))</f>
        <v/>
      </c>
      <c r="I784" s="10" t="str">
        <f>IF(A784="","",IF('Statements (Raw)'!H782="","",'Statements (Raw)'!H782))</f>
        <v/>
      </c>
      <c r="J784" s="10">
        <f>IF(A784="",0,IF('Statements (Raw)'!I782="",0,'Statements (Raw)'!I782))</f>
        <v>0</v>
      </c>
      <c r="K784" s="10" t="str">
        <f t="shared" si="25"/>
        <v/>
      </c>
    </row>
    <row r="785" spans="1:11" x14ac:dyDescent="0.3">
      <c r="A785" s="171" t="str">
        <f>IF(OR('Statements (Raw)'!A783="",'Statements (Raw)'!A783&gt;Holdings!$G$3),"",'Statements (Raw)'!A783)</f>
        <v/>
      </c>
      <c r="B785" s="7" t="str">
        <f>IF(A785="","",IF('Statements (Raw)'!B783="","",'Statements (Raw)'!B783))</f>
        <v/>
      </c>
      <c r="C785" s="6" t="str">
        <f>IF(A785="","",IF('Statements (Raw)'!C783&lt;&gt;"",'Statements (Raw)'!C783,IF(ISNUMBER(SEARCH("Conferimento",'Statements (Raw)'!D783)),"CASH DEPOSIT",IF(ISNUMBER(SEARCH("Prelievo",'Statements (Raw)'!D783)),"CASH WITHDRAWAL",IF(ISNUMBER(SEARCH("Bollo",'Statements (Raw)'!D783)),"STAMP DUTY",IF(ISNUMBER(SEARCH("Tobin Tax",'Statements (Raw)'!D783)),"TOBIN TAX",IF(ISNUMBER(SEARCH("Rit.provento",'Statements (Raw)'!D783)),"WITHHOLDING TAX",IF(ISNUMBER(SEARCH("Incasso Dividendi",'Statements (Raw)'!D783)),"DIVIDEND",IF(ISNUMBER(SEARCH("Cedola",'Statements (Raw)'!D783)),"COUPON",IF(ISNUMBER(SEARCH("Ratei Pass",'Statements (Raw)'!D783)),"ACCRUED INT",IF(ISNUMBER(SEARCH("Interessi Prest",'Statements (Raw)'!D783)),"SEC LENDING",IF(ISNUMBER(SEARCH("Rimborso",'Statements (Raw)'!D783)),"REDEMPTION",IF(ISNUMBER(SEARCH("Provento",'Statements (Raw)'!D783)),"DISTRIBUTION","OTHER")))))))))))))</f>
        <v/>
      </c>
      <c r="D785" s="6" t="str">
        <f>IF(A785="","",IF(C785="Saldo Iniziale","Balance",IF(C785="CASH DEPOSIT","Deposit",IF(C785="CASH WITHDRAWAL","Withdrawal",IF(C785="STAMP DUTY","Tax",IF(C785="TOBIN TAX","Tax",IF(C785="WITHHOLDING TAX","Tax",IF(C785="DIVIDEND","Dividend",IF(C785="COUPON","Coupon",IF(C785="ACCRUED INT","Accrued Int.",IF(C785="SEC LENDING","Sec. Lending",IF(C785="REDEMPTION","Redemption",IF(C785="DISTRIBUTION","Distribution",IF(ISNUMBER(SEARCH("Rimborso",'Statements (Raw)'!D783)),"Redemption",IF(ISNUMBER(SEARCH("Cedola",'Statements (Raw)'!D783)),"Coupon",IF(ISNUMBER(SEARCH("Incasso Dividendi",'Statements (Raw)'!D783)),"Dividend",IF(ISNUMBER(SEARCH("Provento Etf",'Statements (Raw)'!D783)),"Distribution",IF(ISNUMBER(SEARCH("Rit.provento",'Statements (Raw)'!D783)),"Tax",IF(ISNUMBER(SEARCH("Ratei Pass",'Statements (Raw)'!D783)),"Accrued Int.",IF(ISNUMBER(SEARCH("Interessi Prest",'Statements (Raw)'!D783)),"Sec. Lending",IF('Statements (Raw)'!G783="","Other",IF('Statements (Raw)'!G783&gt;0,"Buy","Sell"))))))))))))))))))))))</f>
        <v/>
      </c>
      <c r="E785" s="6" t="str">
        <f t="shared" si="24"/>
        <v/>
      </c>
      <c r="F785" s="8" t="str">
        <f>IF(A785="","",IF('Statements (Raw)'!E783="","",'Statements (Raw)'!E783))</f>
        <v/>
      </c>
      <c r="G785" s="6" t="str">
        <f>IF(A785="","",IF('Statements (Raw)'!F783="","",'Statements (Raw)'!F783))</f>
        <v/>
      </c>
      <c r="H785" s="9" t="str">
        <f>IF(A785="","",IF('Statements (Raw)'!G783="","",'Statements (Raw)'!G783))</f>
        <v/>
      </c>
      <c r="I785" s="10" t="str">
        <f>IF(A785="","",IF('Statements (Raw)'!H783="","",'Statements (Raw)'!H783))</f>
        <v/>
      </c>
      <c r="J785" s="10">
        <f>IF(A785="",0,IF('Statements (Raw)'!I783="",0,'Statements (Raw)'!I783))</f>
        <v>0</v>
      </c>
      <c r="K785" s="10" t="str">
        <f t="shared" si="25"/>
        <v/>
      </c>
    </row>
    <row r="786" spans="1:11" x14ac:dyDescent="0.3">
      <c r="A786" s="171" t="str">
        <f>IF(OR('Statements (Raw)'!A784="",'Statements (Raw)'!A784&gt;Holdings!$G$3),"",'Statements (Raw)'!A784)</f>
        <v/>
      </c>
      <c r="B786" s="7" t="str">
        <f>IF(A786="","",IF('Statements (Raw)'!B784="","",'Statements (Raw)'!B784))</f>
        <v/>
      </c>
      <c r="C786" s="6" t="str">
        <f>IF(A786="","",IF('Statements (Raw)'!C784&lt;&gt;"",'Statements (Raw)'!C784,IF(ISNUMBER(SEARCH("Conferimento",'Statements (Raw)'!D784)),"CASH DEPOSIT",IF(ISNUMBER(SEARCH("Prelievo",'Statements (Raw)'!D784)),"CASH WITHDRAWAL",IF(ISNUMBER(SEARCH("Bollo",'Statements (Raw)'!D784)),"STAMP DUTY",IF(ISNUMBER(SEARCH("Tobin Tax",'Statements (Raw)'!D784)),"TOBIN TAX",IF(ISNUMBER(SEARCH("Rit.provento",'Statements (Raw)'!D784)),"WITHHOLDING TAX",IF(ISNUMBER(SEARCH("Incasso Dividendi",'Statements (Raw)'!D784)),"DIVIDEND",IF(ISNUMBER(SEARCH("Cedola",'Statements (Raw)'!D784)),"COUPON",IF(ISNUMBER(SEARCH("Ratei Pass",'Statements (Raw)'!D784)),"ACCRUED INT",IF(ISNUMBER(SEARCH("Interessi Prest",'Statements (Raw)'!D784)),"SEC LENDING",IF(ISNUMBER(SEARCH("Rimborso",'Statements (Raw)'!D784)),"REDEMPTION",IF(ISNUMBER(SEARCH("Provento",'Statements (Raw)'!D784)),"DISTRIBUTION","OTHER")))))))))))))</f>
        <v/>
      </c>
      <c r="D786" s="6" t="str">
        <f>IF(A786="","",IF(C786="Saldo Iniziale","Balance",IF(C786="CASH DEPOSIT","Deposit",IF(C786="CASH WITHDRAWAL","Withdrawal",IF(C786="STAMP DUTY","Tax",IF(C786="TOBIN TAX","Tax",IF(C786="WITHHOLDING TAX","Tax",IF(C786="DIVIDEND","Dividend",IF(C786="COUPON","Coupon",IF(C786="ACCRUED INT","Accrued Int.",IF(C786="SEC LENDING","Sec. Lending",IF(C786="REDEMPTION","Redemption",IF(C786="DISTRIBUTION","Distribution",IF(ISNUMBER(SEARCH("Rimborso",'Statements (Raw)'!D784)),"Redemption",IF(ISNUMBER(SEARCH("Cedola",'Statements (Raw)'!D784)),"Coupon",IF(ISNUMBER(SEARCH("Incasso Dividendi",'Statements (Raw)'!D784)),"Dividend",IF(ISNUMBER(SEARCH("Provento Etf",'Statements (Raw)'!D784)),"Distribution",IF(ISNUMBER(SEARCH("Rit.provento",'Statements (Raw)'!D784)),"Tax",IF(ISNUMBER(SEARCH("Ratei Pass",'Statements (Raw)'!D784)),"Accrued Int.",IF(ISNUMBER(SEARCH("Interessi Prest",'Statements (Raw)'!D784)),"Sec. Lending",IF('Statements (Raw)'!G784="","Other",IF('Statements (Raw)'!G784&gt;0,"Buy","Sell"))))))))))))))))))))))</f>
        <v/>
      </c>
      <c r="E786" s="6" t="str">
        <f t="shared" si="24"/>
        <v/>
      </c>
      <c r="F786" s="8" t="str">
        <f>IF(A786="","",IF('Statements (Raw)'!E784="","",'Statements (Raw)'!E784))</f>
        <v/>
      </c>
      <c r="G786" s="6" t="str">
        <f>IF(A786="","",IF('Statements (Raw)'!F784="","",'Statements (Raw)'!F784))</f>
        <v/>
      </c>
      <c r="H786" s="9" t="str">
        <f>IF(A786="","",IF('Statements (Raw)'!G784="","",'Statements (Raw)'!G784))</f>
        <v/>
      </c>
      <c r="I786" s="10" t="str">
        <f>IF(A786="","",IF('Statements (Raw)'!H784="","",'Statements (Raw)'!H784))</f>
        <v/>
      </c>
      <c r="J786" s="10">
        <f>IF(A786="",0,IF('Statements (Raw)'!I784="",0,'Statements (Raw)'!I784))</f>
        <v>0</v>
      </c>
      <c r="K786" s="10" t="str">
        <f t="shared" si="25"/>
        <v/>
      </c>
    </row>
    <row r="787" spans="1:11" x14ac:dyDescent="0.3">
      <c r="A787" s="171" t="str">
        <f>IF(OR('Statements (Raw)'!A785="",'Statements (Raw)'!A785&gt;Holdings!$G$3),"",'Statements (Raw)'!A785)</f>
        <v/>
      </c>
      <c r="B787" s="7" t="str">
        <f>IF(A787="","",IF('Statements (Raw)'!B785="","",'Statements (Raw)'!B785))</f>
        <v/>
      </c>
      <c r="C787" s="6" t="str">
        <f>IF(A787="","",IF('Statements (Raw)'!C785&lt;&gt;"",'Statements (Raw)'!C785,IF(ISNUMBER(SEARCH("Conferimento",'Statements (Raw)'!D785)),"CASH DEPOSIT",IF(ISNUMBER(SEARCH("Prelievo",'Statements (Raw)'!D785)),"CASH WITHDRAWAL",IF(ISNUMBER(SEARCH("Bollo",'Statements (Raw)'!D785)),"STAMP DUTY",IF(ISNUMBER(SEARCH("Tobin Tax",'Statements (Raw)'!D785)),"TOBIN TAX",IF(ISNUMBER(SEARCH("Rit.provento",'Statements (Raw)'!D785)),"WITHHOLDING TAX",IF(ISNUMBER(SEARCH("Incasso Dividendi",'Statements (Raw)'!D785)),"DIVIDEND",IF(ISNUMBER(SEARCH("Cedola",'Statements (Raw)'!D785)),"COUPON",IF(ISNUMBER(SEARCH("Ratei Pass",'Statements (Raw)'!D785)),"ACCRUED INT",IF(ISNUMBER(SEARCH("Interessi Prest",'Statements (Raw)'!D785)),"SEC LENDING",IF(ISNUMBER(SEARCH("Rimborso",'Statements (Raw)'!D785)),"REDEMPTION",IF(ISNUMBER(SEARCH("Provento",'Statements (Raw)'!D785)),"DISTRIBUTION","OTHER")))))))))))))</f>
        <v/>
      </c>
      <c r="D787" s="6" t="str">
        <f>IF(A787="","",IF(C787="Saldo Iniziale","Balance",IF(C787="CASH DEPOSIT","Deposit",IF(C787="CASH WITHDRAWAL","Withdrawal",IF(C787="STAMP DUTY","Tax",IF(C787="TOBIN TAX","Tax",IF(C787="WITHHOLDING TAX","Tax",IF(C787="DIVIDEND","Dividend",IF(C787="COUPON","Coupon",IF(C787="ACCRUED INT","Accrued Int.",IF(C787="SEC LENDING","Sec. Lending",IF(C787="REDEMPTION","Redemption",IF(C787="DISTRIBUTION","Distribution",IF(ISNUMBER(SEARCH("Rimborso",'Statements (Raw)'!D785)),"Redemption",IF(ISNUMBER(SEARCH("Cedola",'Statements (Raw)'!D785)),"Coupon",IF(ISNUMBER(SEARCH("Incasso Dividendi",'Statements (Raw)'!D785)),"Dividend",IF(ISNUMBER(SEARCH("Provento Etf",'Statements (Raw)'!D785)),"Distribution",IF(ISNUMBER(SEARCH("Rit.provento",'Statements (Raw)'!D785)),"Tax",IF(ISNUMBER(SEARCH("Ratei Pass",'Statements (Raw)'!D785)),"Accrued Int.",IF(ISNUMBER(SEARCH("Interessi Prest",'Statements (Raw)'!D785)),"Sec. Lending",IF('Statements (Raw)'!G785="","Other",IF('Statements (Raw)'!G785&gt;0,"Buy","Sell"))))))))))))))))))))))</f>
        <v/>
      </c>
      <c r="E787" s="6" t="str">
        <f t="shared" si="24"/>
        <v/>
      </c>
      <c r="F787" s="8" t="str">
        <f>IF(A787="","",IF('Statements (Raw)'!E785="","",'Statements (Raw)'!E785))</f>
        <v/>
      </c>
      <c r="G787" s="6" t="str">
        <f>IF(A787="","",IF('Statements (Raw)'!F785="","",'Statements (Raw)'!F785))</f>
        <v/>
      </c>
      <c r="H787" s="9" t="str">
        <f>IF(A787="","",IF('Statements (Raw)'!G785="","",'Statements (Raw)'!G785))</f>
        <v/>
      </c>
      <c r="I787" s="10" t="str">
        <f>IF(A787="","",IF('Statements (Raw)'!H785="","",'Statements (Raw)'!H785))</f>
        <v/>
      </c>
      <c r="J787" s="10">
        <f>IF(A787="",0,IF('Statements (Raw)'!I785="",0,'Statements (Raw)'!I785))</f>
        <v>0</v>
      </c>
      <c r="K787" s="10" t="str">
        <f t="shared" si="25"/>
        <v/>
      </c>
    </row>
    <row r="788" spans="1:11" x14ac:dyDescent="0.3">
      <c r="A788" s="171" t="str">
        <f>IF(OR('Statements (Raw)'!A786="",'Statements (Raw)'!A786&gt;Holdings!$G$3),"",'Statements (Raw)'!A786)</f>
        <v/>
      </c>
      <c r="B788" s="7" t="str">
        <f>IF(A788="","",IF('Statements (Raw)'!B786="","",'Statements (Raw)'!B786))</f>
        <v/>
      </c>
      <c r="C788" s="6" t="str">
        <f>IF(A788="","",IF('Statements (Raw)'!C786&lt;&gt;"",'Statements (Raw)'!C786,IF(ISNUMBER(SEARCH("Conferimento",'Statements (Raw)'!D786)),"CASH DEPOSIT",IF(ISNUMBER(SEARCH("Prelievo",'Statements (Raw)'!D786)),"CASH WITHDRAWAL",IF(ISNUMBER(SEARCH("Bollo",'Statements (Raw)'!D786)),"STAMP DUTY",IF(ISNUMBER(SEARCH("Tobin Tax",'Statements (Raw)'!D786)),"TOBIN TAX",IF(ISNUMBER(SEARCH("Rit.provento",'Statements (Raw)'!D786)),"WITHHOLDING TAX",IF(ISNUMBER(SEARCH("Incasso Dividendi",'Statements (Raw)'!D786)),"DIVIDEND",IF(ISNUMBER(SEARCH("Cedola",'Statements (Raw)'!D786)),"COUPON",IF(ISNUMBER(SEARCH("Ratei Pass",'Statements (Raw)'!D786)),"ACCRUED INT",IF(ISNUMBER(SEARCH("Interessi Prest",'Statements (Raw)'!D786)),"SEC LENDING",IF(ISNUMBER(SEARCH("Rimborso",'Statements (Raw)'!D786)),"REDEMPTION",IF(ISNUMBER(SEARCH("Provento",'Statements (Raw)'!D786)),"DISTRIBUTION","OTHER")))))))))))))</f>
        <v/>
      </c>
      <c r="D788" s="6" t="str">
        <f>IF(A788="","",IF(C788="Saldo Iniziale","Balance",IF(C788="CASH DEPOSIT","Deposit",IF(C788="CASH WITHDRAWAL","Withdrawal",IF(C788="STAMP DUTY","Tax",IF(C788="TOBIN TAX","Tax",IF(C788="WITHHOLDING TAX","Tax",IF(C788="DIVIDEND","Dividend",IF(C788="COUPON","Coupon",IF(C788="ACCRUED INT","Accrued Int.",IF(C788="SEC LENDING","Sec. Lending",IF(C788="REDEMPTION","Redemption",IF(C788="DISTRIBUTION","Distribution",IF(ISNUMBER(SEARCH("Rimborso",'Statements (Raw)'!D786)),"Redemption",IF(ISNUMBER(SEARCH("Cedola",'Statements (Raw)'!D786)),"Coupon",IF(ISNUMBER(SEARCH("Incasso Dividendi",'Statements (Raw)'!D786)),"Dividend",IF(ISNUMBER(SEARCH("Provento Etf",'Statements (Raw)'!D786)),"Distribution",IF(ISNUMBER(SEARCH("Rit.provento",'Statements (Raw)'!D786)),"Tax",IF(ISNUMBER(SEARCH("Ratei Pass",'Statements (Raw)'!D786)),"Accrued Int.",IF(ISNUMBER(SEARCH("Interessi Prest",'Statements (Raw)'!D786)),"Sec. Lending",IF('Statements (Raw)'!G786="","Other",IF('Statements (Raw)'!G786&gt;0,"Buy","Sell"))))))))))))))))))))))</f>
        <v/>
      </c>
      <c r="E788" s="6" t="str">
        <f t="shared" si="24"/>
        <v/>
      </c>
      <c r="F788" s="8" t="str">
        <f>IF(A788="","",IF('Statements (Raw)'!E786="","",'Statements (Raw)'!E786))</f>
        <v/>
      </c>
      <c r="G788" s="6" t="str">
        <f>IF(A788="","",IF('Statements (Raw)'!F786="","",'Statements (Raw)'!F786))</f>
        <v/>
      </c>
      <c r="H788" s="9" t="str">
        <f>IF(A788="","",IF('Statements (Raw)'!G786="","",'Statements (Raw)'!G786))</f>
        <v/>
      </c>
      <c r="I788" s="10" t="str">
        <f>IF(A788="","",IF('Statements (Raw)'!H786="","",'Statements (Raw)'!H786))</f>
        <v/>
      </c>
      <c r="J788" s="10">
        <f>IF(A788="",0,IF('Statements (Raw)'!I786="",0,'Statements (Raw)'!I786))</f>
        <v>0</v>
      </c>
      <c r="K788" s="10" t="str">
        <f t="shared" si="25"/>
        <v/>
      </c>
    </row>
    <row r="789" spans="1:11" x14ac:dyDescent="0.3">
      <c r="A789" s="171" t="str">
        <f>IF(OR('Statements (Raw)'!A787="",'Statements (Raw)'!A787&gt;Holdings!$G$3),"",'Statements (Raw)'!A787)</f>
        <v/>
      </c>
      <c r="B789" s="7" t="str">
        <f>IF(A789="","",IF('Statements (Raw)'!B787="","",'Statements (Raw)'!B787))</f>
        <v/>
      </c>
      <c r="C789" s="6" t="str">
        <f>IF(A789="","",IF('Statements (Raw)'!C787&lt;&gt;"",'Statements (Raw)'!C787,IF(ISNUMBER(SEARCH("Conferimento",'Statements (Raw)'!D787)),"CASH DEPOSIT",IF(ISNUMBER(SEARCH("Prelievo",'Statements (Raw)'!D787)),"CASH WITHDRAWAL",IF(ISNUMBER(SEARCH("Bollo",'Statements (Raw)'!D787)),"STAMP DUTY",IF(ISNUMBER(SEARCH("Tobin Tax",'Statements (Raw)'!D787)),"TOBIN TAX",IF(ISNUMBER(SEARCH("Rit.provento",'Statements (Raw)'!D787)),"WITHHOLDING TAX",IF(ISNUMBER(SEARCH("Incasso Dividendi",'Statements (Raw)'!D787)),"DIVIDEND",IF(ISNUMBER(SEARCH("Cedola",'Statements (Raw)'!D787)),"COUPON",IF(ISNUMBER(SEARCH("Ratei Pass",'Statements (Raw)'!D787)),"ACCRUED INT",IF(ISNUMBER(SEARCH("Interessi Prest",'Statements (Raw)'!D787)),"SEC LENDING",IF(ISNUMBER(SEARCH("Rimborso",'Statements (Raw)'!D787)),"REDEMPTION",IF(ISNUMBER(SEARCH("Provento",'Statements (Raw)'!D787)),"DISTRIBUTION","OTHER")))))))))))))</f>
        <v/>
      </c>
      <c r="D789" s="6" t="str">
        <f>IF(A789="","",IF(C789="Saldo Iniziale","Balance",IF(C789="CASH DEPOSIT","Deposit",IF(C789="CASH WITHDRAWAL","Withdrawal",IF(C789="STAMP DUTY","Tax",IF(C789="TOBIN TAX","Tax",IF(C789="WITHHOLDING TAX","Tax",IF(C789="DIVIDEND","Dividend",IF(C789="COUPON","Coupon",IF(C789="ACCRUED INT","Accrued Int.",IF(C789="SEC LENDING","Sec. Lending",IF(C789="REDEMPTION","Redemption",IF(C789="DISTRIBUTION","Distribution",IF(ISNUMBER(SEARCH("Rimborso",'Statements (Raw)'!D787)),"Redemption",IF(ISNUMBER(SEARCH("Cedola",'Statements (Raw)'!D787)),"Coupon",IF(ISNUMBER(SEARCH("Incasso Dividendi",'Statements (Raw)'!D787)),"Dividend",IF(ISNUMBER(SEARCH("Provento Etf",'Statements (Raw)'!D787)),"Distribution",IF(ISNUMBER(SEARCH("Rit.provento",'Statements (Raw)'!D787)),"Tax",IF(ISNUMBER(SEARCH("Ratei Pass",'Statements (Raw)'!D787)),"Accrued Int.",IF(ISNUMBER(SEARCH("Interessi Prest",'Statements (Raw)'!D787)),"Sec. Lending",IF('Statements (Raw)'!G787="","Other",IF('Statements (Raw)'!G787&gt;0,"Buy","Sell"))))))))))))))))))))))</f>
        <v/>
      </c>
      <c r="E789" s="6" t="str">
        <f t="shared" si="24"/>
        <v/>
      </c>
      <c r="F789" s="8" t="str">
        <f>IF(A789="","",IF('Statements (Raw)'!E787="","",'Statements (Raw)'!E787))</f>
        <v/>
      </c>
      <c r="G789" s="6" t="str">
        <f>IF(A789="","",IF('Statements (Raw)'!F787="","",'Statements (Raw)'!F787))</f>
        <v/>
      </c>
      <c r="H789" s="9" t="str">
        <f>IF(A789="","",IF('Statements (Raw)'!G787="","",'Statements (Raw)'!G787))</f>
        <v/>
      </c>
      <c r="I789" s="10" t="str">
        <f>IF(A789="","",IF('Statements (Raw)'!H787="","",'Statements (Raw)'!H787))</f>
        <v/>
      </c>
      <c r="J789" s="10">
        <f>IF(A789="",0,IF('Statements (Raw)'!I787="",0,'Statements (Raw)'!I787))</f>
        <v>0</v>
      </c>
      <c r="K789" s="10" t="str">
        <f t="shared" si="25"/>
        <v/>
      </c>
    </row>
    <row r="790" spans="1:11" x14ac:dyDescent="0.3">
      <c r="A790" s="171" t="str">
        <f>IF(OR('Statements (Raw)'!A788="",'Statements (Raw)'!A788&gt;Holdings!$G$3),"",'Statements (Raw)'!A788)</f>
        <v/>
      </c>
      <c r="B790" s="7" t="str">
        <f>IF(A790="","",IF('Statements (Raw)'!B788="","",'Statements (Raw)'!B788))</f>
        <v/>
      </c>
      <c r="C790" s="6" t="str">
        <f>IF(A790="","",IF('Statements (Raw)'!C788&lt;&gt;"",'Statements (Raw)'!C788,IF(ISNUMBER(SEARCH("Conferimento",'Statements (Raw)'!D788)),"CASH DEPOSIT",IF(ISNUMBER(SEARCH("Prelievo",'Statements (Raw)'!D788)),"CASH WITHDRAWAL",IF(ISNUMBER(SEARCH("Bollo",'Statements (Raw)'!D788)),"STAMP DUTY",IF(ISNUMBER(SEARCH("Tobin Tax",'Statements (Raw)'!D788)),"TOBIN TAX",IF(ISNUMBER(SEARCH("Rit.provento",'Statements (Raw)'!D788)),"WITHHOLDING TAX",IF(ISNUMBER(SEARCH("Incasso Dividendi",'Statements (Raw)'!D788)),"DIVIDEND",IF(ISNUMBER(SEARCH("Cedola",'Statements (Raw)'!D788)),"COUPON",IF(ISNUMBER(SEARCH("Ratei Pass",'Statements (Raw)'!D788)),"ACCRUED INT",IF(ISNUMBER(SEARCH("Interessi Prest",'Statements (Raw)'!D788)),"SEC LENDING",IF(ISNUMBER(SEARCH("Rimborso",'Statements (Raw)'!D788)),"REDEMPTION",IF(ISNUMBER(SEARCH("Provento",'Statements (Raw)'!D788)),"DISTRIBUTION","OTHER")))))))))))))</f>
        <v/>
      </c>
      <c r="D790" s="6" t="str">
        <f>IF(A790="","",IF(C790="Saldo Iniziale","Balance",IF(C790="CASH DEPOSIT","Deposit",IF(C790="CASH WITHDRAWAL","Withdrawal",IF(C790="STAMP DUTY","Tax",IF(C790="TOBIN TAX","Tax",IF(C790="WITHHOLDING TAX","Tax",IF(C790="DIVIDEND","Dividend",IF(C790="COUPON","Coupon",IF(C790="ACCRUED INT","Accrued Int.",IF(C790="SEC LENDING","Sec. Lending",IF(C790="REDEMPTION","Redemption",IF(C790="DISTRIBUTION","Distribution",IF(ISNUMBER(SEARCH("Rimborso",'Statements (Raw)'!D788)),"Redemption",IF(ISNUMBER(SEARCH("Cedola",'Statements (Raw)'!D788)),"Coupon",IF(ISNUMBER(SEARCH("Incasso Dividendi",'Statements (Raw)'!D788)),"Dividend",IF(ISNUMBER(SEARCH("Provento Etf",'Statements (Raw)'!D788)),"Distribution",IF(ISNUMBER(SEARCH("Rit.provento",'Statements (Raw)'!D788)),"Tax",IF(ISNUMBER(SEARCH("Ratei Pass",'Statements (Raw)'!D788)),"Accrued Int.",IF(ISNUMBER(SEARCH("Interessi Prest",'Statements (Raw)'!D788)),"Sec. Lending",IF('Statements (Raw)'!G788="","Other",IF('Statements (Raw)'!G788&gt;0,"Buy","Sell"))))))))))))))))))))))</f>
        <v/>
      </c>
      <c r="E790" s="6" t="str">
        <f t="shared" si="24"/>
        <v/>
      </c>
      <c r="F790" s="8" t="str">
        <f>IF(A790="","",IF('Statements (Raw)'!E788="","",'Statements (Raw)'!E788))</f>
        <v/>
      </c>
      <c r="G790" s="6" t="str">
        <f>IF(A790="","",IF('Statements (Raw)'!F788="","",'Statements (Raw)'!F788))</f>
        <v/>
      </c>
      <c r="H790" s="9" t="str">
        <f>IF(A790="","",IF('Statements (Raw)'!G788="","",'Statements (Raw)'!G788))</f>
        <v/>
      </c>
      <c r="I790" s="10" t="str">
        <f>IF(A790="","",IF('Statements (Raw)'!H788="","",'Statements (Raw)'!H788))</f>
        <v/>
      </c>
      <c r="J790" s="10">
        <f>IF(A790="",0,IF('Statements (Raw)'!I788="",0,'Statements (Raw)'!I788))</f>
        <v>0</v>
      </c>
      <c r="K790" s="10" t="str">
        <f t="shared" si="25"/>
        <v/>
      </c>
    </row>
    <row r="791" spans="1:11" x14ac:dyDescent="0.3">
      <c r="A791" s="171" t="str">
        <f>IF(OR('Statements (Raw)'!A789="",'Statements (Raw)'!A789&gt;Holdings!$G$3),"",'Statements (Raw)'!A789)</f>
        <v/>
      </c>
      <c r="B791" s="7" t="str">
        <f>IF(A791="","",IF('Statements (Raw)'!B789="","",'Statements (Raw)'!B789))</f>
        <v/>
      </c>
      <c r="C791" s="6" t="str">
        <f>IF(A791="","",IF('Statements (Raw)'!C789&lt;&gt;"",'Statements (Raw)'!C789,IF(ISNUMBER(SEARCH("Conferimento",'Statements (Raw)'!D789)),"CASH DEPOSIT",IF(ISNUMBER(SEARCH("Prelievo",'Statements (Raw)'!D789)),"CASH WITHDRAWAL",IF(ISNUMBER(SEARCH("Bollo",'Statements (Raw)'!D789)),"STAMP DUTY",IF(ISNUMBER(SEARCH("Tobin Tax",'Statements (Raw)'!D789)),"TOBIN TAX",IF(ISNUMBER(SEARCH("Rit.provento",'Statements (Raw)'!D789)),"WITHHOLDING TAX",IF(ISNUMBER(SEARCH("Incasso Dividendi",'Statements (Raw)'!D789)),"DIVIDEND",IF(ISNUMBER(SEARCH("Cedola",'Statements (Raw)'!D789)),"COUPON",IF(ISNUMBER(SEARCH("Ratei Pass",'Statements (Raw)'!D789)),"ACCRUED INT",IF(ISNUMBER(SEARCH("Interessi Prest",'Statements (Raw)'!D789)),"SEC LENDING",IF(ISNUMBER(SEARCH("Rimborso",'Statements (Raw)'!D789)),"REDEMPTION",IF(ISNUMBER(SEARCH("Provento",'Statements (Raw)'!D789)),"DISTRIBUTION","OTHER")))))))))))))</f>
        <v/>
      </c>
      <c r="D791" s="6" t="str">
        <f>IF(A791="","",IF(C791="Saldo Iniziale","Balance",IF(C791="CASH DEPOSIT","Deposit",IF(C791="CASH WITHDRAWAL","Withdrawal",IF(C791="STAMP DUTY","Tax",IF(C791="TOBIN TAX","Tax",IF(C791="WITHHOLDING TAX","Tax",IF(C791="DIVIDEND","Dividend",IF(C791="COUPON","Coupon",IF(C791="ACCRUED INT","Accrued Int.",IF(C791="SEC LENDING","Sec. Lending",IF(C791="REDEMPTION","Redemption",IF(C791="DISTRIBUTION","Distribution",IF(ISNUMBER(SEARCH("Rimborso",'Statements (Raw)'!D789)),"Redemption",IF(ISNUMBER(SEARCH("Cedola",'Statements (Raw)'!D789)),"Coupon",IF(ISNUMBER(SEARCH("Incasso Dividendi",'Statements (Raw)'!D789)),"Dividend",IF(ISNUMBER(SEARCH("Provento Etf",'Statements (Raw)'!D789)),"Distribution",IF(ISNUMBER(SEARCH("Rit.provento",'Statements (Raw)'!D789)),"Tax",IF(ISNUMBER(SEARCH("Ratei Pass",'Statements (Raw)'!D789)),"Accrued Int.",IF(ISNUMBER(SEARCH("Interessi Prest",'Statements (Raw)'!D789)),"Sec. Lending",IF('Statements (Raw)'!G789="","Other",IF('Statements (Raw)'!G789&gt;0,"Buy","Sell"))))))))))))))))))))))</f>
        <v/>
      </c>
      <c r="E791" s="6" t="str">
        <f t="shared" si="24"/>
        <v/>
      </c>
      <c r="F791" s="8" t="str">
        <f>IF(A791="","",IF('Statements (Raw)'!E789="","",'Statements (Raw)'!E789))</f>
        <v/>
      </c>
      <c r="G791" s="6" t="str">
        <f>IF(A791="","",IF('Statements (Raw)'!F789="","",'Statements (Raw)'!F789))</f>
        <v/>
      </c>
      <c r="H791" s="9" t="str">
        <f>IF(A791="","",IF('Statements (Raw)'!G789="","",'Statements (Raw)'!G789))</f>
        <v/>
      </c>
      <c r="I791" s="10" t="str">
        <f>IF(A791="","",IF('Statements (Raw)'!H789="","",'Statements (Raw)'!H789))</f>
        <v/>
      </c>
      <c r="J791" s="10">
        <f>IF(A791="",0,IF('Statements (Raw)'!I789="",0,'Statements (Raw)'!I789))</f>
        <v>0</v>
      </c>
      <c r="K791" s="10" t="str">
        <f t="shared" si="25"/>
        <v/>
      </c>
    </row>
    <row r="792" spans="1:11" x14ac:dyDescent="0.3">
      <c r="A792" s="171" t="str">
        <f>IF(OR('Statements (Raw)'!A790="",'Statements (Raw)'!A790&gt;Holdings!$G$3),"",'Statements (Raw)'!A790)</f>
        <v/>
      </c>
      <c r="B792" s="7" t="str">
        <f>IF(A792="","",IF('Statements (Raw)'!B790="","",'Statements (Raw)'!B790))</f>
        <v/>
      </c>
      <c r="C792" s="6" t="str">
        <f>IF(A792="","",IF('Statements (Raw)'!C790&lt;&gt;"",'Statements (Raw)'!C790,IF(ISNUMBER(SEARCH("Conferimento",'Statements (Raw)'!D790)),"CASH DEPOSIT",IF(ISNUMBER(SEARCH("Prelievo",'Statements (Raw)'!D790)),"CASH WITHDRAWAL",IF(ISNUMBER(SEARCH("Bollo",'Statements (Raw)'!D790)),"STAMP DUTY",IF(ISNUMBER(SEARCH("Tobin Tax",'Statements (Raw)'!D790)),"TOBIN TAX",IF(ISNUMBER(SEARCH("Rit.provento",'Statements (Raw)'!D790)),"WITHHOLDING TAX",IF(ISNUMBER(SEARCH("Incasso Dividendi",'Statements (Raw)'!D790)),"DIVIDEND",IF(ISNUMBER(SEARCH("Cedola",'Statements (Raw)'!D790)),"COUPON",IF(ISNUMBER(SEARCH("Ratei Pass",'Statements (Raw)'!D790)),"ACCRUED INT",IF(ISNUMBER(SEARCH("Interessi Prest",'Statements (Raw)'!D790)),"SEC LENDING",IF(ISNUMBER(SEARCH("Rimborso",'Statements (Raw)'!D790)),"REDEMPTION",IF(ISNUMBER(SEARCH("Provento",'Statements (Raw)'!D790)),"DISTRIBUTION","OTHER")))))))))))))</f>
        <v/>
      </c>
      <c r="D792" s="6" t="str">
        <f>IF(A792="","",IF(C792="Saldo Iniziale","Balance",IF(C792="CASH DEPOSIT","Deposit",IF(C792="CASH WITHDRAWAL","Withdrawal",IF(C792="STAMP DUTY","Tax",IF(C792="TOBIN TAX","Tax",IF(C792="WITHHOLDING TAX","Tax",IF(C792="DIVIDEND","Dividend",IF(C792="COUPON","Coupon",IF(C792="ACCRUED INT","Accrued Int.",IF(C792="SEC LENDING","Sec. Lending",IF(C792="REDEMPTION","Redemption",IF(C792="DISTRIBUTION","Distribution",IF(ISNUMBER(SEARCH("Rimborso",'Statements (Raw)'!D790)),"Redemption",IF(ISNUMBER(SEARCH("Cedola",'Statements (Raw)'!D790)),"Coupon",IF(ISNUMBER(SEARCH("Incasso Dividendi",'Statements (Raw)'!D790)),"Dividend",IF(ISNUMBER(SEARCH("Provento Etf",'Statements (Raw)'!D790)),"Distribution",IF(ISNUMBER(SEARCH("Rit.provento",'Statements (Raw)'!D790)),"Tax",IF(ISNUMBER(SEARCH("Ratei Pass",'Statements (Raw)'!D790)),"Accrued Int.",IF(ISNUMBER(SEARCH("Interessi Prest",'Statements (Raw)'!D790)),"Sec. Lending",IF('Statements (Raw)'!G790="","Other",IF('Statements (Raw)'!G790&gt;0,"Buy","Sell"))))))))))))))))))))))</f>
        <v/>
      </c>
      <c r="E792" s="6" t="str">
        <f t="shared" si="24"/>
        <v/>
      </c>
      <c r="F792" s="8" t="str">
        <f>IF(A792="","",IF('Statements (Raw)'!E790="","",'Statements (Raw)'!E790))</f>
        <v/>
      </c>
      <c r="G792" s="6" t="str">
        <f>IF(A792="","",IF('Statements (Raw)'!F790="","",'Statements (Raw)'!F790))</f>
        <v/>
      </c>
      <c r="H792" s="9" t="str">
        <f>IF(A792="","",IF('Statements (Raw)'!G790="","",'Statements (Raw)'!G790))</f>
        <v/>
      </c>
      <c r="I792" s="10" t="str">
        <f>IF(A792="","",IF('Statements (Raw)'!H790="","",'Statements (Raw)'!H790))</f>
        <v/>
      </c>
      <c r="J792" s="10">
        <f>IF(A792="",0,IF('Statements (Raw)'!I790="",0,'Statements (Raw)'!I790))</f>
        <v>0</v>
      </c>
      <c r="K792" s="10" t="str">
        <f t="shared" si="25"/>
        <v/>
      </c>
    </row>
    <row r="793" spans="1:11" x14ac:dyDescent="0.3">
      <c r="A793" s="171" t="str">
        <f>IF(OR('Statements (Raw)'!A791="",'Statements (Raw)'!A791&gt;Holdings!$G$3),"",'Statements (Raw)'!A791)</f>
        <v/>
      </c>
      <c r="B793" s="7" t="str">
        <f>IF(A793="","",IF('Statements (Raw)'!B791="","",'Statements (Raw)'!B791))</f>
        <v/>
      </c>
      <c r="C793" s="6" t="str">
        <f>IF(A793="","",IF('Statements (Raw)'!C791&lt;&gt;"",'Statements (Raw)'!C791,IF(ISNUMBER(SEARCH("Conferimento",'Statements (Raw)'!D791)),"CASH DEPOSIT",IF(ISNUMBER(SEARCH("Prelievo",'Statements (Raw)'!D791)),"CASH WITHDRAWAL",IF(ISNUMBER(SEARCH("Bollo",'Statements (Raw)'!D791)),"STAMP DUTY",IF(ISNUMBER(SEARCH("Tobin Tax",'Statements (Raw)'!D791)),"TOBIN TAX",IF(ISNUMBER(SEARCH("Rit.provento",'Statements (Raw)'!D791)),"WITHHOLDING TAX",IF(ISNUMBER(SEARCH("Incasso Dividendi",'Statements (Raw)'!D791)),"DIVIDEND",IF(ISNUMBER(SEARCH("Cedola",'Statements (Raw)'!D791)),"COUPON",IF(ISNUMBER(SEARCH("Ratei Pass",'Statements (Raw)'!D791)),"ACCRUED INT",IF(ISNUMBER(SEARCH("Interessi Prest",'Statements (Raw)'!D791)),"SEC LENDING",IF(ISNUMBER(SEARCH("Rimborso",'Statements (Raw)'!D791)),"REDEMPTION",IF(ISNUMBER(SEARCH("Provento",'Statements (Raw)'!D791)),"DISTRIBUTION","OTHER")))))))))))))</f>
        <v/>
      </c>
      <c r="D793" s="6" t="str">
        <f>IF(A793="","",IF(C793="Saldo Iniziale","Balance",IF(C793="CASH DEPOSIT","Deposit",IF(C793="CASH WITHDRAWAL","Withdrawal",IF(C793="STAMP DUTY","Tax",IF(C793="TOBIN TAX","Tax",IF(C793="WITHHOLDING TAX","Tax",IF(C793="DIVIDEND","Dividend",IF(C793="COUPON","Coupon",IF(C793="ACCRUED INT","Accrued Int.",IF(C793="SEC LENDING","Sec. Lending",IF(C793="REDEMPTION","Redemption",IF(C793="DISTRIBUTION","Distribution",IF(ISNUMBER(SEARCH("Rimborso",'Statements (Raw)'!D791)),"Redemption",IF(ISNUMBER(SEARCH("Cedola",'Statements (Raw)'!D791)),"Coupon",IF(ISNUMBER(SEARCH("Incasso Dividendi",'Statements (Raw)'!D791)),"Dividend",IF(ISNUMBER(SEARCH("Provento Etf",'Statements (Raw)'!D791)),"Distribution",IF(ISNUMBER(SEARCH("Rit.provento",'Statements (Raw)'!D791)),"Tax",IF(ISNUMBER(SEARCH("Ratei Pass",'Statements (Raw)'!D791)),"Accrued Int.",IF(ISNUMBER(SEARCH("Interessi Prest",'Statements (Raw)'!D791)),"Sec. Lending",IF('Statements (Raw)'!G791="","Other",IF('Statements (Raw)'!G791&gt;0,"Buy","Sell"))))))))))))))))))))))</f>
        <v/>
      </c>
      <c r="E793" s="6" t="str">
        <f t="shared" si="24"/>
        <v/>
      </c>
      <c r="F793" s="8" t="str">
        <f>IF(A793="","",IF('Statements (Raw)'!E791="","",'Statements (Raw)'!E791))</f>
        <v/>
      </c>
      <c r="G793" s="6" t="str">
        <f>IF(A793="","",IF('Statements (Raw)'!F791="","",'Statements (Raw)'!F791))</f>
        <v/>
      </c>
      <c r="H793" s="9" t="str">
        <f>IF(A793="","",IF('Statements (Raw)'!G791="","",'Statements (Raw)'!G791))</f>
        <v/>
      </c>
      <c r="I793" s="10" t="str">
        <f>IF(A793="","",IF('Statements (Raw)'!H791="","",'Statements (Raw)'!H791))</f>
        <v/>
      </c>
      <c r="J793" s="10">
        <f>IF(A793="",0,IF('Statements (Raw)'!I791="",0,'Statements (Raw)'!I791))</f>
        <v>0</v>
      </c>
      <c r="K793" s="10" t="str">
        <f t="shared" si="25"/>
        <v/>
      </c>
    </row>
    <row r="794" spans="1:11" x14ac:dyDescent="0.3">
      <c r="A794" s="171" t="str">
        <f>IF(OR('Statements (Raw)'!A792="",'Statements (Raw)'!A792&gt;Holdings!$G$3),"",'Statements (Raw)'!A792)</f>
        <v/>
      </c>
      <c r="B794" s="7" t="str">
        <f>IF(A794="","",IF('Statements (Raw)'!B792="","",'Statements (Raw)'!B792))</f>
        <v/>
      </c>
      <c r="C794" s="6" t="str">
        <f>IF(A794="","",IF('Statements (Raw)'!C792&lt;&gt;"",'Statements (Raw)'!C792,IF(ISNUMBER(SEARCH("Conferimento",'Statements (Raw)'!D792)),"CASH DEPOSIT",IF(ISNUMBER(SEARCH("Prelievo",'Statements (Raw)'!D792)),"CASH WITHDRAWAL",IF(ISNUMBER(SEARCH("Bollo",'Statements (Raw)'!D792)),"STAMP DUTY",IF(ISNUMBER(SEARCH("Tobin Tax",'Statements (Raw)'!D792)),"TOBIN TAX",IF(ISNUMBER(SEARCH("Rit.provento",'Statements (Raw)'!D792)),"WITHHOLDING TAX",IF(ISNUMBER(SEARCH("Incasso Dividendi",'Statements (Raw)'!D792)),"DIVIDEND",IF(ISNUMBER(SEARCH("Cedola",'Statements (Raw)'!D792)),"COUPON",IF(ISNUMBER(SEARCH("Ratei Pass",'Statements (Raw)'!D792)),"ACCRUED INT",IF(ISNUMBER(SEARCH("Interessi Prest",'Statements (Raw)'!D792)),"SEC LENDING",IF(ISNUMBER(SEARCH("Rimborso",'Statements (Raw)'!D792)),"REDEMPTION",IF(ISNUMBER(SEARCH("Provento",'Statements (Raw)'!D792)),"DISTRIBUTION","OTHER")))))))))))))</f>
        <v/>
      </c>
      <c r="D794" s="6" t="str">
        <f>IF(A794="","",IF(C794="Saldo Iniziale","Balance",IF(C794="CASH DEPOSIT","Deposit",IF(C794="CASH WITHDRAWAL","Withdrawal",IF(C794="STAMP DUTY","Tax",IF(C794="TOBIN TAX","Tax",IF(C794="WITHHOLDING TAX","Tax",IF(C794="DIVIDEND","Dividend",IF(C794="COUPON","Coupon",IF(C794="ACCRUED INT","Accrued Int.",IF(C794="SEC LENDING","Sec. Lending",IF(C794="REDEMPTION","Redemption",IF(C794="DISTRIBUTION","Distribution",IF(ISNUMBER(SEARCH("Rimborso",'Statements (Raw)'!D792)),"Redemption",IF(ISNUMBER(SEARCH("Cedola",'Statements (Raw)'!D792)),"Coupon",IF(ISNUMBER(SEARCH("Incasso Dividendi",'Statements (Raw)'!D792)),"Dividend",IF(ISNUMBER(SEARCH("Provento Etf",'Statements (Raw)'!D792)),"Distribution",IF(ISNUMBER(SEARCH("Rit.provento",'Statements (Raw)'!D792)),"Tax",IF(ISNUMBER(SEARCH("Ratei Pass",'Statements (Raw)'!D792)),"Accrued Int.",IF(ISNUMBER(SEARCH("Interessi Prest",'Statements (Raw)'!D792)),"Sec. Lending",IF('Statements (Raw)'!G792="","Other",IF('Statements (Raw)'!G792&gt;0,"Buy","Sell"))))))))))))))))))))))</f>
        <v/>
      </c>
      <c r="E794" s="6" t="str">
        <f t="shared" si="24"/>
        <v/>
      </c>
      <c r="F794" s="8" t="str">
        <f>IF(A794="","",IF('Statements (Raw)'!E792="","",'Statements (Raw)'!E792))</f>
        <v/>
      </c>
      <c r="G794" s="6" t="str">
        <f>IF(A794="","",IF('Statements (Raw)'!F792="","",'Statements (Raw)'!F792))</f>
        <v/>
      </c>
      <c r="H794" s="9" t="str">
        <f>IF(A794="","",IF('Statements (Raw)'!G792="","",'Statements (Raw)'!G792))</f>
        <v/>
      </c>
      <c r="I794" s="10" t="str">
        <f>IF(A794="","",IF('Statements (Raw)'!H792="","",'Statements (Raw)'!H792))</f>
        <v/>
      </c>
      <c r="J794" s="10">
        <f>IF(A794="",0,IF('Statements (Raw)'!I792="",0,'Statements (Raw)'!I792))</f>
        <v>0</v>
      </c>
      <c r="K794" s="10" t="str">
        <f t="shared" si="25"/>
        <v/>
      </c>
    </row>
    <row r="795" spans="1:11" x14ac:dyDescent="0.3">
      <c r="A795" s="171" t="str">
        <f>IF(OR('Statements (Raw)'!A793="",'Statements (Raw)'!A793&gt;Holdings!$G$3),"",'Statements (Raw)'!A793)</f>
        <v/>
      </c>
      <c r="B795" s="7" t="str">
        <f>IF(A795="","",IF('Statements (Raw)'!B793="","",'Statements (Raw)'!B793))</f>
        <v/>
      </c>
      <c r="C795" s="6" t="str">
        <f>IF(A795="","",IF('Statements (Raw)'!C793&lt;&gt;"",'Statements (Raw)'!C793,IF(ISNUMBER(SEARCH("Conferimento",'Statements (Raw)'!D793)),"CASH DEPOSIT",IF(ISNUMBER(SEARCH("Prelievo",'Statements (Raw)'!D793)),"CASH WITHDRAWAL",IF(ISNUMBER(SEARCH("Bollo",'Statements (Raw)'!D793)),"STAMP DUTY",IF(ISNUMBER(SEARCH("Tobin Tax",'Statements (Raw)'!D793)),"TOBIN TAX",IF(ISNUMBER(SEARCH("Rit.provento",'Statements (Raw)'!D793)),"WITHHOLDING TAX",IF(ISNUMBER(SEARCH("Incasso Dividendi",'Statements (Raw)'!D793)),"DIVIDEND",IF(ISNUMBER(SEARCH("Cedola",'Statements (Raw)'!D793)),"COUPON",IF(ISNUMBER(SEARCH("Ratei Pass",'Statements (Raw)'!D793)),"ACCRUED INT",IF(ISNUMBER(SEARCH("Interessi Prest",'Statements (Raw)'!D793)),"SEC LENDING",IF(ISNUMBER(SEARCH("Rimborso",'Statements (Raw)'!D793)),"REDEMPTION",IF(ISNUMBER(SEARCH("Provento",'Statements (Raw)'!D793)),"DISTRIBUTION","OTHER")))))))))))))</f>
        <v/>
      </c>
      <c r="D795" s="6" t="str">
        <f>IF(A795="","",IF(C795="Saldo Iniziale","Balance",IF(C795="CASH DEPOSIT","Deposit",IF(C795="CASH WITHDRAWAL","Withdrawal",IF(C795="STAMP DUTY","Tax",IF(C795="TOBIN TAX","Tax",IF(C795="WITHHOLDING TAX","Tax",IF(C795="DIVIDEND","Dividend",IF(C795="COUPON","Coupon",IF(C795="ACCRUED INT","Accrued Int.",IF(C795="SEC LENDING","Sec. Lending",IF(C795="REDEMPTION","Redemption",IF(C795="DISTRIBUTION","Distribution",IF(ISNUMBER(SEARCH("Rimborso",'Statements (Raw)'!D793)),"Redemption",IF(ISNUMBER(SEARCH("Cedola",'Statements (Raw)'!D793)),"Coupon",IF(ISNUMBER(SEARCH("Incasso Dividendi",'Statements (Raw)'!D793)),"Dividend",IF(ISNUMBER(SEARCH("Provento Etf",'Statements (Raw)'!D793)),"Distribution",IF(ISNUMBER(SEARCH("Rit.provento",'Statements (Raw)'!D793)),"Tax",IF(ISNUMBER(SEARCH("Ratei Pass",'Statements (Raw)'!D793)),"Accrued Int.",IF(ISNUMBER(SEARCH("Interessi Prest",'Statements (Raw)'!D793)),"Sec. Lending",IF('Statements (Raw)'!G793="","Other",IF('Statements (Raw)'!G793&gt;0,"Buy","Sell"))))))))))))))))))))))</f>
        <v/>
      </c>
      <c r="E795" s="6" t="str">
        <f t="shared" si="24"/>
        <v/>
      </c>
      <c r="F795" s="8" t="str">
        <f>IF(A795="","",IF('Statements (Raw)'!E793="","",'Statements (Raw)'!E793))</f>
        <v/>
      </c>
      <c r="G795" s="6" t="str">
        <f>IF(A795="","",IF('Statements (Raw)'!F793="","",'Statements (Raw)'!F793))</f>
        <v/>
      </c>
      <c r="H795" s="9" t="str">
        <f>IF(A795="","",IF('Statements (Raw)'!G793="","",'Statements (Raw)'!G793))</f>
        <v/>
      </c>
      <c r="I795" s="10" t="str">
        <f>IF(A795="","",IF('Statements (Raw)'!H793="","",'Statements (Raw)'!H793))</f>
        <v/>
      </c>
      <c r="J795" s="10">
        <f>IF(A795="",0,IF('Statements (Raw)'!I793="",0,'Statements (Raw)'!I793))</f>
        <v>0</v>
      </c>
      <c r="K795" s="10" t="str">
        <f t="shared" si="25"/>
        <v/>
      </c>
    </row>
    <row r="796" spans="1:11" x14ac:dyDescent="0.3">
      <c r="A796" s="171" t="str">
        <f>IF(OR('Statements (Raw)'!A794="",'Statements (Raw)'!A794&gt;Holdings!$G$3),"",'Statements (Raw)'!A794)</f>
        <v/>
      </c>
      <c r="B796" s="7" t="str">
        <f>IF(A796="","",IF('Statements (Raw)'!B794="","",'Statements (Raw)'!B794))</f>
        <v/>
      </c>
      <c r="C796" s="6" t="str">
        <f>IF(A796="","",IF('Statements (Raw)'!C794&lt;&gt;"",'Statements (Raw)'!C794,IF(ISNUMBER(SEARCH("Conferimento",'Statements (Raw)'!D794)),"CASH DEPOSIT",IF(ISNUMBER(SEARCH("Prelievo",'Statements (Raw)'!D794)),"CASH WITHDRAWAL",IF(ISNUMBER(SEARCH("Bollo",'Statements (Raw)'!D794)),"STAMP DUTY",IF(ISNUMBER(SEARCH("Tobin Tax",'Statements (Raw)'!D794)),"TOBIN TAX",IF(ISNUMBER(SEARCH("Rit.provento",'Statements (Raw)'!D794)),"WITHHOLDING TAX",IF(ISNUMBER(SEARCH("Incasso Dividendi",'Statements (Raw)'!D794)),"DIVIDEND",IF(ISNUMBER(SEARCH("Cedola",'Statements (Raw)'!D794)),"COUPON",IF(ISNUMBER(SEARCH("Ratei Pass",'Statements (Raw)'!D794)),"ACCRUED INT",IF(ISNUMBER(SEARCH("Interessi Prest",'Statements (Raw)'!D794)),"SEC LENDING",IF(ISNUMBER(SEARCH("Rimborso",'Statements (Raw)'!D794)),"REDEMPTION",IF(ISNUMBER(SEARCH("Provento",'Statements (Raw)'!D794)),"DISTRIBUTION","OTHER")))))))))))))</f>
        <v/>
      </c>
      <c r="D796" s="6" t="str">
        <f>IF(A796="","",IF(C796="Saldo Iniziale","Balance",IF(C796="CASH DEPOSIT","Deposit",IF(C796="CASH WITHDRAWAL","Withdrawal",IF(C796="STAMP DUTY","Tax",IF(C796="TOBIN TAX","Tax",IF(C796="WITHHOLDING TAX","Tax",IF(C796="DIVIDEND","Dividend",IF(C796="COUPON","Coupon",IF(C796="ACCRUED INT","Accrued Int.",IF(C796="SEC LENDING","Sec. Lending",IF(C796="REDEMPTION","Redemption",IF(C796="DISTRIBUTION","Distribution",IF(ISNUMBER(SEARCH("Rimborso",'Statements (Raw)'!D794)),"Redemption",IF(ISNUMBER(SEARCH("Cedola",'Statements (Raw)'!D794)),"Coupon",IF(ISNUMBER(SEARCH("Incasso Dividendi",'Statements (Raw)'!D794)),"Dividend",IF(ISNUMBER(SEARCH("Provento Etf",'Statements (Raw)'!D794)),"Distribution",IF(ISNUMBER(SEARCH("Rit.provento",'Statements (Raw)'!D794)),"Tax",IF(ISNUMBER(SEARCH("Ratei Pass",'Statements (Raw)'!D794)),"Accrued Int.",IF(ISNUMBER(SEARCH("Interessi Prest",'Statements (Raw)'!D794)),"Sec. Lending",IF('Statements (Raw)'!G794="","Other",IF('Statements (Raw)'!G794&gt;0,"Buy","Sell"))))))))))))))))))))))</f>
        <v/>
      </c>
      <c r="E796" s="6" t="str">
        <f t="shared" si="24"/>
        <v/>
      </c>
      <c r="F796" s="8" t="str">
        <f>IF(A796="","",IF('Statements (Raw)'!E794="","",'Statements (Raw)'!E794))</f>
        <v/>
      </c>
      <c r="G796" s="6" t="str">
        <f>IF(A796="","",IF('Statements (Raw)'!F794="","",'Statements (Raw)'!F794))</f>
        <v/>
      </c>
      <c r="H796" s="9" t="str">
        <f>IF(A796="","",IF('Statements (Raw)'!G794="","",'Statements (Raw)'!G794))</f>
        <v/>
      </c>
      <c r="I796" s="10" t="str">
        <f>IF(A796="","",IF('Statements (Raw)'!H794="","",'Statements (Raw)'!H794))</f>
        <v/>
      </c>
      <c r="J796" s="10">
        <f>IF(A796="",0,IF('Statements (Raw)'!I794="",0,'Statements (Raw)'!I794))</f>
        <v>0</v>
      </c>
      <c r="K796" s="10" t="str">
        <f t="shared" si="25"/>
        <v/>
      </c>
    </row>
    <row r="797" spans="1:11" x14ac:dyDescent="0.3">
      <c r="A797" s="171" t="str">
        <f>IF(OR('Statements (Raw)'!A795="",'Statements (Raw)'!A795&gt;Holdings!$G$3),"",'Statements (Raw)'!A795)</f>
        <v/>
      </c>
      <c r="B797" s="7" t="str">
        <f>IF(A797="","",IF('Statements (Raw)'!B795="","",'Statements (Raw)'!B795))</f>
        <v/>
      </c>
      <c r="C797" s="6" t="str">
        <f>IF(A797="","",IF('Statements (Raw)'!C795&lt;&gt;"",'Statements (Raw)'!C795,IF(ISNUMBER(SEARCH("Conferimento",'Statements (Raw)'!D795)),"CASH DEPOSIT",IF(ISNUMBER(SEARCH("Prelievo",'Statements (Raw)'!D795)),"CASH WITHDRAWAL",IF(ISNUMBER(SEARCH("Bollo",'Statements (Raw)'!D795)),"STAMP DUTY",IF(ISNUMBER(SEARCH("Tobin Tax",'Statements (Raw)'!D795)),"TOBIN TAX",IF(ISNUMBER(SEARCH("Rit.provento",'Statements (Raw)'!D795)),"WITHHOLDING TAX",IF(ISNUMBER(SEARCH("Incasso Dividendi",'Statements (Raw)'!D795)),"DIVIDEND",IF(ISNUMBER(SEARCH("Cedola",'Statements (Raw)'!D795)),"COUPON",IF(ISNUMBER(SEARCH("Ratei Pass",'Statements (Raw)'!D795)),"ACCRUED INT",IF(ISNUMBER(SEARCH("Interessi Prest",'Statements (Raw)'!D795)),"SEC LENDING",IF(ISNUMBER(SEARCH("Rimborso",'Statements (Raw)'!D795)),"REDEMPTION",IF(ISNUMBER(SEARCH("Provento",'Statements (Raw)'!D795)),"DISTRIBUTION","OTHER")))))))))))))</f>
        <v/>
      </c>
      <c r="D797" s="6" t="str">
        <f>IF(A797="","",IF(C797="Saldo Iniziale","Balance",IF(C797="CASH DEPOSIT","Deposit",IF(C797="CASH WITHDRAWAL","Withdrawal",IF(C797="STAMP DUTY","Tax",IF(C797="TOBIN TAX","Tax",IF(C797="WITHHOLDING TAX","Tax",IF(C797="DIVIDEND","Dividend",IF(C797="COUPON","Coupon",IF(C797="ACCRUED INT","Accrued Int.",IF(C797="SEC LENDING","Sec. Lending",IF(C797="REDEMPTION","Redemption",IF(C797="DISTRIBUTION","Distribution",IF(ISNUMBER(SEARCH("Rimborso",'Statements (Raw)'!D795)),"Redemption",IF(ISNUMBER(SEARCH("Cedola",'Statements (Raw)'!D795)),"Coupon",IF(ISNUMBER(SEARCH("Incasso Dividendi",'Statements (Raw)'!D795)),"Dividend",IF(ISNUMBER(SEARCH("Provento Etf",'Statements (Raw)'!D795)),"Distribution",IF(ISNUMBER(SEARCH("Rit.provento",'Statements (Raw)'!D795)),"Tax",IF(ISNUMBER(SEARCH("Ratei Pass",'Statements (Raw)'!D795)),"Accrued Int.",IF(ISNUMBER(SEARCH("Interessi Prest",'Statements (Raw)'!D795)),"Sec. Lending",IF('Statements (Raw)'!G795="","Other",IF('Statements (Raw)'!G795&gt;0,"Buy","Sell"))))))))))))))))))))))</f>
        <v/>
      </c>
      <c r="E797" s="6" t="str">
        <f t="shared" si="24"/>
        <v/>
      </c>
      <c r="F797" s="8" t="str">
        <f>IF(A797="","",IF('Statements (Raw)'!E795="","",'Statements (Raw)'!E795))</f>
        <v/>
      </c>
      <c r="G797" s="6" t="str">
        <f>IF(A797="","",IF('Statements (Raw)'!F795="","",'Statements (Raw)'!F795))</f>
        <v/>
      </c>
      <c r="H797" s="9" t="str">
        <f>IF(A797="","",IF('Statements (Raw)'!G795="","",'Statements (Raw)'!G795))</f>
        <v/>
      </c>
      <c r="I797" s="10" t="str">
        <f>IF(A797="","",IF('Statements (Raw)'!H795="","",'Statements (Raw)'!H795))</f>
        <v/>
      </c>
      <c r="J797" s="10">
        <f>IF(A797="",0,IF('Statements (Raw)'!I795="",0,'Statements (Raw)'!I795))</f>
        <v>0</v>
      </c>
      <c r="K797" s="10" t="str">
        <f t="shared" si="25"/>
        <v/>
      </c>
    </row>
    <row r="798" spans="1:11" x14ac:dyDescent="0.3">
      <c r="A798" s="171" t="str">
        <f>IF(OR('Statements (Raw)'!A796="",'Statements (Raw)'!A796&gt;Holdings!$G$3),"",'Statements (Raw)'!A796)</f>
        <v/>
      </c>
      <c r="B798" s="7" t="str">
        <f>IF(A798="","",IF('Statements (Raw)'!B796="","",'Statements (Raw)'!B796))</f>
        <v/>
      </c>
      <c r="C798" s="6" t="str">
        <f>IF(A798="","",IF('Statements (Raw)'!C796&lt;&gt;"",'Statements (Raw)'!C796,IF(ISNUMBER(SEARCH("Conferimento",'Statements (Raw)'!D796)),"CASH DEPOSIT",IF(ISNUMBER(SEARCH("Prelievo",'Statements (Raw)'!D796)),"CASH WITHDRAWAL",IF(ISNUMBER(SEARCH("Bollo",'Statements (Raw)'!D796)),"STAMP DUTY",IF(ISNUMBER(SEARCH("Tobin Tax",'Statements (Raw)'!D796)),"TOBIN TAX",IF(ISNUMBER(SEARCH("Rit.provento",'Statements (Raw)'!D796)),"WITHHOLDING TAX",IF(ISNUMBER(SEARCH("Incasso Dividendi",'Statements (Raw)'!D796)),"DIVIDEND",IF(ISNUMBER(SEARCH("Cedola",'Statements (Raw)'!D796)),"COUPON",IF(ISNUMBER(SEARCH("Ratei Pass",'Statements (Raw)'!D796)),"ACCRUED INT",IF(ISNUMBER(SEARCH("Interessi Prest",'Statements (Raw)'!D796)),"SEC LENDING",IF(ISNUMBER(SEARCH("Rimborso",'Statements (Raw)'!D796)),"REDEMPTION",IF(ISNUMBER(SEARCH("Provento",'Statements (Raw)'!D796)),"DISTRIBUTION","OTHER")))))))))))))</f>
        <v/>
      </c>
      <c r="D798" s="6" t="str">
        <f>IF(A798="","",IF(C798="Saldo Iniziale","Balance",IF(C798="CASH DEPOSIT","Deposit",IF(C798="CASH WITHDRAWAL","Withdrawal",IF(C798="STAMP DUTY","Tax",IF(C798="TOBIN TAX","Tax",IF(C798="WITHHOLDING TAX","Tax",IF(C798="DIVIDEND","Dividend",IF(C798="COUPON","Coupon",IF(C798="ACCRUED INT","Accrued Int.",IF(C798="SEC LENDING","Sec. Lending",IF(C798="REDEMPTION","Redemption",IF(C798="DISTRIBUTION","Distribution",IF(ISNUMBER(SEARCH("Rimborso",'Statements (Raw)'!D796)),"Redemption",IF(ISNUMBER(SEARCH("Cedola",'Statements (Raw)'!D796)),"Coupon",IF(ISNUMBER(SEARCH("Incasso Dividendi",'Statements (Raw)'!D796)),"Dividend",IF(ISNUMBER(SEARCH("Provento Etf",'Statements (Raw)'!D796)),"Distribution",IF(ISNUMBER(SEARCH("Rit.provento",'Statements (Raw)'!D796)),"Tax",IF(ISNUMBER(SEARCH("Ratei Pass",'Statements (Raw)'!D796)),"Accrued Int.",IF(ISNUMBER(SEARCH("Interessi Prest",'Statements (Raw)'!D796)),"Sec. Lending",IF('Statements (Raw)'!G796="","Other",IF('Statements (Raw)'!G796&gt;0,"Buy","Sell"))))))))))))))))))))))</f>
        <v/>
      </c>
      <c r="E798" s="6" t="str">
        <f t="shared" si="24"/>
        <v/>
      </c>
      <c r="F798" s="8" t="str">
        <f>IF(A798="","",IF('Statements (Raw)'!E796="","",'Statements (Raw)'!E796))</f>
        <v/>
      </c>
      <c r="G798" s="6" t="str">
        <f>IF(A798="","",IF('Statements (Raw)'!F796="","",'Statements (Raw)'!F796))</f>
        <v/>
      </c>
      <c r="H798" s="9" t="str">
        <f>IF(A798="","",IF('Statements (Raw)'!G796="","",'Statements (Raw)'!G796))</f>
        <v/>
      </c>
      <c r="I798" s="10" t="str">
        <f>IF(A798="","",IF('Statements (Raw)'!H796="","",'Statements (Raw)'!H796))</f>
        <v/>
      </c>
      <c r="J798" s="10">
        <f>IF(A798="",0,IF('Statements (Raw)'!I796="",0,'Statements (Raw)'!I796))</f>
        <v>0</v>
      </c>
      <c r="K798" s="10" t="str">
        <f t="shared" si="25"/>
        <v/>
      </c>
    </row>
    <row r="799" spans="1:11" x14ac:dyDescent="0.3">
      <c r="A799" s="171" t="str">
        <f>IF(OR('Statements (Raw)'!A797="",'Statements (Raw)'!A797&gt;Holdings!$G$3),"",'Statements (Raw)'!A797)</f>
        <v/>
      </c>
      <c r="B799" s="7" t="str">
        <f>IF(A799="","",IF('Statements (Raw)'!B797="","",'Statements (Raw)'!B797))</f>
        <v/>
      </c>
      <c r="C799" s="6" t="str">
        <f>IF(A799="","",IF('Statements (Raw)'!C797&lt;&gt;"",'Statements (Raw)'!C797,IF(ISNUMBER(SEARCH("Conferimento",'Statements (Raw)'!D797)),"CASH DEPOSIT",IF(ISNUMBER(SEARCH("Prelievo",'Statements (Raw)'!D797)),"CASH WITHDRAWAL",IF(ISNUMBER(SEARCH("Bollo",'Statements (Raw)'!D797)),"STAMP DUTY",IF(ISNUMBER(SEARCH("Tobin Tax",'Statements (Raw)'!D797)),"TOBIN TAX",IF(ISNUMBER(SEARCH("Rit.provento",'Statements (Raw)'!D797)),"WITHHOLDING TAX",IF(ISNUMBER(SEARCH("Incasso Dividendi",'Statements (Raw)'!D797)),"DIVIDEND",IF(ISNUMBER(SEARCH("Cedola",'Statements (Raw)'!D797)),"COUPON",IF(ISNUMBER(SEARCH("Ratei Pass",'Statements (Raw)'!D797)),"ACCRUED INT",IF(ISNUMBER(SEARCH("Interessi Prest",'Statements (Raw)'!D797)),"SEC LENDING",IF(ISNUMBER(SEARCH("Rimborso",'Statements (Raw)'!D797)),"REDEMPTION",IF(ISNUMBER(SEARCH("Provento",'Statements (Raw)'!D797)),"DISTRIBUTION","OTHER")))))))))))))</f>
        <v/>
      </c>
      <c r="D799" s="6" t="str">
        <f>IF(A799="","",IF(C799="Saldo Iniziale","Balance",IF(C799="CASH DEPOSIT","Deposit",IF(C799="CASH WITHDRAWAL","Withdrawal",IF(C799="STAMP DUTY","Tax",IF(C799="TOBIN TAX","Tax",IF(C799="WITHHOLDING TAX","Tax",IF(C799="DIVIDEND","Dividend",IF(C799="COUPON","Coupon",IF(C799="ACCRUED INT","Accrued Int.",IF(C799="SEC LENDING","Sec. Lending",IF(C799="REDEMPTION","Redemption",IF(C799="DISTRIBUTION","Distribution",IF(ISNUMBER(SEARCH("Rimborso",'Statements (Raw)'!D797)),"Redemption",IF(ISNUMBER(SEARCH("Cedola",'Statements (Raw)'!D797)),"Coupon",IF(ISNUMBER(SEARCH("Incasso Dividendi",'Statements (Raw)'!D797)),"Dividend",IF(ISNUMBER(SEARCH("Provento Etf",'Statements (Raw)'!D797)),"Distribution",IF(ISNUMBER(SEARCH("Rit.provento",'Statements (Raw)'!D797)),"Tax",IF(ISNUMBER(SEARCH("Ratei Pass",'Statements (Raw)'!D797)),"Accrued Int.",IF(ISNUMBER(SEARCH("Interessi Prest",'Statements (Raw)'!D797)),"Sec. Lending",IF('Statements (Raw)'!G797="","Other",IF('Statements (Raw)'!G797&gt;0,"Buy","Sell"))))))))))))))))))))))</f>
        <v/>
      </c>
      <c r="E799" s="6" t="str">
        <f t="shared" si="24"/>
        <v/>
      </c>
      <c r="F799" s="8" t="str">
        <f>IF(A799="","",IF('Statements (Raw)'!E797="","",'Statements (Raw)'!E797))</f>
        <v/>
      </c>
      <c r="G799" s="6" t="str">
        <f>IF(A799="","",IF('Statements (Raw)'!F797="","",'Statements (Raw)'!F797))</f>
        <v/>
      </c>
      <c r="H799" s="9" t="str">
        <f>IF(A799="","",IF('Statements (Raw)'!G797="","",'Statements (Raw)'!G797))</f>
        <v/>
      </c>
      <c r="I799" s="10" t="str">
        <f>IF(A799="","",IF('Statements (Raw)'!H797="","",'Statements (Raw)'!H797))</f>
        <v/>
      </c>
      <c r="J799" s="10">
        <f>IF(A799="",0,IF('Statements (Raw)'!I797="",0,'Statements (Raw)'!I797))</f>
        <v>0</v>
      </c>
      <c r="K799" s="10" t="str">
        <f t="shared" si="25"/>
        <v/>
      </c>
    </row>
    <row r="800" spans="1:11" x14ac:dyDescent="0.3">
      <c r="A800" s="171" t="str">
        <f>IF(OR('Statements (Raw)'!A798="",'Statements (Raw)'!A798&gt;Holdings!$G$3),"",'Statements (Raw)'!A798)</f>
        <v/>
      </c>
      <c r="B800" s="7" t="str">
        <f>IF(A800="","",IF('Statements (Raw)'!B798="","",'Statements (Raw)'!B798))</f>
        <v/>
      </c>
      <c r="C800" s="6" t="str">
        <f>IF(A800="","",IF('Statements (Raw)'!C798&lt;&gt;"",'Statements (Raw)'!C798,IF(ISNUMBER(SEARCH("Conferimento",'Statements (Raw)'!D798)),"CASH DEPOSIT",IF(ISNUMBER(SEARCH("Prelievo",'Statements (Raw)'!D798)),"CASH WITHDRAWAL",IF(ISNUMBER(SEARCH("Bollo",'Statements (Raw)'!D798)),"STAMP DUTY",IF(ISNUMBER(SEARCH("Tobin Tax",'Statements (Raw)'!D798)),"TOBIN TAX",IF(ISNUMBER(SEARCH("Rit.provento",'Statements (Raw)'!D798)),"WITHHOLDING TAX",IF(ISNUMBER(SEARCH("Incasso Dividendi",'Statements (Raw)'!D798)),"DIVIDEND",IF(ISNUMBER(SEARCH("Cedola",'Statements (Raw)'!D798)),"COUPON",IF(ISNUMBER(SEARCH("Ratei Pass",'Statements (Raw)'!D798)),"ACCRUED INT",IF(ISNUMBER(SEARCH("Interessi Prest",'Statements (Raw)'!D798)),"SEC LENDING",IF(ISNUMBER(SEARCH("Rimborso",'Statements (Raw)'!D798)),"REDEMPTION",IF(ISNUMBER(SEARCH("Provento",'Statements (Raw)'!D798)),"DISTRIBUTION","OTHER")))))))))))))</f>
        <v/>
      </c>
      <c r="D800" s="6" t="str">
        <f>IF(A800="","",IF(C800="Saldo Iniziale","Balance",IF(C800="CASH DEPOSIT","Deposit",IF(C800="CASH WITHDRAWAL","Withdrawal",IF(C800="STAMP DUTY","Tax",IF(C800="TOBIN TAX","Tax",IF(C800="WITHHOLDING TAX","Tax",IF(C800="DIVIDEND","Dividend",IF(C800="COUPON","Coupon",IF(C800="ACCRUED INT","Accrued Int.",IF(C800="SEC LENDING","Sec. Lending",IF(C800="REDEMPTION","Redemption",IF(C800="DISTRIBUTION","Distribution",IF(ISNUMBER(SEARCH("Rimborso",'Statements (Raw)'!D798)),"Redemption",IF(ISNUMBER(SEARCH("Cedola",'Statements (Raw)'!D798)),"Coupon",IF(ISNUMBER(SEARCH("Incasso Dividendi",'Statements (Raw)'!D798)),"Dividend",IF(ISNUMBER(SEARCH("Provento Etf",'Statements (Raw)'!D798)),"Distribution",IF(ISNUMBER(SEARCH("Rit.provento",'Statements (Raw)'!D798)),"Tax",IF(ISNUMBER(SEARCH("Ratei Pass",'Statements (Raw)'!D798)),"Accrued Int.",IF(ISNUMBER(SEARCH("Interessi Prest",'Statements (Raw)'!D798)),"Sec. Lending",IF('Statements (Raw)'!G798="","Other",IF('Statements (Raw)'!G798&gt;0,"Buy","Sell"))))))))))))))))))))))</f>
        <v/>
      </c>
      <c r="E800" s="6" t="str">
        <f t="shared" si="24"/>
        <v/>
      </c>
      <c r="F800" s="8" t="str">
        <f>IF(A800="","",IF('Statements (Raw)'!E798="","",'Statements (Raw)'!E798))</f>
        <v/>
      </c>
      <c r="G800" s="6" t="str">
        <f>IF(A800="","",IF('Statements (Raw)'!F798="","",'Statements (Raw)'!F798))</f>
        <v/>
      </c>
      <c r="H800" s="9" t="str">
        <f>IF(A800="","",IF('Statements (Raw)'!G798="","",'Statements (Raw)'!G798))</f>
        <v/>
      </c>
      <c r="I800" s="10" t="str">
        <f>IF(A800="","",IF('Statements (Raw)'!H798="","",'Statements (Raw)'!H798))</f>
        <v/>
      </c>
      <c r="J800" s="10">
        <f>IF(A800="",0,IF('Statements (Raw)'!I798="",0,'Statements (Raw)'!I798))</f>
        <v>0</v>
      </c>
      <c r="K800" s="10" t="str">
        <f t="shared" si="25"/>
        <v/>
      </c>
    </row>
    <row r="801" spans="1:11" x14ac:dyDescent="0.3">
      <c r="A801" s="171" t="str">
        <f>IF(OR('Statements (Raw)'!A799="",'Statements (Raw)'!A799&gt;Holdings!$G$3),"",'Statements (Raw)'!A799)</f>
        <v/>
      </c>
      <c r="B801" s="7" t="str">
        <f>IF(A801="","",IF('Statements (Raw)'!B799="","",'Statements (Raw)'!B799))</f>
        <v/>
      </c>
      <c r="C801" s="6" t="str">
        <f>IF(A801="","",IF('Statements (Raw)'!C799&lt;&gt;"",'Statements (Raw)'!C799,IF(ISNUMBER(SEARCH("Conferimento",'Statements (Raw)'!D799)),"CASH DEPOSIT",IF(ISNUMBER(SEARCH("Prelievo",'Statements (Raw)'!D799)),"CASH WITHDRAWAL",IF(ISNUMBER(SEARCH("Bollo",'Statements (Raw)'!D799)),"STAMP DUTY",IF(ISNUMBER(SEARCH("Tobin Tax",'Statements (Raw)'!D799)),"TOBIN TAX",IF(ISNUMBER(SEARCH("Rit.provento",'Statements (Raw)'!D799)),"WITHHOLDING TAX",IF(ISNUMBER(SEARCH("Incasso Dividendi",'Statements (Raw)'!D799)),"DIVIDEND",IF(ISNUMBER(SEARCH("Cedola",'Statements (Raw)'!D799)),"COUPON",IF(ISNUMBER(SEARCH("Ratei Pass",'Statements (Raw)'!D799)),"ACCRUED INT",IF(ISNUMBER(SEARCH("Interessi Prest",'Statements (Raw)'!D799)),"SEC LENDING",IF(ISNUMBER(SEARCH("Rimborso",'Statements (Raw)'!D799)),"REDEMPTION",IF(ISNUMBER(SEARCH("Provento",'Statements (Raw)'!D799)),"DISTRIBUTION","OTHER")))))))))))))</f>
        <v/>
      </c>
      <c r="D801" s="6" t="str">
        <f>IF(A801="","",IF(C801="Saldo Iniziale","Balance",IF(C801="CASH DEPOSIT","Deposit",IF(C801="CASH WITHDRAWAL","Withdrawal",IF(C801="STAMP DUTY","Tax",IF(C801="TOBIN TAX","Tax",IF(C801="WITHHOLDING TAX","Tax",IF(C801="DIVIDEND","Dividend",IF(C801="COUPON","Coupon",IF(C801="ACCRUED INT","Accrued Int.",IF(C801="SEC LENDING","Sec. Lending",IF(C801="REDEMPTION","Redemption",IF(C801="DISTRIBUTION","Distribution",IF(ISNUMBER(SEARCH("Rimborso",'Statements (Raw)'!D799)),"Redemption",IF(ISNUMBER(SEARCH("Cedola",'Statements (Raw)'!D799)),"Coupon",IF(ISNUMBER(SEARCH("Incasso Dividendi",'Statements (Raw)'!D799)),"Dividend",IF(ISNUMBER(SEARCH("Provento Etf",'Statements (Raw)'!D799)),"Distribution",IF(ISNUMBER(SEARCH("Rit.provento",'Statements (Raw)'!D799)),"Tax",IF(ISNUMBER(SEARCH("Ratei Pass",'Statements (Raw)'!D799)),"Accrued Int.",IF(ISNUMBER(SEARCH("Interessi Prest",'Statements (Raw)'!D799)),"Sec. Lending",IF('Statements (Raw)'!G799="","Other",IF('Statements (Raw)'!G799&gt;0,"Buy","Sell"))))))))))))))))))))))</f>
        <v/>
      </c>
      <c r="E801" s="6" t="str">
        <f t="shared" si="24"/>
        <v/>
      </c>
      <c r="F801" s="8" t="str">
        <f>IF(A801="","",IF('Statements (Raw)'!E799="","",'Statements (Raw)'!E799))</f>
        <v/>
      </c>
      <c r="G801" s="6" t="str">
        <f>IF(A801="","",IF('Statements (Raw)'!F799="","",'Statements (Raw)'!F799))</f>
        <v/>
      </c>
      <c r="H801" s="9" t="str">
        <f>IF(A801="","",IF('Statements (Raw)'!G799="","",'Statements (Raw)'!G799))</f>
        <v/>
      </c>
      <c r="I801" s="10" t="str">
        <f>IF(A801="","",IF('Statements (Raw)'!H799="","",'Statements (Raw)'!H799))</f>
        <v/>
      </c>
      <c r="J801" s="10">
        <f>IF(A801="",0,IF('Statements (Raw)'!I799="",0,'Statements (Raw)'!I799))</f>
        <v>0</v>
      </c>
      <c r="K801" s="10" t="str">
        <f t="shared" si="25"/>
        <v/>
      </c>
    </row>
    <row r="802" spans="1:11" x14ac:dyDescent="0.3">
      <c r="A802" s="171" t="str">
        <f>IF(OR('Statements (Raw)'!A800="",'Statements (Raw)'!A800&gt;Holdings!$G$3),"",'Statements (Raw)'!A800)</f>
        <v/>
      </c>
      <c r="B802" s="7" t="str">
        <f>IF(A802="","",IF('Statements (Raw)'!B800="","",'Statements (Raw)'!B800))</f>
        <v/>
      </c>
      <c r="C802" s="6" t="str">
        <f>IF(A802="","",IF('Statements (Raw)'!C800&lt;&gt;"",'Statements (Raw)'!C800,IF(ISNUMBER(SEARCH("Conferimento",'Statements (Raw)'!D800)),"CASH DEPOSIT",IF(ISNUMBER(SEARCH("Prelievo",'Statements (Raw)'!D800)),"CASH WITHDRAWAL",IF(ISNUMBER(SEARCH("Bollo",'Statements (Raw)'!D800)),"STAMP DUTY",IF(ISNUMBER(SEARCH("Tobin Tax",'Statements (Raw)'!D800)),"TOBIN TAX",IF(ISNUMBER(SEARCH("Rit.provento",'Statements (Raw)'!D800)),"WITHHOLDING TAX",IF(ISNUMBER(SEARCH("Incasso Dividendi",'Statements (Raw)'!D800)),"DIVIDEND",IF(ISNUMBER(SEARCH("Cedola",'Statements (Raw)'!D800)),"COUPON",IF(ISNUMBER(SEARCH("Ratei Pass",'Statements (Raw)'!D800)),"ACCRUED INT",IF(ISNUMBER(SEARCH("Interessi Prest",'Statements (Raw)'!D800)),"SEC LENDING",IF(ISNUMBER(SEARCH("Rimborso",'Statements (Raw)'!D800)),"REDEMPTION",IF(ISNUMBER(SEARCH("Provento",'Statements (Raw)'!D800)),"DISTRIBUTION","OTHER")))))))))))))</f>
        <v/>
      </c>
      <c r="D802" s="6" t="str">
        <f>IF(A802="","",IF(C802="Saldo Iniziale","Balance",IF(C802="CASH DEPOSIT","Deposit",IF(C802="CASH WITHDRAWAL","Withdrawal",IF(C802="STAMP DUTY","Tax",IF(C802="TOBIN TAX","Tax",IF(C802="WITHHOLDING TAX","Tax",IF(C802="DIVIDEND","Dividend",IF(C802="COUPON","Coupon",IF(C802="ACCRUED INT","Accrued Int.",IF(C802="SEC LENDING","Sec. Lending",IF(C802="REDEMPTION","Redemption",IF(C802="DISTRIBUTION","Distribution",IF(ISNUMBER(SEARCH("Rimborso",'Statements (Raw)'!D800)),"Redemption",IF(ISNUMBER(SEARCH("Cedola",'Statements (Raw)'!D800)),"Coupon",IF(ISNUMBER(SEARCH("Incasso Dividendi",'Statements (Raw)'!D800)),"Dividend",IF(ISNUMBER(SEARCH("Provento Etf",'Statements (Raw)'!D800)),"Distribution",IF(ISNUMBER(SEARCH("Rit.provento",'Statements (Raw)'!D800)),"Tax",IF(ISNUMBER(SEARCH("Ratei Pass",'Statements (Raw)'!D800)),"Accrued Int.",IF(ISNUMBER(SEARCH("Interessi Prest",'Statements (Raw)'!D800)),"Sec. Lending",IF('Statements (Raw)'!G800="","Other",IF('Statements (Raw)'!G800&gt;0,"Buy","Sell"))))))))))))))))))))))</f>
        <v/>
      </c>
      <c r="E802" s="6" t="str">
        <f t="shared" si="24"/>
        <v/>
      </c>
      <c r="F802" s="8" t="str">
        <f>IF(A802="","",IF('Statements (Raw)'!E800="","",'Statements (Raw)'!E800))</f>
        <v/>
      </c>
      <c r="G802" s="6" t="str">
        <f>IF(A802="","",IF('Statements (Raw)'!F800="","",'Statements (Raw)'!F800))</f>
        <v/>
      </c>
      <c r="H802" s="9" t="str">
        <f>IF(A802="","",IF('Statements (Raw)'!G800="","",'Statements (Raw)'!G800))</f>
        <v/>
      </c>
      <c r="I802" s="10" t="str">
        <f>IF(A802="","",IF('Statements (Raw)'!H800="","",'Statements (Raw)'!H800))</f>
        <v/>
      </c>
      <c r="J802" s="10">
        <f>IF(A802="",0,IF('Statements (Raw)'!I800="",0,'Statements (Raw)'!I800))</f>
        <v>0</v>
      </c>
      <c r="K802" s="10" t="str">
        <f t="shared" si="25"/>
        <v/>
      </c>
    </row>
    <row r="803" spans="1:11" x14ac:dyDescent="0.3">
      <c r="A803" s="171" t="str">
        <f>IF(OR('Statements (Raw)'!A801="",'Statements (Raw)'!A801&gt;Holdings!$G$3),"",'Statements (Raw)'!A801)</f>
        <v/>
      </c>
      <c r="B803" s="7" t="str">
        <f>IF(A803="","",IF('Statements (Raw)'!B801="","",'Statements (Raw)'!B801))</f>
        <v/>
      </c>
      <c r="C803" s="6" t="str">
        <f>IF(A803="","",IF('Statements (Raw)'!C801&lt;&gt;"",'Statements (Raw)'!C801,IF(ISNUMBER(SEARCH("Conferimento",'Statements (Raw)'!D801)),"CASH DEPOSIT",IF(ISNUMBER(SEARCH("Prelievo",'Statements (Raw)'!D801)),"CASH WITHDRAWAL",IF(ISNUMBER(SEARCH("Bollo",'Statements (Raw)'!D801)),"STAMP DUTY",IF(ISNUMBER(SEARCH("Tobin Tax",'Statements (Raw)'!D801)),"TOBIN TAX",IF(ISNUMBER(SEARCH("Rit.provento",'Statements (Raw)'!D801)),"WITHHOLDING TAX",IF(ISNUMBER(SEARCH("Incasso Dividendi",'Statements (Raw)'!D801)),"DIVIDEND",IF(ISNUMBER(SEARCH("Cedola",'Statements (Raw)'!D801)),"COUPON",IF(ISNUMBER(SEARCH("Ratei Pass",'Statements (Raw)'!D801)),"ACCRUED INT",IF(ISNUMBER(SEARCH("Interessi Prest",'Statements (Raw)'!D801)),"SEC LENDING",IF(ISNUMBER(SEARCH("Rimborso",'Statements (Raw)'!D801)),"REDEMPTION",IF(ISNUMBER(SEARCH("Provento",'Statements (Raw)'!D801)),"DISTRIBUTION","OTHER")))))))))))))</f>
        <v/>
      </c>
      <c r="D803" s="6" t="str">
        <f>IF(A803="","",IF(C803="Saldo Iniziale","Balance",IF(C803="CASH DEPOSIT","Deposit",IF(C803="CASH WITHDRAWAL","Withdrawal",IF(C803="STAMP DUTY","Tax",IF(C803="TOBIN TAX","Tax",IF(C803="WITHHOLDING TAX","Tax",IF(C803="DIVIDEND","Dividend",IF(C803="COUPON","Coupon",IF(C803="ACCRUED INT","Accrued Int.",IF(C803="SEC LENDING","Sec. Lending",IF(C803="REDEMPTION","Redemption",IF(C803="DISTRIBUTION","Distribution",IF(ISNUMBER(SEARCH("Rimborso",'Statements (Raw)'!D801)),"Redemption",IF(ISNUMBER(SEARCH("Cedola",'Statements (Raw)'!D801)),"Coupon",IF(ISNUMBER(SEARCH("Incasso Dividendi",'Statements (Raw)'!D801)),"Dividend",IF(ISNUMBER(SEARCH("Provento Etf",'Statements (Raw)'!D801)),"Distribution",IF(ISNUMBER(SEARCH("Rit.provento",'Statements (Raw)'!D801)),"Tax",IF(ISNUMBER(SEARCH("Ratei Pass",'Statements (Raw)'!D801)),"Accrued Int.",IF(ISNUMBER(SEARCH("Interessi Prest",'Statements (Raw)'!D801)),"Sec. Lending",IF('Statements (Raw)'!G801="","Other",IF('Statements (Raw)'!G801&gt;0,"Buy","Sell"))))))))))))))))))))))</f>
        <v/>
      </c>
      <c r="E803" s="6" t="str">
        <f t="shared" si="24"/>
        <v/>
      </c>
      <c r="F803" s="8" t="str">
        <f>IF(A803="","",IF('Statements (Raw)'!E801="","",'Statements (Raw)'!E801))</f>
        <v/>
      </c>
      <c r="G803" s="6" t="str">
        <f>IF(A803="","",IF('Statements (Raw)'!F801="","",'Statements (Raw)'!F801))</f>
        <v/>
      </c>
      <c r="H803" s="9" t="str">
        <f>IF(A803="","",IF('Statements (Raw)'!G801="","",'Statements (Raw)'!G801))</f>
        <v/>
      </c>
      <c r="I803" s="10" t="str">
        <f>IF(A803="","",IF('Statements (Raw)'!H801="","",'Statements (Raw)'!H801))</f>
        <v/>
      </c>
      <c r="J803" s="10">
        <f>IF(A803="",0,IF('Statements (Raw)'!I801="",0,'Statements (Raw)'!I801))</f>
        <v>0</v>
      </c>
      <c r="K803" s="10" t="str">
        <f t="shared" si="25"/>
        <v/>
      </c>
    </row>
    <row r="804" spans="1:11" x14ac:dyDescent="0.3">
      <c r="A804" s="171" t="str">
        <f>IF(OR('Statements (Raw)'!A802="",'Statements (Raw)'!A802&gt;Holdings!$G$3),"",'Statements (Raw)'!A802)</f>
        <v/>
      </c>
      <c r="B804" s="7" t="str">
        <f>IF(A804="","",IF('Statements (Raw)'!B802="","",'Statements (Raw)'!B802))</f>
        <v/>
      </c>
      <c r="C804" s="6" t="str">
        <f>IF(A804="","",IF('Statements (Raw)'!C802&lt;&gt;"",'Statements (Raw)'!C802,IF(ISNUMBER(SEARCH("Conferimento",'Statements (Raw)'!D802)),"CASH DEPOSIT",IF(ISNUMBER(SEARCH("Prelievo",'Statements (Raw)'!D802)),"CASH WITHDRAWAL",IF(ISNUMBER(SEARCH("Bollo",'Statements (Raw)'!D802)),"STAMP DUTY",IF(ISNUMBER(SEARCH("Tobin Tax",'Statements (Raw)'!D802)),"TOBIN TAX",IF(ISNUMBER(SEARCH("Rit.provento",'Statements (Raw)'!D802)),"WITHHOLDING TAX",IF(ISNUMBER(SEARCH("Incasso Dividendi",'Statements (Raw)'!D802)),"DIVIDEND",IF(ISNUMBER(SEARCH("Cedola",'Statements (Raw)'!D802)),"COUPON",IF(ISNUMBER(SEARCH("Ratei Pass",'Statements (Raw)'!D802)),"ACCRUED INT",IF(ISNUMBER(SEARCH("Interessi Prest",'Statements (Raw)'!D802)),"SEC LENDING",IF(ISNUMBER(SEARCH("Rimborso",'Statements (Raw)'!D802)),"REDEMPTION",IF(ISNUMBER(SEARCH("Provento",'Statements (Raw)'!D802)),"DISTRIBUTION","OTHER")))))))))))))</f>
        <v/>
      </c>
      <c r="D804" s="6" t="str">
        <f>IF(A804="","",IF(C804="Saldo Iniziale","Balance",IF(C804="CASH DEPOSIT","Deposit",IF(C804="CASH WITHDRAWAL","Withdrawal",IF(C804="STAMP DUTY","Tax",IF(C804="TOBIN TAX","Tax",IF(C804="WITHHOLDING TAX","Tax",IF(C804="DIVIDEND","Dividend",IF(C804="COUPON","Coupon",IF(C804="ACCRUED INT","Accrued Int.",IF(C804="SEC LENDING","Sec. Lending",IF(C804="REDEMPTION","Redemption",IF(C804="DISTRIBUTION","Distribution",IF(ISNUMBER(SEARCH("Rimborso",'Statements (Raw)'!D802)),"Redemption",IF(ISNUMBER(SEARCH("Cedola",'Statements (Raw)'!D802)),"Coupon",IF(ISNUMBER(SEARCH("Incasso Dividendi",'Statements (Raw)'!D802)),"Dividend",IF(ISNUMBER(SEARCH("Provento Etf",'Statements (Raw)'!D802)),"Distribution",IF(ISNUMBER(SEARCH("Rit.provento",'Statements (Raw)'!D802)),"Tax",IF(ISNUMBER(SEARCH("Ratei Pass",'Statements (Raw)'!D802)),"Accrued Int.",IF(ISNUMBER(SEARCH("Interessi Prest",'Statements (Raw)'!D802)),"Sec. Lending",IF('Statements (Raw)'!G802="","Other",IF('Statements (Raw)'!G802&gt;0,"Buy","Sell"))))))))))))))))))))))</f>
        <v/>
      </c>
      <c r="E804" s="6" t="str">
        <f t="shared" si="24"/>
        <v/>
      </c>
      <c r="F804" s="8" t="str">
        <f>IF(A804="","",IF('Statements (Raw)'!E802="","",'Statements (Raw)'!E802))</f>
        <v/>
      </c>
      <c r="G804" s="6" t="str">
        <f>IF(A804="","",IF('Statements (Raw)'!F802="","",'Statements (Raw)'!F802))</f>
        <v/>
      </c>
      <c r="H804" s="9" t="str">
        <f>IF(A804="","",IF('Statements (Raw)'!G802="","",'Statements (Raw)'!G802))</f>
        <v/>
      </c>
      <c r="I804" s="10" t="str">
        <f>IF(A804="","",IF('Statements (Raw)'!H802="","",'Statements (Raw)'!H802))</f>
        <v/>
      </c>
      <c r="J804" s="10">
        <f>IF(A804="",0,IF('Statements (Raw)'!I802="",0,'Statements (Raw)'!I802))</f>
        <v>0</v>
      </c>
      <c r="K804" s="10" t="str">
        <f t="shared" si="25"/>
        <v/>
      </c>
    </row>
    <row r="805" spans="1:11" x14ac:dyDescent="0.3">
      <c r="A805" s="171" t="str">
        <f>IF(OR('Statements (Raw)'!A803="",'Statements (Raw)'!A803&gt;Holdings!$G$3),"",'Statements (Raw)'!A803)</f>
        <v/>
      </c>
      <c r="B805" s="7" t="str">
        <f>IF(A805="","",IF('Statements (Raw)'!B803="","",'Statements (Raw)'!B803))</f>
        <v/>
      </c>
      <c r="C805" s="6" t="str">
        <f>IF(A805="","",IF('Statements (Raw)'!C803&lt;&gt;"",'Statements (Raw)'!C803,IF(ISNUMBER(SEARCH("Conferimento",'Statements (Raw)'!D803)),"CASH DEPOSIT",IF(ISNUMBER(SEARCH("Prelievo",'Statements (Raw)'!D803)),"CASH WITHDRAWAL",IF(ISNUMBER(SEARCH("Bollo",'Statements (Raw)'!D803)),"STAMP DUTY",IF(ISNUMBER(SEARCH("Tobin Tax",'Statements (Raw)'!D803)),"TOBIN TAX",IF(ISNUMBER(SEARCH("Rit.provento",'Statements (Raw)'!D803)),"WITHHOLDING TAX",IF(ISNUMBER(SEARCH("Incasso Dividendi",'Statements (Raw)'!D803)),"DIVIDEND",IF(ISNUMBER(SEARCH("Cedola",'Statements (Raw)'!D803)),"COUPON",IF(ISNUMBER(SEARCH("Ratei Pass",'Statements (Raw)'!D803)),"ACCRUED INT",IF(ISNUMBER(SEARCH("Interessi Prest",'Statements (Raw)'!D803)),"SEC LENDING",IF(ISNUMBER(SEARCH("Rimborso",'Statements (Raw)'!D803)),"REDEMPTION",IF(ISNUMBER(SEARCH("Provento",'Statements (Raw)'!D803)),"DISTRIBUTION","OTHER")))))))))))))</f>
        <v/>
      </c>
      <c r="D805" s="6" t="str">
        <f>IF(A805="","",IF(C805="Saldo Iniziale","Balance",IF(C805="CASH DEPOSIT","Deposit",IF(C805="CASH WITHDRAWAL","Withdrawal",IF(C805="STAMP DUTY","Tax",IF(C805="TOBIN TAX","Tax",IF(C805="WITHHOLDING TAX","Tax",IF(C805="DIVIDEND","Dividend",IF(C805="COUPON","Coupon",IF(C805="ACCRUED INT","Accrued Int.",IF(C805="SEC LENDING","Sec. Lending",IF(C805="REDEMPTION","Redemption",IF(C805="DISTRIBUTION","Distribution",IF(ISNUMBER(SEARCH("Rimborso",'Statements (Raw)'!D803)),"Redemption",IF(ISNUMBER(SEARCH("Cedola",'Statements (Raw)'!D803)),"Coupon",IF(ISNUMBER(SEARCH("Incasso Dividendi",'Statements (Raw)'!D803)),"Dividend",IF(ISNUMBER(SEARCH("Provento Etf",'Statements (Raw)'!D803)),"Distribution",IF(ISNUMBER(SEARCH("Rit.provento",'Statements (Raw)'!D803)),"Tax",IF(ISNUMBER(SEARCH("Ratei Pass",'Statements (Raw)'!D803)),"Accrued Int.",IF(ISNUMBER(SEARCH("Interessi Prest",'Statements (Raw)'!D803)),"Sec. Lending",IF('Statements (Raw)'!G803="","Other",IF('Statements (Raw)'!G803&gt;0,"Buy","Sell"))))))))))))))))))))))</f>
        <v/>
      </c>
      <c r="E805" s="6" t="str">
        <f t="shared" si="24"/>
        <v/>
      </c>
      <c r="F805" s="8" t="str">
        <f>IF(A805="","",IF('Statements (Raw)'!E803="","",'Statements (Raw)'!E803))</f>
        <v/>
      </c>
      <c r="G805" s="6" t="str">
        <f>IF(A805="","",IF('Statements (Raw)'!F803="","",'Statements (Raw)'!F803))</f>
        <v/>
      </c>
      <c r="H805" s="9" t="str">
        <f>IF(A805="","",IF('Statements (Raw)'!G803="","",'Statements (Raw)'!G803))</f>
        <v/>
      </c>
      <c r="I805" s="10" t="str">
        <f>IF(A805="","",IF('Statements (Raw)'!H803="","",'Statements (Raw)'!H803))</f>
        <v/>
      </c>
      <c r="J805" s="10">
        <f>IF(A805="",0,IF('Statements (Raw)'!I803="",0,'Statements (Raw)'!I803))</f>
        <v>0</v>
      </c>
      <c r="K805" s="10" t="str">
        <f t="shared" si="25"/>
        <v/>
      </c>
    </row>
    <row r="806" spans="1:11" x14ac:dyDescent="0.3">
      <c r="A806" s="171" t="str">
        <f>IF(OR('Statements (Raw)'!A804="",'Statements (Raw)'!A804&gt;Holdings!$G$3),"",'Statements (Raw)'!A804)</f>
        <v/>
      </c>
      <c r="B806" s="7" t="str">
        <f>IF(A806="","",IF('Statements (Raw)'!B804="","",'Statements (Raw)'!B804))</f>
        <v/>
      </c>
      <c r="C806" s="6" t="str">
        <f>IF(A806="","",IF('Statements (Raw)'!C804&lt;&gt;"",'Statements (Raw)'!C804,IF(ISNUMBER(SEARCH("Conferimento",'Statements (Raw)'!D804)),"CASH DEPOSIT",IF(ISNUMBER(SEARCH("Prelievo",'Statements (Raw)'!D804)),"CASH WITHDRAWAL",IF(ISNUMBER(SEARCH("Bollo",'Statements (Raw)'!D804)),"STAMP DUTY",IF(ISNUMBER(SEARCH("Tobin Tax",'Statements (Raw)'!D804)),"TOBIN TAX",IF(ISNUMBER(SEARCH("Rit.provento",'Statements (Raw)'!D804)),"WITHHOLDING TAX",IF(ISNUMBER(SEARCH("Incasso Dividendi",'Statements (Raw)'!D804)),"DIVIDEND",IF(ISNUMBER(SEARCH("Cedola",'Statements (Raw)'!D804)),"COUPON",IF(ISNUMBER(SEARCH("Ratei Pass",'Statements (Raw)'!D804)),"ACCRUED INT",IF(ISNUMBER(SEARCH("Interessi Prest",'Statements (Raw)'!D804)),"SEC LENDING",IF(ISNUMBER(SEARCH("Rimborso",'Statements (Raw)'!D804)),"REDEMPTION",IF(ISNUMBER(SEARCH("Provento",'Statements (Raw)'!D804)),"DISTRIBUTION","OTHER")))))))))))))</f>
        <v/>
      </c>
      <c r="D806" s="6" t="str">
        <f>IF(A806="","",IF(C806="Saldo Iniziale","Balance",IF(C806="CASH DEPOSIT","Deposit",IF(C806="CASH WITHDRAWAL","Withdrawal",IF(C806="STAMP DUTY","Tax",IF(C806="TOBIN TAX","Tax",IF(C806="WITHHOLDING TAX","Tax",IF(C806="DIVIDEND","Dividend",IF(C806="COUPON","Coupon",IF(C806="ACCRUED INT","Accrued Int.",IF(C806="SEC LENDING","Sec. Lending",IF(C806="REDEMPTION","Redemption",IF(C806="DISTRIBUTION","Distribution",IF(ISNUMBER(SEARCH("Rimborso",'Statements (Raw)'!D804)),"Redemption",IF(ISNUMBER(SEARCH("Cedola",'Statements (Raw)'!D804)),"Coupon",IF(ISNUMBER(SEARCH("Incasso Dividendi",'Statements (Raw)'!D804)),"Dividend",IF(ISNUMBER(SEARCH("Provento Etf",'Statements (Raw)'!D804)),"Distribution",IF(ISNUMBER(SEARCH("Rit.provento",'Statements (Raw)'!D804)),"Tax",IF(ISNUMBER(SEARCH("Ratei Pass",'Statements (Raw)'!D804)),"Accrued Int.",IF(ISNUMBER(SEARCH("Interessi Prest",'Statements (Raw)'!D804)),"Sec. Lending",IF('Statements (Raw)'!G804="","Other",IF('Statements (Raw)'!G804&gt;0,"Buy","Sell"))))))))))))))))))))))</f>
        <v/>
      </c>
      <c r="E806" s="6" t="str">
        <f t="shared" si="24"/>
        <v/>
      </c>
      <c r="F806" s="8" t="str">
        <f>IF(A806="","",IF('Statements (Raw)'!E804="","",'Statements (Raw)'!E804))</f>
        <v/>
      </c>
      <c r="G806" s="6" t="str">
        <f>IF(A806="","",IF('Statements (Raw)'!F804="","",'Statements (Raw)'!F804))</f>
        <v/>
      </c>
      <c r="H806" s="9" t="str">
        <f>IF(A806="","",IF('Statements (Raw)'!G804="","",'Statements (Raw)'!G804))</f>
        <v/>
      </c>
      <c r="I806" s="10" t="str">
        <f>IF(A806="","",IF('Statements (Raw)'!H804="","",'Statements (Raw)'!H804))</f>
        <v/>
      </c>
      <c r="J806" s="10">
        <f>IF(A806="",0,IF('Statements (Raw)'!I804="",0,'Statements (Raw)'!I804))</f>
        <v>0</v>
      </c>
      <c r="K806" s="10" t="str">
        <f t="shared" si="25"/>
        <v/>
      </c>
    </row>
    <row r="807" spans="1:11" x14ac:dyDescent="0.3">
      <c r="A807" s="171" t="str">
        <f>IF(OR('Statements (Raw)'!A805="",'Statements (Raw)'!A805&gt;Holdings!$G$3),"",'Statements (Raw)'!A805)</f>
        <v/>
      </c>
      <c r="B807" s="7" t="str">
        <f>IF(A807="","",IF('Statements (Raw)'!B805="","",'Statements (Raw)'!B805))</f>
        <v/>
      </c>
      <c r="C807" s="6" t="str">
        <f>IF(A807="","",IF('Statements (Raw)'!C805&lt;&gt;"",'Statements (Raw)'!C805,IF(ISNUMBER(SEARCH("Conferimento",'Statements (Raw)'!D805)),"CASH DEPOSIT",IF(ISNUMBER(SEARCH("Prelievo",'Statements (Raw)'!D805)),"CASH WITHDRAWAL",IF(ISNUMBER(SEARCH("Bollo",'Statements (Raw)'!D805)),"STAMP DUTY",IF(ISNUMBER(SEARCH("Tobin Tax",'Statements (Raw)'!D805)),"TOBIN TAX",IF(ISNUMBER(SEARCH("Rit.provento",'Statements (Raw)'!D805)),"WITHHOLDING TAX",IF(ISNUMBER(SEARCH("Incasso Dividendi",'Statements (Raw)'!D805)),"DIVIDEND",IF(ISNUMBER(SEARCH("Cedola",'Statements (Raw)'!D805)),"COUPON",IF(ISNUMBER(SEARCH("Ratei Pass",'Statements (Raw)'!D805)),"ACCRUED INT",IF(ISNUMBER(SEARCH("Interessi Prest",'Statements (Raw)'!D805)),"SEC LENDING",IF(ISNUMBER(SEARCH("Rimborso",'Statements (Raw)'!D805)),"REDEMPTION",IF(ISNUMBER(SEARCH("Provento",'Statements (Raw)'!D805)),"DISTRIBUTION","OTHER")))))))))))))</f>
        <v/>
      </c>
      <c r="D807" s="6" t="str">
        <f>IF(A807="","",IF(C807="Saldo Iniziale","Balance",IF(C807="CASH DEPOSIT","Deposit",IF(C807="CASH WITHDRAWAL","Withdrawal",IF(C807="STAMP DUTY","Tax",IF(C807="TOBIN TAX","Tax",IF(C807="WITHHOLDING TAX","Tax",IF(C807="DIVIDEND","Dividend",IF(C807="COUPON","Coupon",IF(C807="ACCRUED INT","Accrued Int.",IF(C807="SEC LENDING","Sec. Lending",IF(C807="REDEMPTION","Redemption",IF(C807="DISTRIBUTION","Distribution",IF(ISNUMBER(SEARCH("Rimborso",'Statements (Raw)'!D805)),"Redemption",IF(ISNUMBER(SEARCH("Cedola",'Statements (Raw)'!D805)),"Coupon",IF(ISNUMBER(SEARCH("Incasso Dividendi",'Statements (Raw)'!D805)),"Dividend",IF(ISNUMBER(SEARCH("Provento Etf",'Statements (Raw)'!D805)),"Distribution",IF(ISNUMBER(SEARCH("Rit.provento",'Statements (Raw)'!D805)),"Tax",IF(ISNUMBER(SEARCH("Ratei Pass",'Statements (Raw)'!D805)),"Accrued Int.",IF(ISNUMBER(SEARCH("Interessi Prest",'Statements (Raw)'!D805)),"Sec. Lending",IF('Statements (Raw)'!G805="","Other",IF('Statements (Raw)'!G805&gt;0,"Buy","Sell"))))))))))))))))))))))</f>
        <v/>
      </c>
      <c r="E807" s="6" t="str">
        <f t="shared" si="24"/>
        <v/>
      </c>
      <c r="F807" s="8" t="str">
        <f>IF(A807="","",IF('Statements (Raw)'!E805="","",'Statements (Raw)'!E805))</f>
        <v/>
      </c>
      <c r="G807" s="6" t="str">
        <f>IF(A807="","",IF('Statements (Raw)'!F805="","",'Statements (Raw)'!F805))</f>
        <v/>
      </c>
      <c r="H807" s="9" t="str">
        <f>IF(A807="","",IF('Statements (Raw)'!G805="","",'Statements (Raw)'!G805))</f>
        <v/>
      </c>
      <c r="I807" s="10" t="str">
        <f>IF(A807="","",IF('Statements (Raw)'!H805="","",'Statements (Raw)'!H805))</f>
        <v/>
      </c>
      <c r="J807" s="10">
        <f>IF(A807="",0,IF('Statements (Raw)'!I805="",0,'Statements (Raw)'!I805))</f>
        <v>0</v>
      </c>
      <c r="K807" s="10" t="str">
        <f t="shared" si="25"/>
        <v/>
      </c>
    </row>
    <row r="808" spans="1:11" x14ac:dyDescent="0.3">
      <c r="A808" s="171" t="str">
        <f>IF(OR('Statements (Raw)'!A806="",'Statements (Raw)'!A806&gt;Holdings!$G$3),"",'Statements (Raw)'!A806)</f>
        <v/>
      </c>
      <c r="B808" s="7" t="str">
        <f>IF(A808="","",IF('Statements (Raw)'!B806="","",'Statements (Raw)'!B806))</f>
        <v/>
      </c>
      <c r="C808" s="6" t="str">
        <f>IF(A808="","",IF('Statements (Raw)'!C806&lt;&gt;"",'Statements (Raw)'!C806,IF(ISNUMBER(SEARCH("Conferimento",'Statements (Raw)'!D806)),"CASH DEPOSIT",IF(ISNUMBER(SEARCH("Prelievo",'Statements (Raw)'!D806)),"CASH WITHDRAWAL",IF(ISNUMBER(SEARCH("Bollo",'Statements (Raw)'!D806)),"STAMP DUTY",IF(ISNUMBER(SEARCH("Tobin Tax",'Statements (Raw)'!D806)),"TOBIN TAX",IF(ISNUMBER(SEARCH("Rit.provento",'Statements (Raw)'!D806)),"WITHHOLDING TAX",IF(ISNUMBER(SEARCH("Incasso Dividendi",'Statements (Raw)'!D806)),"DIVIDEND",IF(ISNUMBER(SEARCH("Cedola",'Statements (Raw)'!D806)),"COUPON",IF(ISNUMBER(SEARCH("Ratei Pass",'Statements (Raw)'!D806)),"ACCRUED INT",IF(ISNUMBER(SEARCH("Interessi Prest",'Statements (Raw)'!D806)),"SEC LENDING",IF(ISNUMBER(SEARCH("Rimborso",'Statements (Raw)'!D806)),"REDEMPTION",IF(ISNUMBER(SEARCH("Provento",'Statements (Raw)'!D806)),"DISTRIBUTION","OTHER")))))))))))))</f>
        <v/>
      </c>
      <c r="D808" s="6" t="str">
        <f>IF(A808="","",IF(C808="Saldo Iniziale","Balance",IF(C808="CASH DEPOSIT","Deposit",IF(C808="CASH WITHDRAWAL","Withdrawal",IF(C808="STAMP DUTY","Tax",IF(C808="TOBIN TAX","Tax",IF(C808="WITHHOLDING TAX","Tax",IF(C808="DIVIDEND","Dividend",IF(C808="COUPON","Coupon",IF(C808="ACCRUED INT","Accrued Int.",IF(C808="SEC LENDING","Sec. Lending",IF(C808="REDEMPTION","Redemption",IF(C808="DISTRIBUTION","Distribution",IF(ISNUMBER(SEARCH("Rimborso",'Statements (Raw)'!D806)),"Redemption",IF(ISNUMBER(SEARCH("Cedola",'Statements (Raw)'!D806)),"Coupon",IF(ISNUMBER(SEARCH("Incasso Dividendi",'Statements (Raw)'!D806)),"Dividend",IF(ISNUMBER(SEARCH("Provento Etf",'Statements (Raw)'!D806)),"Distribution",IF(ISNUMBER(SEARCH("Rit.provento",'Statements (Raw)'!D806)),"Tax",IF(ISNUMBER(SEARCH("Ratei Pass",'Statements (Raw)'!D806)),"Accrued Int.",IF(ISNUMBER(SEARCH("Interessi Prest",'Statements (Raw)'!D806)),"Sec. Lending",IF('Statements (Raw)'!G806="","Other",IF('Statements (Raw)'!G806&gt;0,"Buy","Sell"))))))))))))))))))))))</f>
        <v/>
      </c>
      <c r="E808" s="6" t="str">
        <f t="shared" si="24"/>
        <v/>
      </c>
      <c r="F808" s="8" t="str">
        <f>IF(A808="","",IF('Statements (Raw)'!E806="","",'Statements (Raw)'!E806))</f>
        <v/>
      </c>
      <c r="G808" s="6" t="str">
        <f>IF(A808="","",IF('Statements (Raw)'!F806="","",'Statements (Raw)'!F806))</f>
        <v/>
      </c>
      <c r="H808" s="9" t="str">
        <f>IF(A808="","",IF('Statements (Raw)'!G806="","",'Statements (Raw)'!G806))</f>
        <v/>
      </c>
      <c r="I808" s="10" t="str">
        <f>IF(A808="","",IF('Statements (Raw)'!H806="","",'Statements (Raw)'!H806))</f>
        <v/>
      </c>
      <c r="J808" s="10">
        <f>IF(A808="",0,IF('Statements (Raw)'!I806="",0,'Statements (Raw)'!I806))</f>
        <v>0</v>
      </c>
      <c r="K808" s="10" t="str">
        <f t="shared" si="25"/>
        <v/>
      </c>
    </row>
    <row r="809" spans="1:11" x14ac:dyDescent="0.3">
      <c r="A809" s="171" t="str">
        <f>IF(OR('Statements (Raw)'!A807="",'Statements (Raw)'!A807&gt;Holdings!$G$3),"",'Statements (Raw)'!A807)</f>
        <v/>
      </c>
      <c r="B809" s="7" t="str">
        <f>IF(A809="","",IF('Statements (Raw)'!B807="","",'Statements (Raw)'!B807))</f>
        <v/>
      </c>
      <c r="C809" s="6" t="str">
        <f>IF(A809="","",IF('Statements (Raw)'!C807&lt;&gt;"",'Statements (Raw)'!C807,IF(ISNUMBER(SEARCH("Conferimento",'Statements (Raw)'!D807)),"CASH DEPOSIT",IF(ISNUMBER(SEARCH("Prelievo",'Statements (Raw)'!D807)),"CASH WITHDRAWAL",IF(ISNUMBER(SEARCH("Bollo",'Statements (Raw)'!D807)),"STAMP DUTY",IF(ISNUMBER(SEARCH("Tobin Tax",'Statements (Raw)'!D807)),"TOBIN TAX",IF(ISNUMBER(SEARCH("Rit.provento",'Statements (Raw)'!D807)),"WITHHOLDING TAX",IF(ISNUMBER(SEARCH("Incasso Dividendi",'Statements (Raw)'!D807)),"DIVIDEND",IF(ISNUMBER(SEARCH("Cedola",'Statements (Raw)'!D807)),"COUPON",IF(ISNUMBER(SEARCH("Ratei Pass",'Statements (Raw)'!D807)),"ACCRUED INT",IF(ISNUMBER(SEARCH("Interessi Prest",'Statements (Raw)'!D807)),"SEC LENDING",IF(ISNUMBER(SEARCH("Rimborso",'Statements (Raw)'!D807)),"REDEMPTION",IF(ISNUMBER(SEARCH("Provento",'Statements (Raw)'!D807)),"DISTRIBUTION","OTHER")))))))))))))</f>
        <v/>
      </c>
      <c r="D809" s="6" t="str">
        <f>IF(A809="","",IF(C809="Saldo Iniziale","Balance",IF(C809="CASH DEPOSIT","Deposit",IF(C809="CASH WITHDRAWAL","Withdrawal",IF(C809="STAMP DUTY","Tax",IF(C809="TOBIN TAX","Tax",IF(C809="WITHHOLDING TAX","Tax",IF(C809="DIVIDEND","Dividend",IF(C809="COUPON","Coupon",IF(C809="ACCRUED INT","Accrued Int.",IF(C809="SEC LENDING","Sec. Lending",IF(C809="REDEMPTION","Redemption",IF(C809="DISTRIBUTION","Distribution",IF(ISNUMBER(SEARCH("Rimborso",'Statements (Raw)'!D807)),"Redemption",IF(ISNUMBER(SEARCH("Cedola",'Statements (Raw)'!D807)),"Coupon",IF(ISNUMBER(SEARCH("Incasso Dividendi",'Statements (Raw)'!D807)),"Dividend",IF(ISNUMBER(SEARCH("Provento Etf",'Statements (Raw)'!D807)),"Distribution",IF(ISNUMBER(SEARCH("Rit.provento",'Statements (Raw)'!D807)),"Tax",IF(ISNUMBER(SEARCH("Ratei Pass",'Statements (Raw)'!D807)),"Accrued Int.",IF(ISNUMBER(SEARCH("Interessi Prest",'Statements (Raw)'!D807)),"Sec. Lending",IF('Statements (Raw)'!G807="","Other",IF('Statements (Raw)'!G807&gt;0,"Buy","Sell"))))))))))))))))))))))</f>
        <v/>
      </c>
      <c r="E809" s="6" t="str">
        <f t="shared" si="24"/>
        <v/>
      </c>
      <c r="F809" s="8" t="str">
        <f>IF(A809="","",IF('Statements (Raw)'!E807="","",'Statements (Raw)'!E807))</f>
        <v/>
      </c>
      <c r="G809" s="6" t="str">
        <f>IF(A809="","",IF('Statements (Raw)'!F807="","",'Statements (Raw)'!F807))</f>
        <v/>
      </c>
      <c r="H809" s="9" t="str">
        <f>IF(A809="","",IF('Statements (Raw)'!G807="","",'Statements (Raw)'!G807))</f>
        <v/>
      </c>
      <c r="I809" s="10" t="str">
        <f>IF(A809="","",IF('Statements (Raw)'!H807="","",'Statements (Raw)'!H807))</f>
        <v/>
      </c>
      <c r="J809" s="10">
        <f>IF(A809="",0,IF('Statements (Raw)'!I807="",0,'Statements (Raw)'!I807))</f>
        <v>0</v>
      </c>
      <c r="K809" s="10" t="str">
        <f t="shared" si="25"/>
        <v/>
      </c>
    </row>
    <row r="810" spans="1:11" x14ac:dyDescent="0.3">
      <c r="A810" s="171" t="str">
        <f>IF(OR('Statements (Raw)'!A808="",'Statements (Raw)'!A808&gt;Holdings!$G$3),"",'Statements (Raw)'!A808)</f>
        <v/>
      </c>
      <c r="B810" s="7" t="str">
        <f>IF(A810="","",IF('Statements (Raw)'!B808="","",'Statements (Raw)'!B808))</f>
        <v/>
      </c>
      <c r="C810" s="6" t="str">
        <f>IF(A810="","",IF('Statements (Raw)'!C808&lt;&gt;"",'Statements (Raw)'!C808,IF(ISNUMBER(SEARCH("Conferimento",'Statements (Raw)'!D808)),"CASH DEPOSIT",IF(ISNUMBER(SEARCH("Prelievo",'Statements (Raw)'!D808)),"CASH WITHDRAWAL",IF(ISNUMBER(SEARCH("Bollo",'Statements (Raw)'!D808)),"STAMP DUTY",IF(ISNUMBER(SEARCH("Tobin Tax",'Statements (Raw)'!D808)),"TOBIN TAX",IF(ISNUMBER(SEARCH("Rit.provento",'Statements (Raw)'!D808)),"WITHHOLDING TAX",IF(ISNUMBER(SEARCH("Incasso Dividendi",'Statements (Raw)'!D808)),"DIVIDEND",IF(ISNUMBER(SEARCH("Cedola",'Statements (Raw)'!D808)),"COUPON",IF(ISNUMBER(SEARCH("Ratei Pass",'Statements (Raw)'!D808)),"ACCRUED INT",IF(ISNUMBER(SEARCH("Interessi Prest",'Statements (Raw)'!D808)),"SEC LENDING",IF(ISNUMBER(SEARCH("Rimborso",'Statements (Raw)'!D808)),"REDEMPTION",IF(ISNUMBER(SEARCH("Provento",'Statements (Raw)'!D808)),"DISTRIBUTION","OTHER")))))))))))))</f>
        <v/>
      </c>
      <c r="D810" s="6" t="str">
        <f>IF(A810="","",IF(C810="Saldo Iniziale","Balance",IF(C810="CASH DEPOSIT","Deposit",IF(C810="CASH WITHDRAWAL","Withdrawal",IF(C810="STAMP DUTY","Tax",IF(C810="TOBIN TAX","Tax",IF(C810="WITHHOLDING TAX","Tax",IF(C810="DIVIDEND","Dividend",IF(C810="COUPON","Coupon",IF(C810="ACCRUED INT","Accrued Int.",IF(C810="SEC LENDING","Sec. Lending",IF(C810="REDEMPTION","Redemption",IF(C810="DISTRIBUTION","Distribution",IF(ISNUMBER(SEARCH("Rimborso",'Statements (Raw)'!D808)),"Redemption",IF(ISNUMBER(SEARCH("Cedola",'Statements (Raw)'!D808)),"Coupon",IF(ISNUMBER(SEARCH("Incasso Dividendi",'Statements (Raw)'!D808)),"Dividend",IF(ISNUMBER(SEARCH("Provento Etf",'Statements (Raw)'!D808)),"Distribution",IF(ISNUMBER(SEARCH("Rit.provento",'Statements (Raw)'!D808)),"Tax",IF(ISNUMBER(SEARCH("Ratei Pass",'Statements (Raw)'!D808)),"Accrued Int.",IF(ISNUMBER(SEARCH("Interessi Prest",'Statements (Raw)'!D808)),"Sec. Lending",IF('Statements (Raw)'!G808="","Other",IF('Statements (Raw)'!G808&gt;0,"Buy","Sell"))))))))))))))))))))))</f>
        <v/>
      </c>
      <c r="E810" s="6" t="str">
        <f t="shared" si="24"/>
        <v/>
      </c>
      <c r="F810" s="8" t="str">
        <f>IF(A810="","",IF('Statements (Raw)'!E808="","",'Statements (Raw)'!E808))</f>
        <v/>
      </c>
      <c r="G810" s="6" t="str">
        <f>IF(A810="","",IF('Statements (Raw)'!F808="","",'Statements (Raw)'!F808))</f>
        <v/>
      </c>
      <c r="H810" s="9" t="str">
        <f>IF(A810="","",IF('Statements (Raw)'!G808="","",'Statements (Raw)'!G808))</f>
        <v/>
      </c>
      <c r="I810" s="10" t="str">
        <f>IF(A810="","",IF('Statements (Raw)'!H808="","",'Statements (Raw)'!H808))</f>
        <v/>
      </c>
      <c r="J810" s="10">
        <f>IF(A810="",0,IF('Statements (Raw)'!I808="",0,'Statements (Raw)'!I808))</f>
        <v>0</v>
      </c>
      <c r="K810" s="10" t="str">
        <f t="shared" si="25"/>
        <v/>
      </c>
    </row>
    <row r="811" spans="1:11" x14ac:dyDescent="0.3">
      <c r="A811" s="171" t="str">
        <f>IF(OR('Statements (Raw)'!A809="",'Statements (Raw)'!A809&gt;Holdings!$G$3),"",'Statements (Raw)'!A809)</f>
        <v/>
      </c>
      <c r="B811" s="7" t="str">
        <f>IF(A811="","",IF('Statements (Raw)'!B809="","",'Statements (Raw)'!B809))</f>
        <v/>
      </c>
      <c r="C811" s="6" t="str">
        <f>IF(A811="","",IF('Statements (Raw)'!C809&lt;&gt;"",'Statements (Raw)'!C809,IF(ISNUMBER(SEARCH("Conferimento",'Statements (Raw)'!D809)),"CASH DEPOSIT",IF(ISNUMBER(SEARCH("Prelievo",'Statements (Raw)'!D809)),"CASH WITHDRAWAL",IF(ISNUMBER(SEARCH("Bollo",'Statements (Raw)'!D809)),"STAMP DUTY",IF(ISNUMBER(SEARCH("Tobin Tax",'Statements (Raw)'!D809)),"TOBIN TAX",IF(ISNUMBER(SEARCH("Rit.provento",'Statements (Raw)'!D809)),"WITHHOLDING TAX",IF(ISNUMBER(SEARCH("Incasso Dividendi",'Statements (Raw)'!D809)),"DIVIDEND",IF(ISNUMBER(SEARCH("Cedola",'Statements (Raw)'!D809)),"COUPON",IF(ISNUMBER(SEARCH("Ratei Pass",'Statements (Raw)'!D809)),"ACCRUED INT",IF(ISNUMBER(SEARCH("Interessi Prest",'Statements (Raw)'!D809)),"SEC LENDING",IF(ISNUMBER(SEARCH("Rimborso",'Statements (Raw)'!D809)),"REDEMPTION",IF(ISNUMBER(SEARCH("Provento",'Statements (Raw)'!D809)),"DISTRIBUTION","OTHER")))))))))))))</f>
        <v/>
      </c>
      <c r="D811" s="6" t="str">
        <f>IF(A811="","",IF(C811="Saldo Iniziale","Balance",IF(C811="CASH DEPOSIT","Deposit",IF(C811="CASH WITHDRAWAL","Withdrawal",IF(C811="STAMP DUTY","Tax",IF(C811="TOBIN TAX","Tax",IF(C811="WITHHOLDING TAX","Tax",IF(C811="DIVIDEND","Dividend",IF(C811="COUPON","Coupon",IF(C811="ACCRUED INT","Accrued Int.",IF(C811="SEC LENDING","Sec. Lending",IF(C811="REDEMPTION","Redemption",IF(C811="DISTRIBUTION","Distribution",IF(ISNUMBER(SEARCH("Rimborso",'Statements (Raw)'!D809)),"Redemption",IF(ISNUMBER(SEARCH("Cedola",'Statements (Raw)'!D809)),"Coupon",IF(ISNUMBER(SEARCH("Incasso Dividendi",'Statements (Raw)'!D809)),"Dividend",IF(ISNUMBER(SEARCH("Provento Etf",'Statements (Raw)'!D809)),"Distribution",IF(ISNUMBER(SEARCH("Rit.provento",'Statements (Raw)'!D809)),"Tax",IF(ISNUMBER(SEARCH("Ratei Pass",'Statements (Raw)'!D809)),"Accrued Int.",IF(ISNUMBER(SEARCH("Interessi Prest",'Statements (Raw)'!D809)),"Sec. Lending",IF('Statements (Raw)'!G809="","Other",IF('Statements (Raw)'!G809&gt;0,"Buy","Sell"))))))))))))))))))))))</f>
        <v/>
      </c>
      <c r="E811" s="6" t="str">
        <f t="shared" si="24"/>
        <v/>
      </c>
      <c r="F811" s="8" t="str">
        <f>IF(A811="","",IF('Statements (Raw)'!E809="","",'Statements (Raw)'!E809))</f>
        <v/>
      </c>
      <c r="G811" s="6" t="str">
        <f>IF(A811="","",IF('Statements (Raw)'!F809="","",'Statements (Raw)'!F809))</f>
        <v/>
      </c>
      <c r="H811" s="9" t="str">
        <f>IF(A811="","",IF('Statements (Raw)'!G809="","",'Statements (Raw)'!G809))</f>
        <v/>
      </c>
      <c r="I811" s="10" t="str">
        <f>IF(A811="","",IF('Statements (Raw)'!H809="","",'Statements (Raw)'!H809))</f>
        <v/>
      </c>
      <c r="J811" s="10">
        <f>IF(A811="",0,IF('Statements (Raw)'!I809="",0,'Statements (Raw)'!I809))</f>
        <v>0</v>
      </c>
      <c r="K811" s="10" t="str">
        <f t="shared" si="25"/>
        <v/>
      </c>
    </row>
    <row r="812" spans="1:11" x14ac:dyDescent="0.3">
      <c r="A812" s="171" t="str">
        <f>IF(OR('Statements (Raw)'!A810="",'Statements (Raw)'!A810&gt;Holdings!$G$3),"",'Statements (Raw)'!A810)</f>
        <v/>
      </c>
      <c r="B812" s="7" t="str">
        <f>IF(A812="","",IF('Statements (Raw)'!B810="","",'Statements (Raw)'!B810))</f>
        <v/>
      </c>
      <c r="C812" s="6" t="str">
        <f>IF(A812="","",IF('Statements (Raw)'!C810&lt;&gt;"",'Statements (Raw)'!C810,IF(ISNUMBER(SEARCH("Conferimento",'Statements (Raw)'!D810)),"CASH DEPOSIT",IF(ISNUMBER(SEARCH("Prelievo",'Statements (Raw)'!D810)),"CASH WITHDRAWAL",IF(ISNUMBER(SEARCH("Bollo",'Statements (Raw)'!D810)),"STAMP DUTY",IF(ISNUMBER(SEARCH("Tobin Tax",'Statements (Raw)'!D810)),"TOBIN TAX",IF(ISNUMBER(SEARCH("Rit.provento",'Statements (Raw)'!D810)),"WITHHOLDING TAX",IF(ISNUMBER(SEARCH("Incasso Dividendi",'Statements (Raw)'!D810)),"DIVIDEND",IF(ISNUMBER(SEARCH("Cedola",'Statements (Raw)'!D810)),"COUPON",IF(ISNUMBER(SEARCH("Ratei Pass",'Statements (Raw)'!D810)),"ACCRUED INT",IF(ISNUMBER(SEARCH("Interessi Prest",'Statements (Raw)'!D810)),"SEC LENDING",IF(ISNUMBER(SEARCH("Rimborso",'Statements (Raw)'!D810)),"REDEMPTION",IF(ISNUMBER(SEARCH("Provento",'Statements (Raw)'!D810)),"DISTRIBUTION","OTHER")))))))))))))</f>
        <v/>
      </c>
      <c r="D812" s="6" t="str">
        <f>IF(A812="","",IF(C812="Saldo Iniziale","Balance",IF(C812="CASH DEPOSIT","Deposit",IF(C812="CASH WITHDRAWAL","Withdrawal",IF(C812="STAMP DUTY","Tax",IF(C812="TOBIN TAX","Tax",IF(C812="WITHHOLDING TAX","Tax",IF(C812="DIVIDEND","Dividend",IF(C812="COUPON","Coupon",IF(C812="ACCRUED INT","Accrued Int.",IF(C812="SEC LENDING","Sec. Lending",IF(C812="REDEMPTION","Redemption",IF(C812="DISTRIBUTION","Distribution",IF(ISNUMBER(SEARCH("Rimborso",'Statements (Raw)'!D810)),"Redemption",IF(ISNUMBER(SEARCH("Cedola",'Statements (Raw)'!D810)),"Coupon",IF(ISNUMBER(SEARCH("Incasso Dividendi",'Statements (Raw)'!D810)),"Dividend",IF(ISNUMBER(SEARCH("Provento Etf",'Statements (Raw)'!D810)),"Distribution",IF(ISNUMBER(SEARCH("Rit.provento",'Statements (Raw)'!D810)),"Tax",IF(ISNUMBER(SEARCH("Ratei Pass",'Statements (Raw)'!D810)),"Accrued Int.",IF(ISNUMBER(SEARCH("Interessi Prest",'Statements (Raw)'!D810)),"Sec. Lending",IF('Statements (Raw)'!G810="","Other",IF('Statements (Raw)'!G810&gt;0,"Buy","Sell"))))))))))))))))))))))</f>
        <v/>
      </c>
      <c r="E812" s="6" t="str">
        <f t="shared" si="24"/>
        <v/>
      </c>
      <c r="F812" s="8" t="str">
        <f>IF(A812="","",IF('Statements (Raw)'!E810="","",'Statements (Raw)'!E810))</f>
        <v/>
      </c>
      <c r="G812" s="6" t="str">
        <f>IF(A812="","",IF('Statements (Raw)'!F810="","",'Statements (Raw)'!F810))</f>
        <v/>
      </c>
      <c r="H812" s="9" t="str">
        <f>IF(A812="","",IF('Statements (Raw)'!G810="","",'Statements (Raw)'!G810))</f>
        <v/>
      </c>
      <c r="I812" s="10" t="str">
        <f>IF(A812="","",IF('Statements (Raw)'!H810="","",'Statements (Raw)'!H810))</f>
        <v/>
      </c>
      <c r="J812" s="10">
        <f>IF(A812="",0,IF('Statements (Raw)'!I810="",0,'Statements (Raw)'!I810))</f>
        <v>0</v>
      </c>
      <c r="K812" s="10" t="str">
        <f t="shared" si="25"/>
        <v/>
      </c>
    </row>
    <row r="813" spans="1:11" x14ac:dyDescent="0.3">
      <c r="A813" s="171" t="str">
        <f>IF(OR('Statements (Raw)'!A811="",'Statements (Raw)'!A811&gt;Holdings!$G$3),"",'Statements (Raw)'!A811)</f>
        <v/>
      </c>
      <c r="B813" s="7" t="str">
        <f>IF(A813="","",IF('Statements (Raw)'!B811="","",'Statements (Raw)'!B811))</f>
        <v/>
      </c>
      <c r="C813" s="6" t="str">
        <f>IF(A813="","",IF('Statements (Raw)'!C811&lt;&gt;"",'Statements (Raw)'!C811,IF(ISNUMBER(SEARCH("Conferimento",'Statements (Raw)'!D811)),"CASH DEPOSIT",IF(ISNUMBER(SEARCH("Prelievo",'Statements (Raw)'!D811)),"CASH WITHDRAWAL",IF(ISNUMBER(SEARCH("Bollo",'Statements (Raw)'!D811)),"STAMP DUTY",IF(ISNUMBER(SEARCH("Tobin Tax",'Statements (Raw)'!D811)),"TOBIN TAX",IF(ISNUMBER(SEARCH("Rit.provento",'Statements (Raw)'!D811)),"WITHHOLDING TAX",IF(ISNUMBER(SEARCH("Incasso Dividendi",'Statements (Raw)'!D811)),"DIVIDEND",IF(ISNUMBER(SEARCH("Cedola",'Statements (Raw)'!D811)),"COUPON",IF(ISNUMBER(SEARCH("Ratei Pass",'Statements (Raw)'!D811)),"ACCRUED INT",IF(ISNUMBER(SEARCH("Interessi Prest",'Statements (Raw)'!D811)),"SEC LENDING",IF(ISNUMBER(SEARCH("Rimborso",'Statements (Raw)'!D811)),"REDEMPTION",IF(ISNUMBER(SEARCH("Provento",'Statements (Raw)'!D811)),"DISTRIBUTION","OTHER")))))))))))))</f>
        <v/>
      </c>
      <c r="D813" s="6" t="str">
        <f>IF(A813="","",IF(C813="Saldo Iniziale","Balance",IF(C813="CASH DEPOSIT","Deposit",IF(C813="CASH WITHDRAWAL","Withdrawal",IF(C813="STAMP DUTY","Tax",IF(C813="TOBIN TAX","Tax",IF(C813="WITHHOLDING TAX","Tax",IF(C813="DIVIDEND","Dividend",IF(C813="COUPON","Coupon",IF(C813="ACCRUED INT","Accrued Int.",IF(C813="SEC LENDING","Sec. Lending",IF(C813="REDEMPTION","Redemption",IF(C813="DISTRIBUTION","Distribution",IF(ISNUMBER(SEARCH("Rimborso",'Statements (Raw)'!D811)),"Redemption",IF(ISNUMBER(SEARCH("Cedola",'Statements (Raw)'!D811)),"Coupon",IF(ISNUMBER(SEARCH("Incasso Dividendi",'Statements (Raw)'!D811)),"Dividend",IF(ISNUMBER(SEARCH("Provento Etf",'Statements (Raw)'!D811)),"Distribution",IF(ISNUMBER(SEARCH("Rit.provento",'Statements (Raw)'!D811)),"Tax",IF(ISNUMBER(SEARCH("Ratei Pass",'Statements (Raw)'!D811)),"Accrued Int.",IF(ISNUMBER(SEARCH("Interessi Prest",'Statements (Raw)'!D811)),"Sec. Lending",IF('Statements (Raw)'!G811="","Other",IF('Statements (Raw)'!G811&gt;0,"Buy","Sell"))))))))))))))))))))))</f>
        <v/>
      </c>
      <c r="E813" s="6" t="str">
        <f t="shared" si="24"/>
        <v/>
      </c>
      <c r="F813" s="8" t="str">
        <f>IF(A813="","",IF('Statements (Raw)'!E811="","",'Statements (Raw)'!E811))</f>
        <v/>
      </c>
      <c r="G813" s="6" t="str">
        <f>IF(A813="","",IF('Statements (Raw)'!F811="","",'Statements (Raw)'!F811))</f>
        <v/>
      </c>
      <c r="H813" s="9" t="str">
        <f>IF(A813="","",IF('Statements (Raw)'!G811="","",'Statements (Raw)'!G811))</f>
        <v/>
      </c>
      <c r="I813" s="10" t="str">
        <f>IF(A813="","",IF('Statements (Raw)'!H811="","",'Statements (Raw)'!H811))</f>
        <v/>
      </c>
      <c r="J813" s="10">
        <f>IF(A813="",0,IF('Statements (Raw)'!I811="",0,'Statements (Raw)'!I811))</f>
        <v>0</v>
      </c>
      <c r="K813" s="10" t="str">
        <f t="shared" si="25"/>
        <v/>
      </c>
    </row>
    <row r="814" spans="1:11" x14ac:dyDescent="0.3">
      <c r="A814" s="171" t="str">
        <f>IF(OR('Statements (Raw)'!A812="",'Statements (Raw)'!A812&gt;Holdings!$G$3),"",'Statements (Raw)'!A812)</f>
        <v/>
      </c>
      <c r="B814" s="7" t="str">
        <f>IF(A814="","",IF('Statements (Raw)'!B812="","",'Statements (Raw)'!B812))</f>
        <v/>
      </c>
      <c r="C814" s="6" t="str">
        <f>IF(A814="","",IF('Statements (Raw)'!C812&lt;&gt;"",'Statements (Raw)'!C812,IF(ISNUMBER(SEARCH("Conferimento",'Statements (Raw)'!D812)),"CASH DEPOSIT",IF(ISNUMBER(SEARCH("Prelievo",'Statements (Raw)'!D812)),"CASH WITHDRAWAL",IF(ISNUMBER(SEARCH("Bollo",'Statements (Raw)'!D812)),"STAMP DUTY",IF(ISNUMBER(SEARCH("Tobin Tax",'Statements (Raw)'!D812)),"TOBIN TAX",IF(ISNUMBER(SEARCH("Rit.provento",'Statements (Raw)'!D812)),"WITHHOLDING TAX",IF(ISNUMBER(SEARCH("Incasso Dividendi",'Statements (Raw)'!D812)),"DIVIDEND",IF(ISNUMBER(SEARCH("Cedola",'Statements (Raw)'!D812)),"COUPON",IF(ISNUMBER(SEARCH("Ratei Pass",'Statements (Raw)'!D812)),"ACCRUED INT",IF(ISNUMBER(SEARCH("Interessi Prest",'Statements (Raw)'!D812)),"SEC LENDING",IF(ISNUMBER(SEARCH("Rimborso",'Statements (Raw)'!D812)),"REDEMPTION",IF(ISNUMBER(SEARCH("Provento",'Statements (Raw)'!D812)),"DISTRIBUTION","OTHER")))))))))))))</f>
        <v/>
      </c>
      <c r="D814" s="6" t="str">
        <f>IF(A814="","",IF(C814="Saldo Iniziale","Balance",IF(C814="CASH DEPOSIT","Deposit",IF(C814="CASH WITHDRAWAL","Withdrawal",IF(C814="STAMP DUTY","Tax",IF(C814="TOBIN TAX","Tax",IF(C814="WITHHOLDING TAX","Tax",IF(C814="DIVIDEND","Dividend",IF(C814="COUPON","Coupon",IF(C814="ACCRUED INT","Accrued Int.",IF(C814="SEC LENDING","Sec. Lending",IF(C814="REDEMPTION","Redemption",IF(C814="DISTRIBUTION","Distribution",IF(ISNUMBER(SEARCH("Rimborso",'Statements (Raw)'!D812)),"Redemption",IF(ISNUMBER(SEARCH("Cedola",'Statements (Raw)'!D812)),"Coupon",IF(ISNUMBER(SEARCH("Incasso Dividendi",'Statements (Raw)'!D812)),"Dividend",IF(ISNUMBER(SEARCH("Provento Etf",'Statements (Raw)'!D812)),"Distribution",IF(ISNUMBER(SEARCH("Rit.provento",'Statements (Raw)'!D812)),"Tax",IF(ISNUMBER(SEARCH("Ratei Pass",'Statements (Raw)'!D812)),"Accrued Int.",IF(ISNUMBER(SEARCH("Interessi Prest",'Statements (Raw)'!D812)),"Sec. Lending",IF('Statements (Raw)'!G812="","Other",IF('Statements (Raw)'!G812&gt;0,"Buy","Sell"))))))))))))))))))))))</f>
        <v/>
      </c>
      <c r="E814" s="6" t="str">
        <f t="shared" si="24"/>
        <v/>
      </c>
      <c r="F814" s="8" t="str">
        <f>IF(A814="","",IF('Statements (Raw)'!E812="","",'Statements (Raw)'!E812))</f>
        <v/>
      </c>
      <c r="G814" s="6" t="str">
        <f>IF(A814="","",IF('Statements (Raw)'!F812="","",'Statements (Raw)'!F812))</f>
        <v/>
      </c>
      <c r="H814" s="9" t="str">
        <f>IF(A814="","",IF('Statements (Raw)'!G812="","",'Statements (Raw)'!G812))</f>
        <v/>
      </c>
      <c r="I814" s="10" t="str">
        <f>IF(A814="","",IF('Statements (Raw)'!H812="","",'Statements (Raw)'!H812))</f>
        <v/>
      </c>
      <c r="J814" s="10">
        <f>IF(A814="",0,IF('Statements (Raw)'!I812="",0,'Statements (Raw)'!I812))</f>
        <v>0</v>
      </c>
      <c r="K814" s="10" t="str">
        <f t="shared" si="25"/>
        <v/>
      </c>
    </row>
    <row r="815" spans="1:11" x14ac:dyDescent="0.3">
      <c r="A815" s="171" t="str">
        <f>IF(OR('Statements (Raw)'!A813="",'Statements (Raw)'!A813&gt;Holdings!$G$3),"",'Statements (Raw)'!A813)</f>
        <v/>
      </c>
      <c r="B815" s="7" t="str">
        <f>IF(A815="","",IF('Statements (Raw)'!B813="","",'Statements (Raw)'!B813))</f>
        <v/>
      </c>
      <c r="C815" s="6" t="str">
        <f>IF(A815="","",IF('Statements (Raw)'!C813&lt;&gt;"",'Statements (Raw)'!C813,IF(ISNUMBER(SEARCH("Conferimento",'Statements (Raw)'!D813)),"CASH DEPOSIT",IF(ISNUMBER(SEARCH("Prelievo",'Statements (Raw)'!D813)),"CASH WITHDRAWAL",IF(ISNUMBER(SEARCH("Bollo",'Statements (Raw)'!D813)),"STAMP DUTY",IF(ISNUMBER(SEARCH("Tobin Tax",'Statements (Raw)'!D813)),"TOBIN TAX",IF(ISNUMBER(SEARCH("Rit.provento",'Statements (Raw)'!D813)),"WITHHOLDING TAX",IF(ISNUMBER(SEARCH("Incasso Dividendi",'Statements (Raw)'!D813)),"DIVIDEND",IF(ISNUMBER(SEARCH("Cedola",'Statements (Raw)'!D813)),"COUPON",IF(ISNUMBER(SEARCH("Ratei Pass",'Statements (Raw)'!D813)),"ACCRUED INT",IF(ISNUMBER(SEARCH("Interessi Prest",'Statements (Raw)'!D813)),"SEC LENDING",IF(ISNUMBER(SEARCH("Rimborso",'Statements (Raw)'!D813)),"REDEMPTION",IF(ISNUMBER(SEARCH("Provento",'Statements (Raw)'!D813)),"DISTRIBUTION","OTHER")))))))))))))</f>
        <v/>
      </c>
      <c r="D815" s="6" t="str">
        <f>IF(A815="","",IF(C815="Saldo Iniziale","Balance",IF(C815="CASH DEPOSIT","Deposit",IF(C815="CASH WITHDRAWAL","Withdrawal",IF(C815="STAMP DUTY","Tax",IF(C815="TOBIN TAX","Tax",IF(C815="WITHHOLDING TAX","Tax",IF(C815="DIVIDEND","Dividend",IF(C815="COUPON","Coupon",IF(C815="ACCRUED INT","Accrued Int.",IF(C815="SEC LENDING","Sec. Lending",IF(C815="REDEMPTION","Redemption",IF(C815="DISTRIBUTION","Distribution",IF(ISNUMBER(SEARCH("Rimborso",'Statements (Raw)'!D813)),"Redemption",IF(ISNUMBER(SEARCH("Cedola",'Statements (Raw)'!D813)),"Coupon",IF(ISNUMBER(SEARCH("Incasso Dividendi",'Statements (Raw)'!D813)),"Dividend",IF(ISNUMBER(SEARCH("Provento Etf",'Statements (Raw)'!D813)),"Distribution",IF(ISNUMBER(SEARCH("Rit.provento",'Statements (Raw)'!D813)),"Tax",IF(ISNUMBER(SEARCH("Ratei Pass",'Statements (Raw)'!D813)),"Accrued Int.",IF(ISNUMBER(SEARCH("Interessi Prest",'Statements (Raw)'!D813)),"Sec. Lending",IF('Statements (Raw)'!G813="","Other",IF('Statements (Raw)'!G813&gt;0,"Buy","Sell"))))))))))))))))))))))</f>
        <v/>
      </c>
      <c r="E815" s="6" t="str">
        <f t="shared" si="24"/>
        <v/>
      </c>
      <c r="F815" s="8" t="str">
        <f>IF(A815="","",IF('Statements (Raw)'!E813="","",'Statements (Raw)'!E813))</f>
        <v/>
      </c>
      <c r="G815" s="6" t="str">
        <f>IF(A815="","",IF('Statements (Raw)'!F813="","",'Statements (Raw)'!F813))</f>
        <v/>
      </c>
      <c r="H815" s="9" t="str">
        <f>IF(A815="","",IF('Statements (Raw)'!G813="","",'Statements (Raw)'!G813))</f>
        <v/>
      </c>
      <c r="I815" s="10" t="str">
        <f>IF(A815="","",IF('Statements (Raw)'!H813="","",'Statements (Raw)'!H813))</f>
        <v/>
      </c>
      <c r="J815" s="10">
        <f>IF(A815="",0,IF('Statements (Raw)'!I813="",0,'Statements (Raw)'!I813))</f>
        <v>0</v>
      </c>
      <c r="K815" s="10" t="str">
        <f t="shared" si="25"/>
        <v/>
      </c>
    </row>
    <row r="816" spans="1:11" x14ac:dyDescent="0.3">
      <c r="A816" s="171" t="str">
        <f>IF(OR('Statements (Raw)'!A814="",'Statements (Raw)'!A814&gt;Holdings!$G$3),"",'Statements (Raw)'!A814)</f>
        <v/>
      </c>
      <c r="B816" s="7" t="str">
        <f>IF(A816="","",IF('Statements (Raw)'!B814="","",'Statements (Raw)'!B814))</f>
        <v/>
      </c>
      <c r="C816" s="6" t="str">
        <f>IF(A816="","",IF('Statements (Raw)'!C814&lt;&gt;"",'Statements (Raw)'!C814,IF(ISNUMBER(SEARCH("Conferimento",'Statements (Raw)'!D814)),"CASH DEPOSIT",IF(ISNUMBER(SEARCH("Prelievo",'Statements (Raw)'!D814)),"CASH WITHDRAWAL",IF(ISNUMBER(SEARCH("Bollo",'Statements (Raw)'!D814)),"STAMP DUTY",IF(ISNUMBER(SEARCH("Tobin Tax",'Statements (Raw)'!D814)),"TOBIN TAX",IF(ISNUMBER(SEARCH("Rit.provento",'Statements (Raw)'!D814)),"WITHHOLDING TAX",IF(ISNUMBER(SEARCH("Incasso Dividendi",'Statements (Raw)'!D814)),"DIVIDEND",IF(ISNUMBER(SEARCH("Cedola",'Statements (Raw)'!D814)),"COUPON",IF(ISNUMBER(SEARCH("Ratei Pass",'Statements (Raw)'!D814)),"ACCRUED INT",IF(ISNUMBER(SEARCH("Interessi Prest",'Statements (Raw)'!D814)),"SEC LENDING",IF(ISNUMBER(SEARCH("Rimborso",'Statements (Raw)'!D814)),"REDEMPTION",IF(ISNUMBER(SEARCH("Provento",'Statements (Raw)'!D814)),"DISTRIBUTION","OTHER")))))))))))))</f>
        <v/>
      </c>
      <c r="D816" s="6" t="str">
        <f>IF(A816="","",IF(C816="Saldo Iniziale","Balance",IF(C816="CASH DEPOSIT","Deposit",IF(C816="CASH WITHDRAWAL","Withdrawal",IF(C816="STAMP DUTY","Tax",IF(C816="TOBIN TAX","Tax",IF(C816="WITHHOLDING TAX","Tax",IF(C816="DIVIDEND","Dividend",IF(C816="COUPON","Coupon",IF(C816="ACCRUED INT","Accrued Int.",IF(C816="SEC LENDING","Sec. Lending",IF(C816="REDEMPTION","Redemption",IF(C816="DISTRIBUTION","Distribution",IF(ISNUMBER(SEARCH("Rimborso",'Statements (Raw)'!D814)),"Redemption",IF(ISNUMBER(SEARCH("Cedola",'Statements (Raw)'!D814)),"Coupon",IF(ISNUMBER(SEARCH("Incasso Dividendi",'Statements (Raw)'!D814)),"Dividend",IF(ISNUMBER(SEARCH("Provento Etf",'Statements (Raw)'!D814)),"Distribution",IF(ISNUMBER(SEARCH("Rit.provento",'Statements (Raw)'!D814)),"Tax",IF(ISNUMBER(SEARCH("Ratei Pass",'Statements (Raw)'!D814)),"Accrued Int.",IF(ISNUMBER(SEARCH("Interessi Prest",'Statements (Raw)'!D814)),"Sec. Lending",IF('Statements (Raw)'!G814="","Other",IF('Statements (Raw)'!G814&gt;0,"Buy","Sell"))))))))))))))))))))))</f>
        <v/>
      </c>
      <c r="E816" s="6" t="str">
        <f t="shared" si="24"/>
        <v/>
      </c>
      <c r="F816" s="8" t="str">
        <f>IF(A816="","",IF('Statements (Raw)'!E814="","",'Statements (Raw)'!E814))</f>
        <v/>
      </c>
      <c r="G816" s="6" t="str">
        <f>IF(A816="","",IF('Statements (Raw)'!F814="","",'Statements (Raw)'!F814))</f>
        <v/>
      </c>
      <c r="H816" s="9" t="str">
        <f>IF(A816="","",IF('Statements (Raw)'!G814="","",'Statements (Raw)'!G814))</f>
        <v/>
      </c>
      <c r="I816" s="10" t="str">
        <f>IF(A816="","",IF('Statements (Raw)'!H814="","",'Statements (Raw)'!H814))</f>
        <v/>
      </c>
      <c r="J816" s="10">
        <f>IF(A816="",0,IF('Statements (Raw)'!I814="",0,'Statements (Raw)'!I814))</f>
        <v>0</v>
      </c>
      <c r="K816" s="10" t="str">
        <f t="shared" si="25"/>
        <v/>
      </c>
    </row>
    <row r="817" spans="1:11" x14ac:dyDescent="0.3">
      <c r="A817" s="171" t="str">
        <f>IF(OR('Statements (Raw)'!A815="",'Statements (Raw)'!A815&gt;Holdings!$G$3),"",'Statements (Raw)'!A815)</f>
        <v/>
      </c>
      <c r="B817" s="7" t="str">
        <f>IF(A817="","",IF('Statements (Raw)'!B815="","",'Statements (Raw)'!B815))</f>
        <v/>
      </c>
      <c r="C817" s="6" t="str">
        <f>IF(A817="","",IF('Statements (Raw)'!C815&lt;&gt;"",'Statements (Raw)'!C815,IF(ISNUMBER(SEARCH("Conferimento",'Statements (Raw)'!D815)),"CASH DEPOSIT",IF(ISNUMBER(SEARCH("Prelievo",'Statements (Raw)'!D815)),"CASH WITHDRAWAL",IF(ISNUMBER(SEARCH("Bollo",'Statements (Raw)'!D815)),"STAMP DUTY",IF(ISNUMBER(SEARCH("Tobin Tax",'Statements (Raw)'!D815)),"TOBIN TAX",IF(ISNUMBER(SEARCH("Rit.provento",'Statements (Raw)'!D815)),"WITHHOLDING TAX",IF(ISNUMBER(SEARCH("Incasso Dividendi",'Statements (Raw)'!D815)),"DIVIDEND",IF(ISNUMBER(SEARCH("Cedola",'Statements (Raw)'!D815)),"COUPON",IF(ISNUMBER(SEARCH("Ratei Pass",'Statements (Raw)'!D815)),"ACCRUED INT",IF(ISNUMBER(SEARCH("Interessi Prest",'Statements (Raw)'!D815)),"SEC LENDING",IF(ISNUMBER(SEARCH("Rimborso",'Statements (Raw)'!D815)),"REDEMPTION",IF(ISNUMBER(SEARCH("Provento",'Statements (Raw)'!D815)),"DISTRIBUTION","OTHER")))))))))))))</f>
        <v/>
      </c>
      <c r="D817" s="6" t="str">
        <f>IF(A817="","",IF(C817="Saldo Iniziale","Balance",IF(C817="CASH DEPOSIT","Deposit",IF(C817="CASH WITHDRAWAL","Withdrawal",IF(C817="STAMP DUTY","Tax",IF(C817="TOBIN TAX","Tax",IF(C817="WITHHOLDING TAX","Tax",IF(C817="DIVIDEND","Dividend",IF(C817="COUPON","Coupon",IF(C817="ACCRUED INT","Accrued Int.",IF(C817="SEC LENDING","Sec. Lending",IF(C817="REDEMPTION","Redemption",IF(C817="DISTRIBUTION","Distribution",IF(ISNUMBER(SEARCH("Rimborso",'Statements (Raw)'!D815)),"Redemption",IF(ISNUMBER(SEARCH("Cedola",'Statements (Raw)'!D815)),"Coupon",IF(ISNUMBER(SEARCH("Incasso Dividendi",'Statements (Raw)'!D815)),"Dividend",IF(ISNUMBER(SEARCH("Provento Etf",'Statements (Raw)'!D815)),"Distribution",IF(ISNUMBER(SEARCH("Rit.provento",'Statements (Raw)'!D815)),"Tax",IF(ISNUMBER(SEARCH("Ratei Pass",'Statements (Raw)'!D815)),"Accrued Int.",IF(ISNUMBER(SEARCH("Interessi Prest",'Statements (Raw)'!D815)),"Sec. Lending",IF('Statements (Raw)'!G815="","Other",IF('Statements (Raw)'!G815&gt;0,"Buy","Sell"))))))))))))))))))))))</f>
        <v/>
      </c>
      <c r="E817" s="6" t="str">
        <f t="shared" si="24"/>
        <v/>
      </c>
      <c r="F817" s="8" t="str">
        <f>IF(A817="","",IF('Statements (Raw)'!E815="","",'Statements (Raw)'!E815))</f>
        <v/>
      </c>
      <c r="G817" s="6" t="str">
        <f>IF(A817="","",IF('Statements (Raw)'!F815="","",'Statements (Raw)'!F815))</f>
        <v/>
      </c>
      <c r="H817" s="9" t="str">
        <f>IF(A817="","",IF('Statements (Raw)'!G815="","",'Statements (Raw)'!G815))</f>
        <v/>
      </c>
      <c r="I817" s="10" t="str">
        <f>IF(A817="","",IF('Statements (Raw)'!H815="","",'Statements (Raw)'!H815))</f>
        <v/>
      </c>
      <c r="J817" s="10">
        <f>IF(A817="",0,IF('Statements (Raw)'!I815="",0,'Statements (Raw)'!I815))</f>
        <v>0</v>
      </c>
      <c r="K817" s="10" t="str">
        <f t="shared" si="25"/>
        <v/>
      </c>
    </row>
    <row r="818" spans="1:11" x14ac:dyDescent="0.3">
      <c r="A818" s="171" t="str">
        <f>IF(OR('Statements (Raw)'!A816="",'Statements (Raw)'!A816&gt;Holdings!$G$3),"",'Statements (Raw)'!A816)</f>
        <v/>
      </c>
      <c r="B818" s="7" t="str">
        <f>IF(A818="","",IF('Statements (Raw)'!B816="","",'Statements (Raw)'!B816))</f>
        <v/>
      </c>
      <c r="C818" s="6" t="str">
        <f>IF(A818="","",IF('Statements (Raw)'!C816&lt;&gt;"",'Statements (Raw)'!C816,IF(ISNUMBER(SEARCH("Conferimento",'Statements (Raw)'!D816)),"CASH DEPOSIT",IF(ISNUMBER(SEARCH("Prelievo",'Statements (Raw)'!D816)),"CASH WITHDRAWAL",IF(ISNUMBER(SEARCH("Bollo",'Statements (Raw)'!D816)),"STAMP DUTY",IF(ISNUMBER(SEARCH("Tobin Tax",'Statements (Raw)'!D816)),"TOBIN TAX",IF(ISNUMBER(SEARCH("Rit.provento",'Statements (Raw)'!D816)),"WITHHOLDING TAX",IF(ISNUMBER(SEARCH("Incasso Dividendi",'Statements (Raw)'!D816)),"DIVIDEND",IF(ISNUMBER(SEARCH("Cedola",'Statements (Raw)'!D816)),"COUPON",IF(ISNUMBER(SEARCH("Ratei Pass",'Statements (Raw)'!D816)),"ACCRUED INT",IF(ISNUMBER(SEARCH("Interessi Prest",'Statements (Raw)'!D816)),"SEC LENDING",IF(ISNUMBER(SEARCH("Rimborso",'Statements (Raw)'!D816)),"REDEMPTION",IF(ISNUMBER(SEARCH("Provento",'Statements (Raw)'!D816)),"DISTRIBUTION","OTHER")))))))))))))</f>
        <v/>
      </c>
      <c r="D818" s="6" t="str">
        <f>IF(A818="","",IF(C818="Saldo Iniziale","Balance",IF(C818="CASH DEPOSIT","Deposit",IF(C818="CASH WITHDRAWAL","Withdrawal",IF(C818="STAMP DUTY","Tax",IF(C818="TOBIN TAX","Tax",IF(C818="WITHHOLDING TAX","Tax",IF(C818="DIVIDEND","Dividend",IF(C818="COUPON","Coupon",IF(C818="ACCRUED INT","Accrued Int.",IF(C818="SEC LENDING","Sec. Lending",IF(C818="REDEMPTION","Redemption",IF(C818="DISTRIBUTION","Distribution",IF(ISNUMBER(SEARCH("Rimborso",'Statements (Raw)'!D816)),"Redemption",IF(ISNUMBER(SEARCH("Cedola",'Statements (Raw)'!D816)),"Coupon",IF(ISNUMBER(SEARCH("Incasso Dividendi",'Statements (Raw)'!D816)),"Dividend",IF(ISNUMBER(SEARCH("Provento Etf",'Statements (Raw)'!D816)),"Distribution",IF(ISNUMBER(SEARCH("Rit.provento",'Statements (Raw)'!D816)),"Tax",IF(ISNUMBER(SEARCH("Ratei Pass",'Statements (Raw)'!D816)),"Accrued Int.",IF(ISNUMBER(SEARCH("Interessi Prest",'Statements (Raw)'!D816)),"Sec. Lending",IF('Statements (Raw)'!G816="","Other",IF('Statements (Raw)'!G816&gt;0,"Buy","Sell"))))))))))))))))))))))</f>
        <v/>
      </c>
      <c r="E818" s="6" t="str">
        <f t="shared" si="24"/>
        <v/>
      </c>
      <c r="F818" s="8" t="str">
        <f>IF(A818="","",IF('Statements (Raw)'!E816="","",'Statements (Raw)'!E816))</f>
        <v/>
      </c>
      <c r="G818" s="6" t="str">
        <f>IF(A818="","",IF('Statements (Raw)'!F816="","",'Statements (Raw)'!F816))</f>
        <v/>
      </c>
      <c r="H818" s="9" t="str">
        <f>IF(A818="","",IF('Statements (Raw)'!G816="","",'Statements (Raw)'!G816))</f>
        <v/>
      </c>
      <c r="I818" s="10" t="str">
        <f>IF(A818="","",IF('Statements (Raw)'!H816="","",'Statements (Raw)'!H816))</f>
        <v/>
      </c>
      <c r="J818" s="10">
        <f>IF(A818="",0,IF('Statements (Raw)'!I816="",0,'Statements (Raw)'!I816))</f>
        <v>0</v>
      </c>
      <c r="K818" s="10" t="str">
        <f t="shared" si="25"/>
        <v/>
      </c>
    </row>
    <row r="819" spans="1:11" x14ac:dyDescent="0.3">
      <c r="A819" s="171" t="str">
        <f>IF(OR('Statements (Raw)'!A817="",'Statements (Raw)'!A817&gt;Holdings!$G$3),"",'Statements (Raw)'!A817)</f>
        <v/>
      </c>
      <c r="B819" s="7" t="str">
        <f>IF(A819="","",IF('Statements (Raw)'!B817="","",'Statements (Raw)'!B817))</f>
        <v/>
      </c>
      <c r="C819" s="6" t="str">
        <f>IF(A819="","",IF('Statements (Raw)'!C817&lt;&gt;"",'Statements (Raw)'!C817,IF(ISNUMBER(SEARCH("Conferimento",'Statements (Raw)'!D817)),"CASH DEPOSIT",IF(ISNUMBER(SEARCH("Prelievo",'Statements (Raw)'!D817)),"CASH WITHDRAWAL",IF(ISNUMBER(SEARCH("Bollo",'Statements (Raw)'!D817)),"STAMP DUTY",IF(ISNUMBER(SEARCH("Tobin Tax",'Statements (Raw)'!D817)),"TOBIN TAX",IF(ISNUMBER(SEARCH("Rit.provento",'Statements (Raw)'!D817)),"WITHHOLDING TAX",IF(ISNUMBER(SEARCH("Incasso Dividendi",'Statements (Raw)'!D817)),"DIVIDEND",IF(ISNUMBER(SEARCH("Cedola",'Statements (Raw)'!D817)),"COUPON",IF(ISNUMBER(SEARCH("Ratei Pass",'Statements (Raw)'!D817)),"ACCRUED INT",IF(ISNUMBER(SEARCH("Interessi Prest",'Statements (Raw)'!D817)),"SEC LENDING",IF(ISNUMBER(SEARCH("Rimborso",'Statements (Raw)'!D817)),"REDEMPTION",IF(ISNUMBER(SEARCH("Provento",'Statements (Raw)'!D817)),"DISTRIBUTION","OTHER")))))))))))))</f>
        <v/>
      </c>
      <c r="D819" s="6" t="str">
        <f>IF(A819="","",IF(C819="Saldo Iniziale","Balance",IF(C819="CASH DEPOSIT","Deposit",IF(C819="CASH WITHDRAWAL","Withdrawal",IF(C819="STAMP DUTY","Tax",IF(C819="TOBIN TAX","Tax",IF(C819="WITHHOLDING TAX","Tax",IF(C819="DIVIDEND","Dividend",IF(C819="COUPON","Coupon",IF(C819="ACCRUED INT","Accrued Int.",IF(C819="SEC LENDING","Sec. Lending",IF(C819="REDEMPTION","Redemption",IF(C819="DISTRIBUTION","Distribution",IF(ISNUMBER(SEARCH("Rimborso",'Statements (Raw)'!D817)),"Redemption",IF(ISNUMBER(SEARCH("Cedola",'Statements (Raw)'!D817)),"Coupon",IF(ISNUMBER(SEARCH("Incasso Dividendi",'Statements (Raw)'!D817)),"Dividend",IF(ISNUMBER(SEARCH("Provento Etf",'Statements (Raw)'!D817)),"Distribution",IF(ISNUMBER(SEARCH("Rit.provento",'Statements (Raw)'!D817)),"Tax",IF(ISNUMBER(SEARCH("Ratei Pass",'Statements (Raw)'!D817)),"Accrued Int.",IF(ISNUMBER(SEARCH("Interessi Prest",'Statements (Raw)'!D817)),"Sec. Lending",IF('Statements (Raw)'!G817="","Other",IF('Statements (Raw)'!G817&gt;0,"Buy","Sell"))))))))))))))))))))))</f>
        <v/>
      </c>
      <c r="E819" s="6" t="str">
        <f t="shared" si="24"/>
        <v/>
      </c>
      <c r="F819" s="8" t="str">
        <f>IF(A819="","",IF('Statements (Raw)'!E817="","",'Statements (Raw)'!E817))</f>
        <v/>
      </c>
      <c r="G819" s="6" t="str">
        <f>IF(A819="","",IF('Statements (Raw)'!F817="","",'Statements (Raw)'!F817))</f>
        <v/>
      </c>
      <c r="H819" s="9" t="str">
        <f>IF(A819="","",IF('Statements (Raw)'!G817="","",'Statements (Raw)'!G817))</f>
        <v/>
      </c>
      <c r="I819" s="10" t="str">
        <f>IF(A819="","",IF('Statements (Raw)'!H817="","",'Statements (Raw)'!H817))</f>
        <v/>
      </c>
      <c r="J819" s="10">
        <f>IF(A819="",0,IF('Statements (Raw)'!I817="",0,'Statements (Raw)'!I817))</f>
        <v>0</v>
      </c>
      <c r="K819" s="10" t="str">
        <f t="shared" si="25"/>
        <v/>
      </c>
    </row>
    <row r="820" spans="1:11" x14ac:dyDescent="0.3">
      <c r="A820" s="171" t="str">
        <f>IF(OR('Statements (Raw)'!A818="",'Statements (Raw)'!A818&gt;Holdings!$G$3),"",'Statements (Raw)'!A818)</f>
        <v/>
      </c>
      <c r="B820" s="7" t="str">
        <f>IF(A820="","",IF('Statements (Raw)'!B818="","",'Statements (Raw)'!B818))</f>
        <v/>
      </c>
      <c r="C820" s="6" t="str">
        <f>IF(A820="","",IF('Statements (Raw)'!C818&lt;&gt;"",'Statements (Raw)'!C818,IF(ISNUMBER(SEARCH("Conferimento",'Statements (Raw)'!D818)),"CASH DEPOSIT",IF(ISNUMBER(SEARCH("Prelievo",'Statements (Raw)'!D818)),"CASH WITHDRAWAL",IF(ISNUMBER(SEARCH("Bollo",'Statements (Raw)'!D818)),"STAMP DUTY",IF(ISNUMBER(SEARCH("Tobin Tax",'Statements (Raw)'!D818)),"TOBIN TAX",IF(ISNUMBER(SEARCH("Rit.provento",'Statements (Raw)'!D818)),"WITHHOLDING TAX",IF(ISNUMBER(SEARCH("Incasso Dividendi",'Statements (Raw)'!D818)),"DIVIDEND",IF(ISNUMBER(SEARCH("Cedola",'Statements (Raw)'!D818)),"COUPON",IF(ISNUMBER(SEARCH("Ratei Pass",'Statements (Raw)'!D818)),"ACCRUED INT",IF(ISNUMBER(SEARCH("Interessi Prest",'Statements (Raw)'!D818)),"SEC LENDING",IF(ISNUMBER(SEARCH("Rimborso",'Statements (Raw)'!D818)),"REDEMPTION",IF(ISNUMBER(SEARCH("Provento",'Statements (Raw)'!D818)),"DISTRIBUTION","OTHER")))))))))))))</f>
        <v/>
      </c>
      <c r="D820" s="6" t="str">
        <f>IF(A820="","",IF(C820="Saldo Iniziale","Balance",IF(C820="CASH DEPOSIT","Deposit",IF(C820="CASH WITHDRAWAL","Withdrawal",IF(C820="STAMP DUTY","Tax",IF(C820="TOBIN TAX","Tax",IF(C820="WITHHOLDING TAX","Tax",IF(C820="DIVIDEND","Dividend",IF(C820="COUPON","Coupon",IF(C820="ACCRUED INT","Accrued Int.",IF(C820="SEC LENDING","Sec. Lending",IF(C820="REDEMPTION","Redemption",IF(C820="DISTRIBUTION","Distribution",IF(ISNUMBER(SEARCH("Rimborso",'Statements (Raw)'!D818)),"Redemption",IF(ISNUMBER(SEARCH("Cedola",'Statements (Raw)'!D818)),"Coupon",IF(ISNUMBER(SEARCH("Incasso Dividendi",'Statements (Raw)'!D818)),"Dividend",IF(ISNUMBER(SEARCH("Provento Etf",'Statements (Raw)'!D818)),"Distribution",IF(ISNUMBER(SEARCH("Rit.provento",'Statements (Raw)'!D818)),"Tax",IF(ISNUMBER(SEARCH("Ratei Pass",'Statements (Raw)'!D818)),"Accrued Int.",IF(ISNUMBER(SEARCH("Interessi Prest",'Statements (Raw)'!D818)),"Sec. Lending",IF('Statements (Raw)'!G818="","Other",IF('Statements (Raw)'!G818&gt;0,"Buy","Sell"))))))))))))))))))))))</f>
        <v/>
      </c>
      <c r="E820" s="6" t="str">
        <f t="shared" si="24"/>
        <v/>
      </c>
      <c r="F820" s="8" t="str">
        <f>IF(A820="","",IF('Statements (Raw)'!E818="","",'Statements (Raw)'!E818))</f>
        <v/>
      </c>
      <c r="G820" s="6" t="str">
        <f>IF(A820="","",IF('Statements (Raw)'!F818="","",'Statements (Raw)'!F818))</f>
        <v/>
      </c>
      <c r="H820" s="9" t="str">
        <f>IF(A820="","",IF('Statements (Raw)'!G818="","",'Statements (Raw)'!G818))</f>
        <v/>
      </c>
      <c r="I820" s="10" t="str">
        <f>IF(A820="","",IF('Statements (Raw)'!H818="","",'Statements (Raw)'!H818))</f>
        <v/>
      </c>
      <c r="J820" s="10">
        <f>IF(A820="",0,IF('Statements (Raw)'!I818="",0,'Statements (Raw)'!I818))</f>
        <v>0</v>
      </c>
      <c r="K820" s="10" t="str">
        <f t="shared" si="25"/>
        <v/>
      </c>
    </row>
    <row r="821" spans="1:11" x14ac:dyDescent="0.3">
      <c r="A821" s="171" t="str">
        <f>IF(OR('Statements (Raw)'!A819="",'Statements (Raw)'!A819&gt;Holdings!$G$3),"",'Statements (Raw)'!A819)</f>
        <v/>
      </c>
      <c r="B821" s="7" t="str">
        <f>IF(A821="","",IF('Statements (Raw)'!B819="","",'Statements (Raw)'!B819))</f>
        <v/>
      </c>
      <c r="C821" s="6" t="str">
        <f>IF(A821="","",IF('Statements (Raw)'!C819&lt;&gt;"",'Statements (Raw)'!C819,IF(ISNUMBER(SEARCH("Conferimento",'Statements (Raw)'!D819)),"CASH DEPOSIT",IF(ISNUMBER(SEARCH("Prelievo",'Statements (Raw)'!D819)),"CASH WITHDRAWAL",IF(ISNUMBER(SEARCH("Bollo",'Statements (Raw)'!D819)),"STAMP DUTY",IF(ISNUMBER(SEARCH("Tobin Tax",'Statements (Raw)'!D819)),"TOBIN TAX",IF(ISNUMBER(SEARCH("Rit.provento",'Statements (Raw)'!D819)),"WITHHOLDING TAX",IF(ISNUMBER(SEARCH("Incasso Dividendi",'Statements (Raw)'!D819)),"DIVIDEND",IF(ISNUMBER(SEARCH("Cedola",'Statements (Raw)'!D819)),"COUPON",IF(ISNUMBER(SEARCH("Ratei Pass",'Statements (Raw)'!D819)),"ACCRUED INT",IF(ISNUMBER(SEARCH("Interessi Prest",'Statements (Raw)'!D819)),"SEC LENDING",IF(ISNUMBER(SEARCH("Rimborso",'Statements (Raw)'!D819)),"REDEMPTION",IF(ISNUMBER(SEARCH("Provento",'Statements (Raw)'!D819)),"DISTRIBUTION","OTHER")))))))))))))</f>
        <v/>
      </c>
      <c r="D821" s="6" t="str">
        <f>IF(A821="","",IF(C821="Saldo Iniziale","Balance",IF(C821="CASH DEPOSIT","Deposit",IF(C821="CASH WITHDRAWAL","Withdrawal",IF(C821="STAMP DUTY","Tax",IF(C821="TOBIN TAX","Tax",IF(C821="WITHHOLDING TAX","Tax",IF(C821="DIVIDEND","Dividend",IF(C821="COUPON","Coupon",IF(C821="ACCRUED INT","Accrued Int.",IF(C821="SEC LENDING","Sec. Lending",IF(C821="REDEMPTION","Redemption",IF(C821="DISTRIBUTION","Distribution",IF(ISNUMBER(SEARCH("Rimborso",'Statements (Raw)'!D819)),"Redemption",IF(ISNUMBER(SEARCH("Cedola",'Statements (Raw)'!D819)),"Coupon",IF(ISNUMBER(SEARCH("Incasso Dividendi",'Statements (Raw)'!D819)),"Dividend",IF(ISNUMBER(SEARCH("Provento Etf",'Statements (Raw)'!D819)),"Distribution",IF(ISNUMBER(SEARCH("Rit.provento",'Statements (Raw)'!D819)),"Tax",IF(ISNUMBER(SEARCH("Ratei Pass",'Statements (Raw)'!D819)),"Accrued Int.",IF(ISNUMBER(SEARCH("Interessi Prest",'Statements (Raw)'!D819)),"Sec. Lending",IF('Statements (Raw)'!G819="","Other",IF('Statements (Raw)'!G819&gt;0,"Buy","Sell"))))))))))))))))))))))</f>
        <v/>
      </c>
      <c r="E821" s="6" t="str">
        <f t="shared" si="24"/>
        <v/>
      </c>
      <c r="F821" s="8" t="str">
        <f>IF(A821="","",IF('Statements (Raw)'!E819="","",'Statements (Raw)'!E819))</f>
        <v/>
      </c>
      <c r="G821" s="6" t="str">
        <f>IF(A821="","",IF('Statements (Raw)'!F819="","",'Statements (Raw)'!F819))</f>
        <v/>
      </c>
      <c r="H821" s="9" t="str">
        <f>IF(A821="","",IF('Statements (Raw)'!G819="","",'Statements (Raw)'!G819))</f>
        <v/>
      </c>
      <c r="I821" s="10" t="str">
        <f>IF(A821="","",IF('Statements (Raw)'!H819="","",'Statements (Raw)'!H819))</f>
        <v/>
      </c>
      <c r="J821" s="10">
        <f>IF(A821="",0,IF('Statements (Raw)'!I819="",0,'Statements (Raw)'!I819))</f>
        <v>0</v>
      </c>
      <c r="K821" s="10" t="str">
        <f t="shared" si="25"/>
        <v/>
      </c>
    </row>
    <row r="822" spans="1:11" x14ac:dyDescent="0.3">
      <c r="A822" s="171" t="str">
        <f>IF(OR('Statements (Raw)'!A820="",'Statements (Raw)'!A820&gt;Holdings!$G$3),"",'Statements (Raw)'!A820)</f>
        <v/>
      </c>
      <c r="B822" s="7" t="str">
        <f>IF(A822="","",IF('Statements (Raw)'!B820="","",'Statements (Raw)'!B820))</f>
        <v/>
      </c>
      <c r="C822" s="6" t="str">
        <f>IF(A822="","",IF('Statements (Raw)'!C820&lt;&gt;"",'Statements (Raw)'!C820,IF(ISNUMBER(SEARCH("Conferimento",'Statements (Raw)'!D820)),"CASH DEPOSIT",IF(ISNUMBER(SEARCH("Prelievo",'Statements (Raw)'!D820)),"CASH WITHDRAWAL",IF(ISNUMBER(SEARCH("Bollo",'Statements (Raw)'!D820)),"STAMP DUTY",IF(ISNUMBER(SEARCH("Tobin Tax",'Statements (Raw)'!D820)),"TOBIN TAX",IF(ISNUMBER(SEARCH("Rit.provento",'Statements (Raw)'!D820)),"WITHHOLDING TAX",IF(ISNUMBER(SEARCH("Incasso Dividendi",'Statements (Raw)'!D820)),"DIVIDEND",IF(ISNUMBER(SEARCH("Cedola",'Statements (Raw)'!D820)),"COUPON",IF(ISNUMBER(SEARCH("Ratei Pass",'Statements (Raw)'!D820)),"ACCRUED INT",IF(ISNUMBER(SEARCH("Interessi Prest",'Statements (Raw)'!D820)),"SEC LENDING",IF(ISNUMBER(SEARCH("Rimborso",'Statements (Raw)'!D820)),"REDEMPTION",IF(ISNUMBER(SEARCH("Provento",'Statements (Raw)'!D820)),"DISTRIBUTION","OTHER")))))))))))))</f>
        <v/>
      </c>
      <c r="D822" s="6" t="str">
        <f>IF(A822="","",IF(C822="Saldo Iniziale","Balance",IF(C822="CASH DEPOSIT","Deposit",IF(C822="CASH WITHDRAWAL","Withdrawal",IF(C822="STAMP DUTY","Tax",IF(C822="TOBIN TAX","Tax",IF(C822="WITHHOLDING TAX","Tax",IF(C822="DIVIDEND","Dividend",IF(C822="COUPON","Coupon",IF(C822="ACCRUED INT","Accrued Int.",IF(C822="SEC LENDING","Sec. Lending",IF(C822="REDEMPTION","Redemption",IF(C822="DISTRIBUTION","Distribution",IF(ISNUMBER(SEARCH("Rimborso",'Statements (Raw)'!D820)),"Redemption",IF(ISNUMBER(SEARCH("Cedola",'Statements (Raw)'!D820)),"Coupon",IF(ISNUMBER(SEARCH("Incasso Dividendi",'Statements (Raw)'!D820)),"Dividend",IF(ISNUMBER(SEARCH("Provento Etf",'Statements (Raw)'!D820)),"Distribution",IF(ISNUMBER(SEARCH("Rit.provento",'Statements (Raw)'!D820)),"Tax",IF(ISNUMBER(SEARCH("Ratei Pass",'Statements (Raw)'!D820)),"Accrued Int.",IF(ISNUMBER(SEARCH("Interessi Prest",'Statements (Raw)'!D820)),"Sec. Lending",IF('Statements (Raw)'!G820="","Other",IF('Statements (Raw)'!G820&gt;0,"Buy","Sell"))))))))))))))))))))))</f>
        <v/>
      </c>
      <c r="E822" s="6" t="str">
        <f t="shared" si="24"/>
        <v/>
      </c>
      <c r="F822" s="8" t="str">
        <f>IF(A822="","",IF('Statements (Raw)'!E820="","",'Statements (Raw)'!E820))</f>
        <v/>
      </c>
      <c r="G822" s="6" t="str">
        <f>IF(A822="","",IF('Statements (Raw)'!F820="","",'Statements (Raw)'!F820))</f>
        <v/>
      </c>
      <c r="H822" s="9" t="str">
        <f>IF(A822="","",IF('Statements (Raw)'!G820="","",'Statements (Raw)'!G820))</f>
        <v/>
      </c>
      <c r="I822" s="10" t="str">
        <f>IF(A822="","",IF('Statements (Raw)'!H820="","",'Statements (Raw)'!H820))</f>
        <v/>
      </c>
      <c r="J822" s="10">
        <f>IF(A822="",0,IF('Statements (Raw)'!I820="",0,'Statements (Raw)'!I820))</f>
        <v>0</v>
      </c>
      <c r="K822" s="10" t="str">
        <f t="shared" si="25"/>
        <v/>
      </c>
    </row>
    <row r="823" spans="1:11" x14ac:dyDescent="0.3">
      <c r="A823" s="171" t="str">
        <f>IF(OR('Statements (Raw)'!A821="",'Statements (Raw)'!A821&gt;Holdings!$G$3),"",'Statements (Raw)'!A821)</f>
        <v/>
      </c>
      <c r="B823" s="7" t="str">
        <f>IF(A823="","",IF('Statements (Raw)'!B821="","",'Statements (Raw)'!B821))</f>
        <v/>
      </c>
      <c r="C823" s="6" t="str">
        <f>IF(A823="","",IF('Statements (Raw)'!C821&lt;&gt;"",'Statements (Raw)'!C821,IF(ISNUMBER(SEARCH("Conferimento",'Statements (Raw)'!D821)),"CASH DEPOSIT",IF(ISNUMBER(SEARCH("Prelievo",'Statements (Raw)'!D821)),"CASH WITHDRAWAL",IF(ISNUMBER(SEARCH("Bollo",'Statements (Raw)'!D821)),"STAMP DUTY",IF(ISNUMBER(SEARCH("Tobin Tax",'Statements (Raw)'!D821)),"TOBIN TAX",IF(ISNUMBER(SEARCH("Rit.provento",'Statements (Raw)'!D821)),"WITHHOLDING TAX",IF(ISNUMBER(SEARCH("Incasso Dividendi",'Statements (Raw)'!D821)),"DIVIDEND",IF(ISNUMBER(SEARCH("Cedola",'Statements (Raw)'!D821)),"COUPON",IF(ISNUMBER(SEARCH("Ratei Pass",'Statements (Raw)'!D821)),"ACCRUED INT",IF(ISNUMBER(SEARCH("Interessi Prest",'Statements (Raw)'!D821)),"SEC LENDING",IF(ISNUMBER(SEARCH("Rimborso",'Statements (Raw)'!D821)),"REDEMPTION",IF(ISNUMBER(SEARCH("Provento",'Statements (Raw)'!D821)),"DISTRIBUTION","OTHER")))))))))))))</f>
        <v/>
      </c>
      <c r="D823" s="6" t="str">
        <f>IF(A823="","",IF(C823="Saldo Iniziale","Balance",IF(C823="CASH DEPOSIT","Deposit",IF(C823="CASH WITHDRAWAL","Withdrawal",IF(C823="STAMP DUTY","Tax",IF(C823="TOBIN TAX","Tax",IF(C823="WITHHOLDING TAX","Tax",IF(C823="DIVIDEND","Dividend",IF(C823="COUPON","Coupon",IF(C823="ACCRUED INT","Accrued Int.",IF(C823="SEC LENDING","Sec. Lending",IF(C823="REDEMPTION","Redemption",IF(C823="DISTRIBUTION","Distribution",IF(ISNUMBER(SEARCH("Rimborso",'Statements (Raw)'!D821)),"Redemption",IF(ISNUMBER(SEARCH("Cedola",'Statements (Raw)'!D821)),"Coupon",IF(ISNUMBER(SEARCH("Incasso Dividendi",'Statements (Raw)'!D821)),"Dividend",IF(ISNUMBER(SEARCH("Provento Etf",'Statements (Raw)'!D821)),"Distribution",IF(ISNUMBER(SEARCH("Rit.provento",'Statements (Raw)'!D821)),"Tax",IF(ISNUMBER(SEARCH("Ratei Pass",'Statements (Raw)'!D821)),"Accrued Int.",IF(ISNUMBER(SEARCH("Interessi Prest",'Statements (Raw)'!D821)),"Sec. Lending",IF('Statements (Raw)'!G821="","Other",IF('Statements (Raw)'!G821&gt;0,"Buy","Sell"))))))))))))))))))))))</f>
        <v/>
      </c>
      <c r="E823" s="6" t="str">
        <f t="shared" si="24"/>
        <v/>
      </c>
      <c r="F823" s="8" t="str">
        <f>IF(A823="","",IF('Statements (Raw)'!E821="","",'Statements (Raw)'!E821))</f>
        <v/>
      </c>
      <c r="G823" s="6" t="str">
        <f>IF(A823="","",IF('Statements (Raw)'!F821="","",'Statements (Raw)'!F821))</f>
        <v/>
      </c>
      <c r="H823" s="9" t="str">
        <f>IF(A823="","",IF('Statements (Raw)'!G821="","",'Statements (Raw)'!G821))</f>
        <v/>
      </c>
      <c r="I823" s="10" t="str">
        <f>IF(A823="","",IF('Statements (Raw)'!H821="","",'Statements (Raw)'!H821))</f>
        <v/>
      </c>
      <c r="J823" s="10">
        <f>IF(A823="",0,IF('Statements (Raw)'!I821="",0,'Statements (Raw)'!I821))</f>
        <v>0</v>
      </c>
      <c r="K823" s="10" t="str">
        <f t="shared" si="25"/>
        <v/>
      </c>
    </row>
    <row r="824" spans="1:11" x14ac:dyDescent="0.3">
      <c r="A824" s="171" t="str">
        <f>IF(OR('Statements (Raw)'!A822="",'Statements (Raw)'!A822&gt;Holdings!$G$3),"",'Statements (Raw)'!A822)</f>
        <v/>
      </c>
      <c r="B824" s="7" t="str">
        <f>IF(A824="","",IF('Statements (Raw)'!B822="","",'Statements (Raw)'!B822))</f>
        <v/>
      </c>
      <c r="C824" s="6" t="str">
        <f>IF(A824="","",IF('Statements (Raw)'!C822&lt;&gt;"",'Statements (Raw)'!C822,IF(ISNUMBER(SEARCH("Conferimento",'Statements (Raw)'!D822)),"CASH DEPOSIT",IF(ISNUMBER(SEARCH("Prelievo",'Statements (Raw)'!D822)),"CASH WITHDRAWAL",IF(ISNUMBER(SEARCH("Bollo",'Statements (Raw)'!D822)),"STAMP DUTY",IF(ISNUMBER(SEARCH("Tobin Tax",'Statements (Raw)'!D822)),"TOBIN TAX",IF(ISNUMBER(SEARCH("Rit.provento",'Statements (Raw)'!D822)),"WITHHOLDING TAX",IF(ISNUMBER(SEARCH("Incasso Dividendi",'Statements (Raw)'!D822)),"DIVIDEND",IF(ISNUMBER(SEARCH("Cedola",'Statements (Raw)'!D822)),"COUPON",IF(ISNUMBER(SEARCH("Ratei Pass",'Statements (Raw)'!D822)),"ACCRUED INT",IF(ISNUMBER(SEARCH("Interessi Prest",'Statements (Raw)'!D822)),"SEC LENDING",IF(ISNUMBER(SEARCH("Rimborso",'Statements (Raw)'!D822)),"REDEMPTION",IF(ISNUMBER(SEARCH("Provento",'Statements (Raw)'!D822)),"DISTRIBUTION","OTHER")))))))))))))</f>
        <v/>
      </c>
      <c r="D824" s="6" t="str">
        <f>IF(A824="","",IF(C824="Saldo Iniziale","Balance",IF(C824="CASH DEPOSIT","Deposit",IF(C824="CASH WITHDRAWAL","Withdrawal",IF(C824="STAMP DUTY","Tax",IF(C824="TOBIN TAX","Tax",IF(C824="WITHHOLDING TAX","Tax",IF(C824="DIVIDEND","Dividend",IF(C824="COUPON","Coupon",IF(C824="ACCRUED INT","Accrued Int.",IF(C824="SEC LENDING","Sec. Lending",IF(C824="REDEMPTION","Redemption",IF(C824="DISTRIBUTION","Distribution",IF(ISNUMBER(SEARCH("Rimborso",'Statements (Raw)'!D822)),"Redemption",IF(ISNUMBER(SEARCH("Cedola",'Statements (Raw)'!D822)),"Coupon",IF(ISNUMBER(SEARCH("Incasso Dividendi",'Statements (Raw)'!D822)),"Dividend",IF(ISNUMBER(SEARCH("Provento Etf",'Statements (Raw)'!D822)),"Distribution",IF(ISNUMBER(SEARCH("Rit.provento",'Statements (Raw)'!D822)),"Tax",IF(ISNUMBER(SEARCH("Ratei Pass",'Statements (Raw)'!D822)),"Accrued Int.",IF(ISNUMBER(SEARCH("Interessi Prest",'Statements (Raw)'!D822)),"Sec. Lending",IF('Statements (Raw)'!G822="","Other",IF('Statements (Raw)'!G822&gt;0,"Buy","Sell"))))))))))))))))))))))</f>
        <v/>
      </c>
      <c r="E824" s="6" t="str">
        <f t="shared" si="24"/>
        <v/>
      </c>
      <c r="F824" s="8" t="str">
        <f>IF(A824="","",IF('Statements (Raw)'!E822="","",'Statements (Raw)'!E822))</f>
        <v/>
      </c>
      <c r="G824" s="6" t="str">
        <f>IF(A824="","",IF('Statements (Raw)'!F822="","",'Statements (Raw)'!F822))</f>
        <v/>
      </c>
      <c r="H824" s="9" t="str">
        <f>IF(A824="","",IF('Statements (Raw)'!G822="","",'Statements (Raw)'!G822))</f>
        <v/>
      </c>
      <c r="I824" s="10" t="str">
        <f>IF(A824="","",IF('Statements (Raw)'!H822="","",'Statements (Raw)'!H822))</f>
        <v/>
      </c>
      <c r="J824" s="10">
        <f>IF(A824="",0,IF('Statements (Raw)'!I822="",0,'Statements (Raw)'!I822))</f>
        <v>0</v>
      </c>
      <c r="K824" s="10" t="str">
        <f t="shared" si="25"/>
        <v/>
      </c>
    </row>
    <row r="825" spans="1:11" x14ac:dyDescent="0.3">
      <c r="A825" s="171" t="str">
        <f>IF(OR('Statements (Raw)'!A823="",'Statements (Raw)'!A823&gt;Holdings!$G$3),"",'Statements (Raw)'!A823)</f>
        <v/>
      </c>
      <c r="B825" s="7" t="str">
        <f>IF(A825="","",IF('Statements (Raw)'!B823="","",'Statements (Raw)'!B823))</f>
        <v/>
      </c>
      <c r="C825" s="6" t="str">
        <f>IF(A825="","",IF('Statements (Raw)'!C823&lt;&gt;"",'Statements (Raw)'!C823,IF(ISNUMBER(SEARCH("Conferimento",'Statements (Raw)'!D823)),"CASH DEPOSIT",IF(ISNUMBER(SEARCH("Prelievo",'Statements (Raw)'!D823)),"CASH WITHDRAWAL",IF(ISNUMBER(SEARCH("Bollo",'Statements (Raw)'!D823)),"STAMP DUTY",IF(ISNUMBER(SEARCH("Tobin Tax",'Statements (Raw)'!D823)),"TOBIN TAX",IF(ISNUMBER(SEARCH("Rit.provento",'Statements (Raw)'!D823)),"WITHHOLDING TAX",IF(ISNUMBER(SEARCH("Incasso Dividendi",'Statements (Raw)'!D823)),"DIVIDEND",IF(ISNUMBER(SEARCH("Cedola",'Statements (Raw)'!D823)),"COUPON",IF(ISNUMBER(SEARCH("Ratei Pass",'Statements (Raw)'!D823)),"ACCRUED INT",IF(ISNUMBER(SEARCH("Interessi Prest",'Statements (Raw)'!D823)),"SEC LENDING",IF(ISNUMBER(SEARCH("Rimborso",'Statements (Raw)'!D823)),"REDEMPTION",IF(ISNUMBER(SEARCH("Provento",'Statements (Raw)'!D823)),"DISTRIBUTION","OTHER")))))))))))))</f>
        <v/>
      </c>
      <c r="D825" s="6" t="str">
        <f>IF(A825="","",IF(C825="Saldo Iniziale","Balance",IF(C825="CASH DEPOSIT","Deposit",IF(C825="CASH WITHDRAWAL","Withdrawal",IF(C825="STAMP DUTY","Tax",IF(C825="TOBIN TAX","Tax",IF(C825="WITHHOLDING TAX","Tax",IF(C825="DIVIDEND","Dividend",IF(C825="COUPON","Coupon",IF(C825="ACCRUED INT","Accrued Int.",IF(C825="SEC LENDING","Sec. Lending",IF(C825="REDEMPTION","Redemption",IF(C825="DISTRIBUTION","Distribution",IF(ISNUMBER(SEARCH("Rimborso",'Statements (Raw)'!D823)),"Redemption",IF(ISNUMBER(SEARCH("Cedola",'Statements (Raw)'!D823)),"Coupon",IF(ISNUMBER(SEARCH("Incasso Dividendi",'Statements (Raw)'!D823)),"Dividend",IF(ISNUMBER(SEARCH("Provento Etf",'Statements (Raw)'!D823)),"Distribution",IF(ISNUMBER(SEARCH("Rit.provento",'Statements (Raw)'!D823)),"Tax",IF(ISNUMBER(SEARCH("Ratei Pass",'Statements (Raw)'!D823)),"Accrued Int.",IF(ISNUMBER(SEARCH("Interessi Prest",'Statements (Raw)'!D823)),"Sec. Lending",IF('Statements (Raw)'!G823="","Other",IF('Statements (Raw)'!G823&gt;0,"Buy","Sell"))))))))))))))))))))))</f>
        <v/>
      </c>
      <c r="E825" s="6" t="str">
        <f t="shared" si="24"/>
        <v/>
      </c>
      <c r="F825" s="8" t="str">
        <f>IF(A825="","",IF('Statements (Raw)'!E823="","",'Statements (Raw)'!E823))</f>
        <v/>
      </c>
      <c r="G825" s="6" t="str">
        <f>IF(A825="","",IF('Statements (Raw)'!F823="","",'Statements (Raw)'!F823))</f>
        <v/>
      </c>
      <c r="H825" s="9" t="str">
        <f>IF(A825="","",IF('Statements (Raw)'!G823="","",'Statements (Raw)'!G823))</f>
        <v/>
      </c>
      <c r="I825" s="10" t="str">
        <f>IF(A825="","",IF('Statements (Raw)'!H823="","",'Statements (Raw)'!H823))</f>
        <v/>
      </c>
      <c r="J825" s="10">
        <f>IF(A825="",0,IF('Statements (Raw)'!I823="",0,'Statements (Raw)'!I823))</f>
        <v>0</v>
      </c>
      <c r="K825" s="10" t="str">
        <f t="shared" si="25"/>
        <v/>
      </c>
    </row>
    <row r="826" spans="1:11" x14ac:dyDescent="0.3">
      <c r="A826" s="171" t="str">
        <f>IF(OR('Statements (Raw)'!A824="",'Statements (Raw)'!A824&gt;Holdings!$G$3),"",'Statements (Raw)'!A824)</f>
        <v/>
      </c>
      <c r="B826" s="7" t="str">
        <f>IF(A826="","",IF('Statements (Raw)'!B824="","",'Statements (Raw)'!B824))</f>
        <v/>
      </c>
      <c r="C826" s="6" t="str">
        <f>IF(A826="","",IF('Statements (Raw)'!C824&lt;&gt;"",'Statements (Raw)'!C824,IF(ISNUMBER(SEARCH("Conferimento",'Statements (Raw)'!D824)),"CASH DEPOSIT",IF(ISNUMBER(SEARCH("Prelievo",'Statements (Raw)'!D824)),"CASH WITHDRAWAL",IF(ISNUMBER(SEARCH("Bollo",'Statements (Raw)'!D824)),"STAMP DUTY",IF(ISNUMBER(SEARCH("Tobin Tax",'Statements (Raw)'!D824)),"TOBIN TAX",IF(ISNUMBER(SEARCH("Rit.provento",'Statements (Raw)'!D824)),"WITHHOLDING TAX",IF(ISNUMBER(SEARCH("Incasso Dividendi",'Statements (Raw)'!D824)),"DIVIDEND",IF(ISNUMBER(SEARCH("Cedola",'Statements (Raw)'!D824)),"COUPON",IF(ISNUMBER(SEARCH("Ratei Pass",'Statements (Raw)'!D824)),"ACCRUED INT",IF(ISNUMBER(SEARCH("Interessi Prest",'Statements (Raw)'!D824)),"SEC LENDING",IF(ISNUMBER(SEARCH("Rimborso",'Statements (Raw)'!D824)),"REDEMPTION",IF(ISNUMBER(SEARCH("Provento",'Statements (Raw)'!D824)),"DISTRIBUTION","OTHER")))))))))))))</f>
        <v/>
      </c>
      <c r="D826" s="6" t="str">
        <f>IF(A826="","",IF(C826="Saldo Iniziale","Balance",IF(C826="CASH DEPOSIT","Deposit",IF(C826="CASH WITHDRAWAL","Withdrawal",IF(C826="STAMP DUTY","Tax",IF(C826="TOBIN TAX","Tax",IF(C826="WITHHOLDING TAX","Tax",IF(C826="DIVIDEND","Dividend",IF(C826="COUPON","Coupon",IF(C826="ACCRUED INT","Accrued Int.",IF(C826="SEC LENDING","Sec. Lending",IF(C826="REDEMPTION","Redemption",IF(C826="DISTRIBUTION","Distribution",IF(ISNUMBER(SEARCH("Rimborso",'Statements (Raw)'!D824)),"Redemption",IF(ISNUMBER(SEARCH("Cedola",'Statements (Raw)'!D824)),"Coupon",IF(ISNUMBER(SEARCH("Incasso Dividendi",'Statements (Raw)'!D824)),"Dividend",IF(ISNUMBER(SEARCH("Provento Etf",'Statements (Raw)'!D824)),"Distribution",IF(ISNUMBER(SEARCH("Rit.provento",'Statements (Raw)'!D824)),"Tax",IF(ISNUMBER(SEARCH("Ratei Pass",'Statements (Raw)'!D824)),"Accrued Int.",IF(ISNUMBER(SEARCH("Interessi Prest",'Statements (Raw)'!D824)),"Sec. Lending",IF('Statements (Raw)'!G824="","Other",IF('Statements (Raw)'!G824&gt;0,"Buy","Sell"))))))))))))))))))))))</f>
        <v/>
      </c>
      <c r="E826" s="6" t="str">
        <f t="shared" si="24"/>
        <v/>
      </c>
      <c r="F826" s="8" t="str">
        <f>IF(A826="","",IF('Statements (Raw)'!E824="","",'Statements (Raw)'!E824))</f>
        <v/>
      </c>
      <c r="G826" s="6" t="str">
        <f>IF(A826="","",IF('Statements (Raw)'!F824="","",'Statements (Raw)'!F824))</f>
        <v/>
      </c>
      <c r="H826" s="9" t="str">
        <f>IF(A826="","",IF('Statements (Raw)'!G824="","",'Statements (Raw)'!G824))</f>
        <v/>
      </c>
      <c r="I826" s="10" t="str">
        <f>IF(A826="","",IF('Statements (Raw)'!H824="","",'Statements (Raw)'!H824))</f>
        <v/>
      </c>
      <c r="J826" s="10">
        <f>IF(A826="",0,IF('Statements (Raw)'!I824="",0,'Statements (Raw)'!I824))</f>
        <v>0</v>
      </c>
      <c r="K826" s="10" t="str">
        <f t="shared" si="25"/>
        <v/>
      </c>
    </row>
    <row r="827" spans="1:11" x14ac:dyDescent="0.3">
      <c r="A827" s="171" t="str">
        <f>IF(OR('Statements (Raw)'!A825="",'Statements (Raw)'!A825&gt;Holdings!$G$3),"",'Statements (Raw)'!A825)</f>
        <v/>
      </c>
      <c r="B827" s="7" t="str">
        <f>IF(A827="","",IF('Statements (Raw)'!B825="","",'Statements (Raw)'!B825))</f>
        <v/>
      </c>
      <c r="C827" s="6" t="str">
        <f>IF(A827="","",IF('Statements (Raw)'!C825&lt;&gt;"",'Statements (Raw)'!C825,IF(ISNUMBER(SEARCH("Conferimento",'Statements (Raw)'!D825)),"CASH DEPOSIT",IF(ISNUMBER(SEARCH("Prelievo",'Statements (Raw)'!D825)),"CASH WITHDRAWAL",IF(ISNUMBER(SEARCH("Bollo",'Statements (Raw)'!D825)),"STAMP DUTY",IF(ISNUMBER(SEARCH("Tobin Tax",'Statements (Raw)'!D825)),"TOBIN TAX",IF(ISNUMBER(SEARCH("Rit.provento",'Statements (Raw)'!D825)),"WITHHOLDING TAX",IF(ISNUMBER(SEARCH("Incasso Dividendi",'Statements (Raw)'!D825)),"DIVIDEND",IF(ISNUMBER(SEARCH("Cedola",'Statements (Raw)'!D825)),"COUPON",IF(ISNUMBER(SEARCH("Ratei Pass",'Statements (Raw)'!D825)),"ACCRUED INT",IF(ISNUMBER(SEARCH("Interessi Prest",'Statements (Raw)'!D825)),"SEC LENDING",IF(ISNUMBER(SEARCH("Rimborso",'Statements (Raw)'!D825)),"REDEMPTION",IF(ISNUMBER(SEARCH("Provento",'Statements (Raw)'!D825)),"DISTRIBUTION","OTHER")))))))))))))</f>
        <v/>
      </c>
      <c r="D827" s="6" t="str">
        <f>IF(A827="","",IF(C827="Saldo Iniziale","Balance",IF(C827="CASH DEPOSIT","Deposit",IF(C827="CASH WITHDRAWAL","Withdrawal",IF(C827="STAMP DUTY","Tax",IF(C827="TOBIN TAX","Tax",IF(C827="WITHHOLDING TAX","Tax",IF(C827="DIVIDEND","Dividend",IF(C827="COUPON","Coupon",IF(C827="ACCRUED INT","Accrued Int.",IF(C827="SEC LENDING","Sec. Lending",IF(C827="REDEMPTION","Redemption",IF(C827="DISTRIBUTION","Distribution",IF(ISNUMBER(SEARCH("Rimborso",'Statements (Raw)'!D825)),"Redemption",IF(ISNUMBER(SEARCH("Cedola",'Statements (Raw)'!D825)),"Coupon",IF(ISNUMBER(SEARCH("Incasso Dividendi",'Statements (Raw)'!D825)),"Dividend",IF(ISNUMBER(SEARCH("Provento Etf",'Statements (Raw)'!D825)),"Distribution",IF(ISNUMBER(SEARCH("Rit.provento",'Statements (Raw)'!D825)),"Tax",IF(ISNUMBER(SEARCH("Ratei Pass",'Statements (Raw)'!D825)),"Accrued Int.",IF(ISNUMBER(SEARCH("Interessi Prest",'Statements (Raw)'!D825)),"Sec. Lending",IF('Statements (Raw)'!G825="","Other",IF('Statements (Raw)'!G825&gt;0,"Buy","Sell"))))))))))))))))))))))</f>
        <v/>
      </c>
      <c r="E827" s="6" t="str">
        <f t="shared" si="24"/>
        <v/>
      </c>
      <c r="F827" s="8" t="str">
        <f>IF(A827="","",IF('Statements (Raw)'!E825="","",'Statements (Raw)'!E825))</f>
        <v/>
      </c>
      <c r="G827" s="6" t="str">
        <f>IF(A827="","",IF('Statements (Raw)'!F825="","",'Statements (Raw)'!F825))</f>
        <v/>
      </c>
      <c r="H827" s="9" t="str">
        <f>IF(A827="","",IF('Statements (Raw)'!G825="","",'Statements (Raw)'!G825))</f>
        <v/>
      </c>
      <c r="I827" s="10" t="str">
        <f>IF(A827="","",IF('Statements (Raw)'!H825="","",'Statements (Raw)'!H825))</f>
        <v/>
      </c>
      <c r="J827" s="10">
        <f>IF(A827="",0,IF('Statements (Raw)'!I825="",0,'Statements (Raw)'!I825))</f>
        <v>0</v>
      </c>
      <c r="K827" s="10" t="str">
        <f t="shared" si="25"/>
        <v/>
      </c>
    </row>
    <row r="828" spans="1:11" x14ac:dyDescent="0.3">
      <c r="A828" s="171" t="str">
        <f>IF(OR('Statements (Raw)'!A826="",'Statements (Raw)'!A826&gt;Holdings!$G$3),"",'Statements (Raw)'!A826)</f>
        <v/>
      </c>
      <c r="B828" s="7" t="str">
        <f>IF(A828="","",IF('Statements (Raw)'!B826="","",'Statements (Raw)'!B826))</f>
        <v/>
      </c>
      <c r="C828" s="6" t="str">
        <f>IF(A828="","",IF('Statements (Raw)'!C826&lt;&gt;"",'Statements (Raw)'!C826,IF(ISNUMBER(SEARCH("Conferimento",'Statements (Raw)'!D826)),"CASH DEPOSIT",IF(ISNUMBER(SEARCH("Prelievo",'Statements (Raw)'!D826)),"CASH WITHDRAWAL",IF(ISNUMBER(SEARCH("Bollo",'Statements (Raw)'!D826)),"STAMP DUTY",IF(ISNUMBER(SEARCH("Tobin Tax",'Statements (Raw)'!D826)),"TOBIN TAX",IF(ISNUMBER(SEARCH("Rit.provento",'Statements (Raw)'!D826)),"WITHHOLDING TAX",IF(ISNUMBER(SEARCH("Incasso Dividendi",'Statements (Raw)'!D826)),"DIVIDEND",IF(ISNUMBER(SEARCH("Cedola",'Statements (Raw)'!D826)),"COUPON",IF(ISNUMBER(SEARCH("Ratei Pass",'Statements (Raw)'!D826)),"ACCRUED INT",IF(ISNUMBER(SEARCH("Interessi Prest",'Statements (Raw)'!D826)),"SEC LENDING",IF(ISNUMBER(SEARCH("Rimborso",'Statements (Raw)'!D826)),"REDEMPTION",IF(ISNUMBER(SEARCH("Provento",'Statements (Raw)'!D826)),"DISTRIBUTION","OTHER")))))))))))))</f>
        <v/>
      </c>
      <c r="D828" s="6" t="str">
        <f>IF(A828="","",IF(C828="Saldo Iniziale","Balance",IF(C828="CASH DEPOSIT","Deposit",IF(C828="CASH WITHDRAWAL","Withdrawal",IF(C828="STAMP DUTY","Tax",IF(C828="TOBIN TAX","Tax",IF(C828="WITHHOLDING TAX","Tax",IF(C828="DIVIDEND","Dividend",IF(C828="COUPON","Coupon",IF(C828="ACCRUED INT","Accrued Int.",IF(C828="SEC LENDING","Sec. Lending",IF(C828="REDEMPTION","Redemption",IF(C828="DISTRIBUTION","Distribution",IF(ISNUMBER(SEARCH("Rimborso",'Statements (Raw)'!D826)),"Redemption",IF(ISNUMBER(SEARCH("Cedola",'Statements (Raw)'!D826)),"Coupon",IF(ISNUMBER(SEARCH("Incasso Dividendi",'Statements (Raw)'!D826)),"Dividend",IF(ISNUMBER(SEARCH("Provento Etf",'Statements (Raw)'!D826)),"Distribution",IF(ISNUMBER(SEARCH("Rit.provento",'Statements (Raw)'!D826)),"Tax",IF(ISNUMBER(SEARCH("Ratei Pass",'Statements (Raw)'!D826)),"Accrued Int.",IF(ISNUMBER(SEARCH("Interessi Prest",'Statements (Raw)'!D826)),"Sec. Lending",IF('Statements (Raw)'!G826="","Other",IF('Statements (Raw)'!G826&gt;0,"Buy","Sell"))))))))))))))))))))))</f>
        <v/>
      </c>
      <c r="E828" s="6" t="str">
        <f t="shared" si="24"/>
        <v/>
      </c>
      <c r="F828" s="8" t="str">
        <f>IF(A828="","",IF('Statements (Raw)'!E826="","",'Statements (Raw)'!E826))</f>
        <v/>
      </c>
      <c r="G828" s="6" t="str">
        <f>IF(A828="","",IF('Statements (Raw)'!F826="","",'Statements (Raw)'!F826))</f>
        <v/>
      </c>
      <c r="H828" s="9" t="str">
        <f>IF(A828="","",IF('Statements (Raw)'!G826="","",'Statements (Raw)'!G826))</f>
        <v/>
      </c>
      <c r="I828" s="10" t="str">
        <f>IF(A828="","",IF('Statements (Raw)'!H826="","",'Statements (Raw)'!H826))</f>
        <v/>
      </c>
      <c r="J828" s="10">
        <f>IF(A828="",0,IF('Statements (Raw)'!I826="",0,'Statements (Raw)'!I826))</f>
        <v>0</v>
      </c>
      <c r="K828" s="10" t="str">
        <f t="shared" si="25"/>
        <v/>
      </c>
    </row>
    <row r="829" spans="1:11" x14ac:dyDescent="0.3">
      <c r="A829" s="171" t="str">
        <f>IF(OR('Statements (Raw)'!A827="",'Statements (Raw)'!A827&gt;Holdings!$G$3),"",'Statements (Raw)'!A827)</f>
        <v/>
      </c>
      <c r="B829" s="7" t="str">
        <f>IF(A829="","",IF('Statements (Raw)'!B827="","",'Statements (Raw)'!B827))</f>
        <v/>
      </c>
      <c r="C829" s="6" t="str">
        <f>IF(A829="","",IF('Statements (Raw)'!C827&lt;&gt;"",'Statements (Raw)'!C827,IF(ISNUMBER(SEARCH("Conferimento",'Statements (Raw)'!D827)),"CASH DEPOSIT",IF(ISNUMBER(SEARCH("Prelievo",'Statements (Raw)'!D827)),"CASH WITHDRAWAL",IF(ISNUMBER(SEARCH("Bollo",'Statements (Raw)'!D827)),"STAMP DUTY",IF(ISNUMBER(SEARCH("Tobin Tax",'Statements (Raw)'!D827)),"TOBIN TAX",IF(ISNUMBER(SEARCH("Rit.provento",'Statements (Raw)'!D827)),"WITHHOLDING TAX",IF(ISNUMBER(SEARCH("Incasso Dividendi",'Statements (Raw)'!D827)),"DIVIDEND",IF(ISNUMBER(SEARCH("Cedola",'Statements (Raw)'!D827)),"COUPON",IF(ISNUMBER(SEARCH("Ratei Pass",'Statements (Raw)'!D827)),"ACCRUED INT",IF(ISNUMBER(SEARCH("Interessi Prest",'Statements (Raw)'!D827)),"SEC LENDING",IF(ISNUMBER(SEARCH("Rimborso",'Statements (Raw)'!D827)),"REDEMPTION",IF(ISNUMBER(SEARCH("Provento",'Statements (Raw)'!D827)),"DISTRIBUTION","OTHER")))))))))))))</f>
        <v/>
      </c>
      <c r="D829" s="6" t="str">
        <f>IF(A829="","",IF(C829="Saldo Iniziale","Balance",IF(C829="CASH DEPOSIT","Deposit",IF(C829="CASH WITHDRAWAL","Withdrawal",IF(C829="STAMP DUTY","Tax",IF(C829="TOBIN TAX","Tax",IF(C829="WITHHOLDING TAX","Tax",IF(C829="DIVIDEND","Dividend",IF(C829="COUPON","Coupon",IF(C829="ACCRUED INT","Accrued Int.",IF(C829="SEC LENDING","Sec. Lending",IF(C829="REDEMPTION","Redemption",IF(C829="DISTRIBUTION","Distribution",IF(ISNUMBER(SEARCH("Rimborso",'Statements (Raw)'!D827)),"Redemption",IF(ISNUMBER(SEARCH("Cedola",'Statements (Raw)'!D827)),"Coupon",IF(ISNUMBER(SEARCH("Incasso Dividendi",'Statements (Raw)'!D827)),"Dividend",IF(ISNUMBER(SEARCH("Provento Etf",'Statements (Raw)'!D827)),"Distribution",IF(ISNUMBER(SEARCH("Rit.provento",'Statements (Raw)'!D827)),"Tax",IF(ISNUMBER(SEARCH("Ratei Pass",'Statements (Raw)'!D827)),"Accrued Int.",IF(ISNUMBER(SEARCH("Interessi Prest",'Statements (Raw)'!D827)),"Sec. Lending",IF('Statements (Raw)'!G827="","Other",IF('Statements (Raw)'!G827&gt;0,"Buy","Sell"))))))))))))))))))))))</f>
        <v/>
      </c>
      <c r="E829" s="6" t="str">
        <f t="shared" si="24"/>
        <v/>
      </c>
      <c r="F829" s="8" t="str">
        <f>IF(A829="","",IF('Statements (Raw)'!E827="","",'Statements (Raw)'!E827))</f>
        <v/>
      </c>
      <c r="G829" s="6" t="str">
        <f>IF(A829="","",IF('Statements (Raw)'!F827="","",'Statements (Raw)'!F827))</f>
        <v/>
      </c>
      <c r="H829" s="9" t="str">
        <f>IF(A829="","",IF('Statements (Raw)'!G827="","",'Statements (Raw)'!G827))</f>
        <v/>
      </c>
      <c r="I829" s="10" t="str">
        <f>IF(A829="","",IF('Statements (Raw)'!H827="","",'Statements (Raw)'!H827))</f>
        <v/>
      </c>
      <c r="J829" s="10">
        <f>IF(A829="",0,IF('Statements (Raw)'!I827="",0,'Statements (Raw)'!I827))</f>
        <v>0</v>
      </c>
      <c r="K829" s="10" t="str">
        <f t="shared" si="25"/>
        <v/>
      </c>
    </row>
    <row r="830" spans="1:11" x14ac:dyDescent="0.3">
      <c r="A830" s="171" t="str">
        <f>IF(OR('Statements (Raw)'!A828="",'Statements (Raw)'!A828&gt;Holdings!$G$3),"",'Statements (Raw)'!A828)</f>
        <v/>
      </c>
      <c r="B830" s="7" t="str">
        <f>IF(A830="","",IF('Statements (Raw)'!B828="","",'Statements (Raw)'!B828))</f>
        <v/>
      </c>
      <c r="C830" s="6" t="str">
        <f>IF(A830="","",IF('Statements (Raw)'!C828&lt;&gt;"",'Statements (Raw)'!C828,IF(ISNUMBER(SEARCH("Conferimento",'Statements (Raw)'!D828)),"CASH DEPOSIT",IF(ISNUMBER(SEARCH("Prelievo",'Statements (Raw)'!D828)),"CASH WITHDRAWAL",IF(ISNUMBER(SEARCH("Bollo",'Statements (Raw)'!D828)),"STAMP DUTY",IF(ISNUMBER(SEARCH("Tobin Tax",'Statements (Raw)'!D828)),"TOBIN TAX",IF(ISNUMBER(SEARCH("Rit.provento",'Statements (Raw)'!D828)),"WITHHOLDING TAX",IF(ISNUMBER(SEARCH("Incasso Dividendi",'Statements (Raw)'!D828)),"DIVIDEND",IF(ISNUMBER(SEARCH("Cedola",'Statements (Raw)'!D828)),"COUPON",IF(ISNUMBER(SEARCH("Ratei Pass",'Statements (Raw)'!D828)),"ACCRUED INT",IF(ISNUMBER(SEARCH("Interessi Prest",'Statements (Raw)'!D828)),"SEC LENDING",IF(ISNUMBER(SEARCH("Rimborso",'Statements (Raw)'!D828)),"REDEMPTION",IF(ISNUMBER(SEARCH("Provento",'Statements (Raw)'!D828)),"DISTRIBUTION","OTHER")))))))))))))</f>
        <v/>
      </c>
      <c r="D830" s="6" t="str">
        <f>IF(A830="","",IF(C830="Saldo Iniziale","Balance",IF(C830="CASH DEPOSIT","Deposit",IF(C830="CASH WITHDRAWAL","Withdrawal",IF(C830="STAMP DUTY","Tax",IF(C830="TOBIN TAX","Tax",IF(C830="WITHHOLDING TAX","Tax",IF(C830="DIVIDEND","Dividend",IF(C830="COUPON","Coupon",IF(C830="ACCRUED INT","Accrued Int.",IF(C830="SEC LENDING","Sec. Lending",IF(C830="REDEMPTION","Redemption",IF(C830="DISTRIBUTION","Distribution",IF(ISNUMBER(SEARCH("Rimborso",'Statements (Raw)'!D828)),"Redemption",IF(ISNUMBER(SEARCH("Cedola",'Statements (Raw)'!D828)),"Coupon",IF(ISNUMBER(SEARCH("Incasso Dividendi",'Statements (Raw)'!D828)),"Dividend",IF(ISNUMBER(SEARCH("Provento Etf",'Statements (Raw)'!D828)),"Distribution",IF(ISNUMBER(SEARCH("Rit.provento",'Statements (Raw)'!D828)),"Tax",IF(ISNUMBER(SEARCH("Ratei Pass",'Statements (Raw)'!D828)),"Accrued Int.",IF(ISNUMBER(SEARCH("Interessi Prest",'Statements (Raw)'!D828)),"Sec. Lending",IF('Statements (Raw)'!G828="","Other",IF('Statements (Raw)'!G828&gt;0,"Buy","Sell"))))))))))))))))))))))</f>
        <v/>
      </c>
      <c r="E830" s="6" t="str">
        <f t="shared" si="24"/>
        <v/>
      </c>
      <c r="F830" s="8" t="str">
        <f>IF(A830="","",IF('Statements (Raw)'!E828="","",'Statements (Raw)'!E828))</f>
        <v/>
      </c>
      <c r="G830" s="6" t="str">
        <f>IF(A830="","",IF('Statements (Raw)'!F828="","",'Statements (Raw)'!F828))</f>
        <v/>
      </c>
      <c r="H830" s="9" t="str">
        <f>IF(A830="","",IF('Statements (Raw)'!G828="","",'Statements (Raw)'!G828))</f>
        <v/>
      </c>
      <c r="I830" s="10" t="str">
        <f>IF(A830="","",IF('Statements (Raw)'!H828="","",'Statements (Raw)'!H828))</f>
        <v/>
      </c>
      <c r="J830" s="10">
        <f>IF(A830="",0,IF('Statements (Raw)'!I828="",0,'Statements (Raw)'!I828))</f>
        <v>0</v>
      </c>
      <c r="K830" s="10" t="str">
        <f t="shared" si="25"/>
        <v/>
      </c>
    </row>
    <row r="831" spans="1:11" x14ac:dyDescent="0.3">
      <c r="A831" s="171" t="str">
        <f>IF(OR('Statements (Raw)'!A829="",'Statements (Raw)'!A829&gt;Holdings!$G$3),"",'Statements (Raw)'!A829)</f>
        <v/>
      </c>
      <c r="B831" s="7" t="str">
        <f>IF(A831="","",IF('Statements (Raw)'!B829="","",'Statements (Raw)'!B829))</f>
        <v/>
      </c>
      <c r="C831" s="6" t="str">
        <f>IF(A831="","",IF('Statements (Raw)'!C829&lt;&gt;"",'Statements (Raw)'!C829,IF(ISNUMBER(SEARCH("Conferimento",'Statements (Raw)'!D829)),"CASH DEPOSIT",IF(ISNUMBER(SEARCH("Prelievo",'Statements (Raw)'!D829)),"CASH WITHDRAWAL",IF(ISNUMBER(SEARCH("Bollo",'Statements (Raw)'!D829)),"STAMP DUTY",IF(ISNUMBER(SEARCH("Tobin Tax",'Statements (Raw)'!D829)),"TOBIN TAX",IF(ISNUMBER(SEARCH("Rit.provento",'Statements (Raw)'!D829)),"WITHHOLDING TAX",IF(ISNUMBER(SEARCH("Incasso Dividendi",'Statements (Raw)'!D829)),"DIVIDEND",IF(ISNUMBER(SEARCH("Cedola",'Statements (Raw)'!D829)),"COUPON",IF(ISNUMBER(SEARCH("Ratei Pass",'Statements (Raw)'!D829)),"ACCRUED INT",IF(ISNUMBER(SEARCH("Interessi Prest",'Statements (Raw)'!D829)),"SEC LENDING",IF(ISNUMBER(SEARCH("Rimborso",'Statements (Raw)'!D829)),"REDEMPTION",IF(ISNUMBER(SEARCH("Provento",'Statements (Raw)'!D829)),"DISTRIBUTION","OTHER")))))))))))))</f>
        <v/>
      </c>
      <c r="D831" s="6" t="str">
        <f>IF(A831="","",IF(C831="Saldo Iniziale","Balance",IF(C831="CASH DEPOSIT","Deposit",IF(C831="CASH WITHDRAWAL","Withdrawal",IF(C831="STAMP DUTY","Tax",IF(C831="TOBIN TAX","Tax",IF(C831="WITHHOLDING TAX","Tax",IF(C831="DIVIDEND","Dividend",IF(C831="COUPON","Coupon",IF(C831="ACCRUED INT","Accrued Int.",IF(C831="SEC LENDING","Sec. Lending",IF(C831="REDEMPTION","Redemption",IF(C831="DISTRIBUTION","Distribution",IF(ISNUMBER(SEARCH("Rimborso",'Statements (Raw)'!D829)),"Redemption",IF(ISNUMBER(SEARCH("Cedola",'Statements (Raw)'!D829)),"Coupon",IF(ISNUMBER(SEARCH("Incasso Dividendi",'Statements (Raw)'!D829)),"Dividend",IF(ISNUMBER(SEARCH("Provento Etf",'Statements (Raw)'!D829)),"Distribution",IF(ISNUMBER(SEARCH("Rit.provento",'Statements (Raw)'!D829)),"Tax",IF(ISNUMBER(SEARCH("Ratei Pass",'Statements (Raw)'!D829)),"Accrued Int.",IF(ISNUMBER(SEARCH("Interessi Prest",'Statements (Raw)'!D829)),"Sec. Lending",IF('Statements (Raw)'!G829="","Other",IF('Statements (Raw)'!G829&gt;0,"Buy","Sell"))))))))))))))))))))))</f>
        <v/>
      </c>
      <c r="E831" s="6" t="str">
        <f t="shared" si="24"/>
        <v/>
      </c>
      <c r="F831" s="8" t="str">
        <f>IF(A831="","",IF('Statements (Raw)'!E829="","",'Statements (Raw)'!E829))</f>
        <v/>
      </c>
      <c r="G831" s="6" t="str">
        <f>IF(A831="","",IF('Statements (Raw)'!F829="","",'Statements (Raw)'!F829))</f>
        <v/>
      </c>
      <c r="H831" s="9" t="str">
        <f>IF(A831="","",IF('Statements (Raw)'!G829="","",'Statements (Raw)'!G829))</f>
        <v/>
      </c>
      <c r="I831" s="10" t="str">
        <f>IF(A831="","",IF('Statements (Raw)'!H829="","",'Statements (Raw)'!H829))</f>
        <v/>
      </c>
      <c r="J831" s="10">
        <f>IF(A831="",0,IF('Statements (Raw)'!I829="",0,'Statements (Raw)'!I829))</f>
        <v>0</v>
      </c>
      <c r="K831" s="10" t="str">
        <f t="shared" si="25"/>
        <v/>
      </c>
    </row>
    <row r="832" spans="1:11" x14ac:dyDescent="0.3">
      <c r="A832" s="171" t="str">
        <f>IF(OR('Statements (Raw)'!A830="",'Statements (Raw)'!A830&gt;Holdings!$G$3),"",'Statements (Raw)'!A830)</f>
        <v/>
      </c>
      <c r="B832" s="7" t="str">
        <f>IF(A832="","",IF('Statements (Raw)'!B830="","",'Statements (Raw)'!B830))</f>
        <v/>
      </c>
      <c r="C832" s="6" t="str">
        <f>IF(A832="","",IF('Statements (Raw)'!C830&lt;&gt;"",'Statements (Raw)'!C830,IF(ISNUMBER(SEARCH("Conferimento",'Statements (Raw)'!D830)),"CASH DEPOSIT",IF(ISNUMBER(SEARCH("Prelievo",'Statements (Raw)'!D830)),"CASH WITHDRAWAL",IF(ISNUMBER(SEARCH("Bollo",'Statements (Raw)'!D830)),"STAMP DUTY",IF(ISNUMBER(SEARCH("Tobin Tax",'Statements (Raw)'!D830)),"TOBIN TAX",IF(ISNUMBER(SEARCH("Rit.provento",'Statements (Raw)'!D830)),"WITHHOLDING TAX",IF(ISNUMBER(SEARCH("Incasso Dividendi",'Statements (Raw)'!D830)),"DIVIDEND",IF(ISNUMBER(SEARCH("Cedola",'Statements (Raw)'!D830)),"COUPON",IF(ISNUMBER(SEARCH("Ratei Pass",'Statements (Raw)'!D830)),"ACCRUED INT",IF(ISNUMBER(SEARCH("Interessi Prest",'Statements (Raw)'!D830)),"SEC LENDING",IF(ISNUMBER(SEARCH("Rimborso",'Statements (Raw)'!D830)),"REDEMPTION",IF(ISNUMBER(SEARCH("Provento",'Statements (Raw)'!D830)),"DISTRIBUTION","OTHER")))))))))))))</f>
        <v/>
      </c>
      <c r="D832" s="6" t="str">
        <f>IF(A832="","",IF(C832="Saldo Iniziale","Balance",IF(C832="CASH DEPOSIT","Deposit",IF(C832="CASH WITHDRAWAL","Withdrawal",IF(C832="STAMP DUTY","Tax",IF(C832="TOBIN TAX","Tax",IF(C832="WITHHOLDING TAX","Tax",IF(C832="DIVIDEND","Dividend",IF(C832="COUPON","Coupon",IF(C832="ACCRUED INT","Accrued Int.",IF(C832="SEC LENDING","Sec. Lending",IF(C832="REDEMPTION","Redemption",IF(C832="DISTRIBUTION","Distribution",IF(ISNUMBER(SEARCH("Rimborso",'Statements (Raw)'!D830)),"Redemption",IF(ISNUMBER(SEARCH("Cedola",'Statements (Raw)'!D830)),"Coupon",IF(ISNUMBER(SEARCH("Incasso Dividendi",'Statements (Raw)'!D830)),"Dividend",IF(ISNUMBER(SEARCH("Provento Etf",'Statements (Raw)'!D830)),"Distribution",IF(ISNUMBER(SEARCH("Rit.provento",'Statements (Raw)'!D830)),"Tax",IF(ISNUMBER(SEARCH("Ratei Pass",'Statements (Raw)'!D830)),"Accrued Int.",IF(ISNUMBER(SEARCH("Interessi Prest",'Statements (Raw)'!D830)),"Sec. Lending",IF('Statements (Raw)'!G830="","Other",IF('Statements (Raw)'!G830&gt;0,"Buy","Sell"))))))))))))))))))))))</f>
        <v/>
      </c>
      <c r="E832" s="6" t="str">
        <f t="shared" si="24"/>
        <v/>
      </c>
      <c r="F832" s="8" t="str">
        <f>IF(A832="","",IF('Statements (Raw)'!E830="","",'Statements (Raw)'!E830))</f>
        <v/>
      </c>
      <c r="G832" s="6" t="str">
        <f>IF(A832="","",IF('Statements (Raw)'!F830="","",'Statements (Raw)'!F830))</f>
        <v/>
      </c>
      <c r="H832" s="9" t="str">
        <f>IF(A832="","",IF('Statements (Raw)'!G830="","",'Statements (Raw)'!G830))</f>
        <v/>
      </c>
      <c r="I832" s="10" t="str">
        <f>IF(A832="","",IF('Statements (Raw)'!H830="","",'Statements (Raw)'!H830))</f>
        <v/>
      </c>
      <c r="J832" s="10">
        <f>IF(A832="",0,IF('Statements (Raw)'!I830="",0,'Statements (Raw)'!I830))</f>
        <v>0</v>
      </c>
      <c r="K832" s="10" t="str">
        <f t="shared" si="25"/>
        <v/>
      </c>
    </row>
    <row r="833" spans="1:11" x14ac:dyDescent="0.3">
      <c r="A833" s="171" t="str">
        <f>IF(OR('Statements (Raw)'!A831="",'Statements (Raw)'!A831&gt;Holdings!$G$3),"",'Statements (Raw)'!A831)</f>
        <v/>
      </c>
      <c r="B833" s="7" t="str">
        <f>IF(A833="","",IF('Statements (Raw)'!B831="","",'Statements (Raw)'!B831))</f>
        <v/>
      </c>
      <c r="C833" s="6" t="str">
        <f>IF(A833="","",IF('Statements (Raw)'!C831&lt;&gt;"",'Statements (Raw)'!C831,IF(ISNUMBER(SEARCH("Conferimento",'Statements (Raw)'!D831)),"CASH DEPOSIT",IF(ISNUMBER(SEARCH("Prelievo",'Statements (Raw)'!D831)),"CASH WITHDRAWAL",IF(ISNUMBER(SEARCH("Bollo",'Statements (Raw)'!D831)),"STAMP DUTY",IF(ISNUMBER(SEARCH("Tobin Tax",'Statements (Raw)'!D831)),"TOBIN TAX",IF(ISNUMBER(SEARCH("Rit.provento",'Statements (Raw)'!D831)),"WITHHOLDING TAX",IF(ISNUMBER(SEARCH("Incasso Dividendi",'Statements (Raw)'!D831)),"DIVIDEND",IF(ISNUMBER(SEARCH("Cedola",'Statements (Raw)'!D831)),"COUPON",IF(ISNUMBER(SEARCH("Ratei Pass",'Statements (Raw)'!D831)),"ACCRUED INT",IF(ISNUMBER(SEARCH("Interessi Prest",'Statements (Raw)'!D831)),"SEC LENDING",IF(ISNUMBER(SEARCH("Rimborso",'Statements (Raw)'!D831)),"REDEMPTION",IF(ISNUMBER(SEARCH("Provento",'Statements (Raw)'!D831)),"DISTRIBUTION","OTHER")))))))))))))</f>
        <v/>
      </c>
      <c r="D833" s="6" t="str">
        <f>IF(A833="","",IF(C833="Saldo Iniziale","Balance",IF(C833="CASH DEPOSIT","Deposit",IF(C833="CASH WITHDRAWAL","Withdrawal",IF(C833="STAMP DUTY","Tax",IF(C833="TOBIN TAX","Tax",IF(C833="WITHHOLDING TAX","Tax",IF(C833="DIVIDEND","Dividend",IF(C833="COUPON","Coupon",IF(C833="ACCRUED INT","Accrued Int.",IF(C833="SEC LENDING","Sec. Lending",IF(C833="REDEMPTION","Redemption",IF(C833="DISTRIBUTION","Distribution",IF(ISNUMBER(SEARCH("Rimborso",'Statements (Raw)'!D831)),"Redemption",IF(ISNUMBER(SEARCH("Cedola",'Statements (Raw)'!D831)),"Coupon",IF(ISNUMBER(SEARCH("Incasso Dividendi",'Statements (Raw)'!D831)),"Dividend",IF(ISNUMBER(SEARCH("Provento Etf",'Statements (Raw)'!D831)),"Distribution",IF(ISNUMBER(SEARCH("Rit.provento",'Statements (Raw)'!D831)),"Tax",IF(ISNUMBER(SEARCH("Ratei Pass",'Statements (Raw)'!D831)),"Accrued Int.",IF(ISNUMBER(SEARCH("Interessi Prest",'Statements (Raw)'!D831)),"Sec. Lending",IF('Statements (Raw)'!G831="","Other",IF('Statements (Raw)'!G831&gt;0,"Buy","Sell"))))))))))))))))))))))</f>
        <v/>
      </c>
      <c r="E833" s="6" t="str">
        <f t="shared" si="24"/>
        <v/>
      </c>
      <c r="F833" s="8" t="str">
        <f>IF(A833="","",IF('Statements (Raw)'!E831="","",'Statements (Raw)'!E831))</f>
        <v/>
      </c>
      <c r="G833" s="6" t="str">
        <f>IF(A833="","",IF('Statements (Raw)'!F831="","",'Statements (Raw)'!F831))</f>
        <v/>
      </c>
      <c r="H833" s="9" t="str">
        <f>IF(A833="","",IF('Statements (Raw)'!G831="","",'Statements (Raw)'!G831))</f>
        <v/>
      </c>
      <c r="I833" s="10" t="str">
        <f>IF(A833="","",IF('Statements (Raw)'!H831="","",'Statements (Raw)'!H831))</f>
        <v/>
      </c>
      <c r="J833" s="10">
        <f>IF(A833="",0,IF('Statements (Raw)'!I831="",0,'Statements (Raw)'!I831))</f>
        <v>0</v>
      </c>
      <c r="K833" s="10" t="str">
        <f t="shared" si="25"/>
        <v/>
      </c>
    </row>
    <row r="834" spans="1:11" x14ac:dyDescent="0.3">
      <c r="A834" s="171" t="str">
        <f>IF(OR('Statements (Raw)'!A832="",'Statements (Raw)'!A832&gt;Holdings!$G$3),"",'Statements (Raw)'!A832)</f>
        <v/>
      </c>
      <c r="B834" s="7" t="str">
        <f>IF(A834="","",IF('Statements (Raw)'!B832="","",'Statements (Raw)'!B832))</f>
        <v/>
      </c>
      <c r="C834" s="6" t="str">
        <f>IF(A834="","",IF('Statements (Raw)'!C832&lt;&gt;"",'Statements (Raw)'!C832,IF(ISNUMBER(SEARCH("Conferimento",'Statements (Raw)'!D832)),"CASH DEPOSIT",IF(ISNUMBER(SEARCH("Prelievo",'Statements (Raw)'!D832)),"CASH WITHDRAWAL",IF(ISNUMBER(SEARCH("Bollo",'Statements (Raw)'!D832)),"STAMP DUTY",IF(ISNUMBER(SEARCH("Tobin Tax",'Statements (Raw)'!D832)),"TOBIN TAX",IF(ISNUMBER(SEARCH("Rit.provento",'Statements (Raw)'!D832)),"WITHHOLDING TAX",IF(ISNUMBER(SEARCH("Incasso Dividendi",'Statements (Raw)'!D832)),"DIVIDEND",IF(ISNUMBER(SEARCH("Cedola",'Statements (Raw)'!D832)),"COUPON",IF(ISNUMBER(SEARCH("Ratei Pass",'Statements (Raw)'!D832)),"ACCRUED INT",IF(ISNUMBER(SEARCH("Interessi Prest",'Statements (Raw)'!D832)),"SEC LENDING",IF(ISNUMBER(SEARCH("Rimborso",'Statements (Raw)'!D832)),"REDEMPTION",IF(ISNUMBER(SEARCH("Provento",'Statements (Raw)'!D832)),"DISTRIBUTION","OTHER")))))))))))))</f>
        <v/>
      </c>
      <c r="D834" s="6" t="str">
        <f>IF(A834="","",IF(C834="Saldo Iniziale","Balance",IF(C834="CASH DEPOSIT","Deposit",IF(C834="CASH WITHDRAWAL","Withdrawal",IF(C834="STAMP DUTY","Tax",IF(C834="TOBIN TAX","Tax",IF(C834="WITHHOLDING TAX","Tax",IF(C834="DIVIDEND","Dividend",IF(C834="COUPON","Coupon",IF(C834="ACCRUED INT","Accrued Int.",IF(C834="SEC LENDING","Sec. Lending",IF(C834="REDEMPTION","Redemption",IF(C834="DISTRIBUTION","Distribution",IF(ISNUMBER(SEARCH("Rimborso",'Statements (Raw)'!D832)),"Redemption",IF(ISNUMBER(SEARCH("Cedola",'Statements (Raw)'!D832)),"Coupon",IF(ISNUMBER(SEARCH("Incasso Dividendi",'Statements (Raw)'!D832)),"Dividend",IF(ISNUMBER(SEARCH("Provento Etf",'Statements (Raw)'!D832)),"Distribution",IF(ISNUMBER(SEARCH("Rit.provento",'Statements (Raw)'!D832)),"Tax",IF(ISNUMBER(SEARCH("Ratei Pass",'Statements (Raw)'!D832)),"Accrued Int.",IF(ISNUMBER(SEARCH("Interessi Prest",'Statements (Raw)'!D832)),"Sec. Lending",IF('Statements (Raw)'!G832="","Other",IF('Statements (Raw)'!G832&gt;0,"Buy","Sell"))))))))))))))))))))))</f>
        <v/>
      </c>
      <c r="E834" s="6" t="str">
        <f t="shared" si="24"/>
        <v/>
      </c>
      <c r="F834" s="8" t="str">
        <f>IF(A834="","",IF('Statements (Raw)'!E832="","",'Statements (Raw)'!E832))</f>
        <v/>
      </c>
      <c r="G834" s="6" t="str">
        <f>IF(A834="","",IF('Statements (Raw)'!F832="","",'Statements (Raw)'!F832))</f>
        <v/>
      </c>
      <c r="H834" s="9" t="str">
        <f>IF(A834="","",IF('Statements (Raw)'!G832="","",'Statements (Raw)'!G832))</f>
        <v/>
      </c>
      <c r="I834" s="10" t="str">
        <f>IF(A834="","",IF('Statements (Raw)'!H832="","",'Statements (Raw)'!H832))</f>
        <v/>
      </c>
      <c r="J834" s="10">
        <f>IF(A834="",0,IF('Statements (Raw)'!I832="",0,'Statements (Raw)'!I832))</f>
        <v>0</v>
      </c>
      <c r="K834" s="10" t="str">
        <f t="shared" si="25"/>
        <v/>
      </c>
    </row>
    <row r="835" spans="1:11" x14ac:dyDescent="0.3">
      <c r="A835" s="171" t="str">
        <f>IF(OR('Statements (Raw)'!A833="",'Statements (Raw)'!A833&gt;Holdings!$G$3),"",'Statements (Raw)'!A833)</f>
        <v/>
      </c>
      <c r="B835" s="7" t="str">
        <f>IF(A835="","",IF('Statements (Raw)'!B833="","",'Statements (Raw)'!B833))</f>
        <v/>
      </c>
      <c r="C835" s="6" t="str">
        <f>IF(A835="","",IF('Statements (Raw)'!C833&lt;&gt;"",'Statements (Raw)'!C833,IF(ISNUMBER(SEARCH("Conferimento",'Statements (Raw)'!D833)),"CASH DEPOSIT",IF(ISNUMBER(SEARCH("Prelievo",'Statements (Raw)'!D833)),"CASH WITHDRAWAL",IF(ISNUMBER(SEARCH("Bollo",'Statements (Raw)'!D833)),"STAMP DUTY",IF(ISNUMBER(SEARCH("Tobin Tax",'Statements (Raw)'!D833)),"TOBIN TAX",IF(ISNUMBER(SEARCH("Rit.provento",'Statements (Raw)'!D833)),"WITHHOLDING TAX",IF(ISNUMBER(SEARCH("Incasso Dividendi",'Statements (Raw)'!D833)),"DIVIDEND",IF(ISNUMBER(SEARCH("Cedola",'Statements (Raw)'!D833)),"COUPON",IF(ISNUMBER(SEARCH("Ratei Pass",'Statements (Raw)'!D833)),"ACCRUED INT",IF(ISNUMBER(SEARCH("Interessi Prest",'Statements (Raw)'!D833)),"SEC LENDING",IF(ISNUMBER(SEARCH("Rimborso",'Statements (Raw)'!D833)),"REDEMPTION",IF(ISNUMBER(SEARCH("Provento",'Statements (Raw)'!D833)),"DISTRIBUTION","OTHER")))))))))))))</f>
        <v/>
      </c>
      <c r="D835" s="6" t="str">
        <f>IF(A835="","",IF(C835="Saldo Iniziale","Balance",IF(C835="CASH DEPOSIT","Deposit",IF(C835="CASH WITHDRAWAL","Withdrawal",IF(C835="STAMP DUTY","Tax",IF(C835="TOBIN TAX","Tax",IF(C835="WITHHOLDING TAX","Tax",IF(C835="DIVIDEND","Dividend",IF(C835="COUPON","Coupon",IF(C835="ACCRUED INT","Accrued Int.",IF(C835="SEC LENDING","Sec. Lending",IF(C835="REDEMPTION","Redemption",IF(C835="DISTRIBUTION","Distribution",IF(ISNUMBER(SEARCH("Rimborso",'Statements (Raw)'!D833)),"Redemption",IF(ISNUMBER(SEARCH("Cedola",'Statements (Raw)'!D833)),"Coupon",IF(ISNUMBER(SEARCH("Incasso Dividendi",'Statements (Raw)'!D833)),"Dividend",IF(ISNUMBER(SEARCH("Provento Etf",'Statements (Raw)'!D833)),"Distribution",IF(ISNUMBER(SEARCH("Rit.provento",'Statements (Raw)'!D833)),"Tax",IF(ISNUMBER(SEARCH("Ratei Pass",'Statements (Raw)'!D833)),"Accrued Int.",IF(ISNUMBER(SEARCH("Interessi Prest",'Statements (Raw)'!D833)),"Sec. Lending",IF('Statements (Raw)'!G833="","Other",IF('Statements (Raw)'!G833&gt;0,"Buy","Sell"))))))))))))))))))))))</f>
        <v/>
      </c>
      <c r="E835" s="6" t="str">
        <f t="shared" si="24"/>
        <v/>
      </c>
      <c r="F835" s="8" t="str">
        <f>IF(A835="","",IF('Statements (Raw)'!E833="","",'Statements (Raw)'!E833))</f>
        <v/>
      </c>
      <c r="G835" s="6" t="str">
        <f>IF(A835="","",IF('Statements (Raw)'!F833="","",'Statements (Raw)'!F833))</f>
        <v/>
      </c>
      <c r="H835" s="9" t="str">
        <f>IF(A835="","",IF('Statements (Raw)'!G833="","",'Statements (Raw)'!G833))</f>
        <v/>
      </c>
      <c r="I835" s="10" t="str">
        <f>IF(A835="","",IF('Statements (Raw)'!H833="","",'Statements (Raw)'!H833))</f>
        <v/>
      </c>
      <c r="J835" s="10">
        <f>IF(A835="",0,IF('Statements (Raw)'!I833="",0,'Statements (Raw)'!I833))</f>
        <v>0</v>
      </c>
      <c r="K835" s="10" t="str">
        <f t="shared" si="25"/>
        <v/>
      </c>
    </row>
    <row r="836" spans="1:11" x14ac:dyDescent="0.3">
      <c r="A836" s="171" t="str">
        <f>IF(OR('Statements (Raw)'!A834="",'Statements (Raw)'!A834&gt;Holdings!$G$3),"",'Statements (Raw)'!A834)</f>
        <v/>
      </c>
      <c r="B836" s="7" t="str">
        <f>IF(A836="","",IF('Statements (Raw)'!B834="","",'Statements (Raw)'!B834))</f>
        <v/>
      </c>
      <c r="C836" s="6" t="str">
        <f>IF(A836="","",IF('Statements (Raw)'!C834&lt;&gt;"",'Statements (Raw)'!C834,IF(ISNUMBER(SEARCH("Conferimento",'Statements (Raw)'!D834)),"CASH DEPOSIT",IF(ISNUMBER(SEARCH("Prelievo",'Statements (Raw)'!D834)),"CASH WITHDRAWAL",IF(ISNUMBER(SEARCH("Bollo",'Statements (Raw)'!D834)),"STAMP DUTY",IF(ISNUMBER(SEARCH("Tobin Tax",'Statements (Raw)'!D834)),"TOBIN TAX",IF(ISNUMBER(SEARCH("Rit.provento",'Statements (Raw)'!D834)),"WITHHOLDING TAX",IF(ISNUMBER(SEARCH("Incasso Dividendi",'Statements (Raw)'!D834)),"DIVIDEND",IF(ISNUMBER(SEARCH("Cedola",'Statements (Raw)'!D834)),"COUPON",IF(ISNUMBER(SEARCH("Ratei Pass",'Statements (Raw)'!D834)),"ACCRUED INT",IF(ISNUMBER(SEARCH("Interessi Prest",'Statements (Raw)'!D834)),"SEC LENDING",IF(ISNUMBER(SEARCH("Rimborso",'Statements (Raw)'!D834)),"REDEMPTION",IF(ISNUMBER(SEARCH("Provento",'Statements (Raw)'!D834)),"DISTRIBUTION","OTHER")))))))))))))</f>
        <v/>
      </c>
      <c r="D836" s="6" t="str">
        <f>IF(A836="","",IF(C836="Saldo Iniziale","Balance",IF(C836="CASH DEPOSIT","Deposit",IF(C836="CASH WITHDRAWAL","Withdrawal",IF(C836="STAMP DUTY","Tax",IF(C836="TOBIN TAX","Tax",IF(C836="WITHHOLDING TAX","Tax",IF(C836="DIVIDEND","Dividend",IF(C836="COUPON","Coupon",IF(C836="ACCRUED INT","Accrued Int.",IF(C836="SEC LENDING","Sec. Lending",IF(C836="REDEMPTION","Redemption",IF(C836="DISTRIBUTION","Distribution",IF(ISNUMBER(SEARCH("Rimborso",'Statements (Raw)'!D834)),"Redemption",IF(ISNUMBER(SEARCH("Cedola",'Statements (Raw)'!D834)),"Coupon",IF(ISNUMBER(SEARCH("Incasso Dividendi",'Statements (Raw)'!D834)),"Dividend",IF(ISNUMBER(SEARCH("Provento Etf",'Statements (Raw)'!D834)),"Distribution",IF(ISNUMBER(SEARCH("Rit.provento",'Statements (Raw)'!D834)),"Tax",IF(ISNUMBER(SEARCH("Ratei Pass",'Statements (Raw)'!D834)),"Accrued Int.",IF(ISNUMBER(SEARCH("Interessi Prest",'Statements (Raw)'!D834)),"Sec. Lending",IF('Statements (Raw)'!G834="","Other",IF('Statements (Raw)'!G834&gt;0,"Buy","Sell"))))))))))))))))))))))</f>
        <v/>
      </c>
      <c r="E836" s="6" t="str">
        <f t="shared" si="24"/>
        <v/>
      </c>
      <c r="F836" s="8" t="str">
        <f>IF(A836="","",IF('Statements (Raw)'!E834="","",'Statements (Raw)'!E834))</f>
        <v/>
      </c>
      <c r="G836" s="6" t="str">
        <f>IF(A836="","",IF('Statements (Raw)'!F834="","",'Statements (Raw)'!F834))</f>
        <v/>
      </c>
      <c r="H836" s="9" t="str">
        <f>IF(A836="","",IF('Statements (Raw)'!G834="","",'Statements (Raw)'!G834))</f>
        <v/>
      </c>
      <c r="I836" s="10" t="str">
        <f>IF(A836="","",IF('Statements (Raw)'!H834="","",'Statements (Raw)'!H834))</f>
        <v/>
      </c>
      <c r="J836" s="10">
        <f>IF(A836="",0,IF('Statements (Raw)'!I834="",0,'Statements (Raw)'!I834))</f>
        <v>0</v>
      </c>
      <c r="K836" s="10" t="str">
        <f t="shared" si="25"/>
        <v/>
      </c>
    </row>
    <row r="837" spans="1:11" x14ac:dyDescent="0.3">
      <c r="A837" s="171" t="str">
        <f>IF(OR('Statements (Raw)'!A835="",'Statements (Raw)'!A835&gt;Holdings!$G$3),"",'Statements (Raw)'!A835)</f>
        <v/>
      </c>
      <c r="B837" s="7" t="str">
        <f>IF(A837="","",IF('Statements (Raw)'!B835="","",'Statements (Raw)'!B835))</f>
        <v/>
      </c>
      <c r="C837" s="6" t="str">
        <f>IF(A837="","",IF('Statements (Raw)'!C835&lt;&gt;"",'Statements (Raw)'!C835,IF(ISNUMBER(SEARCH("Conferimento",'Statements (Raw)'!D835)),"CASH DEPOSIT",IF(ISNUMBER(SEARCH("Prelievo",'Statements (Raw)'!D835)),"CASH WITHDRAWAL",IF(ISNUMBER(SEARCH("Bollo",'Statements (Raw)'!D835)),"STAMP DUTY",IF(ISNUMBER(SEARCH("Tobin Tax",'Statements (Raw)'!D835)),"TOBIN TAX",IF(ISNUMBER(SEARCH("Rit.provento",'Statements (Raw)'!D835)),"WITHHOLDING TAX",IF(ISNUMBER(SEARCH("Incasso Dividendi",'Statements (Raw)'!D835)),"DIVIDEND",IF(ISNUMBER(SEARCH("Cedola",'Statements (Raw)'!D835)),"COUPON",IF(ISNUMBER(SEARCH("Ratei Pass",'Statements (Raw)'!D835)),"ACCRUED INT",IF(ISNUMBER(SEARCH("Interessi Prest",'Statements (Raw)'!D835)),"SEC LENDING",IF(ISNUMBER(SEARCH("Rimborso",'Statements (Raw)'!D835)),"REDEMPTION",IF(ISNUMBER(SEARCH("Provento",'Statements (Raw)'!D835)),"DISTRIBUTION","OTHER")))))))))))))</f>
        <v/>
      </c>
      <c r="D837" s="6" t="str">
        <f>IF(A837="","",IF(C837="Saldo Iniziale","Balance",IF(C837="CASH DEPOSIT","Deposit",IF(C837="CASH WITHDRAWAL","Withdrawal",IF(C837="STAMP DUTY","Tax",IF(C837="TOBIN TAX","Tax",IF(C837="WITHHOLDING TAX","Tax",IF(C837="DIVIDEND","Dividend",IF(C837="COUPON","Coupon",IF(C837="ACCRUED INT","Accrued Int.",IF(C837="SEC LENDING","Sec. Lending",IF(C837="REDEMPTION","Redemption",IF(C837="DISTRIBUTION","Distribution",IF(ISNUMBER(SEARCH("Rimborso",'Statements (Raw)'!D835)),"Redemption",IF(ISNUMBER(SEARCH("Cedola",'Statements (Raw)'!D835)),"Coupon",IF(ISNUMBER(SEARCH("Incasso Dividendi",'Statements (Raw)'!D835)),"Dividend",IF(ISNUMBER(SEARCH("Provento Etf",'Statements (Raw)'!D835)),"Distribution",IF(ISNUMBER(SEARCH("Rit.provento",'Statements (Raw)'!D835)),"Tax",IF(ISNUMBER(SEARCH("Ratei Pass",'Statements (Raw)'!D835)),"Accrued Int.",IF(ISNUMBER(SEARCH("Interessi Prest",'Statements (Raw)'!D835)),"Sec. Lending",IF('Statements (Raw)'!G835="","Other",IF('Statements (Raw)'!G835&gt;0,"Buy","Sell"))))))))))))))))))))))</f>
        <v/>
      </c>
      <c r="E837" s="6" t="str">
        <f t="shared" ref="E837:E900" si="26">IF(D837="","",IF(OR(D837="Balance",D837="Deposit",D837="Withdrawal"),"Cash",IF(D837="Tax","Tax/Fee",IF(OR(D837="Dividend",D837="Coupon",D837="Distribution",D837="Sec. Lending",D837="Accrued Int."),"Income",IF(D837="Redemption","Bond",IF(OR(D837="Buy",D837="Sell"),IF(OR(ISNUMBER(SEARCH("BOT ",C837)),ISNUMBER(SEARCH("BTP ",C837)),ISNUMBER(SEARCH("CARRARO",C837))),"Bond",IF(OR(ISNUMBER(SEARCH("isdom",C837)),ISNUMBER(SEARCH("ISHARES",C837)),ISNUMBER(SEARCH("iShares",C837))),"ETF/ETC",IF(OR(ISNUMBER(SEARCH("Bitwise",C837)),ISNUMBER(SEARCH("BITWISE",C837))),"Crypto ETP","Stock"))),"Other"))))))</f>
        <v/>
      </c>
      <c r="F837" s="8" t="str">
        <f>IF(A837="","",IF('Statements (Raw)'!E835="","",'Statements (Raw)'!E835))</f>
        <v/>
      </c>
      <c r="G837" s="6" t="str">
        <f>IF(A837="","",IF('Statements (Raw)'!F835="","",'Statements (Raw)'!F835))</f>
        <v/>
      </c>
      <c r="H837" s="9" t="str">
        <f>IF(A837="","",IF('Statements (Raw)'!G835="","",'Statements (Raw)'!G835))</f>
        <v/>
      </c>
      <c r="I837" s="10" t="str">
        <f>IF(A837="","",IF('Statements (Raw)'!H835="","",'Statements (Raw)'!H835))</f>
        <v/>
      </c>
      <c r="J837" s="10">
        <f>IF(A837="",0,IF('Statements (Raw)'!I835="",0,'Statements (Raw)'!I835))</f>
        <v>0</v>
      </c>
      <c r="K837" s="10" t="str">
        <f t="shared" ref="K837:K900" si="27">IF(I837="","",I837+J837)</f>
        <v/>
      </c>
    </row>
    <row r="838" spans="1:11" x14ac:dyDescent="0.3">
      <c r="A838" s="171" t="str">
        <f>IF(OR('Statements (Raw)'!A836="",'Statements (Raw)'!A836&gt;Holdings!$G$3),"",'Statements (Raw)'!A836)</f>
        <v/>
      </c>
      <c r="B838" s="7" t="str">
        <f>IF(A838="","",IF('Statements (Raw)'!B836="","",'Statements (Raw)'!B836))</f>
        <v/>
      </c>
      <c r="C838" s="6" t="str">
        <f>IF(A838="","",IF('Statements (Raw)'!C836&lt;&gt;"",'Statements (Raw)'!C836,IF(ISNUMBER(SEARCH("Conferimento",'Statements (Raw)'!D836)),"CASH DEPOSIT",IF(ISNUMBER(SEARCH("Prelievo",'Statements (Raw)'!D836)),"CASH WITHDRAWAL",IF(ISNUMBER(SEARCH("Bollo",'Statements (Raw)'!D836)),"STAMP DUTY",IF(ISNUMBER(SEARCH("Tobin Tax",'Statements (Raw)'!D836)),"TOBIN TAX",IF(ISNUMBER(SEARCH("Rit.provento",'Statements (Raw)'!D836)),"WITHHOLDING TAX",IF(ISNUMBER(SEARCH("Incasso Dividendi",'Statements (Raw)'!D836)),"DIVIDEND",IF(ISNUMBER(SEARCH("Cedola",'Statements (Raw)'!D836)),"COUPON",IF(ISNUMBER(SEARCH("Ratei Pass",'Statements (Raw)'!D836)),"ACCRUED INT",IF(ISNUMBER(SEARCH("Interessi Prest",'Statements (Raw)'!D836)),"SEC LENDING",IF(ISNUMBER(SEARCH("Rimborso",'Statements (Raw)'!D836)),"REDEMPTION",IF(ISNUMBER(SEARCH("Provento",'Statements (Raw)'!D836)),"DISTRIBUTION","OTHER")))))))))))))</f>
        <v/>
      </c>
      <c r="D838" s="6" t="str">
        <f>IF(A838="","",IF(C838="Saldo Iniziale","Balance",IF(C838="CASH DEPOSIT","Deposit",IF(C838="CASH WITHDRAWAL","Withdrawal",IF(C838="STAMP DUTY","Tax",IF(C838="TOBIN TAX","Tax",IF(C838="WITHHOLDING TAX","Tax",IF(C838="DIVIDEND","Dividend",IF(C838="COUPON","Coupon",IF(C838="ACCRUED INT","Accrued Int.",IF(C838="SEC LENDING","Sec. Lending",IF(C838="REDEMPTION","Redemption",IF(C838="DISTRIBUTION","Distribution",IF(ISNUMBER(SEARCH("Rimborso",'Statements (Raw)'!D836)),"Redemption",IF(ISNUMBER(SEARCH("Cedola",'Statements (Raw)'!D836)),"Coupon",IF(ISNUMBER(SEARCH("Incasso Dividendi",'Statements (Raw)'!D836)),"Dividend",IF(ISNUMBER(SEARCH("Provento Etf",'Statements (Raw)'!D836)),"Distribution",IF(ISNUMBER(SEARCH("Rit.provento",'Statements (Raw)'!D836)),"Tax",IF(ISNUMBER(SEARCH("Ratei Pass",'Statements (Raw)'!D836)),"Accrued Int.",IF(ISNUMBER(SEARCH("Interessi Prest",'Statements (Raw)'!D836)),"Sec. Lending",IF('Statements (Raw)'!G836="","Other",IF('Statements (Raw)'!G836&gt;0,"Buy","Sell"))))))))))))))))))))))</f>
        <v/>
      </c>
      <c r="E838" s="6" t="str">
        <f t="shared" si="26"/>
        <v/>
      </c>
      <c r="F838" s="8" t="str">
        <f>IF(A838="","",IF('Statements (Raw)'!E836="","",'Statements (Raw)'!E836))</f>
        <v/>
      </c>
      <c r="G838" s="6" t="str">
        <f>IF(A838="","",IF('Statements (Raw)'!F836="","",'Statements (Raw)'!F836))</f>
        <v/>
      </c>
      <c r="H838" s="9" t="str">
        <f>IF(A838="","",IF('Statements (Raw)'!G836="","",'Statements (Raw)'!G836))</f>
        <v/>
      </c>
      <c r="I838" s="10" t="str">
        <f>IF(A838="","",IF('Statements (Raw)'!H836="","",'Statements (Raw)'!H836))</f>
        <v/>
      </c>
      <c r="J838" s="10">
        <f>IF(A838="",0,IF('Statements (Raw)'!I836="",0,'Statements (Raw)'!I836))</f>
        <v>0</v>
      </c>
      <c r="K838" s="10" t="str">
        <f t="shared" si="27"/>
        <v/>
      </c>
    </row>
    <row r="839" spans="1:11" x14ac:dyDescent="0.3">
      <c r="A839" s="171" t="str">
        <f>IF(OR('Statements (Raw)'!A837="",'Statements (Raw)'!A837&gt;Holdings!$G$3),"",'Statements (Raw)'!A837)</f>
        <v/>
      </c>
      <c r="B839" s="7" t="str">
        <f>IF(A839="","",IF('Statements (Raw)'!B837="","",'Statements (Raw)'!B837))</f>
        <v/>
      </c>
      <c r="C839" s="6" t="str">
        <f>IF(A839="","",IF('Statements (Raw)'!C837&lt;&gt;"",'Statements (Raw)'!C837,IF(ISNUMBER(SEARCH("Conferimento",'Statements (Raw)'!D837)),"CASH DEPOSIT",IF(ISNUMBER(SEARCH("Prelievo",'Statements (Raw)'!D837)),"CASH WITHDRAWAL",IF(ISNUMBER(SEARCH("Bollo",'Statements (Raw)'!D837)),"STAMP DUTY",IF(ISNUMBER(SEARCH("Tobin Tax",'Statements (Raw)'!D837)),"TOBIN TAX",IF(ISNUMBER(SEARCH("Rit.provento",'Statements (Raw)'!D837)),"WITHHOLDING TAX",IF(ISNUMBER(SEARCH("Incasso Dividendi",'Statements (Raw)'!D837)),"DIVIDEND",IF(ISNUMBER(SEARCH("Cedola",'Statements (Raw)'!D837)),"COUPON",IF(ISNUMBER(SEARCH("Ratei Pass",'Statements (Raw)'!D837)),"ACCRUED INT",IF(ISNUMBER(SEARCH("Interessi Prest",'Statements (Raw)'!D837)),"SEC LENDING",IF(ISNUMBER(SEARCH("Rimborso",'Statements (Raw)'!D837)),"REDEMPTION",IF(ISNUMBER(SEARCH("Provento",'Statements (Raw)'!D837)),"DISTRIBUTION","OTHER")))))))))))))</f>
        <v/>
      </c>
      <c r="D839" s="6" t="str">
        <f>IF(A839="","",IF(C839="Saldo Iniziale","Balance",IF(C839="CASH DEPOSIT","Deposit",IF(C839="CASH WITHDRAWAL","Withdrawal",IF(C839="STAMP DUTY","Tax",IF(C839="TOBIN TAX","Tax",IF(C839="WITHHOLDING TAX","Tax",IF(C839="DIVIDEND","Dividend",IF(C839="COUPON","Coupon",IF(C839="ACCRUED INT","Accrued Int.",IF(C839="SEC LENDING","Sec. Lending",IF(C839="REDEMPTION","Redemption",IF(C839="DISTRIBUTION","Distribution",IF(ISNUMBER(SEARCH("Rimborso",'Statements (Raw)'!D837)),"Redemption",IF(ISNUMBER(SEARCH("Cedola",'Statements (Raw)'!D837)),"Coupon",IF(ISNUMBER(SEARCH("Incasso Dividendi",'Statements (Raw)'!D837)),"Dividend",IF(ISNUMBER(SEARCH("Provento Etf",'Statements (Raw)'!D837)),"Distribution",IF(ISNUMBER(SEARCH("Rit.provento",'Statements (Raw)'!D837)),"Tax",IF(ISNUMBER(SEARCH("Ratei Pass",'Statements (Raw)'!D837)),"Accrued Int.",IF(ISNUMBER(SEARCH("Interessi Prest",'Statements (Raw)'!D837)),"Sec. Lending",IF('Statements (Raw)'!G837="","Other",IF('Statements (Raw)'!G837&gt;0,"Buy","Sell"))))))))))))))))))))))</f>
        <v/>
      </c>
      <c r="E839" s="6" t="str">
        <f t="shared" si="26"/>
        <v/>
      </c>
      <c r="F839" s="8" t="str">
        <f>IF(A839="","",IF('Statements (Raw)'!E837="","",'Statements (Raw)'!E837))</f>
        <v/>
      </c>
      <c r="G839" s="6" t="str">
        <f>IF(A839="","",IF('Statements (Raw)'!F837="","",'Statements (Raw)'!F837))</f>
        <v/>
      </c>
      <c r="H839" s="9" t="str">
        <f>IF(A839="","",IF('Statements (Raw)'!G837="","",'Statements (Raw)'!G837))</f>
        <v/>
      </c>
      <c r="I839" s="10" t="str">
        <f>IF(A839="","",IF('Statements (Raw)'!H837="","",'Statements (Raw)'!H837))</f>
        <v/>
      </c>
      <c r="J839" s="10">
        <f>IF(A839="",0,IF('Statements (Raw)'!I837="",0,'Statements (Raw)'!I837))</f>
        <v>0</v>
      </c>
      <c r="K839" s="10" t="str">
        <f t="shared" si="27"/>
        <v/>
      </c>
    </row>
    <row r="840" spans="1:11" x14ac:dyDescent="0.3">
      <c r="A840" s="171" t="str">
        <f>IF(OR('Statements (Raw)'!A838="",'Statements (Raw)'!A838&gt;Holdings!$G$3),"",'Statements (Raw)'!A838)</f>
        <v/>
      </c>
      <c r="B840" s="7" t="str">
        <f>IF(A840="","",IF('Statements (Raw)'!B838="","",'Statements (Raw)'!B838))</f>
        <v/>
      </c>
      <c r="C840" s="6" t="str">
        <f>IF(A840="","",IF('Statements (Raw)'!C838&lt;&gt;"",'Statements (Raw)'!C838,IF(ISNUMBER(SEARCH("Conferimento",'Statements (Raw)'!D838)),"CASH DEPOSIT",IF(ISNUMBER(SEARCH("Prelievo",'Statements (Raw)'!D838)),"CASH WITHDRAWAL",IF(ISNUMBER(SEARCH("Bollo",'Statements (Raw)'!D838)),"STAMP DUTY",IF(ISNUMBER(SEARCH("Tobin Tax",'Statements (Raw)'!D838)),"TOBIN TAX",IF(ISNUMBER(SEARCH("Rit.provento",'Statements (Raw)'!D838)),"WITHHOLDING TAX",IF(ISNUMBER(SEARCH("Incasso Dividendi",'Statements (Raw)'!D838)),"DIVIDEND",IF(ISNUMBER(SEARCH("Cedola",'Statements (Raw)'!D838)),"COUPON",IF(ISNUMBER(SEARCH("Ratei Pass",'Statements (Raw)'!D838)),"ACCRUED INT",IF(ISNUMBER(SEARCH("Interessi Prest",'Statements (Raw)'!D838)),"SEC LENDING",IF(ISNUMBER(SEARCH("Rimborso",'Statements (Raw)'!D838)),"REDEMPTION",IF(ISNUMBER(SEARCH("Provento",'Statements (Raw)'!D838)),"DISTRIBUTION","OTHER")))))))))))))</f>
        <v/>
      </c>
      <c r="D840" s="6" t="str">
        <f>IF(A840="","",IF(C840="Saldo Iniziale","Balance",IF(C840="CASH DEPOSIT","Deposit",IF(C840="CASH WITHDRAWAL","Withdrawal",IF(C840="STAMP DUTY","Tax",IF(C840="TOBIN TAX","Tax",IF(C840="WITHHOLDING TAX","Tax",IF(C840="DIVIDEND","Dividend",IF(C840="COUPON","Coupon",IF(C840="ACCRUED INT","Accrued Int.",IF(C840="SEC LENDING","Sec. Lending",IF(C840="REDEMPTION","Redemption",IF(C840="DISTRIBUTION","Distribution",IF(ISNUMBER(SEARCH("Rimborso",'Statements (Raw)'!D838)),"Redemption",IF(ISNUMBER(SEARCH("Cedola",'Statements (Raw)'!D838)),"Coupon",IF(ISNUMBER(SEARCH("Incasso Dividendi",'Statements (Raw)'!D838)),"Dividend",IF(ISNUMBER(SEARCH("Provento Etf",'Statements (Raw)'!D838)),"Distribution",IF(ISNUMBER(SEARCH("Rit.provento",'Statements (Raw)'!D838)),"Tax",IF(ISNUMBER(SEARCH("Ratei Pass",'Statements (Raw)'!D838)),"Accrued Int.",IF(ISNUMBER(SEARCH("Interessi Prest",'Statements (Raw)'!D838)),"Sec. Lending",IF('Statements (Raw)'!G838="","Other",IF('Statements (Raw)'!G838&gt;0,"Buy","Sell"))))))))))))))))))))))</f>
        <v/>
      </c>
      <c r="E840" s="6" t="str">
        <f t="shared" si="26"/>
        <v/>
      </c>
      <c r="F840" s="8" t="str">
        <f>IF(A840="","",IF('Statements (Raw)'!E838="","",'Statements (Raw)'!E838))</f>
        <v/>
      </c>
      <c r="G840" s="6" t="str">
        <f>IF(A840="","",IF('Statements (Raw)'!F838="","",'Statements (Raw)'!F838))</f>
        <v/>
      </c>
      <c r="H840" s="9" t="str">
        <f>IF(A840="","",IF('Statements (Raw)'!G838="","",'Statements (Raw)'!G838))</f>
        <v/>
      </c>
      <c r="I840" s="10" t="str">
        <f>IF(A840="","",IF('Statements (Raw)'!H838="","",'Statements (Raw)'!H838))</f>
        <v/>
      </c>
      <c r="J840" s="10">
        <f>IF(A840="",0,IF('Statements (Raw)'!I838="",0,'Statements (Raw)'!I838))</f>
        <v>0</v>
      </c>
      <c r="K840" s="10" t="str">
        <f t="shared" si="27"/>
        <v/>
      </c>
    </row>
    <row r="841" spans="1:11" x14ac:dyDescent="0.3">
      <c r="A841" s="171" t="str">
        <f>IF(OR('Statements (Raw)'!A839="",'Statements (Raw)'!A839&gt;Holdings!$G$3),"",'Statements (Raw)'!A839)</f>
        <v/>
      </c>
      <c r="B841" s="7" t="str">
        <f>IF(A841="","",IF('Statements (Raw)'!B839="","",'Statements (Raw)'!B839))</f>
        <v/>
      </c>
      <c r="C841" s="6" t="str">
        <f>IF(A841="","",IF('Statements (Raw)'!C839&lt;&gt;"",'Statements (Raw)'!C839,IF(ISNUMBER(SEARCH("Conferimento",'Statements (Raw)'!D839)),"CASH DEPOSIT",IF(ISNUMBER(SEARCH("Prelievo",'Statements (Raw)'!D839)),"CASH WITHDRAWAL",IF(ISNUMBER(SEARCH("Bollo",'Statements (Raw)'!D839)),"STAMP DUTY",IF(ISNUMBER(SEARCH("Tobin Tax",'Statements (Raw)'!D839)),"TOBIN TAX",IF(ISNUMBER(SEARCH("Rit.provento",'Statements (Raw)'!D839)),"WITHHOLDING TAX",IF(ISNUMBER(SEARCH("Incasso Dividendi",'Statements (Raw)'!D839)),"DIVIDEND",IF(ISNUMBER(SEARCH("Cedola",'Statements (Raw)'!D839)),"COUPON",IF(ISNUMBER(SEARCH("Ratei Pass",'Statements (Raw)'!D839)),"ACCRUED INT",IF(ISNUMBER(SEARCH("Interessi Prest",'Statements (Raw)'!D839)),"SEC LENDING",IF(ISNUMBER(SEARCH("Rimborso",'Statements (Raw)'!D839)),"REDEMPTION",IF(ISNUMBER(SEARCH("Provento",'Statements (Raw)'!D839)),"DISTRIBUTION","OTHER")))))))))))))</f>
        <v/>
      </c>
      <c r="D841" s="6" t="str">
        <f>IF(A841="","",IF(C841="Saldo Iniziale","Balance",IF(C841="CASH DEPOSIT","Deposit",IF(C841="CASH WITHDRAWAL","Withdrawal",IF(C841="STAMP DUTY","Tax",IF(C841="TOBIN TAX","Tax",IF(C841="WITHHOLDING TAX","Tax",IF(C841="DIVIDEND","Dividend",IF(C841="COUPON","Coupon",IF(C841="ACCRUED INT","Accrued Int.",IF(C841="SEC LENDING","Sec. Lending",IF(C841="REDEMPTION","Redemption",IF(C841="DISTRIBUTION","Distribution",IF(ISNUMBER(SEARCH("Rimborso",'Statements (Raw)'!D839)),"Redemption",IF(ISNUMBER(SEARCH("Cedola",'Statements (Raw)'!D839)),"Coupon",IF(ISNUMBER(SEARCH("Incasso Dividendi",'Statements (Raw)'!D839)),"Dividend",IF(ISNUMBER(SEARCH("Provento Etf",'Statements (Raw)'!D839)),"Distribution",IF(ISNUMBER(SEARCH("Rit.provento",'Statements (Raw)'!D839)),"Tax",IF(ISNUMBER(SEARCH("Ratei Pass",'Statements (Raw)'!D839)),"Accrued Int.",IF(ISNUMBER(SEARCH("Interessi Prest",'Statements (Raw)'!D839)),"Sec. Lending",IF('Statements (Raw)'!G839="","Other",IF('Statements (Raw)'!G839&gt;0,"Buy","Sell"))))))))))))))))))))))</f>
        <v/>
      </c>
      <c r="E841" s="6" t="str">
        <f t="shared" si="26"/>
        <v/>
      </c>
      <c r="F841" s="8" t="str">
        <f>IF(A841="","",IF('Statements (Raw)'!E839="","",'Statements (Raw)'!E839))</f>
        <v/>
      </c>
      <c r="G841" s="6" t="str">
        <f>IF(A841="","",IF('Statements (Raw)'!F839="","",'Statements (Raw)'!F839))</f>
        <v/>
      </c>
      <c r="H841" s="9" t="str">
        <f>IF(A841="","",IF('Statements (Raw)'!G839="","",'Statements (Raw)'!G839))</f>
        <v/>
      </c>
      <c r="I841" s="10" t="str">
        <f>IF(A841="","",IF('Statements (Raw)'!H839="","",'Statements (Raw)'!H839))</f>
        <v/>
      </c>
      <c r="J841" s="10">
        <f>IF(A841="",0,IF('Statements (Raw)'!I839="",0,'Statements (Raw)'!I839))</f>
        <v>0</v>
      </c>
      <c r="K841" s="10" t="str">
        <f t="shared" si="27"/>
        <v/>
      </c>
    </row>
    <row r="842" spans="1:11" x14ac:dyDescent="0.3">
      <c r="A842" s="171" t="str">
        <f>IF(OR('Statements (Raw)'!A840="",'Statements (Raw)'!A840&gt;Holdings!$G$3),"",'Statements (Raw)'!A840)</f>
        <v/>
      </c>
      <c r="B842" s="7" t="str">
        <f>IF(A842="","",IF('Statements (Raw)'!B840="","",'Statements (Raw)'!B840))</f>
        <v/>
      </c>
      <c r="C842" s="6" t="str">
        <f>IF(A842="","",IF('Statements (Raw)'!C840&lt;&gt;"",'Statements (Raw)'!C840,IF(ISNUMBER(SEARCH("Conferimento",'Statements (Raw)'!D840)),"CASH DEPOSIT",IF(ISNUMBER(SEARCH("Prelievo",'Statements (Raw)'!D840)),"CASH WITHDRAWAL",IF(ISNUMBER(SEARCH("Bollo",'Statements (Raw)'!D840)),"STAMP DUTY",IF(ISNUMBER(SEARCH("Tobin Tax",'Statements (Raw)'!D840)),"TOBIN TAX",IF(ISNUMBER(SEARCH("Rit.provento",'Statements (Raw)'!D840)),"WITHHOLDING TAX",IF(ISNUMBER(SEARCH("Incasso Dividendi",'Statements (Raw)'!D840)),"DIVIDEND",IF(ISNUMBER(SEARCH("Cedola",'Statements (Raw)'!D840)),"COUPON",IF(ISNUMBER(SEARCH("Ratei Pass",'Statements (Raw)'!D840)),"ACCRUED INT",IF(ISNUMBER(SEARCH("Interessi Prest",'Statements (Raw)'!D840)),"SEC LENDING",IF(ISNUMBER(SEARCH("Rimborso",'Statements (Raw)'!D840)),"REDEMPTION",IF(ISNUMBER(SEARCH("Provento",'Statements (Raw)'!D840)),"DISTRIBUTION","OTHER")))))))))))))</f>
        <v/>
      </c>
      <c r="D842" s="6" t="str">
        <f>IF(A842="","",IF(C842="Saldo Iniziale","Balance",IF(C842="CASH DEPOSIT","Deposit",IF(C842="CASH WITHDRAWAL","Withdrawal",IF(C842="STAMP DUTY","Tax",IF(C842="TOBIN TAX","Tax",IF(C842="WITHHOLDING TAX","Tax",IF(C842="DIVIDEND","Dividend",IF(C842="COUPON","Coupon",IF(C842="ACCRUED INT","Accrued Int.",IF(C842="SEC LENDING","Sec. Lending",IF(C842="REDEMPTION","Redemption",IF(C842="DISTRIBUTION","Distribution",IF(ISNUMBER(SEARCH("Rimborso",'Statements (Raw)'!D840)),"Redemption",IF(ISNUMBER(SEARCH("Cedola",'Statements (Raw)'!D840)),"Coupon",IF(ISNUMBER(SEARCH("Incasso Dividendi",'Statements (Raw)'!D840)),"Dividend",IF(ISNUMBER(SEARCH("Provento Etf",'Statements (Raw)'!D840)),"Distribution",IF(ISNUMBER(SEARCH("Rit.provento",'Statements (Raw)'!D840)),"Tax",IF(ISNUMBER(SEARCH("Ratei Pass",'Statements (Raw)'!D840)),"Accrued Int.",IF(ISNUMBER(SEARCH("Interessi Prest",'Statements (Raw)'!D840)),"Sec. Lending",IF('Statements (Raw)'!G840="","Other",IF('Statements (Raw)'!G840&gt;0,"Buy","Sell"))))))))))))))))))))))</f>
        <v/>
      </c>
      <c r="E842" s="6" t="str">
        <f t="shared" si="26"/>
        <v/>
      </c>
      <c r="F842" s="8" t="str">
        <f>IF(A842="","",IF('Statements (Raw)'!E840="","",'Statements (Raw)'!E840))</f>
        <v/>
      </c>
      <c r="G842" s="6" t="str">
        <f>IF(A842="","",IF('Statements (Raw)'!F840="","",'Statements (Raw)'!F840))</f>
        <v/>
      </c>
      <c r="H842" s="9" t="str">
        <f>IF(A842="","",IF('Statements (Raw)'!G840="","",'Statements (Raw)'!G840))</f>
        <v/>
      </c>
      <c r="I842" s="10" t="str">
        <f>IF(A842="","",IF('Statements (Raw)'!H840="","",'Statements (Raw)'!H840))</f>
        <v/>
      </c>
      <c r="J842" s="10">
        <f>IF(A842="",0,IF('Statements (Raw)'!I840="",0,'Statements (Raw)'!I840))</f>
        <v>0</v>
      </c>
      <c r="K842" s="10" t="str">
        <f t="shared" si="27"/>
        <v/>
      </c>
    </row>
    <row r="843" spans="1:11" x14ac:dyDescent="0.3">
      <c r="A843" s="171" t="str">
        <f>IF(OR('Statements (Raw)'!A841="",'Statements (Raw)'!A841&gt;Holdings!$G$3),"",'Statements (Raw)'!A841)</f>
        <v/>
      </c>
      <c r="B843" s="7" t="str">
        <f>IF(A843="","",IF('Statements (Raw)'!B841="","",'Statements (Raw)'!B841))</f>
        <v/>
      </c>
      <c r="C843" s="6" t="str">
        <f>IF(A843="","",IF('Statements (Raw)'!C841&lt;&gt;"",'Statements (Raw)'!C841,IF(ISNUMBER(SEARCH("Conferimento",'Statements (Raw)'!D841)),"CASH DEPOSIT",IF(ISNUMBER(SEARCH("Prelievo",'Statements (Raw)'!D841)),"CASH WITHDRAWAL",IF(ISNUMBER(SEARCH("Bollo",'Statements (Raw)'!D841)),"STAMP DUTY",IF(ISNUMBER(SEARCH("Tobin Tax",'Statements (Raw)'!D841)),"TOBIN TAX",IF(ISNUMBER(SEARCH("Rit.provento",'Statements (Raw)'!D841)),"WITHHOLDING TAX",IF(ISNUMBER(SEARCH("Incasso Dividendi",'Statements (Raw)'!D841)),"DIVIDEND",IF(ISNUMBER(SEARCH("Cedola",'Statements (Raw)'!D841)),"COUPON",IF(ISNUMBER(SEARCH("Ratei Pass",'Statements (Raw)'!D841)),"ACCRUED INT",IF(ISNUMBER(SEARCH("Interessi Prest",'Statements (Raw)'!D841)),"SEC LENDING",IF(ISNUMBER(SEARCH("Rimborso",'Statements (Raw)'!D841)),"REDEMPTION",IF(ISNUMBER(SEARCH("Provento",'Statements (Raw)'!D841)),"DISTRIBUTION","OTHER")))))))))))))</f>
        <v/>
      </c>
      <c r="D843" s="6" t="str">
        <f>IF(A843="","",IF(C843="Saldo Iniziale","Balance",IF(C843="CASH DEPOSIT","Deposit",IF(C843="CASH WITHDRAWAL","Withdrawal",IF(C843="STAMP DUTY","Tax",IF(C843="TOBIN TAX","Tax",IF(C843="WITHHOLDING TAX","Tax",IF(C843="DIVIDEND","Dividend",IF(C843="COUPON","Coupon",IF(C843="ACCRUED INT","Accrued Int.",IF(C843="SEC LENDING","Sec. Lending",IF(C843="REDEMPTION","Redemption",IF(C843="DISTRIBUTION","Distribution",IF(ISNUMBER(SEARCH("Rimborso",'Statements (Raw)'!D841)),"Redemption",IF(ISNUMBER(SEARCH("Cedola",'Statements (Raw)'!D841)),"Coupon",IF(ISNUMBER(SEARCH("Incasso Dividendi",'Statements (Raw)'!D841)),"Dividend",IF(ISNUMBER(SEARCH("Provento Etf",'Statements (Raw)'!D841)),"Distribution",IF(ISNUMBER(SEARCH("Rit.provento",'Statements (Raw)'!D841)),"Tax",IF(ISNUMBER(SEARCH("Ratei Pass",'Statements (Raw)'!D841)),"Accrued Int.",IF(ISNUMBER(SEARCH("Interessi Prest",'Statements (Raw)'!D841)),"Sec. Lending",IF('Statements (Raw)'!G841="","Other",IF('Statements (Raw)'!G841&gt;0,"Buy","Sell"))))))))))))))))))))))</f>
        <v/>
      </c>
      <c r="E843" s="6" t="str">
        <f t="shared" si="26"/>
        <v/>
      </c>
      <c r="F843" s="8" t="str">
        <f>IF(A843="","",IF('Statements (Raw)'!E841="","",'Statements (Raw)'!E841))</f>
        <v/>
      </c>
      <c r="G843" s="6" t="str">
        <f>IF(A843="","",IF('Statements (Raw)'!F841="","",'Statements (Raw)'!F841))</f>
        <v/>
      </c>
      <c r="H843" s="9" t="str">
        <f>IF(A843="","",IF('Statements (Raw)'!G841="","",'Statements (Raw)'!G841))</f>
        <v/>
      </c>
      <c r="I843" s="10" t="str">
        <f>IF(A843="","",IF('Statements (Raw)'!H841="","",'Statements (Raw)'!H841))</f>
        <v/>
      </c>
      <c r="J843" s="10">
        <f>IF(A843="",0,IF('Statements (Raw)'!I841="",0,'Statements (Raw)'!I841))</f>
        <v>0</v>
      </c>
      <c r="K843" s="10" t="str">
        <f t="shared" si="27"/>
        <v/>
      </c>
    </row>
    <row r="844" spans="1:11" x14ac:dyDescent="0.3">
      <c r="A844" s="171" t="str">
        <f>IF(OR('Statements (Raw)'!A842="",'Statements (Raw)'!A842&gt;Holdings!$G$3),"",'Statements (Raw)'!A842)</f>
        <v/>
      </c>
      <c r="B844" s="7" t="str">
        <f>IF(A844="","",IF('Statements (Raw)'!B842="","",'Statements (Raw)'!B842))</f>
        <v/>
      </c>
      <c r="C844" s="6" t="str">
        <f>IF(A844="","",IF('Statements (Raw)'!C842&lt;&gt;"",'Statements (Raw)'!C842,IF(ISNUMBER(SEARCH("Conferimento",'Statements (Raw)'!D842)),"CASH DEPOSIT",IF(ISNUMBER(SEARCH("Prelievo",'Statements (Raw)'!D842)),"CASH WITHDRAWAL",IF(ISNUMBER(SEARCH("Bollo",'Statements (Raw)'!D842)),"STAMP DUTY",IF(ISNUMBER(SEARCH("Tobin Tax",'Statements (Raw)'!D842)),"TOBIN TAX",IF(ISNUMBER(SEARCH("Rit.provento",'Statements (Raw)'!D842)),"WITHHOLDING TAX",IF(ISNUMBER(SEARCH("Incasso Dividendi",'Statements (Raw)'!D842)),"DIVIDEND",IF(ISNUMBER(SEARCH("Cedola",'Statements (Raw)'!D842)),"COUPON",IF(ISNUMBER(SEARCH("Ratei Pass",'Statements (Raw)'!D842)),"ACCRUED INT",IF(ISNUMBER(SEARCH("Interessi Prest",'Statements (Raw)'!D842)),"SEC LENDING",IF(ISNUMBER(SEARCH("Rimborso",'Statements (Raw)'!D842)),"REDEMPTION",IF(ISNUMBER(SEARCH("Provento",'Statements (Raw)'!D842)),"DISTRIBUTION","OTHER")))))))))))))</f>
        <v/>
      </c>
      <c r="D844" s="6" t="str">
        <f>IF(A844="","",IF(C844="Saldo Iniziale","Balance",IF(C844="CASH DEPOSIT","Deposit",IF(C844="CASH WITHDRAWAL","Withdrawal",IF(C844="STAMP DUTY","Tax",IF(C844="TOBIN TAX","Tax",IF(C844="WITHHOLDING TAX","Tax",IF(C844="DIVIDEND","Dividend",IF(C844="COUPON","Coupon",IF(C844="ACCRUED INT","Accrued Int.",IF(C844="SEC LENDING","Sec. Lending",IF(C844="REDEMPTION","Redemption",IF(C844="DISTRIBUTION","Distribution",IF(ISNUMBER(SEARCH("Rimborso",'Statements (Raw)'!D842)),"Redemption",IF(ISNUMBER(SEARCH("Cedola",'Statements (Raw)'!D842)),"Coupon",IF(ISNUMBER(SEARCH("Incasso Dividendi",'Statements (Raw)'!D842)),"Dividend",IF(ISNUMBER(SEARCH("Provento Etf",'Statements (Raw)'!D842)),"Distribution",IF(ISNUMBER(SEARCH("Rit.provento",'Statements (Raw)'!D842)),"Tax",IF(ISNUMBER(SEARCH("Ratei Pass",'Statements (Raw)'!D842)),"Accrued Int.",IF(ISNUMBER(SEARCH("Interessi Prest",'Statements (Raw)'!D842)),"Sec. Lending",IF('Statements (Raw)'!G842="","Other",IF('Statements (Raw)'!G842&gt;0,"Buy","Sell"))))))))))))))))))))))</f>
        <v/>
      </c>
      <c r="E844" s="6" t="str">
        <f t="shared" si="26"/>
        <v/>
      </c>
      <c r="F844" s="8" t="str">
        <f>IF(A844="","",IF('Statements (Raw)'!E842="","",'Statements (Raw)'!E842))</f>
        <v/>
      </c>
      <c r="G844" s="6" t="str">
        <f>IF(A844="","",IF('Statements (Raw)'!F842="","",'Statements (Raw)'!F842))</f>
        <v/>
      </c>
      <c r="H844" s="9" t="str">
        <f>IF(A844="","",IF('Statements (Raw)'!G842="","",'Statements (Raw)'!G842))</f>
        <v/>
      </c>
      <c r="I844" s="10" t="str">
        <f>IF(A844="","",IF('Statements (Raw)'!H842="","",'Statements (Raw)'!H842))</f>
        <v/>
      </c>
      <c r="J844" s="10">
        <f>IF(A844="",0,IF('Statements (Raw)'!I842="",0,'Statements (Raw)'!I842))</f>
        <v>0</v>
      </c>
      <c r="K844" s="10" t="str">
        <f t="shared" si="27"/>
        <v/>
      </c>
    </row>
    <row r="845" spans="1:11" x14ac:dyDescent="0.3">
      <c r="A845" s="171" t="str">
        <f>IF(OR('Statements (Raw)'!A843="",'Statements (Raw)'!A843&gt;Holdings!$G$3),"",'Statements (Raw)'!A843)</f>
        <v/>
      </c>
      <c r="B845" s="7" t="str">
        <f>IF(A845="","",IF('Statements (Raw)'!B843="","",'Statements (Raw)'!B843))</f>
        <v/>
      </c>
      <c r="C845" s="6" t="str">
        <f>IF(A845="","",IF('Statements (Raw)'!C843&lt;&gt;"",'Statements (Raw)'!C843,IF(ISNUMBER(SEARCH("Conferimento",'Statements (Raw)'!D843)),"CASH DEPOSIT",IF(ISNUMBER(SEARCH("Prelievo",'Statements (Raw)'!D843)),"CASH WITHDRAWAL",IF(ISNUMBER(SEARCH("Bollo",'Statements (Raw)'!D843)),"STAMP DUTY",IF(ISNUMBER(SEARCH("Tobin Tax",'Statements (Raw)'!D843)),"TOBIN TAX",IF(ISNUMBER(SEARCH("Rit.provento",'Statements (Raw)'!D843)),"WITHHOLDING TAX",IF(ISNUMBER(SEARCH("Incasso Dividendi",'Statements (Raw)'!D843)),"DIVIDEND",IF(ISNUMBER(SEARCH("Cedola",'Statements (Raw)'!D843)),"COUPON",IF(ISNUMBER(SEARCH("Ratei Pass",'Statements (Raw)'!D843)),"ACCRUED INT",IF(ISNUMBER(SEARCH("Interessi Prest",'Statements (Raw)'!D843)),"SEC LENDING",IF(ISNUMBER(SEARCH("Rimborso",'Statements (Raw)'!D843)),"REDEMPTION",IF(ISNUMBER(SEARCH("Provento",'Statements (Raw)'!D843)),"DISTRIBUTION","OTHER")))))))))))))</f>
        <v/>
      </c>
      <c r="D845" s="6" t="str">
        <f>IF(A845="","",IF(C845="Saldo Iniziale","Balance",IF(C845="CASH DEPOSIT","Deposit",IF(C845="CASH WITHDRAWAL","Withdrawal",IF(C845="STAMP DUTY","Tax",IF(C845="TOBIN TAX","Tax",IF(C845="WITHHOLDING TAX","Tax",IF(C845="DIVIDEND","Dividend",IF(C845="COUPON","Coupon",IF(C845="ACCRUED INT","Accrued Int.",IF(C845="SEC LENDING","Sec. Lending",IF(C845="REDEMPTION","Redemption",IF(C845="DISTRIBUTION","Distribution",IF(ISNUMBER(SEARCH("Rimborso",'Statements (Raw)'!D843)),"Redemption",IF(ISNUMBER(SEARCH("Cedola",'Statements (Raw)'!D843)),"Coupon",IF(ISNUMBER(SEARCH("Incasso Dividendi",'Statements (Raw)'!D843)),"Dividend",IF(ISNUMBER(SEARCH("Provento Etf",'Statements (Raw)'!D843)),"Distribution",IF(ISNUMBER(SEARCH("Rit.provento",'Statements (Raw)'!D843)),"Tax",IF(ISNUMBER(SEARCH("Ratei Pass",'Statements (Raw)'!D843)),"Accrued Int.",IF(ISNUMBER(SEARCH("Interessi Prest",'Statements (Raw)'!D843)),"Sec. Lending",IF('Statements (Raw)'!G843="","Other",IF('Statements (Raw)'!G843&gt;0,"Buy","Sell"))))))))))))))))))))))</f>
        <v/>
      </c>
      <c r="E845" s="6" t="str">
        <f t="shared" si="26"/>
        <v/>
      </c>
      <c r="F845" s="8" t="str">
        <f>IF(A845="","",IF('Statements (Raw)'!E843="","",'Statements (Raw)'!E843))</f>
        <v/>
      </c>
      <c r="G845" s="6" t="str">
        <f>IF(A845="","",IF('Statements (Raw)'!F843="","",'Statements (Raw)'!F843))</f>
        <v/>
      </c>
      <c r="H845" s="9" t="str">
        <f>IF(A845="","",IF('Statements (Raw)'!G843="","",'Statements (Raw)'!G843))</f>
        <v/>
      </c>
      <c r="I845" s="10" t="str">
        <f>IF(A845="","",IF('Statements (Raw)'!H843="","",'Statements (Raw)'!H843))</f>
        <v/>
      </c>
      <c r="J845" s="10">
        <f>IF(A845="",0,IF('Statements (Raw)'!I843="",0,'Statements (Raw)'!I843))</f>
        <v>0</v>
      </c>
      <c r="K845" s="10" t="str">
        <f t="shared" si="27"/>
        <v/>
      </c>
    </row>
    <row r="846" spans="1:11" x14ac:dyDescent="0.3">
      <c r="A846" s="171" t="str">
        <f>IF(OR('Statements (Raw)'!A844="",'Statements (Raw)'!A844&gt;Holdings!$G$3),"",'Statements (Raw)'!A844)</f>
        <v/>
      </c>
      <c r="B846" s="7" t="str">
        <f>IF(A846="","",IF('Statements (Raw)'!B844="","",'Statements (Raw)'!B844))</f>
        <v/>
      </c>
      <c r="C846" s="6" t="str">
        <f>IF(A846="","",IF('Statements (Raw)'!C844&lt;&gt;"",'Statements (Raw)'!C844,IF(ISNUMBER(SEARCH("Conferimento",'Statements (Raw)'!D844)),"CASH DEPOSIT",IF(ISNUMBER(SEARCH("Prelievo",'Statements (Raw)'!D844)),"CASH WITHDRAWAL",IF(ISNUMBER(SEARCH("Bollo",'Statements (Raw)'!D844)),"STAMP DUTY",IF(ISNUMBER(SEARCH("Tobin Tax",'Statements (Raw)'!D844)),"TOBIN TAX",IF(ISNUMBER(SEARCH("Rit.provento",'Statements (Raw)'!D844)),"WITHHOLDING TAX",IF(ISNUMBER(SEARCH("Incasso Dividendi",'Statements (Raw)'!D844)),"DIVIDEND",IF(ISNUMBER(SEARCH("Cedola",'Statements (Raw)'!D844)),"COUPON",IF(ISNUMBER(SEARCH("Ratei Pass",'Statements (Raw)'!D844)),"ACCRUED INT",IF(ISNUMBER(SEARCH("Interessi Prest",'Statements (Raw)'!D844)),"SEC LENDING",IF(ISNUMBER(SEARCH("Rimborso",'Statements (Raw)'!D844)),"REDEMPTION",IF(ISNUMBER(SEARCH("Provento",'Statements (Raw)'!D844)),"DISTRIBUTION","OTHER")))))))))))))</f>
        <v/>
      </c>
      <c r="D846" s="6" t="str">
        <f>IF(A846="","",IF(C846="Saldo Iniziale","Balance",IF(C846="CASH DEPOSIT","Deposit",IF(C846="CASH WITHDRAWAL","Withdrawal",IF(C846="STAMP DUTY","Tax",IF(C846="TOBIN TAX","Tax",IF(C846="WITHHOLDING TAX","Tax",IF(C846="DIVIDEND","Dividend",IF(C846="COUPON","Coupon",IF(C846="ACCRUED INT","Accrued Int.",IF(C846="SEC LENDING","Sec. Lending",IF(C846="REDEMPTION","Redemption",IF(C846="DISTRIBUTION","Distribution",IF(ISNUMBER(SEARCH("Rimborso",'Statements (Raw)'!D844)),"Redemption",IF(ISNUMBER(SEARCH("Cedola",'Statements (Raw)'!D844)),"Coupon",IF(ISNUMBER(SEARCH("Incasso Dividendi",'Statements (Raw)'!D844)),"Dividend",IF(ISNUMBER(SEARCH("Provento Etf",'Statements (Raw)'!D844)),"Distribution",IF(ISNUMBER(SEARCH("Rit.provento",'Statements (Raw)'!D844)),"Tax",IF(ISNUMBER(SEARCH("Ratei Pass",'Statements (Raw)'!D844)),"Accrued Int.",IF(ISNUMBER(SEARCH("Interessi Prest",'Statements (Raw)'!D844)),"Sec. Lending",IF('Statements (Raw)'!G844="","Other",IF('Statements (Raw)'!G844&gt;0,"Buy","Sell"))))))))))))))))))))))</f>
        <v/>
      </c>
      <c r="E846" s="6" t="str">
        <f t="shared" si="26"/>
        <v/>
      </c>
      <c r="F846" s="8" t="str">
        <f>IF(A846="","",IF('Statements (Raw)'!E844="","",'Statements (Raw)'!E844))</f>
        <v/>
      </c>
      <c r="G846" s="6" t="str">
        <f>IF(A846="","",IF('Statements (Raw)'!F844="","",'Statements (Raw)'!F844))</f>
        <v/>
      </c>
      <c r="H846" s="9" t="str">
        <f>IF(A846="","",IF('Statements (Raw)'!G844="","",'Statements (Raw)'!G844))</f>
        <v/>
      </c>
      <c r="I846" s="10" t="str">
        <f>IF(A846="","",IF('Statements (Raw)'!H844="","",'Statements (Raw)'!H844))</f>
        <v/>
      </c>
      <c r="J846" s="10">
        <f>IF(A846="",0,IF('Statements (Raw)'!I844="",0,'Statements (Raw)'!I844))</f>
        <v>0</v>
      </c>
      <c r="K846" s="10" t="str">
        <f t="shared" si="27"/>
        <v/>
      </c>
    </row>
    <row r="847" spans="1:11" x14ac:dyDescent="0.3">
      <c r="A847" s="171" t="str">
        <f>IF(OR('Statements (Raw)'!A845="",'Statements (Raw)'!A845&gt;Holdings!$G$3),"",'Statements (Raw)'!A845)</f>
        <v/>
      </c>
      <c r="B847" s="7" t="str">
        <f>IF(A847="","",IF('Statements (Raw)'!B845="","",'Statements (Raw)'!B845))</f>
        <v/>
      </c>
      <c r="C847" s="6" t="str">
        <f>IF(A847="","",IF('Statements (Raw)'!C845&lt;&gt;"",'Statements (Raw)'!C845,IF(ISNUMBER(SEARCH("Conferimento",'Statements (Raw)'!D845)),"CASH DEPOSIT",IF(ISNUMBER(SEARCH("Prelievo",'Statements (Raw)'!D845)),"CASH WITHDRAWAL",IF(ISNUMBER(SEARCH("Bollo",'Statements (Raw)'!D845)),"STAMP DUTY",IF(ISNUMBER(SEARCH("Tobin Tax",'Statements (Raw)'!D845)),"TOBIN TAX",IF(ISNUMBER(SEARCH("Rit.provento",'Statements (Raw)'!D845)),"WITHHOLDING TAX",IF(ISNUMBER(SEARCH("Incasso Dividendi",'Statements (Raw)'!D845)),"DIVIDEND",IF(ISNUMBER(SEARCH("Cedola",'Statements (Raw)'!D845)),"COUPON",IF(ISNUMBER(SEARCH("Ratei Pass",'Statements (Raw)'!D845)),"ACCRUED INT",IF(ISNUMBER(SEARCH("Interessi Prest",'Statements (Raw)'!D845)),"SEC LENDING",IF(ISNUMBER(SEARCH("Rimborso",'Statements (Raw)'!D845)),"REDEMPTION",IF(ISNUMBER(SEARCH("Provento",'Statements (Raw)'!D845)),"DISTRIBUTION","OTHER")))))))))))))</f>
        <v/>
      </c>
      <c r="D847" s="6" t="str">
        <f>IF(A847="","",IF(C847="Saldo Iniziale","Balance",IF(C847="CASH DEPOSIT","Deposit",IF(C847="CASH WITHDRAWAL","Withdrawal",IF(C847="STAMP DUTY","Tax",IF(C847="TOBIN TAX","Tax",IF(C847="WITHHOLDING TAX","Tax",IF(C847="DIVIDEND","Dividend",IF(C847="COUPON","Coupon",IF(C847="ACCRUED INT","Accrued Int.",IF(C847="SEC LENDING","Sec. Lending",IF(C847="REDEMPTION","Redemption",IF(C847="DISTRIBUTION","Distribution",IF(ISNUMBER(SEARCH("Rimborso",'Statements (Raw)'!D845)),"Redemption",IF(ISNUMBER(SEARCH("Cedola",'Statements (Raw)'!D845)),"Coupon",IF(ISNUMBER(SEARCH("Incasso Dividendi",'Statements (Raw)'!D845)),"Dividend",IF(ISNUMBER(SEARCH("Provento Etf",'Statements (Raw)'!D845)),"Distribution",IF(ISNUMBER(SEARCH("Rit.provento",'Statements (Raw)'!D845)),"Tax",IF(ISNUMBER(SEARCH("Ratei Pass",'Statements (Raw)'!D845)),"Accrued Int.",IF(ISNUMBER(SEARCH("Interessi Prest",'Statements (Raw)'!D845)),"Sec. Lending",IF('Statements (Raw)'!G845="","Other",IF('Statements (Raw)'!G845&gt;0,"Buy","Sell"))))))))))))))))))))))</f>
        <v/>
      </c>
      <c r="E847" s="6" t="str">
        <f t="shared" si="26"/>
        <v/>
      </c>
      <c r="F847" s="8" t="str">
        <f>IF(A847="","",IF('Statements (Raw)'!E845="","",'Statements (Raw)'!E845))</f>
        <v/>
      </c>
      <c r="G847" s="6" t="str">
        <f>IF(A847="","",IF('Statements (Raw)'!F845="","",'Statements (Raw)'!F845))</f>
        <v/>
      </c>
      <c r="H847" s="9" t="str">
        <f>IF(A847="","",IF('Statements (Raw)'!G845="","",'Statements (Raw)'!G845))</f>
        <v/>
      </c>
      <c r="I847" s="10" t="str">
        <f>IF(A847="","",IF('Statements (Raw)'!H845="","",'Statements (Raw)'!H845))</f>
        <v/>
      </c>
      <c r="J847" s="10">
        <f>IF(A847="",0,IF('Statements (Raw)'!I845="",0,'Statements (Raw)'!I845))</f>
        <v>0</v>
      </c>
      <c r="K847" s="10" t="str">
        <f t="shared" si="27"/>
        <v/>
      </c>
    </row>
    <row r="848" spans="1:11" x14ac:dyDescent="0.3">
      <c r="A848" s="171" t="str">
        <f>IF(OR('Statements (Raw)'!A846="",'Statements (Raw)'!A846&gt;Holdings!$G$3),"",'Statements (Raw)'!A846)</f>
        <v/>
      </c>
      <c r="B848" s="7" t="str">
        <f>IF(A848="","",IF('Statements (Raw)'!B846="","",'Statements (Raw)'!B846))</f>
        <v/>
      </c>
      <c r="C848" s="6" t="str">
        <f>IF(A848="","",IF('Statements (Raw)'!C846&lt;&gt;"",'Statements (Raw)'!C846,IF(ISNUMBER(SEARCH("Conferimento",'Statements (Raw)'!D846)),"CASH DEPOSIT",IF(ISNUMBER(SEARCH("Prelievo",'Statements (Raw)'!D846)),"CASH WITHDRAWAL",IF(ISNUMBER(SEARCH("Bollo",'Statements (Raw)'!D846)),"STAMP DUTY",IF(ISNUMBER(SEARCH("Tobin Tax",'Statements (Raw)'!D846)),"TOBIN TAX",IF(ISNUMBER(SEARCH("Rit.provento",'Statements (Raw)'!D846)),"WITHHOLDING TAX",IF(ISNUMBER(SEARCH("Incasso Dividendi",'Statements (Raw)'!D846)),"DIVIDEND",IF(ISNUMBER(SEARCH("Cedola",'Statements (Raw)'!D846)),"COUPON",IF(ISNUMBER(SEARCH("Ratei Pass",'Statements (Raw)'!D846)),"ACCRUED INT",IF(ISNUMBER(SEARCH("Interessi Prest",'Statements (Raw)'!D846)),"SEC LENDING",IF(ISNUMBER(SEARCH("Rimborso",'Statements (Raw)'!D846)),"REDEMPTION",IF(ISNUMBER(SEARCH("Provento",'Statements (Raw)'!D846)),"DISTRIBUTION","OTHER")))))))))))))</f>
        <v/>
      </c>
      <c r="D848" s="6" t="str">
        <f>IF(A848="","",IF(C848="Saldo Iniziale","Balance",IF(C848="CASH DEPOSIT","Deposit",IF(C848="CASH WITHDRAWAL","Withdrawal",IF(C848="STAMP DUTY","Tax",IF(C848="TOBIN TAX","Tax",IF(C848="WITHHOLDING TAX","Tax",IF(C848="DIVIDEND","Dividend",IF(C848="COUPON","Coupon",IF(C848="ACCRUED INT","Accrued Int.",IF(C848="SEC LENDING","Sec. Lending",IF(C848="REDEMPTION","Redemption",IF(C848="DISTRIBUTION","Distribution",IF(ISNUMBER(SEARCH("Rimborso",'Statements (Raw)'!D846)),"Redemption",IF(ISNUMBER(SEARCH("Cedola",'Statements (Raw)'!D846)),"Coupon",IF(ISNUMBER(SEARCH("Incasso Dividendi",'Statements (Raw)'!D846)),"Dividend",IF(ISNUMBER(SEARCH("Provento Etf",'Statements (Raw)'!D846)),"Distribution",IF(ISNUMBER(SEARCH("Rit.provento",'Statements (Raw)'!D846)),"Tax",IF(ISNUMBER(SEARCH("Ratei Pass",'Statements (Raw)'!D846)),"Accrued Int.",IF(ISNUMBER(SEARCH("Interessi Prest",'Statements (Raw)'!D846)),"Sec. Lending",IF('Statements (Raw)'!G846="","Other",IF('Statements (Raw)'!G846&gt;0,"Buy","Sell"))))))))))))))))))))))</f>
        <v/>
      </c>
      <c r="E848" s="6" t="str">
        <f t="shared" si="26"/>
        <v/>
      </c>
      <c r="F848" s="8" t="str">
        <f>IF(A848="","",IF('Statements (Raw)'!E846="","",'Statements (Raw)'!E846))</f>
        <v/>
      </c>
      <c r="G848" s="6" t="str">
        <f>IF(A848="","",IF('Statements (Raw)'!F846="","",'Statements (Raw)'!F846))</f>
        <v/>
      </c>
      <c r="H848" s="9" t="str">
        <f>IF(A848="","",IF('Statements (Raw)'!G846="","",'Statements (Raw)'!G846))</f>
        <v/>
      </c>
      <c r="I848" s="10" t="str">
        <f>IF(A848="","",IF('Statements (Raw)'!H846="","",'Statements (Raw)'!H846))</f>
        <v/>
      </c>
      <c r="J848" s="10">
        <f>IF(A848="",0,IF('Statements (Raw)'!I846="",0,'Statements (Raw)'!I846))</f>
        <v>0</v>
      </c>
      <c r="K848" s="10" t="str">
        <f t="shared" si="27"/>
        <v/>
      </c>
    </row>
    <row r="849" spans="1:11" x14ac:dyDescent="0.3">
      <c r="A849" s="171" t="str">
        <f>IF(OR('Statements (Raw)'!A847="",'Statements (Raw)'!A847&gt;Holdings!$G$3),"",'Statements (Raw)'!A847)</f>
        <v/>
      </c>
      <c r="B849" s="7" t="str">
        <f>IF(A849="","",IF('Statements (Raw)'!B847="","",'Statements (Raw)'!B847))</f>
        <v/>
      </c>
      <c r="C849" s="6" t="str">
        <f>IF(A849="","",IF('Statements (Raw)'!C847&lt;&gt;"",'Statements (Raw)'!C847,IF(ISNUMBER(SEARCH("Conferimento",'Statements (Raw)'!D847)),"CASH DEPOSIT",IF(ISNUMBER(SEARCH("Prelievo",'Statements (Raw)'!D847)),"CASH WITHDRAWAL",IF(ISNUMBER(SEARCH("Bollo",'Statements (Raw)'!D847)),"STAMP DUTY",IF(ISNUMBER(SEARCH("Tobin Tax",'Statements (Raw)'!D847)),"TOBIN TAX",IF(ISNUMBER(SEARCH("Rit.provento",'Statements (Raw)'!D847)),"WITHHOLDING TAX",IF(ISNUMBER(SEARCH("Incasso Dividendi",'Statements (Raw)'!D847)),"DIVIDEND",IF(ISNUMBER(SEARCH("Cedola",'Statements (Raw)'!D847)),"COUPON",IF(ISNUMBER(SEARCH("Ratei Pass",'Statements (Raw)'!D847)),"ACCRUED INT",IF(ISNUMBER(SEARCH("Interessi Prest",'Statements (Raw)'!D847)),"SEC LENDING",IF(ISNUMBER(SEARCH("Rimborso",'Statements (Raw)'!D847)),"REDEMPTION",IF(ISNUMBER(SEARCH("Provento",'Statements (Raw)'!D847)),"DISTRIBUTION","OTHER")))))))))))))</f>
        <v/>
      </c>
      <c r="D849" s="6" t="str">
        <f>IF(A849="","",IF(C849="Saldo Iniziale","Balance",IF(C849="CASH DEPOSIT","Deposit",IF(C849="CASH WITHDRAWAL","Withdrawal",IF(C849="STAMP DUTY","Tax",IF(C849="TOBIN TAX","Tax",IF(C849="WITHHOLDING TAX","Tax",IF(C849="DIVIDEND","Dividend",IF(C849="COUPON","Coupon",IF(C849="ACCRUED INT","Accrued Int.",IF(C849="SEC LENDING","Sec. Lending",IF(C849="REDEMPTION","Redemption",IF(C849="DISTRIBUTION","Distribution",IF(ISNUMBER(SEARCH("Rimborso",'Statements (Raw)'!D847)),"Redemption",IF(ISNUMBER(SEARCH("Cedola",'Statements (Raw)'!D847)),"Coupon",IF(ISNUMBER(SEARCH("Incasso Dividendi",'Statements (Raw)'!D847)),"Dividend",IF(ISNUMBER(SEARCH("Provento Etf",'Statements (Raw)'!D847)),"Distribution",IF(ISNUMBER(SEARCH("Rit.provento",'Statements (Raw)'!D847)),"Tax",IF(ISNUMBER(SEARCH("Ratei Pass",'Statements (Raw)'!D847)),"Accrued Int.",IF(ISNUMBER(SEARCH("Interessi Prest",'Statements (Raw)'!D847)),"Sec. Lending",IF('Statements (Raw)'!G847="","Other",IF('Statements (Raw)'!G847&gt;0,"Buy","Sell"))))))))))))))))))))))</f>
        <v/>
      </c>
      <c r="E849" s="6" t="str">
        <f t="shared" si="26"/>
        <v/>
      </c>
      <c r="F849" s="8" t="str">
        <f>IF(A849="","",IF('Statements (Raw)'!E847="","",'Statements (Raw)'!E847))</f>
        <v/>
      </c>
      <c r="G849" s="6" t="str">
        <f>IF(A849="","",IF('Statements (Raw)'!F847="","",'Statements (Raw)'!F847))</f>
        <v/>
      </c>
      <c r="H849" s="9" t="str">
        <f>IF(A849="","",IF('Statements (Raw)'!G847="","",'Statements (Raw)'!G847))</f>
        <v/>
      </c>
      <c r="I849" s="10" t="str">
        <f>IF(A849="","",IF('Statements (Raw)'!H847="","",'Statements (Raw)'!H847))</f>
        <v/>
      </c>
      <c r="J849" s="10">
        <f>IF(A849="",0,IF('Statements (Raw)'!I847="",0,'Statements (Raw)'!I847))</f>
        <v>0</v>
      </c>
      <c r="K849" s="10" t="str">
        <f t="shared" si="27"/>
        <v/>
      </c>
    </row>
    <row r="850" spans="1:11" x14ac:dyDescent="0.3">
      <c r="A850" s="171" t="str">
        <f>IF(OR('Statements (Raw)'!A848="",'Statements (Raw)'!A848&gt;Holdings!$G$3),"",'Statements (Raw)'!A848)</f>
        <v/>
      </c>
      <c r="B850" s="7" t="str">
        <f>IF(A850="","",IF('Statements (Raw)'!B848="","",'Statements (Raw)'!B848))</f>
        <v/>
      </c>
      <c r="C850" s="6" t="str">
        <f>IF(A850="","",IF('Statements (Raw)'!C848&lt;&gt;"",'Statements (Raw)'!C848,IF(ISNUMBER(SEARCH("Conferimento",'Statements (Raw)'!D848)),"CASH DEPOSIT",IF(ISNUMBER(SEARCH("Prelievo",'Statements (Raw)'!D848)),"CASH WITHDRAWAL",IF(ISNUMBER(SEARCH("Bollo",'Statements (Raw)'!D848)),"STAMP DUTY",IF(ISNUMBER(SEARCH("Tobin Tax",'Statements (Raw)'!D848)),"TOBIN TAX",IF(ISNUMBER(SEARCH("Rit.provento",'Statements (Raw)'!D848)),"WITHHOLDING TAX",IF(ISNUMBER(SEARCH("Incasso Dividendi",'Statements (Raw)'!D848)),"DIVIDEND",IF(ISNUMBER(SEARCH("Cedola",'Statements (Raw)'!D848)),"COUPON",IF(ISNUMBER(SEARCH("Ratei Pass",'Statements (Raw)'!D848)),"ACCRUED INT",IF(ISNUMBER(SEARCH("Interessi Prest",'Statements (Raw)'!D848)),"SEC LENDING",IF(ISNUMBER(SEARCH("Rimborso",'Statements (Raw)'!D848)),"REDEMPTION",IF(ISNUMBER(SEARCH("Provento",'Statements (Raw)'!D848)),"DISTRIBUTION","OTHER")))))))))))))</f>
        <v/>
      </c>
      <c r="D850" s="6" t="str">
        <f>IF(A850="","",IF(C850="Saldo Iniziale","Balance",IF(C850="CASH DEPOSIT","Deposit",IF(C850="CASH WITHDRAWAL","Withdrawal",IF(C850="STAMP DUTY","Tax",IF(C850="TOBIN TAX","Tax",IF(C850="WITHHOLDING TAX","Tax",IF(C850="DIVIDEND","Dividend",IF(C850="COUPON","Coupon",IF(C850="ACCRUED INT","Accrued Int.",IF(C850="SEC LENDING","Sec. Lending",IF(C850="REDEMPTION","Redemption",IF(C850="DISTRIBUTION","Distribution",IF(ISNUMBER(SEARCH("Rimborso",'Statements (Raw)'!D848)),"Redemption",IF(ISNUMBER(SEARCH("Cedola",'Statements (Raw)'!D848)),"Coupon",IF(ISNUMBER(SEARCH("Incasso Dividendi",'Statements (Raw)'!D848)),"Dividend",IF(ISNUMBER(SEARCH("Provento Etf",'Statements (Raw)'!D848)),"Distribution",IF(ISNUMBER(SEARCH("Rit.provento",'Statements (Raw)'!D848)),"Tax",IF(ISNUMBER(SEARCH("Ratei Pass",'Statements (Raw)'!D848)),"Accrued Int.",IF(ISNUMBER(SEARCH("Interessi Prest",'Statements (Raw)'!D848)),"Sec. Lending",IF('Statements (Raw)'!G848="","Other",IF('Statements (Raw)'!G848&gt;0,"Buy","Sell"))))))))))))))))))))))</f>
        <v/>
      </c>
      <c r="E850" s="6" t="str">
        <f t="shared" si="26"/>
        <v/>
      </c>
      <c r="F850" s="8" t="str">
        <f>IF(A850="","",IF('Statements (Raw)'!E848="","",'Statements (Raw)'!E848))</f>
        <v/>
      </c>
      <c r="G850" s="6" t="str">
        <f>IF(A850="","",IF('Statements (Raw)'!F848="","",'Statements (Raw)'!F848))</f>
        <v/>
      </c>
      <c r="H850" s="9" t="str">
        <f>IF(A850="","",IF('Statements (Raw)'!G848="","",'Statements (Raw)'!G848))</f>
        <v/>
      </c>
      <c r="I850" s="10" t="str">
        <f>IF(A850="","",IF('Statements (Raw)'!H848="","",'Statements (Raw)'!H848))</f>
        <v/>
      </c>
      <c r="J850" s="10">
        <f>IF(A850="",0,IF('Statements (Raw)'!I848="",0,'Statements (Raw)'!I848))</f>
        <v>0</v>
      </c>
      <c r="K850" s="10" t="str">
        <f t="shared" si="27"/>
        <v/>
      </c>
    </row>
    <row r="851" spans="1:11" x14ac:dyDescent="0.3">
      <c r="A851" s="171" t="str">
        <f>IF(OR('Statements (Raw)'!A849="",'Statements (Raw)'!A849&gt;Holdings!$G$3),"",'Statements (Raw)'!A849)</f>
        <v/>
      </c>
      <c r="B851" s="7" t="str">
        <f>IF(A851="","",IF('Statements (Raw)'!B849="","",'Statements (Raw)'!B849))</f>
        <v/>
      </c>
      <c r="C851" s="6" t="str">
        <f>IF(A851="","",IF('Statements (Raw)'!C849&lt;&gt;"",'Statements (Raw)'!C849,IF(ISNUMBER(SEARCH("Conferimento",'Statements (Raw)'!D849)),"CASH DEPOSIT",IF(ISNUMBER(SEARCH("Prelievo",'Statements (Raw)'!D849)),"CASH WITHDRAWAL",IF(ISNUMBER(SEARCH("Bollo",'Statements (Raw)'!D849)),"STAMP DUTY",IF(ISNUMBER(SEARCH("Tobin Tax",'Statements (Raw)'!D849)),"TOBIN TAX",IF(ISNUMBER(SEARCH("Rit.provento",'Statements (Raw)'!D849)),"WITHHOLDING TAX",IF(ISNUMBER(SEARCH("Incasso Dividendi",'Statements (Raw)'!D849)),"DIVIDEND",IF(ISNUMBER(SEARCH("Cedola",'Statements (Raw)'!D849)),"COUPON",IF(ISNUMBER(SEARCH("Ratei Pass",'Statements (Raw)'!D849)),"ACCRUED INT",IF(ISNUMBER(SEARCH("Interessi Prest",'Statements (Raw)'!D849)),"SEC LENDING",IF(ISNUMBER(SEARCH("Rimborso",'Statements (Raw)'!D849)),"REDEMPTION",IF(ISNUMBER(SEARCH("Provento",'Statements (Raw)'!D849)),"DISTRIBUTION","OTHER")))))))))))))</f>
        <v/>
      </c>
      <c r="D851" s="6" t="str">
        <f>IF(A851="","",IF(C851="Saldo Iniziale","Balance",IF(C851="CASH DEPOSIT","Deposit",IF(C851="CASH WITHDRAWAL","Withdrawal",IF(C851="STAMP DUTY","Tax",IF(C851="TOBIN TAX","Tax",IF(C851="WITHHOLDING TAX","Tax",IF(C851="DIVIDEND","Dividend",IF(C851="COUPON","Coupon",IF(C851="ACCRUED INT","Accrued Int.",IF(C851="SEC LENDING","Sec. Lending",IF(C851="REDEMPTION","Redemption",IF(C851="DISTRIBUTION","Distribution",IF(ISNUMBER(SEARCH("Rimborso",'Statements (Raw)'!D849)),"Redemption",IF(ISNUMBER(SEARCH("Cedola",'Statements (Raw)'!D849)),"Coupon",IF(ISNUMBER(SEARCH("Incasso Dividendi",'Statements (Raw)'!D849)),"Dividend",IF(ISNUMBER(SEARCH("Provento Etf",'Statements (Raw)'!D849)),"Distribution",IF(ISNUMBER(SEARCH("Rit.provento",'Statements (Raw)'!D849)),"Tax",IF(ISNUMBER(SEARCH("Ratei Pass",'Statements (Raw)'!D849)),"Accrued Int.",IF(ISNUMBER(SEARCH("Interessi Prest",'Statements (Raw)'!D849)),"Sec. Lending",IF('Statements (Raw)'!G849="","Other",IF('Statements (Raw)'!G849&gt;0,"Buy","Sell"))))))))))))))))))))))</f>
        <v/>
      </c>
      <c r="E851" s="6" t="str">
        <f t="shared" si="26"/>
        <v/>
      </c>
      <c r="F851" s="8" t="str">
        <f>IF(A851="","",IF('Statements (Raw)'!E849="","",'Statements (Raw)'!E849))</f>
        <v/>
      </c>
      <c r="G851" s="6" t="str">
        <f>IF(A851="","",IF('Statements (Raw)'!F849="","",'Statements (Raw)'!F849))</f>
        <v/>
      </c>
      <c r="H851" s="9" t="str">
        <f>IF(A851="","",IF('Statements (Raw)'!G849="","",'Statements (Raw)'!G849))</f>
        <v/>
      </c>
      <c r="I851" s="10" t="str">
        <f>IF(A851="","",IF('Statements (Raw)'!H849="","",'Statements (Raw)'!H849))</f>
        <v/>
      </c>
      <c r="J851" s="10">
        <f>IF(A851="",0,IF('Statements (Raw)'!I849="",0,'Statements (Raw)'!I849))</f>
        <v>0</v>
      </c>
      <c r="K851" s="10" t="str">
        <f t="shared" si="27"/>
        <v/>
      </c>
    </row>
    <row r="852" spans="1:11" x14ac:dyDescent="0.3">
      <c r="A852" s="171" t="str">
        <f>IF(OR('Statements (Raw)'!A850="",'Statements (Raw)'!A850&gt;Holdings!$G$3),"",'Statements (Raw)'!A850)</f>
        <v/>
      </c>
      <c r="B852" s="7" t="str">
        <f>IF(A852="","",IF('Statements (Raw)'!B850="","",'Statements (Raw)'!B850))</f>
        <v/>
      </c>
      <c r="C852" s="6" t="str">
        <f>IF(A852="","",IF('Statements (Raw)'!C850&lt;&gt;"",'Statements (Raw)'!C850,IF(ISNUMBER(SEARCH("Conferimento",'Statements (Raw)'!D850)),"CASH DEPOSIT",IF(ISNUMBER(SEARCH("Prelievo",'Statements (Raw)'!D850)),"CASH WITHDRAWAL",IF(ISNUMBER(SEARCH("Bollo",'Statements (Raw)'!D850)),"STAMP DUTY",IF(ISNUMBER(SEARCH("Tobin Tax",'Statements (Raw)'!D850)),"TOBIN TAX",IF(ISNUMBER(SEARCH("Rit.provento",'Statements (Raw)'!D850)),"WITHHOLDING TAX",IF(ISNUMBER(SEARCH("Incasso Dividendi",'Statements (Raw)'!D850)),"DIVIDEND",IF(ISNUMBER(SEARCH("Cedola",'Statements (Raw)'!D850)),"COUPON",IF(ISNUMBER(SEARCH("Ratei Pass",'Statements (Raw)'!D850)),"ACCRUED INT",IF(ISNUMBER(SEARCH("Interessi Prest",'Statements (Raw)'!D850)),"SEC LENDING",IF(ISNUMBER(SEARCH("Rimborso",'Statements (Raw)'!D850)),"REDEMPTION",IF(ISNUMBER(SEARCH("Provento",'Statements (Raw)'!D850)),"DISTRIBUTION","OTHER")))))))))))))</f>
        <v/>
      </c>
      <c r="D852" s="6" t="str">
        <f>IF(A852="","",IF(C852="Saldo Iniziale","Balance",IF(C852="CASH DEPOSIT","Deposit",IF(C852="CASH WITHDRAWAL","Withdrawal",IF(C852="STAMP DUTY","Tax",IF(C852="TOBIN TAX","Tax",IF(C852="WITHHOLDING TAX","Tax",IF(C852="DIVIDEND","Dividend",IF(C852="COUPON","Coupon",IF(C852="ACCRUED INT","Accrued Int.",IF(C852="SEC LENDING","Sec. Lending",IF(C852="REDEMPTION","Redemption",IF(C852="DISTRIBUTION","Distribution",IF(ISNUMBER(SEARCH("Rimborso",'Statements (Raw)'!D850)),"Redemption",IF(ISNUMBER(SEARCH("Cedola",'Statements (Raw)'!D850)),"Coupon",IF(ISNUMBER(SEARCH("Incasso Dividendi",'Statements (Raw)'!D850)),"Dividend",IF(ISNUMBER(SEARCH("Provento Etf",'Statements (Raw)'!D850)),"Distribution",IF(ISNUMBER(SEARCH("Rit.provento",'Statements (Raw)'!D850)),"Tax",IF(ISNUMBER(SEARCH("Ratei Pass",'Statements (Raw)'!D850)),"Accrued Int.",IF(ISNUMBER(SEARCH("Interessi Prest",'Statements (Raw)'!D850)),"Sec. Lending",IF('Statements (Raw)'!G850="","Other",IF('Statements (Raw)'!G850&gt;0,"Buy","Sell"))))))))))))))))))))))</f>
        <v/>
      </c>
      <c r="E852" s="6" t="str">
        <f t="shared" si="26"/>
        <v/>
      </c>
      <c r="F852" s="8" t="str">
        <f>IF(A852="","",IF('Statements (Raw)'!E850="","",'Statements (Raw)'!E850))</f>
        <v/>
      </c>
      <c r="G852" s="6" t="str">
        <f>IF(A852="","",IF('Statements (Raw)'!F850="","",'Statements (Raw)'!F850))</f>
        <v/>
      </c>
      <c r="H852" s="9" t="str">
        <f>IF(A852="","",IF('Statements (Raw)'!G850="","",'Statements (Raw)'!G850))</f>
        <v/>
      </c>
      <c r="I852" s="10" t="str">
        <f>IF(A852="","",IF('Statements (Raw)'!H850="","",'Statements (Raw)'!H850))</f>
        <v/>
      </c>
      <c r="J852" s="10">
        <f>IF(A852="",0,IF('Statements (Raw)'!I850="",0,'Statements (Raw)'!I850))</f>
        <v>0</v>
      </c>
      <c r="K852" s="10" t="str">
        <f t="shared" si="27"/>
        <v/>
      </c>
    </row>
    <row r="853" spans="1:11" x14ac:dyDescent="0.3">
      <c r="A853" s="171" t="str">
        <f>IF(OR('Statements (Raw)'!A851="",'Statements (Raw)'!A851&gt;Holdings!$G$3),"",'Statements (Raw)'!A851)</f>
        <v/>
      </c>
      <c r="B853" s="7" t="str">
        <f>IF(A853="","",IF('Statements (Raw)'!B851="","",'Statements (Raw)'!B851))</f>
        <v/>
      </c>
      <c r="C853" s="6" t="str">
        <f>IF(A853="","",IF('Statements (Raw)'!C851&lt;&gt;"",'Statements (Raw)'!C851,IF(ISNUMBER(SEARCH("Conferimento",'Statements (Raw)'!D851)),"CASH DEPOSIT",IF(ISNUMBER(SEARCH("Prelievo",'Statements (Raw)'!D851)),"CASH WITHDRAWAL",IF(ISNUMBER(SEARCH("Bollo",'Statements (Raw)'!D851)),"STAMP DUTY",IF(ISNUMBER(SEARCH("Tobin Tax",'Statements (Raw)'!D851)),"TOBIN TAX",IF(ISNUMBER(SEARCH("Rit.provento",'Statements (Raw)'!D851)),"WITHHOLDING TAX",IF(ISNUMBER(SEARCH("Incasso Dividendi",'Statements (Raw)'!D851)),"DIVIDEND",IF(ISNUMBER(SEARCH("Cedola",'Statements (Raw)'!D851)),"COUPON",IF(ISNUMBER(SEARCH("Ratei Pass",'Statements (Raw)'!D851)),"ACCRUED INT",IF(ISNUMBER(SEARCH("Interessi Prest",'Statements (Raw)'!D851)),"SEC LENDING",IF(ISNUMBER(SEARCH("Rimborso",'Statements (Raw)'!D851)),"REDEMPTION",IF(ISNUMBER(SEARCH("Provento",'Statements (Raw)'!D851)),"DISTRIBUTION","OTHER")))))))))))))</f>
        <v/>
      </c>
      <c r="D853" s="6" t="str">
        <f>IF(A853="","",IF(C853="Saldo Iniziale","Balance",IF(C853="CASH DEPOSIT","Deposit",IF(C853="CASH WITHDRAWAL","Withdrawal",IF(C853="STAMP DUTY","Tax",IF(C853="TOBIN TAX","Tax",IF(C853="WITHHOLDING TAX","Tax",IF(C853="DIVIDEND","Dividend",IF(C853="COUPON","Coupon",IF(C853="ACCRUED INT","Accrued Int.",IF(C853="SEC LENDING","Sec. Lending",IF(C853="REDEMPTION","Redemption",IF(C853="DISTRIBUTION","Distribution",IF(ISNUMBER(SEARCH("Rimborso",'Statements (Raw)'!D851)),"Redemption",IF(ISNUMBER(SEARCH("Cedola",'Statements (Raw)'!D851)),"Coupon",IF(ISNUMBER(SEARCH("Incasso Dividendi",'Statements (Raw)'!D851)),"Dividend",IF(ISNUMBER(SEARCH("Provento Etf",'Statements (Raw)'!D851)),"Distribution",IF(ISNUMBER(SEARCH("Rit.provento",'Statements (Raw)'!D851)),"Tax",IF(ISNUMBER(SEARCH("Ratei Pass",'Statements (Raw)'!D851)),"Accrued Int.",IF(ISNUMBER(SEARCH("Interessi Prest",'Statements (Raw)'!D851)),"Sec. Lending",IF('Statements (Raw)'!G851="","Other",IF('Statements (Raw)'!G851&gt;0,"Buy","Sell"))))))))))))))))))))))</f>
        <v/>
      </c>
      <c r="E853" s="6" t="str">
        <f t="shared" si="26"/>
        <v/>
      </c>
      <c r="F853" s="8" t="str">
        <f>IF(A853="","",IF('Statements (Raw)'!E851="","",'Statements (Raw)'!E851))</f>
        <v/>
      </c>
      <c r="G853" s="6" t="str">
        <f>IF(A853="","",IF('Statements (Raw)'!F851="","",'Statements (Raw)'!F851))</f>
        <v/>
      </c>
      <c r="H853" s="9" t="str">
        <f>IF(A853="","",IF('Statements (Raw)'!G851="","",'Statements (Raw)'!G851))</f>
        <v/>
      </c>
      <c r="I853" s="10" t="str">
        <f>IF(A853="","",IF('Statements (Raw)'!H851="","",'Statements (Raw)'!H851))</f>
        <v/>
      </c>
      <c r="J853" s="10">
        <f>IF(A853="",0,IF('Statements (Raw)'!I851="",0,'Statements (Raw)'!I851))</f>
        <v>0</v>
      </c>
      <c r="K853" s="10" t="str">
        <f t="shared" si="27"/>
        <v/>
      </c>
    </row>
    <row r="854" spans="1:11" x14ac:dyDescent="0.3">
      <c r="A854" s="171" t="str">
        <f>IF(OR('Statements (Raw)'!A852="",'Statements (Raw)'!A852&gt;Holdings!$G$3),"",'Statements (Raw)'!A852)</f>
        <v/>
      </c>
      <c r="B854" s="7" t="str">
        <f>IF(A854="","",IF('Statements (Raw)'!B852="","",'Statements (Raw)'!B852))</f>
        <v/>
      </c>
      <c r="C854" s="6" t="str">
        <f>IF(A854="","",IF('Statements (Raw)'!C852&lt;&gt;"",'Statements (Raw)'!C852,IF(ISNUMBER(SEARCH("Conferimento",'Statements (Raw)'!D852)),"CASH DEPOSIT",IF(ISNUMBER(SEARCH("Prelievo",'Statements (Raw)'!D852)),"CASH WITHDRAWAL",IF(ISNUMBER(SEARCH("Bollo",'Statements (Raw)'!D852)),"STAMP DUTY",IF(ISNUMBER(SEARCH("Tobin Tax",'Statements (Raw)'!D852)),"TOBIN TAX",IF(ISNUMBER(SEARCH("Rit.provento",'Statements (Raw)'!D852)),"WITHHOLDING TAX",IF(ISNUMBER(SEARCH("Incasso Dividendi",'Statements (Raw)'!D852)),"DIVIDEND",IF(ISNUMBER(SEARCH("Cedola",'Statements (Raw)'!D852)),"COUPON",IF(ISNUMBER(SEARCH("Ratei Pass",'Statements (Raw)'!D852)),"ACCRUED INT",IF(ISNUMBER(SEARCH("Interessi Prest",'Statements (Raw)'!D852)),"SEC LENDING",IF(ISNUMBER(SEARCH("Rimborso",'Statements (Raw)'!D852)),"REDEMPTION",IF(ISNUMBER(SEARCH("Provento",'Statements (Raw)'!D852)),"DISTRIBUTION","OTHER")))))))))))))</f>
        <v/>
      </c>
      <c r="D854" s="6" t="str">
        <f>IF(A854="","",IF(C854="Saldo Iniziale","Balance",IF(C854="CASH DEPOSIT","Deposit",IF(C854="CASH WITHDRAWAL","Withdrawal",IF(C854="STAMP DUTY","Tax",IF(C854="TOBIN TAX","Tax",IF(C854="WITHHOLDING TAX","Tax",IF(C854="DIVIDEND","Dividend",IF(C854="COUPON","Coupon",IF(C854="ACCRUED INT","Accrued Int.",IF(C854="SEC LENDING","Sec. Lending",IF(C854="REDEMPTION","Redemption",IF(C854="DISTRIBUTION","Distribution",IF(ISNUMBER(SEARCH("Rimborso",'Statements (Raw)'!D852)),"Redemption",IF(ISNUMBER(SEARCH("Cedola",'Statements (Raw)'!D852)),"Coupon",IF(ISNUMBER(SEARCH("Incasso Dividendi",'Statements (Raw)'!D852)),"Dividend",IF(ISNUMBER(SEARCH("Provento Etf",'Statements (Raw)'!D852)),"Distribution",IF(ISNUMBER(SEARCH("Rit.provento",'Statements (Raw)'!D852)),"Tax",IF(ISNUMBER(SEARCH("Ratei Pass",'Statements (Raw)'!D852)),"Accrued Int.",IF(ISNUMBER(SEARCH("Interessi Prest",'Statements (Raw)'!D852)),"Sec. Lending",IF('Statements (Raw)'!G852="","Other",IF('Statements (Raw)'!G852&gt;0,"Buy","Sell"))))))))))))))))))))))</f>
        <v/>
      </c>
      <c r="E854" s="6" t="str">
        <f t="shared" si="26"/>
        <v/>
      </c>
      <c r="F854" s="8" t="str">
        <f>IF(A854="","",IF('Statements (Raw)'!E852="","",'Statements (Raw)'!E852))</f>
        <v/>
      </c>
      <c r="G854" s="6" t="str">
        <f>IF(A854="","",IF('Statements (Raw)'!F852="","",'Statements (Raw)'!F852))</f>
        <v/>
      </c>
      <c r="H854" s="9" t="str">
        <f>IF(A854="","",IF('Statements (Raw)'!G852="","",'Statements (Raw)'!G852))</f>
        <v/>
      </c>
      <c r="I854" s="10" t="str">
        <f>IF(A854="","",IF('Statements (Raw)'!H852="","",'Statements (Raw)'!H852))</f>
        <v/>
      </c>
      <c r="J854" s="10">
        <f>IF(A854="",0,IF('Statements (Raw)'!I852="",0,'Statements (Raw)'!I852))</f>
        <v>0</v>
      </c>
      <c r="K854" s="10" t="str">
        <f t="shared" si="27"/>
        <v/>
      </c>
    </row>
    <row r="855" spans="1:11" x14ac:dyDescent="0.3">
      <c r="A855" s="171" t="str">
        <f>IF(OR('Statements (Raw)'!A853="",'Statements (Raw)'!A853&gt;Holdings!$G$3),"",'Statements (Raw)'!A853)</f>
        <v/>
      </c>
      <c r="B855" s="7" t="str">
        <f>IF(A855="","",IF('Statements (Raw)'!B853="","",'Statements (Raw)'!B853))</f>
        <v/>
      </c>
      <c r="C855" s="6" t="str">
        <f>IF(A855="","",IF('Statements (Raw)'!C853&lt;&gt;"",'Statements (Raw)'!C853,IF(ISNUMBER(SEARCH("Conferimento",'Statements (Raw)'!D853)),"CASH DEPOSIT",IF(ISNUMBER(SEARCH("Prelievo",'Statements (Raw)'!D853)),"CASH WITHDRAWAL",IF(ISNUMBER(SEARCH("Bollo",'Statements (Raw)'!D853)),"STAMP DUTY",IF(ISNUMBER(SEARCH("Tobin Tax",'Statements (Raw)'!D853)),"TOBIN TAX",IF(ISNUMBER(SEARCH("Rit.provento",'Statements (Raw)'!D853)),"WITHHOLDING TAX",IF(ISNUMBER(SEARCH("Incasso Dividendi",'Statements (Raw)'!D853)),"DIVIDEND",IF(ISNUMBER(SEARCH("Cedola",'Statements (Raw)'!D853)),"COUPON",IF(ISNUMBER(SEARCH("Ratei Pass",'Statements (Raw)'!D853)),"ACCRUED INT",IF(ISNUMBER(SEARCH("Interessi Prest",'Statements (Raw)'!D853)),"SEC LENDING",IF(ISNUMBER(SEARCH("Rimborso",'Statements (Raw)'!D853)),"REDEMPTION",IF(ISNUMBER(SEARCH("Provento",'Statements (Raw)'!D853)),"DISTRIBUTION","OTHER")))))))))))))</f>
        <v/>
      </c>
      <c r="D855" s="6" t="str">
        <f>IF(A855="","",IF(C855="Saldo Iniziale","Balance",IF(C855="CASH DEPOSIT","Deposit",IF(C855="CASH WITHDRAWAL","Withdrawal",IF(C855="STAMP DUTY","Tax",IF(C855="TOBIN TAX","Tax",IF(C855="WITHHOLDING TAX","Tax",IF(C855="DIVIDEND","Dividend",IF(C855="COUPON","Coupon",IF(C855="ACCRUED INT","Accrued Int.",IF(C855="SEC LENDING","Sec. Lending",IF(C855="REDEMPTION","Redemption",IF(C855="DISTRIBUTION","Distribution",IF(ISNUMBER(SEARCH("Rimborso",'Statements (Raw)'!D853)),"Redemption",IF(ISNUMBER(SEARCH("Cedola",'Statements (Raw)'!D853)),"Coupon",IF(ISNUMBER(SEARCH("Incasso Dividendi",'Statements (Raw)'!D853)),"Dividend",IF(ISNUMBER(SEARCH("Provento Etf",'Statements (Raw)'!D853)),"Distribution",IF(ISNUMBER(SEARCH("Rit.provento",'Statements (Raw)'!D853)),"Tax",IF(ISNUMBER(SEARCH("Ratei Pass",'Statements (Raw)'!D853)),"Accrued Int.",IF(ISNUMBER(SEARCH("Interessi Prest",'Statements (Raw)'!D853)),"Sec. Lending",IF('Statements (Raw)'!G853="","Other",IF('Statements (Raw)'!G853&gt;0,"Buy","Sell"))))))))))))))))))))))</f>
        <v/>
      </c>
      <c r="E855" s="6" t="str">
        <f t="shared" si="26"/>
        <v/>
      </c>
      <c r="F855" s="8" t="str">
        <f>IF(A855="","",IF('Statements (Raw)'!E853="","",'Statements (Raw)'!E853))</f>
        <v/>
      </c>
      <c r="G855" s="6" t="str">
        <f>IF(A855="","",IF('Statements (Raw)'!F853="","",'Statements (Raw)'!F853))</f>
        <v/>
      </c>
      <c r="H855" s="9" t="str">
        <f>IF(A855="","",IF('Statements (Raw)'!G853="","",'Statements (Raw)'!G853))</f>
        <v/>
      </c>
      <c r="I855" s="10" t="str">
        <f>IF(A855="","",IF('Statements (Raw)'!H853="","",'Statements (Raw)'!H853))</f>
        <v/>
      </c>
      <c r="J855" s="10">
        <f>IF(A855="",0,IF('Statements (Raw)'!I853="",0,'Statements (Raw)'!I853))</f>
        <v>0</v>
      </c>
      <c r="K855" s="10" t="str">
        <f t="shared" si="27"/>
        <v/>
      </c>
    </row>
    <row r="856" spans="1:11" x14ac:dyDescent="0.3">
      <c r="A856" s="171" t="str">
        <f>IF(OR('Statements (Raw)'!A854="",'Statements (Raw)'!A854&gt;Holdings!$G$3),"",'Statements (Raw)'!A854)</f>
        <v/>
      </c>
      <c r="B856" s="7" t="str">
        <f>IF(A856="","",IF('Statements (Raw)'!B854="","",'Statements (Raw)'!B854))</f>
        <v/>
      </c>
      <c r="C856" s="6" t="str">
        <f>IF(A856="","",IF('Statements (Raw)'!C854&lt;&gt;"",'Statements (Raw)'!C854,IF(ISNUMBER(SEARCH("Conferimento",'Statements (Raw)'!D854)),"CASH DEPOSIT",IF(ISNUMBER(SEARCH("Prelievo",'Statements (Raw)'!D854)),"CASH WITHDRAWAL",IF(ISNUMBER(SEARCH("Bollo",'Statements (Raw)'!D854)),"STAMP DUTY",IF(ISNUMBER(SEARCH("Tobin Tax",'Statements (Raw)'!D854)),"TOBIN TAX",IF(ISNUMBER(SEARCH("Rit.provento",'Statements (Raw)'!D854)),"WITHHOLDING TAX",IF(ISNUMBER(SEARCH("Incasso Dividendi",'Statements (Raw)'!D854)),"DIVIDEND",IF(ISNUMBER(SEARCH("Cedola",'Statements (Raw)'!D854)),"COUPON",IF(ISNUMBER(SEARCH("Ratei Pass",'Statements (Raw)'!D854)),"ACCRUED INT",IF(ISNUMBER(SEARCH("Interessi Prest",'Statements (Raw)'!D854)),"SEC LENDING",IF(ISNUMBER(SEARCH("Rimborso",'Statements (Raw)'!D854)),"REDEMPTION",IF(ISNUMBER(SEARCH("Provento",'Statements (Raw)'!D854)),"DISTRIBUTION","OTHER")))))))))))))</f>
        <v/>
      </c>
      <c r="D856" s="6" t="str">
        <f>IF(A856="","",IF(C856="Saldo Iniziale","Balance",IF(C856="CASH DEPOSIT","Deposit",IF(C856="CASH WITHDRAWAL","Withdrawal",IF(C856="STAMP DUTY","Tax",IF(C856="TOBIN TAX","Tax",IF(C856="WITHHOLDING TAX","Tax",IF(C856="DIVIDEND","Dividend",IF(C856="COUPON","Coupon",IF(C856="ACCRUED INT","Accrued Int.",IF(C856="SEC LENDING","Sec. Lending",IF(C856="REDEMPTION","Redemption",IF(C856="DISTRIBUTION","Distribution",IF(ISNUMBER(SEARCH("Rimborso",'Statements (Raw)'!D854)),"Redemption",IF(ISNUMBER(SEARCH("Cedola",'Statements (Raw)'!D854)),"Coupon",IF(ISNUMBER(SEARCH("Incasso Dividendi",'Statements (Raw)'!D854)),"Dividend",IF(ISNUMBER(SEARCH("Provento Etf",'Statements (Raw)'!D854)),"Distribution",IF(ISNUMBER(SEARCH("Rit.provento",'Statements (Raw)'!D854)),"Tax",IF(ISNUMBER(SEARCH("Ratei Pass",'Statements (Raw)'!D854)),"Accrued Int.",IF(ISNUMBER(SEARCH("Interessi Prest",'Statements (Raw)'!D854)),"Sec. Lending",IF('Statements (Raw)'!G854="","Other",IF('Statements (Raw)'!G854&gt;0,"Buy","Sell"))))))))))))))))))))))</f>
        <v/>
      </c>
      <c r="E856" s="6" t="str">
        <f t="shared" si="26"/>
        <v/>
      </c>
      <c r="F856" s="8" t="str">
        <f>IF(A856="","",IF('Statements (Raw)'!E854="","",'Statements (Raw)'!E854))</f>
        <v/>
      </c>
      <c r="G856" s="6" t="str">
        <f>IF(A856="","",IF('Statements (Raw)'!F854="","",'Statements (Raw)'!F854))</f>
        <v/>
      </c>
      <c r="H856" s="9" t="str">
        <f>IF(A856="","",IF('Statements (Raw)'!G854="","",'Statements (Raw)'!G854))</f>
        <v/>
      </c>
      <c r="I856" s="10" t="str">
        <f>IF(A856="","",IF('Statements (Raw)'!H854="","",'Statements (Raw)'!H854))</f>
        <v/>
      </c>
      <c r="J856" s="10">
        <f>IF(A856="",0,IF('Statements (Raw)'!I854="",0,'Statements (Raw)'!I854))</f>
        <v>0</v>
      </c>
      <c r="K856" s="10" t="str">
        <f t="shared" si="27"/>
        <v/>
      </c>
    </row>
    <row r="857" spans="1:11" x14ac:dyDescent="0.3">
      <c r="A857" s="171" t="str">
        <f>IF(OR('Statements (Raw)'!A855="",'Statements (Raw)'!A855&gt;Holdings!$G$3),"",'Statements (Raw)'!A855)</f>
        <v/>
      </c>
      <c r="B857" s="7" t="str">
        <f>IF(A857="","",IF('Statements (Raw)'!B855="","",'Statements (Raw)'!B855))</f>
        <v/>
      </c>
      <c r="C857" s="6" t="str">
        <f>IF(A857="","",IF('Statements (Raw)'!C855&lt;&gt;"",'Statements (Raw)'!C855,IF(ISNUMBER(SEARCH("Conferimento",'Statements (Raw)'!D855)),"CASH DEPOSIT",IF(ISNUMBER(SEARCH("Prelievo",'Statements (Raw)'!D855)),"CASH WITHDRAWAL",IF(ISNUMBER(SEARCH("Bollo",'Statements (Raw)'!D855)),"STAMP DUTY",IF(ISNUMBER(SEARCH("Tobin Tax",'Statements (Raw)'!D855)),"TOBIN TAX",IF(ISNUMBER(SEARCH("Rit.provento",'Statements (Raw)'!D855)),"WITHHOLDING TAX",IF(ISNUMBER(SEARCH("Incasso Dividendi",'Statements (Raw)'!D855)),"DIVIDEND",IF(ISNUMBER(SEARCH("Cedola",'Statements (Raw)'!D855)),"COUPON",IF(ISNUMBER(SEARCH("Ratei Pass",'Statements (Raw)'!D855)),"ACCRUED INT",IF(ISNUMBER(SEARCH("Interessi Prest",'Statements (Raw)'!D855)),"SEC LENDING",IF(ISNUMBER(SEARCH("Rimborso",'Statements (Raw)'!D855)),"REDEMPTION",IF(ISNUMBER(SEARCH("Provento",'Statements (Raw)'!D855)),"DISTRIBUTION","OTHER")))))))))))))</f>
        <v/>
      </c>
      <c r="D857" s="6" t="str">
        <f>IF(A857="","",IF(C857="Saldo Iniziale","Balance",IF(C857="CASH DEPOSIT","Deposit",IF(C857="CASH WITHDRAWAL","Withdrawal",IF(C857="STAMP DUTY","Tax",IF(C857="TOBIN TAX","Tax",IF(C857="WITHHOLDING TAX","Tax",IF(C857="DIVIDEND","Dividend",IF(C857="COUPON","Coupon",IF(C857="ACCRUED INT","Accrued Int.",IF(C857="SEC LENDING","Sec. Lending",IF(C857="REDEMPTION","Redemption",IF(C857="DISTRIBUTION","Distribution",IF(ISNUMBER(SEARCH("Rimborso",'Statements (Raw)'!D855)),"Redemption",IF(ISNUMBER(SEARCH("Cedola",'Statements (Raw)'!D855)),"Coupon",IF(ISNUMBER(SEARCH("Incasso Dividendi",'Statements (Raw)'!D855)),"Dividend",IF(ISNUMBER(SEARCH("Provento Etf",'Statements (Raw)'!D855)),"Distribution",IF(ISNUMBER(SEARCH("Rit.provento",'Statements (Raw)'!D855)),"Tax",IF(ISNUMBER(SEARCH("Ratei Pass",'Statements (Raw)'!D855)),"Accrued Int.",IF(ISNUMBER(SEARCH("Interessi Prest",'Statements (Raw)'!D855)),"Sec. Lending",IF('Statements (Raw)'!G855="","Other",IF('Statements (Raw)'!G855&gt;0,"Buy","Sell"))))))))))))))))))))))</f>
        <v/>
      </c>
      <c r="E857" s="6" t="str">
        <f t="shared" si="26"/>
        <v/>
      </c>
      <c r="F857" s="8" t="str">
        <f>IF(A857="","",IF('Statements (Raw)'!E855="","",'Statements (Raw)'!E855))</f>
        <v/>
      </c>
      <c r="G857" s="6" t="str">
        <f>IF(A857="","",IF('Statements (Raw)'!F855="","",'Statements (Raw)'!F855))</f>
        <v/>
      </c>
      <c r="H857" s="9" t="str">
        <f>IF(A857="","",IF('Statements (Raw)'!G855="","",'Statements (Raw)'!G855))</f>
        <v/>
      </c>
      <c r="I857" s="10" t="str">
        <f>IF(A857="","",IF('Statements (Raw)'!H855="","",'Statements (Raw)'!H855))</f>
        <v/>
      </c>
      <c r="J857" s="10">
        <f>IF(A857="",0,IF('Statements (Raw)'!I855="",0,'Statements (Raw)'!I855))</f>
        <v>0</v>
      </c>
      <c r="K857" s="10" t="str">
        <f t="shared" si="27"/>
        <v/>
      </c>
    </row>
    <row r="858" spans="1:11" x14ac:dyDescent="0.3">
      <c r="A858" s="171" t="str">
        <f>IF(OR('Statements (Raw)'!A856="",'Statements (Raw)'!A856&gt;Holdings!$G$3),"",'Statements (Raw)'!A856)</f>
        <v/>
      </c>
      <c r="B858" s="7" t="str">
        <f>IF(A858="","",IF('Statements (Raw)'!B856="","",'Statements (Raw)'!B856))</f>
        <v/>
      </c>
      <c r="C858" s="6" t="str">
        <f>IF(A858="","",IF('Statements (Raw)'!C856&lt;&gt;"",'Statements (Raw)'!C856,IF(ISNUMBER(SEARCH("Conferimento",'Statements (Raw)'!D856)),"CASH DEPOSIT",IF(ISNUMBER(SEARCH("Prelievo",'Statements (Raw)'!D856)),"CASH WITHDRAWAL",IF(ISNUMBER(SEARCH("Bollo",'Statements (Raw)'!D856)),"STAMP DUTY",IF(ISNUMBER(SEARCH("Tobin Tax",'Statements (Raw)'!D856)),"TOBIN TAX",IF(ISNUMBER(SEARCH("Rit.provento",'Statements (Raw)'!D856)),"WITHHOLDING TAX",IF(ISNUMBER(SEARCH("Incasso Dividendi",'Statements (Raw)'!D856)),"DIVIDEND",IF(ISNUMBER(SEARCH("Cedola",'Statements (Raw)'!D856)),"COUPON",IF(ISNUMBER(SEARCH("Ratei Pass",'Statements (Raw)'!D856)),"ACCRUED INT",IF(ISNUMBER(SEARCH("Interessi Prest",'Statements (Raw)'!D856)),"SEC LENDING",IF(ISNUMBER(SEARCH("Rimborso",'Statements (Raw)'!D856)),"REDEMPTION",IF(ISNUMBER(SEARCH("Provento",'Statements (Raw)'!D856)),"DISTRIBUTION","OTHER")))))))))))))</f>
        <v/>
      </c>
      <c r="D858" s="6" t="str">
        <f>IF(A858="","",IF(C858="Saldo Iniziale","Balance",IF(C858="CASH DEPOSIT","Deposit",IF(C858="CASH WITHDRAWAL","Withdrawal",IF(C858="STAMP DUTY","Tax",IF(C858="TOBIN TAX","Tax",IF(C858="WITHHOLDING TAX","Tax",IF(C858="DIVIDEND","Dividend",IF(C858="COUPON","Coupon",IF(C858="ACCRUED INT","Accrued Int.",IF(C858="SEC LENDING","Sec. Lending",IF(C858="REDEMPTION","Redemption",IF(C858="DISTRIBUTION","Distribution",IF(ISNUMBER(SEARCH("Rimborso",'Statements (Raw)'!D856)),"Redemption",IF(ISNUMBER(SEARCH("Cedola",'Statements (Raw)'!D856)),"Coupon",IF(ISNUMBER(SEARCH("Incasso Dividendi",'Statements (Raw)'!D856)),"Dividend",IF(ISNUMBER(SEARCH("Provento Etf",'Statements (Raw)'!D856)),"Distribution",IF(ISNUMBER(SEARCH("Rit.provento",'Statements (Raw)'!D856)),"Tax",IF(ISNUMBER(SEARCH("Ratei Pass",'Statements (Raw)'!D856)),"Accrued Int.",IF(ISNUMBER(SEARCH("Interessi Prest",'Statements (Raw)'!D856)),"Sec. Lending",IF('Statements (Raw)'!G856="","Other",IF('Statements (Raw)'!G856&gt;0,"Buy","Sell"))))))))))))))))))))))</f>
        <v/>
      </c>
      <c r="E858" s="6" t="str">
        <f t="shared" si="26"/>
        <v/>
      </c>
      <c r="F858" s="8" t="str">
        <f>IF(A858="","",IF('Statements (Raw)'!E856="","",'Statements (Raw)'!E856))</f>
        <v/>
      </c>
      <c r="G858" s="6" t="str">
        <f>IF(A858="","",IF('Statements (Raw)'!F856="","",'Statements (Raw)'!F856))</f>
        <v/>
      </c>
      <c r="H858" s="9" t="str">
        <f>IF(A858="","",IF('Statements (Raw)'!G856="","",'Statements (Raw)'!G856))</f>
        <v/>
      </c>
      <c r="I858" s="10" t="str">
        <f>IF(A858="","",IF('Statements (Raw)'!H856="","",'Statements (Raw)'!H856))</f>
        <v/>
      </c>
      <c r="J858" s="10">
        <f>IF(A858="",0,IF('Statements (Raw)'!I856="",0,'Statements (Raw)'!I856))</f>
        <v>0</v>
      </c>
      <c r="K858" s="10" t="str">
        <f t="shared" si="27"/>
        <v/>
      </c>
    </row>
    <row r="859" spans="1:11" x14ac:dyDescent="0.3">
      <c r="A859" s="171" t="str">
        <f>IF(OR('Statements (Raw)'!A857="",'Statements (Raw)'!A857&gt;Holdings!$G$3),"",'Statements (Raw)'!A857)</f>
        <v/>
      </c>
      <c r="B859" s="7" t="str">
        <f>IF(A859="","",IF('Statements (Raw)'!B857="","",'Statements (Raw)'!B857))</f>
        <v/>
      </c>
      <c r="C859" s="6" t="str">
        <f>IF(A859="","",IF('Statements (Raw)'!C857&lt;&gt;"",'Statements (Raw)'!C857,IF(ISNUMBER(SEARCH("Conferimento",'Statements (Raw)'!D857)),"CASH DEPOSIT",IF(ISNUMBER(SEARCH("Prelievo",'Statements (Raw)'!D857)),"CASH WITHDRAWAL",IF(ISNUMBER(SEARCH("Bollo",'Statements (Raw)'!D857)),"STAMP DUTY",IF(ISNUMBER(SEARCH("Tobin Tax",'Statements (Raw)'!D857)),"TOBIN TAX",IF(ISNUMBER(SEARCH("Rit.provento",'Statements (Raw)'!D857)),"WITHHOLDING TAX",IF(ISNUMBER(SEARCH("Incasso Dividendi",'Statements (Raw)'!D857)),"DIVIDEND",IF(ISNUMBER(SEARCH("Cedola",'Statements (Raw)'!D857)),"COUPON",IF(ISNUMBER(SEARCH("Ratei Pass",'Statements (Raw)'!D857)),"ACCRUED INT",IF(ISNUMBER(SEARCH("Interessi Prest",'Statements (Raw)'!D857)),"SEC LENDING",IF(ISNUMBER(SEARCH("Rimborso",'Statements (Raw)'!D857)),"REDEMPTION",IF(ISNUMBER(SEARCH("Provento",'Statements (Raw)'!D857)),"DISTRIBUTION","OTHER")))))))))))))</f>
        <v/>
      </c>
      <c r="D859" s="6" t="str">
        <f>IF(A859="","",IF(C859="Saldo Iniziale","Balance",IF(C859="CASH DEPOSIT","Deposit",IF(C859="CASH WITHDRAWAL","Withdrawal",IF(C859="STAMP DUTY","Tax",IF(C859="TOBIN TAX","Tax",IF(C859="WITHHOLDING TAX","Tax",IF(C859="DIVIDEND","Dividend",IF(C859="COUPON","Coupon",IF(C859="ACCRUED INT","Accrued Int.",IF(C859="SEC LENDING","Sec. Lending",IF(C859="REDEMPTION","Redemption",IF(C859="DISTRIBUTION","Distribution",IF(ISNUMBER(SEARCH("Rimborso",'Statements (Raw)'!D857)),"Redemption",IF(ISNUMBER(SEARCH("Cedola",'Statements (Raw)'!D857)),"Coupon",IF(ISNUMBER(SEARCH("Incasso Dividendi",'Statements (Raw)'!D857)),"Dividend",IF(ISNUMBER(SEARCH("Provento Etf",'Statements (Raw)'!D857)),"Distribution",IF(ISNUMBER(SEARCH("Rit.provento",'Statements (Raw)'!D857)),"Tax",IF(ISNUMBER(SEARCH("Ratei Pass",'Statements (Raw)'!D857)),"Accrued Int.",IF(ISNUMBER(SEARCH("Interessi Prest",'Statements (Raw)'!D857)),"Sec. Lending",IF('Statements (Raw)'!G857="","Other",IF('Statements (Raw)'!G857&gt;0,"Buy","Sell"))))))))))))))))))))))</f>
        <v/>
      </c>
      <c r="E859" s="6" t="str">
        <f t="shared" si="26"/>
        <v/>
      </c>
      <c r="F859" s="8" t="str">
        <f>IF(A859="","",IF('Statements (Raw)'!E857="","",'Statements (Raw)'!E857))</f>
        <v/>
      </c>
      <c r="G859" s="6" t="str">
        <f>IF(A859="","",IF('Statements (Raw)'!F857="","",'Statements (Raw)'!F857))</f>
        <v/>
      </c>
      <c r="H859" s="9" t="str">
        <f>IF(A859="","",IF('Statements (Raw)'!G857="","",'Statements (Raw)'!G857))</f>
        <v/>
      </c>
      <c r="I859" s="10" t="str">
        <f>IF(A859="","",IF('Statements (Raw)'!H857="","",'Statements (Raw)'!H857))</f>
        <v/>
      </c>
      <c r="J859" s="10">
        <f>IF(A859="",0,IF('Statements (Raw)'!I857="",0,'Statements (Raw)'!I857))</f>
        <v>0</v>
      </c>
      <c r="K859" s="10" t="str">
        <f t="shared" si="27"/>
        <v/>
      </c>
    </row>
    <row r="860" spans="1:11" x14ac:dyDescent="0.3">
      <c r="A860" s="171" t="str">
        <f>IF(OR('Statements (Raw)'!A858="",'Statements (Raw)'!A858&gt;Holdings!$G$3),"",'Statements (Raw)'!A858)</f>
        <v/>
      </c>
      <c r="B860" s="7" t="str">
        <f>IF(A860="","",IF('Statements (Raw)'!B858="","",'Statements (Raw)'!B858))</f>
        <v/>
      </c>
      <c r="C860" s="6" t="str">
        <f>IF(A860="","",IF('Statements (Raw)'!C858&lt;&gt;"",'Statements (Raw)'!C858,IF(ISNUMBER(SEARCH("Conferimento",'Statements (Raw)'!D858)),"CASH DEPOSIT",IF(ISNUMBER(SEARCH("Prelievo",'Statements (Raw)'!D858)),"CASH WITHDRAWAL",IF(ISNUMBER(SEARCH("Bollo",'Statements (Raw)'!D858)),"STAMP DUTY",IF(ISNUMBER(SEARCH("Tobin Tax",'Statements (Raw)'!D858)),"TOBIN TAX",IF(ISNUMBER(SEARCH("Rit.provento",'Statements (Raw)'!D858)),"WITHHOLDING TAX",IF(ISNUMBER(SEARCH("Incasso Dividendi",'Statements (Raw)'!D858)),"DIVIDEND",IF(ISNUMBER(SEARCH("Cedola",'Statements (Raw)'!D858)),"COUPON",IF(ISNUMBER(SEARCH("Ratei Pass",'Statements (Raw)'!D858)),"ACCRUED INT",IF(ISNUMBER(SEARCH("Interessi Prest",'Statements (Raw)'!D858)),"SEC LENDING",IF(ISNUMBER(SEARCH("Rimborso",'Statements (Raw)'!D858)),"REDEMPTION",IF(ISNUMBER(SEARCH("Provento",'Statements (Raw)'!D858)),"DISTRIBUTION","OTHER")))))))))))))</f>
        <v/>
      </c>
      <c r="D860" s="6" t="str">
        <f>IF(A860="","",IF(C860="Saldo Iniziale","Balance",IF(C860="CASH DEPOSIT","Deposit",IF(C860="CASH WITHDRAWAL","Withdrawal",IF(C860="STAMP DUTY","Tax",IF(C860="TOBIN TAX","Tax",IF(C860="WITHHOLDING TAX","Tax",IF(C860="DIVIDEND","Dividend",IF(C860="COUPON","Coupon",IF(C860="ACCRUED INT","Accrued Int.",IF(C860="SEC LENDING","Sec. Lending",IF(C860="REDEMPTION","Redemption",IF(C860="DISTRIBUTION","Distribution",IF(ISNUMBER(SEARCH("Rimborso",'Statements (Raw)'!D858)),"Redemption",IF(ISNUMBER(SEARCH("Cedola",'Statements (Raw)'!D858)),"Coupon",IF(ISNUMBER(SEARCH("Incasso Dividendi",'Statements (Raw)'!D858)),"Dividend",IF(ISNUMBER(SEARCH("Provento Etf",'Statements (Raw)'!D858)),"Distribution",IF(ISNUMBER(SEARCH("Rit.provento",'Statements (Raw)'!D858)),"Tax",IF(ISNUMBER(SEARCH("Ratei Pass",'Statements (Raw)'!D858)),"Accrued Int.",IF(ISNUMBER(SEARCH("Interessi Prest",'Statements (Raw)'!D858)),"Sec. Lending",IF('Statements (Raw)'!G858="","Other",IF('Statements (Raw)'!G858&gt;0,"Buy","Sell"))))))))))))))))))))))</f>
        <v/>
      </c>
      <c r="E860" s="6" t="str">
        <f t="shared" si="26"/>
        <v/>
      </c>
      <c r="F860" s="8" t="str">
        <f>IF(A860="","",IF('Statements (Raw)'!E858="","",'Statements (Raw)'!E858))</f>
        <v/>
      </c>
      <c r="G860" s="6" t="str">
        <f>IF(A860="","",IF('Statements (Raw)'!F858="","",'Statements (Raw)'!F858))</f>
        <v/>
      </c>
      <c r="H860" s="9" t="str">
        <f>IF(A860="","",IF('Statements (Raw)'!G858="","",'Statements (Raw)'!G858))</f>
        <v/>
      </c>
      <c r="I860" s="10" t="str">
        <f>IF(A860="","",IF('Statements (Raw)'!H858="","",'Statements (Raw)'!H858))</f>
        <v/>
      </c>
      <c r="J860" s="10">
        <f>IF(A860="",0,IF('Statements (Raw)'!I858="",0,'Statements (Raw)'!I858))</f>
        <v>0</v>
      </c>
      <c r="K860" s="10" t="str">
        <f t="shared" si="27"/>
        <v/>
      </c>
    </row>
    <row r="861" spans="1:11" x14ac:dyDescent="0.3">
      <c r="A861" s="171" t="str">
        <f>IF(OR('Statements (Raw)'!A859="",'Statements (Raw)'!A859&gt;Holdings!$G$3),"",'Statements (Raw)'!A859)</f>
        <v/>
      </c>
      <c r="B861" s="7" t="str">
        <f>IF(A861="","",IF('Statements (Raw)'!B859="","",'Statements (Raw)'!B859))</f>
        <v/>
      </c>
      <c r="C861" s="6" t="str">
        <f>IF(A861="","",IF('Statements (Raw)'!C859&lt;&gt;"",'Statements (Raw)'!C859,IF(ISNUMBER(SEARCH("Conferimento",'Statements (Raw)'!D859)),"CASH DEPOSIT",IF(ISNUMBER(SEARCH("Prelievo",'Statements (Raw)'!D859)),"CASH WITHDRAWAL",IF(ISNUMBER(SEARCH("Bollo",'Statements (Raw)'!D859)),"STAMP DUTY",IF(ISNUMBER(SEARCH("Tobin Tax",'Statements (Raw)'!D859)),"TOBIN TAX",IF(ISNUMBER(SEARCH("Rit.provento",'Statements (Raw)'!D859)),"WITHHOLDING TAX",IF(ISNUMBER(SEARCH("Incasso Dividendi",'Statements (Raw)'!D859)),"DIVIDEND",IF(ISNUMBER(SEARCH("Cedola",'Statements (Raw)'!D859)),"COUPON",IF(ISNUMBER(SEARCH("Ratei Pass",'Statements (Raw)'!D859)),"ACCRUED INT",IF(ISNUMBER(SEARCH("Interessi Prest",'Statements (Raw)'!D859)),"SEC LENDING",IF(ISNUMBER(SEARCH("Rimborso",'Statements (Raw)'!D859)),"REDEMPTION",IF(ISNUMBER(SEARCH("Provento",'Statements (Raw)'!D859)),"DISTRIBUTION","OTHER")))))))))))))</f>
        <v/>
      </c>
      <c r="D861" s="6" t="str">
        <f>IF(A861="","",IF(C861="Saldo Iniziale","Balance",IF(C861="CASH DEPOSIT","Deposit",IF(C861="CASH WITHDRAWAL","Withdrawal",IF(C861="STAMP DUTY","Tax",IF(C861="TOBIN TAX","Tax",IF(C861="WITHHOLDING TAX","Tax",IF(C861="DIVIDEND","Dividend",IF(C861="COUPON","Coupon",IF(C861="ACCRUED INT","Accrued Int.",IF(C861="SEC LENDING","Sec. Lending",IF(C861="REDEMPTION","Redemption",IF(C861="DISTRIBUTION","Distribution",IF(ISNUMBER(SEARCH("Rimborso",'Statements (Raw)'!D859)),"Redemption",IF(ISNUMBER(SEARCH("Cedola",'Statements (Raw)'!D859)),"Coupon",IF(ISNUMBER(SEARCH("Incasso Dividendi",'Statements (Raw)'!D859)),"Dividend",IF(ISNUMBER(SEARCH("Provento Etf",'Statements (Raw)'!D859)),"Distribution",IF(ISNUMBER(SEARCH("Rit.provento",'Statements (Raw)'!D859)),"Tax",IF(ISNUMBER(SEARCH("Ratei Pass",'Statements (Raw)'!D859)),"Accrued Int.",IF(ISNUMBER(SEARCH("Interessi Prest",'Statements (Raw)'!D859)),"Sec. Lending",IF('Statements (Raw)'!G859="","Other",IF('Statements (Raw)'!G859&gt;0,"Buy","Sell"))))))))))))))))))))))</f>
        <v/>
      </c>
      <c r="E861" s="6" t="str">
        <f t="shared" si="26"/>
        <v/>
      </c>
      <c r="F861" s="8" t="str">
        <f>IF(A861="","",IF('Statements (Raw)'!E859="","",'Statements (Raw)'!E859))</f>
        <v/>
      </c>
      <c r="G861" s="6" t="str">
        <f>IF(A861="","",IF('Statements (Raw)'!F859="","",'Statements (Raw)'!F859))</f>
        <v/>
      </c>
      <c r="H861" s="9" t="str">
        <f>IF(A861="","",IF('Statements (Raw)'!G859="","",'Statements (Raw)'!G859))</f>
        <v/>
      </c>
      <c r="I861" s="10" t="str">
        <f>IF(A861="","",IF('Statements (Raw)'!H859="","",'Statements (Raw)'!H859))</f>
        <v/>
      </c>
      <c r="J861" s="10">
        <f>IF(A861="",0,IF('Statements (Raw)'!I859="",0,'Statements (Raw)'!I859))</f>
        <v>0</v>
      </c>
      <c r="K861" s="10" t="str">
        <f t="shared" si="27"/>
        <v/>
      </c>
    </row>
    <row r="862" spans="1:11" x14ac:dyDescent="0.3">
      <c r="A862" s="171" t="str">
        <f>IF(OR('Statements (Raw)'!A860="",'Statements (Raw)'!A860&gt;Holdings!$G$3),"",'Statements (Raw)'!A860)</f>
        <v/>
      </c>
      <c r="B862" s="7" t="str">
        <f>IF(A862="","",IF('Statements (Raw)'!B860="","",'Statements (Raw)'!B860))</f>
        <v/>
      </c>
      <c r="C862" s="6" t="str">
        <f>IF(A862="","",IF('Statements (Raw)'!C860&lt;&gt;"",'Statements (Raw)'!C860,IF(ISNUMBER(SEARCH("Conferimento",'Statements (Raw)'!D860)),"CASH DEPOSIT",IF(ISNUMBER(SEARCH("Prelievo",'Statements (Raw)'!D860)),"CASH WITHDRAWAL",IF(ISNUMBER(SEARCH("Bollo",'Statements (Raw)'!D860)),"STAMP DUTY",IF(ISNUMBER(SEARCH("Tobin Tax",'Statements (Raw)'!D860)),"TOBIN TAX",IF(ISNUMBER(SEARCH("Rit.provento",'Statements (Raw)'!D860)),"WITHHOLDING TAX",IF(ISNUMBER(SEARCH("Incasso Dividendi",'Statements (Raw)'!D860)),"DIVIDEND",IF(ISNUMBER(SEARCH("Cedola",'Statements (Raw)'!D860)),"COUPON",IF(ISNUMBER(SEARCH("Ratei Pass",'Statements (Raw)'!D860)),"ACCRUED INT",IF(ISNUMBER(SEARCH("Interessi Prest",'Statements (Raw)'!D860)),"SEC LENDING",IF(ISNUMBER(SEARCH("Rimborso",'Statements (Raw)'!D860)),"REDEMPTION",IF(ISNUMBER(SEARCH("Provento",'Statements (Raw)'!D860)),"DISTRIBUTION","OTHER")))))))))))))</f>
        <v/>
      </c>
      <c r="D862" s="6" t="str">
        <f>IF(A862="","",IF(C862="Saldo Iniziale","Balance",IF(C862="CASH DEPOSIT","Deposit",IF(C862="CASH WITHDRAWAL","Withdrawal",IF(C862="STAMP DUTY","Tax",IF(C862="TOBIN TAX","Tax",IF(C862="WITHHOLDING TAX","Tax",IF(C862="DIVIDEND","Dividend",IF(C862="COUPON","Coupon",IF(C862="ACCRUED INT","Accrued Int.",IF(C862="SEC LENDING","Sec. Lending",IF(C862="REDEMPTION","Redemption",IF(C862="DISTRIBUTION","Distribution",IF(ISNUMBER(SEARCH("Rimborso",'Statements (Raw)'!D860)),"Redemption",IF(ISNUMBER(SEARCH("Cedola",'Statements (Raw)'!D860)),"Coupon",IF(ISNUMBER(SEARCH("Incasso Dividendi",'Statements (Raw)'!D860)),"Dividend",IF(ISNUMBER(SEARCH("Provento Etf",'Statements (Raw)'!D860)),"Distribution",IF(ISNUMBER(SEARCH("Rit.provento",'Statements (Raw)'!D860)),"Tax",IF(ISNUMBER(SEARCH("Ratei Pass",'Statements (Raw)'!D860)),"Accrued Int.",IF(ISNUMBER(SEARCH("Interessi Prest",'Statements (Raw)'!D860)),"Sec. Lending",IF('Statements (Raw)'!G860="","Other",IF('Statements (Raw)'!G860&gt;0,"Buy","Sell"))))))))))))))))))))))</f>
        <v/>
      </c>
      <c r="E862" s="6" t="str">
        <f t="shared" si="26"/>
        <v/>
      </c>
      <c r="F862" s="8" t="str">
        <f>IF(A862="","",IF('Statements (Raw)'!E860="","",'Statements (Raw)'!E860))</f>
        <v/>
      </c>
      <c r="G862" s="6" t="str">
        <f>IF(A862="","",IF('Statements (Raw)'!F860="","",'Statements (Raw)'!F860))</f>
        <v/>
      </c>
      <c r="H862" s="9" t="str">
        <f>IF(A862="","",IF('Statements (Raw)'!G860="","",'Statements (Raw)'!G860))</f>
        <v/>
      </c>
      <c r="I862" s="10" t="str">
        <f>IF(A862="","",IF('Statements (Raw)'!H860="","",'Statements (Raw)'!H860))</f>
        <v/>
      </c>
      <c r="J862" s="10">
        <f>IF(A862="",0,IF('Statements (Raw)'!I860="",0,'Statements (Raw)'!I860))</f>
        <v>0</v>
      </c>
      <c r="K862" s="10" t="str">
        <f t="shared" si="27"/>
        <v/>
      </c>
    </row>
    <row r="863" spans="1:11" x14ac:dyDescent="0.3">
      <c r="A863" s="171" t="str">
        <f>IF(OR('Statements (Raw)'!A861="",'Statements (Raw)'!A861&gt;Holdings!$G$3),"",'Statements (Raw)'!A861)</f>
        <v/>
      </c>
      <c r="B863" s="7" t="str">
        <f>IF(A863="","",IF('Statements (Raw)'!B861="","",'Statements (Raw)'!B861))</f>
        <v/>
      </c>
      <c r="C863" s="6" t="str">
        <f>IF(A863="","",IF('Statements (Raw)'!C861&lt;&gt;"",'Statements (Raw)'!C861,IF(ISNUMBER(SEARCH("Conferimento",'Statements (Raw)'!D861)),"CASH DEPOSIT",IF(ISNUMBER(SEARCH("Prelievo",'Statements (Raw)'!D861)),"CASH WITHDRAWAL",IF(ISNUMBER(SEARCH("Bollo",'Statements (Raw)'!D861)),"STAMP DUTY",IF(ISNUMBER(SEARCH("Tobin Tax",'Statements (Raw)'!D861)),"TOBIN TAX",IF(ISNUMBER(SEARCH("Rit.provento",'Statements (Raw)'!D861)),"WITHHOLDING TAX",IF(ISNUMBER(SEARCH("Incasso Dividendi",'Statements (Raw)'!D861)),"DIVIDEND",IF(ISNUMBER(SEARCH("Cedola",'Statements (Raw)'!D861)),"COUPON",IF(ISNUMBER(SEARCH("Ratei Pass",'Statements (Raw)'!D861)),"ACCRUED INT",IF(ISNUMBER(SEARCH("Interessi Prest",'Statements (Raw)'!D861)),"SEC LENDING",IF(ISNUMBER(SEARCH("Rimborso",'Statements (Raw)'!D861)),"REDEMPTION",IF(ISNUMBER(SEARCH("Provento",'Statements (Raw)'!D861)),"DISTRIBUTION","OTHER")))))))))))))</f>
        <v/>
      </c>
      <c r="D863" s="6" t="str">
        <f>IF(A863="","",IF(C863="Saldo Iniziale","Balance",IF(C863="CASH DEPOSIT","Deposit",IF(C863="CASH WITHDRAWAL","Withdrawal",IF(C863="STAMP DUTY","Tax",IF(C863="TOBIN TAX","Tax",IF(C863="WITHHOLDING TAX","Tax",IF(C863="DIVIDEND","Dividend",IF(C863="COUPON","Coupon",IF(C863="ACCRUED INT","Accrued Int.",IF(C863="SEC LENDING","Sec. Lending",IF(C863="REDEMPTION","Redemption",IF(C863="DISTRIBUTION","Distribution",IF(ISNUMBER(SEARCH("Rimborso",'Statements (Raw)'!D861)),"Redemption",IF(ISNUMBER(SEARCH("Cedola",'Statements (Raw)'!D861)),"Coupon",IF(ISNUMBER(SEARCH("Incasso Dividendi",'Statements (Raw)'!D861)),"Dividend",IF(ISNUMBER(SEARCH("Provento Etf",'Statements (Raw)'!D861)),"Distribution",IF(ISNUMBER(SEARCH("Rit.provento",'Statements (Raw)'!D861)),"Tax",IF(ISNUMBER(SEARCH("Ratei Pass",'Statements (Raw)'!D861)),"Accrued Int.",IF(ISNUMBER(SEARCH("Interessi Prest",'Statements (Raw)'!D861)),"Sec. Lending",IF('Statements (Raw)'!G861="","Other",IF('Statements (Raw)'!G861&gt;0,"Buy","Sell"))))))))))))))))))))))</f>
        <v/>
      </c>
      <c r="E863" s="6" t="str">
        <f t="shared" si="26"/>
        <v/>
      </c>
      <c r="F863" s="8" t="str">
        <f>IF(A863="","",IF('Statements (Raw)'!E861="","",'Statements (Raw)'!E861))</f>
        <v/>
      </c>
      <c r="G863" s="6" t="str">
        <f>IF(A863="","",IF('Statements (Raw)'!F861="","",'Statements (Raw)'!F861))</f>
        <v/>
      </c>
      <c r="H863" s="9" t="str">
        <f>IF(A863="","",IF('Statements (Raw)'!G861="","",'Statements (Raw)'!G861))</f>
        <v/>
      </c>
      <c r="I863" s="10" t="str">
        <f>IF(A863="","",IF('Statements (Raw)'!H861="","",'Statements (Raw)'!H861))</f>
        <v/>
      </c>
      <c r="J863" s="10">
        <f>IF(A863="",0,IF('Statements (Raw)'!I861="",0,'Statements (Raw)'!I861))</f>
        <v>0</v>
      </c>
      <c r="K863" s="10" t="str">
        <f t="shared" si="27"/>
        <v/>
      </c>
    </row>
    <row r="864" spans="1:11" x14ac:dyDescent="0.3">
      <c r="A864" s="171" t="str">
        <f>IF(OR('Statements (Raw)'!A862="",'Statements (Raw)'!A862&gt;Holdings!$G$3),"",'Statements (Raw)'!A862)</f>
        <v/>
      </c>
      <c r="B864" s="7" t="str">
        <f>IF(A864="","",IF('Statements (Raw)'!B862="","",'Statements (Raw)'!B862))</f>
        <v/>
      </c>
      <c r="C864" s="6" t="str">
        <f>IF(A864="","",IF('Statements (Raw)'!C862&lt;&gt;"",'Statements (Raw)'!C862,IF(ISNUMBER(SEARCH("Conferimento",'Statements (Raw)'!D862)),"CASH DEPOSIT",IF(ISNUMBER(SEARCH("Prelievo",'Statements (Raw)'!D862)),"CASH WITHDRAWAL",IF(ISNUMBER(SEARCH("Bollo",'Statements (Raw)'!D862)),"STAMP DUTY",IF(ISNUMBER(SEARCH("Tobin Tax",'Statements (Raw)'!D862)),"TOBIN TAX",IF(ISNUMBER(SEARCH("Rit.provento",'Statements (Raw)'!D862)),"WITHHOLDING TAX",IF(ISNUMBER(SEARCH("Incasso Dividendi",'Statements (Raw)'!D862)),"DIVIDEND",IF(ISNUMBER(SEARCH("Cedola",'Statements (Raw)'!D862)),"COUPON",IF(ISNUMBER(SEARCH("Ratei Pass",'Statements (Raw)'!D862)),"ACCRUED INT",IF(ISNUMBER(SEARCH("Interessi Prest",'Statements (Raw)'!D862)),"SEC LENDING",IF(ISNUMBER(SEARCH("Rimborso",'Statements (Raw)'!D862)),"REDEMPTION",IF(ISNUMBER(SEARCH("Provento",'Statements (Raw)'!D862)),"DISTRIBUTION","OTHER")))))))))))))</f>
        <v/>
      </c>
      <c r="D864" s="6" t="str">
        <f>IF(A864="","",IF(C864="Saldo Iniziale","Balance",IF(C864="CASH DEPOSIT","Deposit",IF(C864="CASH WITHDRAWAL","Withdrawal",IF(C864="STAMP DUTY","Tax",IF(C864="TOBIN TAX","Tax",IF(C864="WITHHOLDING TAX","Tax",IF(C864="DIVIDEND","Dividend",IF(C864="COUPON","Coupon",IF(C864="ACCRUED INT","Accrued Int.",IF(C864="SEC LENDING","Sec. Lending",IF(C864="REDEMPTION","Redemption",IF(C864="DISTRIBUTION","Distribution",IF(ISNUMBER(SEARCH("Rimborso",'Statements (Raw)'!D862)),"Redemption",IF(ISNUMBER(SEARCH("Cedola",'Statements (Raw)'!D862)),"Coupon",IF(ISNUMBER(SEARCH("Incasso Dividendi",'Statements (Raw)'!D862)),"Dividend",IF(ISNUMBER(SEARCH("Provento Etf",'Statements (Raw)'!D862)),"Distribution",IF(ISNUMBER(SEARCH("Rit.provento",'Statements (Raw)'!D862)),"Tax",IF(ISNUMBER(SEARCH("Ratei Pass",'Statements (Raw)'!D862)),"Accrued Int.",IF(ISNUMBER(SEARCH("Interessi Prest",'Statements (Raw)'!D862)),"Sec. Lending",IF('Statements (Raw)'!G862="","Other",IF('Statements (Raw)'!G862&gt;0,"Buy","Sell"))))))))))))))))))))))</f>
        <v/>
      </c>
      <c r="E864" s="6" t="str">
        <f t="shared" si="26"/>
        <v/>
      </c>
      <c r="F864" s="8" t="str">
        <f>IF(A864="","",IF('Statements (Raw)'!E862="","",'Statements (Raw)'!E862))</f>
        <v/>
      </c>
      <c r="G864" s="6" t="str">
        <f>IF(A864="","",IF('Statements (Raw)'!F862="","",'Statements (Raw)'!F862))</f>
        <v/>
      </c>
      <c r="H864" s="9" t="str">
        <f>IF(A864="","",IF('Statements (Raw)'!G862="","",'Statements (Raw)'!G862))</f>
        <v/>
      </c>
      <c r="I864" s="10" t="str">
        <f>IF(A864="","",IF('Statements (Raw)'!H862="","",'Statements (Raw)'!H862))</f>
        <v/>
      </c>
      <c r="J864" s="10">
        <f>IF(A864="",0,IF('Statements (Raw)'!I862="",0,'Statements (Raw)'!I862))</f>
        <v>0</v>
      </c>
      <c r="K864" s="10" t="str">
        <f t="shared" si="27"/>
        <v/>
      </c>
    </row>
    <row r="865" spans="1:11" x14ac:dyDescent="0.3">
      <c r="A865" s="171" t="str">
        <f>IF(OR('Statements (Raw)'!A863="",'Statements (Raw)'!A863&gt;Holdings!$G$3),"",'Statements (Raw)'!A863)</f>
        <v/>
      </c>
      <c r="B865" s="7" t="str">
        <f>IF(A865="","",IF('Statements (Raw)'!B863="","",'Statements (Raw)'!B863))</f>
        <v/>
      </c>
      <c r="C865" s="6" t="str">
        <f>IF(A865="","",IF('Statements (Raw)'!C863&lt;&gt;"",'Statements (Raw)'!C863,IF(ISNUMBER(SEARCH("Conferimento",'Statements (Raw)'!D863)),"CASH DEPOSIT",IF(ISNUMBER(SEARCH("Prelievo",'Statements (Raw)'!D863)),"CASH WITHDRAWAL",IF(ISNUMBER(SEARCH("Bollo",'Statements (Raw)'!D863)),"STAMP DUTY",IF(ISNUMBER(SEARCH("Tobin Tax",'Statements (Raw)'!D863)),"TOBIN TAX",IF(ISNUMBER(SEARCH("Rit.provento",'Statements (Raw)'!D863)),"WITHHOLDING TAX",IF(ISNUMBER(SEARCH("Incasso Dividendi",'Statements (Raw)'!D863)),"DIVIDEND",IF(ISNUMBER(SEARCH("Cedola",'Statements (Raw)'!D863)),"COUPON",IF(ISNUMBER(SEARCH("Ratei Pass",'Statements (Raw)'!D863)),"ACCRUED INT",IF(ISNUMBER(SEARCH("Interessi Prest",'Statements (Raw)'!D863)),"SEC LENDING",IF(ISNUMBER(SEARCH("Rimborso",'Statements (Raw)'!D863)),"REDEMPTION",IF(ISNUMBER(SEARCH("Provento",'Statements (Raw)'!D863)),"DISTRIBUTION","OTHER")))))))))))))</f>
        <v/>
      </c>
      <c r="D865" s="6" t="str">
        <f>IF(A865="","",IF(C865="Saldo Iniziale","Balance",IF(C865="CASH DEPOSIT","Deposit",IF(C865="CASH WITHDRAWAL","Withdrawal",IF(C865="STAMP DUTY","Tax",IF(C865="TOBIN TAX","Tax",IF(C865="WITHHOLDING TAX","Tax",IF(C865="DIVIDEND","Dividend",IF(C865="COUPON","Coupon",IF(C865="ACCRUED INT","Accrued Int.",IF(C865="SEC LENDING","Sec. Lending",IF(C865="REDEMPTION","Redemption",IF(C865="DISTRIBUTION","Distribution",IF(ISNUMBER(SEARCH("Rimborso",'Statements (Raw)'!D863)),"Redemption",IF(ISNUMBER(SEARCH("Cedola",'Statements (Raw)'!D863)),"Coupon",IF(ISNUMBER(SEARCH("Incasso Dividendi",'Statements (Raw)'!D863)),"Dividend",IF(ISNUMBER(SEARCH("Provento Etf",'Statements (Raw)'!D863)),"Distribution",IF(ISNUMBER(SEARCH("Rit.provento",'Statements (Raw)'!D863)),"Tax",IF(ISNUMBER(SEARCH("Ratei Pass",'Statements (Raw)'!D863)),"Accrued Int.",IF(ISNUMBER(SEARCH("Interessi Prest",'Statements (Raw)'!D863)),"Sec. Lending",IF('Statements (Raw)'!G863="","Other",IF('Statements (Raw)'!G863&gt;0,"Buy","Sell"))))))))))))))))))))))</f>
        <v/>
      </c>
      <c r="E865" s="6" t="str">
        <f t="shared" si="26"/>
        <v/>
      </c>
      <c r="F865" s="8" t="str">
        <f>IF(A865="","",IF('Statements (Raw)'!E863="","",'Statements (Raw)'!E863))</f>
        <v/>
      </c>
      <c r="G865" s="6" t="str">
        <f>IF(A865="","",IF('Statements (Raw)'!F863="","",'Statements (Raw)'!F863))</f>
        <v/>
      </c>
      <c r="H865" s="9" t="str">
        <f>IF(A865="","",IF('Statements (Raw)'!G863="","",'Statements (Raw)'!G863))</f>
        <v/>
      </c>
      <c r="I865" s="10" t="str">
        <f>IF(A865="","",IF('Statements (Raw)'!H863="","",'Statements (Raw)'!H863))</f>
        <v/>
      </c>
      <c r="J865" s="10">
        <f>IF(A865="",0,IF('Statements (Raw)'!I863="",0,'Statements (Raw)'!I863))</f>
        <v>0</v>
      </c>
      <c r="K865" s="10" t="str">
        <f t="shared" si="27"/>
        <v/>
      </c>
    </row>
    <row r="866" spans="1:11" x14ac:dyDescent="0.3">
      <c r="A866" s="171" t="str">
        <f>IF(OR('Statements (Raw)'!A864="",'Statements (Raw)'!A864&gt;Holdings!$G$3),"",'Statements (Raw)'!A864)</f>
        <v/>
      </c>
      <c r="B866" s="7" t="str">
        <f>IF(A866="","",IF('Statements (Raw)'!B864="","",'Statements (Raw)'!B864))</f>
        <v/>
      </c>
      <c r="C866" s="6" t="str">
        <f>IF(A866="","",IF('Statements (Raw)'!C864&lt;&gt;"",'Statements (Raw)'!C864,IF(ISNUMBER(SEARCH("Conferimento",'Statements (Raw)'!D864)),"CASH DEPOSIT",IF(ISNUMBER(SEARCH("Prelievo",'Statements (Raw)'!D864)),"CASH WITHDRAWAL",IF(ISNUMBER(SEARCH("Bollo",'Statements (Raw)'!D864)),"STAMP DUTY",IF(ISNUMBER(SEARCH("Tobin Tax",'Statements (Raw)'!D864)),"TOBIN TAX",IF(ISNUMBER(SEARCH("Rit.provento",'Statements (Raw)'!D864)),"WITHHOLDING TAX",IF(ISNUMBER(SEARCH("Incasso Dividendi",'Statements (Raw)'!D864)),"DIVIDEND",IF(ISNUMBER(SEARCH("Cedola",'Statements (Raw)'!D864)),"COUPON",IF(ISNUMBER(SEARCH("Ratei Pass",'Statements (Raw)'!D864)),"ACCRUED INT",IF(ISNUMBER(SEARCH("Interessi Prest",'Statements (Raw)'!D864)),"SEC LENDING",IF(ISNUMBER(SEARCH("Rimborso",'Statements (Raw)'!D864)),"REDEMPTION",IF(ISNUMBER(SEARCH("Provento",'Statements (Raw)'!D864)),"DISTRIBUTION","OTHER")))))))))))))</f>
        <v/>
      </c>
      <c r="D866" s="6" t="str">
        <f>IF(A866="","",IF(C866="Saldo Iniziale","Balance",IF(C866="CASH DEPOSIT","Deposit",IF(C866="CASH WITHDRAWAL","Withdrawal",IF(C866="STAMP DUTY","Tax",IF(C866="TOBIN TAX","Tax",IF(C866="WITHHOLDING TAX","Tax",IF(C866="DIVIDEND","Dividend",IF(C866="COUPON","Coupon",IF(C866="ACCRUED INT","Accrued Int.",IF(C866="SEC LENDING","Sec. Lending",IF(C866="REDEMPTION","Redemption",IF(C866="DISTRIBUTION","Distribution",IF(ISNUMBER(SEARCH("Rimborso",'Statements (Raw)'!D864)),"Redemption",IF(ISNUMBER(SEARCH("Cedola",'Statements (Raw)'!D864)),"Coupon",IF(ISNUMBER(SEARCH("Incasso Dividendi",'Statements (Raw)'!D864)),"Dividend",IF(ISNUMBER(SEARCH("Provento Etf",'Statements (Raw)'!D864)),"Distribution",IF(ISNUMBER(SEARCH("Rit.provento",'Statements (Raw)'!D864)),"Tax",IF(ISNUMBER(SEARCH("Ratei Pass",'Statements (Raw)'!D864)),"Accrued Int.",IF(ISNUMBER(SEARCH("Interessi Prest",'Statements (Raw)'!D864)),"Sec. Lending",IF('Statements (Raw)'!G864="","Other",IF('Statements (Raw)'!G864&gt;0,"Buy","Sell"))))))))))))))))))))))</f>
        <v/>
      </c>
      <c r="E866" s="6" t="str">
        <f t="shared" si="26"/>
        <v/>
      </c>
      <c r="F866" s="8" t="str">
        <f>IF(A866="","",IF('Statements (Raw)'!E864="","",'Statements (Raw)'!E864))</f>
        <v/>
      </c>
      <c r="G866" s="6" t="str">
        <f>IF(A866="","",IF('Statements (Raw)'!F864="","",'Statements (Raw)'!F864))</f>
        <v/>
      </c>
      <c r="H866" s="9" t="str">
        <f>IF(A866="","",IF('Statements (Raw)'!G864="","",'Statements (Raw)'!G864))</f>
        <v/>
      </c>
      <c r="I866" s="10" t="str">
        <f>IF(A866="","",IF('Statements (Raw)'!H864="","",'Statements (Raw)'!H864))</f>
        <v/>
      </c>
      <c r="J866" s="10">
        <f>IF(A866="",0,IF('Statements (Raw)'!I864="",0,'Statements (Raw)'!I864))</f>
        <v>0</v>
      </c>
      <c r="K866" s="10" t="str">
        <f t="shared" si="27"/>
        <v/>
      </c>
    </row>
    <row r="867" spans="1:11" x14ac:dyDescent="0.3">
      <c r="A867" s="171" t="str">
        <f>IF(OR('Statements (Raw)'!A865="",'Statements (Raw)'!A865&gt;Holdings!$G$3),"",'Statements (Raw)'!A865)</f>
        <v/>
      </c>
      <c r="B867" s="7" t="str">
        <f>IF(A867="","",IF('Statements (Raw)'!B865="","",'Statements (Raw)'!B865))</f>
        <v/>
      </c>
      <c r="C867" s="6" t="str">
        <f>IF(A867="","",IF('Statements (Raw)'!C865&lt;&gt;"",'Statements (Raw)'!C865,IF(ISNUMBER(SEARCH("Conferimento",'Statements (Raw)'!D865)),"CASH DEPOSIT",IF(ISNUMBER(SEARCH("Prelievo",'Statements (Raw)'!D865)),"CASH WITHDRAWAL",IF(ISNUMBER(SEARCH("Bollo",'Statements (Raw)'!D865)),"STAMP DUTY",IF(ISNUMBER(SEARCH("Tobin Tax",'Statements (Raw)'!D865)),"TOBIN TAX",IF(ISNUMBER(SEARCH("Rit.provento",'Statements (Raw)'!D865)),"WITHHOLDING TAX",IF(ISNUMBER(SEARCH("Incasso Dividendi",'Statements (Raw)'!D865)),"DIVIDEND",IF(ISNUMBER(SEARCH("Cedola",'Statements (Raw)'!D865)),"COUPON",IF(ISNUMBER(SEARCH("Ratei Pass",'Statements (Raw)'!D865)),"ACCRUED INT",IF(ISNUMBER(SEARCH("Interessi Prest",'Statements (Raw)'!D865)),"SEC LENDING",IF(ISNUMBER(SEARCH("Rimborso",'Statements (Raw)'!D865)),"REDEMPTION",IF(ISNUMBER(SEARCH("Provento",'Statements (Raw)'!D865)),"DISTRIBUTION","OTHER")))))))))))))</f>
        <v/>
      </c>
      <c r="D867" s="6" t="str">
        <f>IF(A867="","",IF(C867="Saldo Iniziale","Balance",IF(C867="CASH DEPOSIT","Deposit",IF(C867="CASH WITHDRAWAL","Withdrawal",IF(C867="STAMP DUTY","Tax",IF(C867="TOBIN TAX","Tax",IF(C867="WITHHOLDING TAX","Tax",IF(C867="DIVIDEND","Dividend",IF(C867="COUPON","Coupon",IF(C867="ACCRUED INT","Accrued Int.",IF(C867="SEC LENDING","Sec. Lending",IF(C867="REDEMPTION","Redemption",IF(C867="DISTRIBUTION","Distribution",IF(ISNUMBER(SEARCH("Rimborso",'Statements (Raw)'!D865)),"Redemption",IF(ISNUMBER(SEARCH("Cedola",'Statements (Raw)'!D865)),"Coupon",IF(ISNUMBER(SEARCH("Incasso Dividendi",'Statements (Raw)'!D865)),"Dividend",IF(ISNUMBER(SEARCH("Provento Etf",'Statements (Raw)'!D865)),"Distribution",IF(ISNUMBER(SEARCH("Rit.provento",'Statements (Raw)'!D865)),"Tax",IF(ISNUMBER(SEARCH("Ratei Pass",'Statements (Raw)'!D865)),"Accrued Int.",IF(ISNUMBER(SEARCH("Interessi Prest",'Statements (Raw)'!D865)),"Sec. Lending",IF('Statements (Raw)'!G865="","Other",IF('Statements (Raw)'!G865&gt;0,"Buy","Sell"))))))))))))))))))))))</f>
        <v/>
      </c>
      <c r="E867" s="6" t="str">
        <f t="shared" si="26"/>
        <v/>
      </c>
      <c r="F867" s="8" t="str">
        <f>IF(A867="","",IF('Statements (Raw)'!E865="","",'Statements (Raw)'!E865))</f>
        <v/>
      </c>
      <c r="G867" s="6" t="str">
        <f>IF(A867="","",IF('Statements (Raw)'!F865="","",'Statements (Raw)'!F865))</f>
        <v/>
      </c>
      <c r="H867" s="9" t="str">
        <f>IF(A867="","",IF('Statements (Raw)'!G865="","",'Statements (Raw)'!G865))</f>
        <v/>
      </c>
      <c r="I867" s="10" t="str">
        <f>IF(A867="","",IF('Statements (Raw)'!H865="","",'Statements (Raw)'!H865))</f>
        <v/>
      </c>
      <c r="J867" s="10">
        <f>IF(A867="",0,IF('Statements (Raw)'!I865="",0,'Statements (Raw)'!I865))</f>
        <v>0</v>
      </c>
      <c r="K867" s="10" t="str">
        <f t="shared" si="27"/>
        <v/>
      </c>
    </row>
    <row r="868" spans="1:11" x14ac:dyDescent="0.3">
      <c r="A868" s="171" t="str">
        <f>IF(OR('Statements (Raw)'!A866="",'Statements (Raw)'!A866&gt;Holdings!$G$3),"",'Statements (Raw)'!A866)</f>
        <v/>
      </c>
      <c r="B868" s="7" t="str">
        <f>IF(A868="","",IF('Statements (Raw)'!B866="","",'Statements (Raw)'!B866))</f>
        <v/>
      </c>
      <c r="C868" s="6" t="str">
        <f>IF(A868="","",IF('Statements (Raw)'!C866&lt;&gt;"",'Statements (Raw)'!C866,IF(ISNUMBER(SEARCH("Conferimento",'Statements (Raw)'!D866)),"CASH DEPOSIT",IF(ISNUMBER(SEARCH("Prelievo",'Statements (Raw)'!D866)),"CASH WITHDRAWAL",IF(ISNUMBER(SEARCH("Bollo",'Statements (Raw)'!D866)),"STAMP DUTY",IF(ISNUMBER(SEARCH("Tobin Tax",'Statements (Raw)'!D866)),"TOBIN TAX",IF(ISNUMBER(SEARCH("Rit.provento",'Statements (Raw)'!D866)),"WITHHOLDING TAX",IF(ISNUMBER(SEARCH("Incasso Dividendi",'Statements (Raw)'!D866)),"DIVIDEND",IF(ISNUMBER(SEARCH("Cedola",'Statements (Raw)'!D866)),"COUPON",IF(ISNUMBER(SEARCH("Ratei Pass",'Statements (Raw)'!D866)),"ACCRUED INT",IF(ISNUMBER(SEARCH("Interessi Prest",'Statements (Raw)'!D866)),"SEC LENDING",IF(ISNUMBER(SEARCH("Rimborso",'Statements (Raw)'!D866)),"REDEMPTION",IF(ISNUMBER(SEARCH("Provento",'Statements (Raw)'!D866)),"DISTRIBUTION","OTHER")))))))))))))</f>
        <v/>
      </c>
      <c r="D868" s="6" t="str">
        <f>IF(A868="","",IF(C868="Saldo Iniziale","Balance",IF(C868="CASH DEPOSIT","Deposit",IF(C868="CASH WITHDRAWAL","Withdrawal",IF(C868="STAMP DUTY","Tax",IF(C868="TOBIN TAX","Tax",IF(C868="WITHHOLDING TAX","Tax",IF(C868="DIVIDEND","Dividend",IF(C868="COUPON","Coupon",IF(C868="ACCRUED INT","Accrued Int.",IF(C868="SEC LENDING","Sec. Lending",IF(C868="REDEMPTION","Redemption",IF(C868="DISTRIBUTION","Distribution",IF(ISNUMBER(SEARCH("Rimborso",'Statements (Raw)'!D866)),"Redemption",IF(ISNUMBER(SEARCH("Cedola",'Statements (Raw)'!D866)),"Coupon",IF(ISNUMBER(SEARCH("Incasso Dividendi",'Statements (Raw)'!D866)),"Dividend",IF(ISNUMBER(SEARCH("Provento Etf",'Statements (Raw)'!D866)),"Distribution",IF(ISNUMBER(SEARCH("Rit.provento",'Statements (Raw)'!D866)),"Tax",IF(ISNUMBER(SEARCH("Ratei Pass",'Statements (Raw)'!D866)),"Accrued Int.",IF(ISNUMBER(SEARCH("Interessi Prest",'Statements (Raw)'!D866)),"Sec. Lending",IF('Statements (Raw)'!G866="","Other",IF('Statements (Raw)'!G866&gt;0,"Buy","Sell"))))))))))))))))))))))</f>
        <v/>
      </c>
      <c r="E868" s="6" t="str">
        <f t="shared" si="26"/>
        <v/>
      </c>
      <c r="F868" s="8" t="str">
        <f>IF(A868="","",IF('Statements (Raw)'!E866="","",'Statements (Raw)'!E866))</f>
        <v/>
      </c>
      <c r="G868" s="6" t="str">
        <f>IF(A868="","",IF('Statements (Raw)'!F866="","",'Statements (Raw)'!F866))</f>
        <v/>
      </c>
      <c r="H868" s="9" t="str">
        <f>IF(A868="","",IF('Statements (Raw)'!G866="","",'Statements (Raw)'!G866))</f>
        <v/>
      </c>
      <c r="I868" s="10" t="str">
        <f>IF(A868="","",IF('Statements (Raw)'!H866="","",'Statements (Raw)'!H866))</f>
        <v/>
      </c>
      <c r="J868" s="10">
        <f>IF(A868="",0,IF('Statements (Raw)'!I866="",0,'Statements (Raw)'!I866))</f>
        <v>0</v>
      </c>
      <c r="K868" s="10" t="str">
        <f t="shared" si="27"/>
        <v/>
      </c>
    </row>
    <row r="869" spans="1:11" x14ac:dyDescent="0.3">
      <c r="A869" s="171" t="str">
        <f>IF(OR('Statements (Raw)'!A867="",'Statements (Raw)'!A867&gt;Holdings!$G$3),"",'Statements (Raw)'!A867)</f>
        <v/>
      </c>
      <c r="B869" s="7" t="str">
        <f>IF(A869="","",IF('Statements (Raw)'!B867="","",'Statements (Raw)'!B867))</f>
        <v/>
      </c>
      <c r="C869" s="6" t="str">
        <f>IF(A869="","",IF('Statements (Raw)'!C867&lt;&gt;"",'Statements (Raw)'!C867,IF(ISNUMBER(SEARCH("Conferimento",'Statements (Raw)'!D867)),"CASH DEPOSIT",IF(ISNUMBER(SEARCH("Prelievo",'Statements (Raw)'!D867)),"CASH WITHDRAWAL",IF(ISNUMBER(SEARCH("Bollo",'Statements (Raw)'!D867)),"STAMP DUTY",IF(ISNUMBER(SEARCH("Tobin Tax",'Statements (Raw)'!D867)),"TOBIN TAX",IF(ISNUMBER(SEARCH("Rit.provento",'Statements (Raw)'!D867)),"WITHHOLDING TAX",IF(ISNUMBER(SEARCH("Incasso Dividendi",'Statements (Raw)'!D867)),"DIVIDEND",IF(ISNUMBER(SEARCH("Cedola",'Statements (Raw)'!D867)),"COUPON",IF(ISNUMBER(SEARCH("Ratei Pass",'Statements (Raw)'!D867)),"ACCRUED INT",IF(ISNUMBER(SEARCH("Interessi Prest",'Statements (Raw)'!D867)),"SEC LENDING",IF(ISNUMBER(SEARCH("Rimborso",'Statements (Raw)'!D867)),"REDEMPTION",IF(ISNUMBER(SEARCH("Provento",'Statements (Raw)'!D867)),"DISTRIBUTION","OTHER")))))))))))))</f>
        <v/>
      </c>
      <c r="D869" s="6" t="str">
        <f>IF(A869="","",IF(C869="Saldo Iniziale","Balance",IF(C869="CASH DEPOSIT","Deposit",IF(C869="CASH WITHDRAWAL","Withdrawal",IF(C869="STAMP DUTY","Tax",IF(C869="TOBIN TAX","Tax",IF(C869="WITHHOLDING TAX","Tax",IF(C869="DIVIDEND","Dividend",IF(C869="COUPON","Coupon",IF(C869="ACCRUED INT","Accrued Int.",IF(C869="SEC LENDING","Sec. Lending",IF(C869="REDEMPTION","Redemption",IF(C869="DISTRIBUTION","Distribution",IF(ISNUMBER(SEARCH("Rimborso",'Statements (Raw)'!D867)),"Redemption",IF(ISNUMBER(SEARCH("Cedola",'Statements (Raw)'!D867)),"Coupon",IF(ISNUMBER(SEARCH("Incasso Dividendi",'Statements (Raw)'!D867)),"Dividend",IF(ISNUMBER(SEARCH("Provento Etf",'Statements (Raw)'!D867)),"Distribution",IF(ISNUMBER(SEARCH("Rit.provento",'Statements (Raw)'!D867)),"Tax",IF(ISNUMBER(SEARCH("Ratei Pass",'Statements (Raw)'!D867)),"Accrued Int.",IF(ISNUMBER(SEARCH("Interessi Prest",'Statements (Raw)'!D867)),"Sec. Lending",IF('Statements (Raw)'!G867="","Other",IF('Statements (Raw)'!G867&gt;0,"Buy","Sell"))))))))))))))))))))))</f>
        <v/>
      </c>
      <c r="E869" s="6" t="str">
        <f t="shared" si="26"/>
        <v/>
      </c>
      <c r="F869" s="8" t="str">
        <f>IF(A869="","",IF('Statements (Raw)'!E867="","",'Statements (Raw)'!E867))</f>
        <v/>
      </c>
      <c r="G869" s="6" t="str">
        <f>IF(A869="","",IF('Statements (Raw)'!F867="","",'Statements (Raw)'!F867))</f>
        <v/>
      </c>
      <c r="H869" s="9" t="str">
        <f>IF(A869="","",IF('Statements (Raw)'!G867="","",'Statements (Raw)'!G867))</f>
        <v/>
      </c>
      <c r="I869" s="10" t="str">
        <f>IF(A869="","",IF('Statements (Raw)'!H867="","",'Statements (Raw)'!H867))</f>
        <v/>
      </c>
      <c r="J869" s="10">
        <f>IF(A869="",0,IF('Statements (Raw)'!I867="",0,'Statements (Raw)'!I867))</f>
        <v>0</v>
      </c>
      <c r="K869" s="10" t="str">
        <f t="shared" si="27"/>
        <v/>
      </c>
    </row>
    <row r="870" spans="1:11" x14ac:dyDescent="0.3">
      <c r="A870" s="171" t="str">
        <f>IF(OR('Statements (Raw)'!A868="",'Statements (Raw)'!A868&gt;Holdings!$G$3),"",'Statements (Raw)'!A868)</f>
        <v/>
      </c>
      <c r="B870" s="7" t="str">
        <f>IF(A870="","",IF('Statements (Raw)'!B868="","",'Statements (Raw)'!B868))</f>
        <v/>
      </c>
      <c r="C870" s="6" t="str">
        <f>IF(A870="","",IF('Statements (Raw)'!C868&lt;&gt;"",'Statements (Raw)'!C868,IF(ISNUMBER(SEARCH("Conferimento",'Statements (Raw)'!D868)),"CASH DEPOSIT",IF(ISNUMBER(SEARCH("Prelievo",'Statements (Raw)'!D868)),"CASH WITHDRAWAL",IF(ISNUMBER(SEARCH("Bollo",'Statements (Raw)'!D868)),"STAMP DUTY",IF(ISNUMBER(SEARCH("Tobin Tax",'Statements (Raw)'!D868)),"TOBIN TAX",IF(ISNUMBER(SEARCH("Rit.provento",'Statements (Raw)'!D868)),"WITHHOLDING TAX",IF(ISNUMBER(SEARCH("Incasso Dividendi",'Statements (Raw)'!D868)),"DIVIDEND",IF(ISNUMBER(SEARCH("Cedola",'Statements (Raw)'!D868)),"COUPON",IF(ISNUMBER(SEARCH("Ratei Pass",'Statements (Raw)'!D868)),"ACCRUED INT",IF(ISNUMBER(SEARCH("Interessi Prest",'Statements (Raw)'!D868)),"SEC LENDING",IF(ISNUMBER(SEARCH("Rimborso",'Statements (Raw)'!D868)),"REDEMPTION",IF(ISNUMBER(SEARCH("Provento",'Statements (Raw)'!D868)),"DISTRIBUTION","OTHER")))))))))))))</f>
        <v/>
      </c>
      <c r="D870" s="6" t="str">
        <f>IF(A870="","",IF(C870="Saldo Iniziale","Balance",IF(C870="CASH DEPOSIT","Deposit",IF(C870="CASH WITHDRAWAL","Withdrawal",IF(C870="STAMP DUTY","Tax",IF(C870="TOBIN TAX","Tax",IF(C870="WITHHOLDING TAX","Tax",IF(C870="DIVIDEND","Dividend",IF(C870="COUPON","Coupon",IF(C870="ACCRUED INT","Accrued Int.",IF(C870="SEC LENDING","Sec. Lending",IF(C870="REDEMPTION","Redemption",IF(C870="DISTRIBUTION","Distribution",IF(ISNUMBER(SEARCH("Rimborso",'Statements (Raw)'!D868)),"Redemption",IF(ISNUMBER(SEARCH("Cedola",'Statements (Raw)'!D868)),"Coupon",IF(ISNUMBER(SEARCH("Incasso Dividendi",'Statements (Raw)'!D868)),"Dividend",IF(ISNUMBER(SEARCH("Provento Etf",'Statements (Raw)'!D868)),"Distribution",IF(ISNUMBER(SEARCH("Rit.provento",'Statements (Raw)'!D868)),"Tax",IF(ISNUMBER(SEARCH("Ratei Pass",'Statements (Raw)'!D868)),"Accrued Int.",IF(ISNUMBER(SEARCH("Interessi Prest",'Statements (Raw)'!D868)),"Sec. Lending",IF('Statements (Raw)'!G868="","Other",IF('Statements (Raw)'!G868&gt;0,"Buy","Sell"))))))))))))))))))))))</f>
        <v/>
      </c>
      <c r="E870" s="6" t="str">
        <f t="shared" si="26"/>
        <v/>
      </c>
      <c r="F870" s="8" t="str">
        <f>IF(A870="","",IF('Statements (Raw)'!E868="","",'Statements (Raw)'!E868))</f>
        <v/>
      </c>
      <c r="G870" s="6" t="str">
        <f>IF(A870="","",IF('Statements (Raw)'!F868="","",'Statements (Raw)'!F868))</f>
        <v/>
      </c>
      <c r="H870" s="9" t="str">
        <f>IF(A870="","",IF('Statements (Raw)'!G868="","",'Statements (Raw)'!G868))</f>
        <v/>
      </c>
      <c r="I870" s="10" t="str">
        <f>IF(A870="","",IF('Statements (Raw)'!H868="","",'Statements (Raw)'!H868))</f>
        <v/>
      </c>
      <c r="J870" s="10">
        <f>IF(A870="",0,IF('Statements (Raw)'!I868="",0,'Statements (Raw)'!I868))</f>
        <v>0</v>
      </c>
      <c r="K870" s="10" t="str">
        <f t="shared" si="27"/>
        <v/>
      </c>
    </row>
    <row r="871" spans="1:11" x14ac:dyDescent="0.3">
      <c r="A871" s="171" t="str">
        <f>IF(OR('Statements (Raw)'!A869="",'Statements (Raw)'!A869&gt;Holdings!$G$3),"",'Statements (Raw)'!A869)</f>
        <v/>
      </c>
      <c r="B871" s="7" t="str">
        <f>IF(A871="","",IF('Statements (Raw)'!B869="","",'Statements (Raw)'!B869))</f>
        <v/>
      </c>
      <c r="C871" s="6" t="str">
        <f>IF(A871="","",IF('Statements (Raw)'!C869&lt;&gt;"",'Statements (Raw)'!C869,IF(ISNUMBER(SEARCH("Conferimento",'Statements (Raw)'!D869)),"CASH DEPOSIT",IF(ISNUMBER(SEARCH("Prelievo",'Statements (Raw)'!D869)),"CASH WITHDRAWAL",IF(ISNUMBER(SEARCH("Bollo",'Statements (Raw)'!D869)),"STAMP DUTY",IF(ISNUMBER(SEARCH("Tobin Tax",'Statements (Raw)'!D869)),"TOBIN TAX",IF(ISNUMBER(SEARCH("Rit.provento",'Statements (Raw)'!D869)),"WITHHOLDING TAX",IF(ISNUMBER(SEARCH("Incasso Dividendi",'Statements (Raw)'!D869)),"DIVIDEND",IF(ISNUMBER(SEARCH("Cedola",'Statements (Raw)'!D869)),"COUPON",IF(ISNUMBER(SEARCH("Ratei Pass",'Statements (Raw)'!D869)),"ACCRUED INT",IF(ISNUMBER(SEARCH("Interessi Prest",'Statements (Raw)'!D869)),"SEC LENDING",IF(ISNUMBER(SEARCH("Rimborso",'Statements (Raw)'!D869)),"REDEMPTION",IF(ISNUMBER(SEARCH("Provento",'Statements (Raw)'!D869)),"DISTRIBUTION","OTHER")))))))))))))</f>
        <v/>
      </c>
      <c r="D871" s="6" t="str">
        <f>IF(A871="","",IF(C871="Saldo Iniziale","Balance",IF(C871="CASH DEPOSIT","Deposit",IF(C871="CASH WITHDRAWAL","Withdrawal",IF(C871="STAMP DUTY","Tax",IF(C871="TOBIN TAX","Tax",IF(C871="WITHHOLDING TAX","Tax",IF(C871="DIVIDEND","Dividend",IF(C871="COUPON","Coupon",IF(C871="ACCRUED INT","Accrued Int.",IF(C871="SEC LENDING","Sec. Lending",IF(C871="REDEMPTION","Redemption",IF(C871="DISTRIBUTION","Distribution",IF(ISNUMBER(SEARCH("Rimborso",'Statements (Raw)'!D869)),"Redemption",IF(ISNUMBER(SEARCH("Cedola",'Statements (Raw)'!D869)),"Coupon",IF(ISNUMBER(SEARCH("Incasso Dividendi",'Statements (Raw)'!D869)),"Dividend",IF(ISNUMBER(SEARCH("Provento Etf",'Statements (Raw)'!D869)),"Distribution",IF(ISNUMBER(SEARCH("Rit.provento",'Statements (Raw)'!D869)),"Tax",IF(ISNUMBER(SEARCH("Ratei Pass",'Statements (Raw)'!D869)),"Accrued Int.",IF(ISNUMBER(SEARCH("Interessi Prest",'Statements (Raw)'!D869)),"Sec. Lending",IF('Statements (Raw)'!G869="","Other",IF('Statements (Raw)'!G869&gt;0,"Buy","Sell"))))))))))))))))))))))</f>
        <v/>
      </c>
      <c r="E871" s="6" t="str">
        <f t="shared" si="26"/>
        <v/>
      </c>
      <c r="F871" s="8" t="str">
        <f>IF(A871="","",IF('Statements (Raw)'!E869="","",'Statements (Raw)'!E869))</f>
        <v/>
      </c>
      <c r="G871" s="6" t="str">
        <f>IF(A871="","",IF('Statements (Raw)'!F869="","",'Statements (Raw)'!F869))</f>
        <v/>
      </c>
      <c r="H871" s="9" t="str">
        <f>IF(A871="","",IF('Statements (Raw)'!G869="","",'Statements (Raw)'!G869))</f>
        <v/>
      </c>
      <c r="I871" s="10" t="str">
        <f>IF(A871="","",IF('Statements (Raw)'!H869="","",'Statements (Raw)'!H869))</f>
        <v/>
      </c>
      <c r="J871" s="10">
        <f>IF(A871="",0,IF('Statements (Raw)'!I869="",0,'Statements (Raw)'!I869))</f>
        <v>0</v>
      </c>
      <c r="K871" s="10" t="str">
        <f t="shared" si="27"/>
        <v/>
      </c>
    </row>
    <row r="872" spans="1:11" x14ac:dyDescent="0.3">
      <c r="A872" s="171" t="str">
        <f>IF(OR('Statements (Raw)'!A870="",'Statements (Raw)'!A870&gt;Holdings!$G$3),"",'Statements (Raw)'!A870)</f>
        <v/>
      </c>
      <c r="B872" s="7" t="str">
        <f>IF(A872="","",IF('Statements (Raw)'!B870="","",'Statements (Raw)'!B870))</f>
        <v/>
      </c>
      <c r="C872" s="6" t="str">
        <f>IF(A872="","",IF('Statements (Raw)'!C870&lt;&gt;"",'Statements (Raw)'!C870,IF(ISNUMBER(SEARCH("Conferimento",'Statements (Raw)'!D870)),"CASH DEPOSIT",IF(ISNUMBER(SEARCH("Prelievo",'Statements (Raw)'!D870)),"CASH WITHDRAWAL",IF(ISNUMBER(SEARCH("Bollo",'Statements (Raw)'!D870)),"STAMP DUTY",IF(ISNUMBER(SEARCH("Tobin Tax",'Statements (Raw)'!D870)),"TOBIN TAX",IF(ISNUMBER(SEARCH("Rit.provento",'Statements (Raw)'!D870)),"WITHHOLDING TAX",IF(ISNUMBER(SEARCH("Incasso Dividendi",'Statements (Raw)'!D870)),"DIVIDEND",IF(ISNUMBER(SEARCH("Cedola",'Statements (Raw)'!D870)),"COUPON",IF(ISNUMBER(SEARCH("Ratei Pass",'Statements (Raw)'!D870)),"ACCRUED INT",IF(ISNUMBER(SEARCH("Interessi Prest",'Statements (Raw)'!D870)),"SEC LENDING",IF(ISNUMBER(SEARCH("Rimborso",'Statements (Raw)'!D870)),"REDEMPTION",IF(ISNUMBER(SEARCH("Provento",'Statements (Raw)'!D870)),"DISTRIBUTION","OTHER")))))))))))))</f>
        <v/>
      </c>
      <c r="D872" s="6" t="str">
        <f>IF(A872="","",IF(C872="Saldo Iniziale","Balance",IF(C872="CASH DEPOSIT","Deposit",IF(C872="CASH WITHDRAWAL","Withdrawal",IF(C872="STAMP DUTY","Tax",IF(C872="TOBIN TAX","Tax",IF(C872="WITHHOLDING TAX","Tax",IF(C872="DIVIDEND","Dividend",IF(C872="COUPON","Coupon",IF(C872="ACCRUED INT","Accrued Int.",IF(C872="SEC LENDING","Sec. Lending",IF(C872="REDEMPTION","Redemption",IF(C872="DISTRIBUTION","Distribution",IF(ISNUMBER(SEARCH("Rimborso",'Statements (Raw)'!D870)),"Redemption",IF(ISNUMBER(SEARCH("Cedola",'Statements (Raw)'!D870)),"Coupon",IF(ISNUMBER(SEARCH("Incasso Dividendi",'Statements (Raw)'!D870)),"Dividend",IF(ISNUMBER(SEARCH("Provento Etf",'Statements (Raw)'!D870)),"Distribution",IF(ISNUMBER(SEARCH("Rit.provento",'Statements (Raw)'!D870)),"Tax",IF(ISNUMBER(SEARCH("Ratei Pass",'Statements (Raw)'!D870)),"Accrued Int.",IF(ISNUMBER(SEARCH("Interessi Prest",'Statements (Raw)'!D870)),"Sec. Lending",IF('Statements (Raw)'!G870="","Other",IF('Statements (Raw)'!G870&gt;0,"Buy","Sell"))))))))))))))))))))))</f>
        <v/>
      </c>
      <c r="E872" s="6" t="str">
        <f t="shared" si="26"/>
        <v/>
      </c>
      <c r="F872" s="8" t="str">
        <f>IF(A872="","",IF('Statements (Raw)'!E870="","",'Statements (Raw)'!E870))</f>
        <v/>
      </c>
      <c r="G872" s="6" t="str">
        <f>IF(A872="","",IF('Statements (Raw)'!F870="","",'Statements (Raw)'!F870))</f>
        <v/>
      </c>
      <c r="H872" s="9" t="str">
        <f>IF(A872="","",IF('Statements (Raw)'!G870="","",'Statements (Raw)'!G870))</f>
        <v/>
      </c>
      <c r="I872" s="10" t="str">
        <f>IF(A872="","",IF('Statements (Raw)'!H870="","",'Statements (Raw)'!H870))</f>
        <v/>
      </c>
      <c r="J872" s="10">
        <f>IF(A872="",0,IF('Statements (Raw)'!I870="",0,'Statements (Raw)'!I870))</f>
        <v>0</v>
      </c>
      <c r="K872" s="10" t="str">
        <f t="shared" si="27"/>
        <v/>
      </c>
    </row>
    <row r="873" spans="1:11" x14ac:dyDescent="0.3">
      <c r="A873" s="171" t="str">
        <f>IF(OR('Statements (Raw)'!A871="",'Statements (Raw)'!A871&gt;Holdings!$G$3),"",'Statements (Raw)'!A871)</f>
        <v/>
      </c>
      <c r="B873" s="7" t="str">
        <f>IF(A873="","",IF('Statements (Raw)'!B871="","",'Statements (Raw)'!B871))</f>
        <v/>
      </c>
      <c r="C873" s="6" t="str">
        <f>IF(A873="","",IF('Statements (Raw)'!C871&lt;&gt;"",'Statements (Raw)'!C871,IF(ISNUMBER(SEARCH("Conferimento",'Statements (Raw)'!D871)),"CASH DEPOSIT",IF(ISNUMBER(SEARCH("Prelievo",'Statements (Raw)'!D871)),"CASH WITHDRAWAL",IF(ISNUMBER(SEARCH("Bollo",'Statements (Raw)'!D871)),"STAMP DUTY",IF(ISNUMBER(SEARCH("Tobin Tax",'Statements (Raw)'!D871)),"TOBIN TAX",IF(ISNUMBER(SEARCH("Rit.provento",'Statements (Raw)'!D871)),"WITHHOLDING TAX",IF(ISNUMBER(SEARCH("Incasso Dividendi",'Statements (Raw)'!D871)),"DIVIDEND",IF(ISNUMBER(SEARCH("Cedola",'Statements (Raw)'!D871)),"COUPON",IF(ISNUMBER(SEARCH("Ratei Pass",'Statements (Raw)'!D871)),"ACCRUED INT",IF(ISNUMBER(SEARCH("Interessi Prest",'Statements (Raw)'!D871)),"SEC LENDING",IF(ISNUMBER(SEARCH("Rimborso",'Statements (Raw)'!D871)),"REDEMPTION",IF(ISNUMBER(SEARCH("Provento",'Statements (Raw)'!D871)),"DISTRIBUTION","OTHER")))))))))))))</f>
        <v/>
      </c>
      <c r="D873" s="6" t="str">
        <f>IF(A873="","",IF(C873="Saldo Iniziale","Balance",IF(C873="CASH DEPOSIT","Deposit",IF(C873="CASH WITHDRAWAL","Withdrawal",IF(C873="STAMP DUTY","Tax",IF(C873="TOBIN TAX","Tax",IF(C873="WITHHOLDING TAX","Tax",IF(C873="DIVIDEND","Dividend",IF(C873="COUPON","Coupon",IF(C873="ACCRUED INT","Accrued Int.",IF(C873="SEC LENDING","Sec. Lending",IF(C873="REDEMPTION","Redemption",IF(C873="DISTRIBUTION","Distribution",IF(ISNUMBER(SEARCH("Rimborso",'Statements (Raw)'!D871)),"Redemption",IF(ISNUMBER(SEARCH("Cedola",'Statements (Raw)'!D871)),"Coupon",IF(ISNUMBER(SEARCH("Incasso Dividendi",'Statements (Raw)'!D871)),"Dividend",IF(ISNUMBER(SEARCH("Provento Etf",'Statements (Raw)'!D871)),"Distribution",IF(ISNUMBER(SEARCH("Rit.provento",'Statements (Raw)'!D871)),"Tax",IF(ISNUMBER(SEARCH("Ratei Pass",'Statements (Raw)'!D871)),"Accrued Int.",IF(ISNUMBER(SEARCH("Interessi Prest",'Statements (Raw)'!D871)),"Sec. Lending",IF('Statements (Raw)'!G871="","Other",IF('Statements (Raw)'!G871&gt;0,"Buy","Sell"))))))))))))))))))))))</f>
        <v/>
      </c>
      <c r="E873" s="6" t="str">
        <f t="shared" si="26"/>
        <v/>
      </c>
      <c r="F873" s="8" t="str">
        <f>IF(A873="","",IF('Statements (Raw)'!E871="","",'Statements (Raw)'!E871))</f>
        <v/>
      </c>
      <c r="G873" s="6" t="str">
        <f>IF(A873="","",IF('Statements (Raw)'!F871="","",'Statements (Raw)'!F871))</f>
        <v/>
      </c>
      <c r="H873" s="9" t="str">
        <f>IF(A873="","",IF('Statements (Raw)'!G871="","",'Statements (Raw)'!G871))</f>
        <v/>
      </c>
      <c r="I873" s="10" t="str">
        <f>IF(A873="","",IF('Statements (Raw)'!H871="","",'Statements (Raw)'!H871))</f>
        <v/>
      </c>
      <c r="J873" s="10">
        <f>IF(A873="",0,IF('Statements (Raw)'!I871="",0,'Statements (Raw)'!I871))</f>
        <v>0</v>
      </c>
      <c r="K873" s="10" t="str">
        <f t="shared" si="27"/>
        <v/>
      </c>
    </row>
    <row r="874" spans="1:11" x14ac:dyDescent="0.3">
      <c r="A874" s="171" t="str">
        <f>IF(OR('Statements (Raw)'!A872="",'Statements (Raw)'!A872&gt;Holdings!$G$3),"",'Statements (Raw)'!A872)</f>
        <v/>
      </c>
      <c r="B874" s="7" t="str">
        <f>IF(A874="","",IF('Statements (Raw)'!B872="","",'Statements (Raw)'!B872))</f>
        <v/>
      </c>
      <c r="C874" s="6" t="str">
        <f>IF(A874="","",IF('Statements (Raw)'!C872&lt;&gt;"",'Statements (Raw)'!C872,IF(ISNUMBER(SEARCH("Conferimento",'Statements (Raw)'!D872)),"CASH DEPOSIT",IF(ISNUMBER(SEARCH("Prelievo",'Statements (Raw)'!D872)),"CASH WITHDRAWAL",IF(ISNUMBER(SEARCH("Bollo",'Statements (Raw)'!D872)),"STAMP DUTY",IF(ISNUMBER(SEARCH("Tobin Tax",'Statements (Raw)'!D872)),"TOBIN TAX",IF(ISNUMBER(SEARCH("Rit.provento",'Statements (Raw)'!D872)),"WITHHOLDING TAX",IF(ISNUMBER(SEARCH("Incasso Dividendi",'Statements (Raw)'!D872)),"DIVIDEND",IF(ISNUMBER(SEARCH("Cedola",'Statements (Raw)'!D872)),"COUPON",IF(ISNUMBER(SEARCH("Ratei Pass",'Statements (Raw)'!D872)),"ACCRUED INT",IF(ISNUMBER(SEARCH("Interessi Prest",'Statements (Raw)'!D872)),"SEC LENDING",IF(ISNUMBER(SEARCH("Rimborso",'Statements (Raw)'!D872)),"REDEMPTION",IF(ISNUMBER(SEARCH("Provento",'Statements (Raw)'!D872)),"DISTRIBUTION","OTHER")))))))))))))</f>
        <v/>
      </c>
      <c r="D874" s="6" t="str">
        <f>IF(A874="","",IF(C874="Saldo Iniziale","Balance",IF(C874="CASH DEPOSIT","Deposit",IF(C874="CASH WITHDRAWAL","Withdrawal",IF(C874="STAMP DUTY","Tax",IF(C874="TOBIN TAX","Tax",IF(C874="WITHHOLDING TAX","Tax",IF(C874="DIVIDEND","Dividend",IF(C874="COUPON","Coupon",IF(C874="ACCRUED INT","Accrued Int.",IF(C874="SEC LENDING","Sec. Lending",IF(C874="REDEMPTION","Redemption",IF(C874="DISTRIBUTION","Distribution",IF(ISNUMBER(SEARCH("Rimborso",'Statements (Raw)'!D872)),"Redemption",IF(ISNUMBER(SEARCH("Cedola",'Statements (Raw)'!D872)),"Coupon",IF(ISNUMBER(SEARCH("Incasso Dividendi",'Statements (Raw)'!D872)),"Dividend",IF(ISNUMBER(SEARCH("Provento Etf",'Statements (Raw)'!D872)),"Distribution",IF(ISNUMBER(SEARCH("Rit.provento",'Statements (Raw)'!D872)),"Tax",IF(ISNUMBER(SEARCH("Ratei Pass",'Statements (Raw)'!D872)),"Accrued Int.",IF(ISNUMBER(SEARCH("Interessi Prest",'Statements (Raw)'!D872)),"Sec. Lending",IF('Statements (Raw)'!G872="","Other",IF('Statements (Raw)'!G872&gt;0,"Buy","Sell"))))))))))))))))))))))</f>
        <v/>
      </c>
      <c r="E874" s="6" t="str">
        <f t="shared" si="26"/>
        <v/>
      </c>
      <c r="F874" s="8" t="str">
        <f>IF(A874="","",IF('Statements (Raw)'!E872="","",'Statements (Raw)'!E872))</f>
        <v/>
      </c>
      <c r="G874" s="6" t="str">
        <f>IF(A874="","",IF('Statements (Raw)'!F872="","",'Statements (Raw)'!F872))</f>
        <v/>
      </c>
      <c r="H874" s="9" t="str">
        <f>IF(A874="","",IF('Statements (Raw)'!G872="","",'Statements (Raw)'!G872))</f>
        <v/>
      </c>
      <c r="I874" s="10" t="str">
        <f>IF(A874="","",IF('Statements (Raw)'!H872="","",'Statements (Raw)'!H872))</f>
        <v/>
      </c>
      <c r="J874" s="10">
        <f>IF(A874="",0,IF('Statements (Raw)'!I872="",0,'Statements (Raw)'!I872))</f>
        <v>0</v>
      </c>
      <c r="K874" s="10" t="str">
        <f t="shared" si="27"/>
        <v/>
      </c>
    </row>
    <row r="875" spans="1:11" x14ac:dyDescent="0.3">
      <c r="A875" s="171" t="str">
        <f>IF(OR('Statements (Raw)'!A873="",'Statements (Raw)'!A873&gt;Holdings!$G$3),"",'Statements (Raw)'!A873)</f>
        <v/>
      </c>
      <c r="B875" s="7" t="str">
        <f>IF(A875="","",IF('Statements (Raw)'!B873="","",'Statements (Raw)'!B873))</f>
        <v/>
      </c>
      <c r="C875" s="6" t="str">
        <f>IF(A875="","",IF('Statements (Raw)'!C873&lt;&gt;"",'Statements (Raw)'!C873,IF(ISNUMBER(SEARCH("Conferimento",'Statements (Raw)'!D873)),"CASH DEPOSIT",IF(ISNUMBER(SEARCH("Prelievo",'Statements (Raw)'!D873)),"CASH WITHDRAWAL",IF(ISNUMBER(SEARCH("Bollo",'Statements (Raw)'!D873)),"STAMP DUTY",IF(ISNUMBER(SEARCH("Tobin Tax",'Statements (Raw)'!D873)),"TOBIN TAX",IF(ISNUMBER(SEARCH("Rit.provento",'Statements (Raw)'!D873)),"WITHHOLDING TAX",IF(ISNUMBER(SEARCH("Incasso Dividendi",'Statements (Raw)'!D873)),"DIVIDEND",IF(ISNUMBER(SEARCH("Cedola",'Statements (Raw)'!D873)),"COUPON",IF(ISNUMBER(SEARCH("Ratei Pass",'Statements (Raw)'!D873)),"ACCRUED INT",IF(ISNUMBER(SEARCH("Interessi Prest",'Statements (Raw)'!D873)),"SEC LENDING",IF(ISNUMBER(SEARCH("Rimborso",'Statements (Raw)'!D873)),"REDEMPTION",IF(ISNUMBER(SEARCH("Provento",'Statements (Raw)'!D873)),"DISTRIBUTION","OTHER")))))))))))))</f>
        <v/>
      </c>
      <c r="D875" s="6" t="str">
        <f>IF(A875="","",IF(C875="Saldo Iniziale","Balance",IF(C875="CASH DEPOSIT","Deposit",IF(C875="CASH WITHDRAWAL","Withdrawal",IF(C875="STAMP DUTY","Tax",IF(C875="TOBIN TAX","Tax",IF(C875="WITHHOLDING TAX","Tax",IF(C875="DIVIDEND","Dividend",IF(C875="COUPON","Coupon",IF(C875="ACCRUED INT","Accrued Int.",IF(C875="SEC LENDING","Sec. Lending",IF(C875="REDEMPTION","Redemption",IF(C875="DISTRIBUTION","Distribution",IF(ISNUMBER(SEARCH("Rimborso",'Statements (Raw)'!D873)),"Redemption",IF(ISNUMBER(SEARCH("Cedola",'Statements (Raw)'!D873)),"Coupon",IF(ISNUMBER(SEARCH("Incasso Dividendi",'Statements (Raw)'!D873)),"Dividend",IF(ISNUMBER(SEARCH("Provento Etf",'Statements (Raw)'!D873)),"Distribution",IF(ISNUMBER(SEARCH("Rit.provento",'Statements (Raw)'!D873)),"Tax",IF(ISNUMBER(SEARCH("Ratei Pass",'Statements (Raw)'!D873)),"Accrued Int.",IF(ISNUMBER(SEARCH("Interessi Prest",'Statements (Raw)'!D873)),"Sec. Lending",IF('Statements (Raw)'!G873="","Other",IF('Statements (Raw)'!G873&gt;0,"Buy","Sell"))))))))))))))))))))))</f>
        <v/>
      </c>
      <c r="E875" s="6" t="str">
        <f t="shared" si="26"/>
        <v/>
      </c>
      <c r="F875" s="8" t="str">
        <f>IF(A875="","",IF('Statements (Raw)'!E873="","",'Statements (Raw)'!E873))</f>
        <v/>
      </c>
      <c r="G875" s="6" t="str">
        <f>IF(A875="","",IF('Statements (Raw)'!F873="","",'Statements (Raw)'!F873))</f>
        <v/>
      </c>
      <c r="H875" s="9" t="str">
        <f>IF(A875="","",IF('Statements (Raw)'!G873="","",'Statements (Raw)'!G873))</f>
        <v/>
      </c>
      <c r="I875" s="10" t="str">
        <f>IF(A875="","",IF('Statements (Raw)'!H873="","",'Statements (Raw)'!H873))</f>
        <v/>
      </c>
      <c r="J875" s="10">
        <f>IF(A875="",0,IF('Statements (Raw)'!I873="",0,'Statements (Raw)'!I873))</f>
        <v>0</v>
      </c>
      <c r="K875" s="10" t="str">
        <f t="shared" si="27"/>
        <v/>
      </c>
    </row>
    <row r="876" spans="1:11" x14ac:dyDescent="0.3">
      <c r="A876" s="171" t="str">
        <f>IF(OR('Statements (Raw)'!A874="",'Statements (Raw)'!A874&gt;Holdings!$G$3),"",'Statements (Raw)'!A874)</f>
        <v/>
      </c>
      <c r="B876" s="7" t="str">
        <f>IF(A876="","",IF('Statements (Raw)'!B874="","",'Statements (Raw)'!B874))</f>
        <v/>
      </c>
      <c r="C876" s="6" t="str">
        <f>IF(A876="","",IF('Statements (Raw)'!C874&lt;&gt;"",'Statements (Raw)'!C874,IF(ISNUMBER(SEARCH("Conferimento",'Statements (Raw)'!D874)),"CASH DEPOSIT",IF(ISNUMBER(SEARCH("Prelievo",'Statements (Raw)'!D874)),"CASH WITHDRAWAL",IF(ISNUMBER(SEARCH("Bollo",'Statements (Raw)'!D874)),"STAMP DUTY",IF(ISNUMBER(SEARCH("Tobin Tax",'Statements (Raw)'!D874)),"TOBIN TAX",IF(ISNUMBER(SEARCH("Rit.provento",'Statements (Raw)'!D874)),"WITHHOLDING TAX",IF(ISNUMBER(SEARCH("Incasso Dividendi",'Statements (Raw)'!D874)),"DIVIDEND",IF(ISNUMBER(SEARCH("Cedola",'Statements (Raw)'!D874)),"COUPON",IF(ISNUMBER(SEARCH("Ratei Pass",'Statements (Raw)'!D874)),"ACCRUED INT",IF(ISNUMBER(SEARCH("Interessi Prest",'Statements (Raw)'!D874)),"SEC LENDING",IF(ISNUMBER(SEARCH("Rimborso",'Statements (Raw)'!D874)),"REDEMPTION",IF(ISNUMBER(SEARCH("Provento",'Statements (Raw)'!D874)),"DISTRIBUTION","OTHER")))))))))))))</f>
        <v/>
      </c>
      <c r="D876" s="6" t="str">
        <f>IF(A876="","",IF(C876="Saldo Iniziale","Balance",IF(C876="CASH DEPOSIT","Deposit",IF(C876="CASH WITHDRAWAL","Withdrawal",IF(C876="STAMP DUTY","Tax",IF(C876="TOBIN TAX","Tax",IF(C876="WITHHOLDING TAX","Tax",IF(C876="DIVIDEND","Dividend",IF(C876="COUPON","Coupon",IF(C876="ACCRUED INT","Accrued Int.",IF(C876="SEC LENDING","Sec. Lending",IF(C876="REDEMPTION","Redemption",IF(C876="DISTRIBUTION","Distribution",IF(ISNUMBER(SEARCH("Rimborso",'Statements (Raw)'!D874)),"Redemption",IF(ISNUMBER(SEARCH("Cedola",'Statements (Raw)'!D874)),"Coupon",IF(ISNUMBER(SEARCH("Incasso Dividendi",'Statements (Raw)'!D874)),"Dividend",IF(ISNUMBER(SEARCH("Provento Etf",'Statements (Raw)'!D874)),"Distribution",IF(ISNUMBER(SEARCH("Rit.provento",'Statements (Raw)'!D874)),"Tax",IF(ISNUMBER(SEARCH("Ratei Pass",'Statements (Raw)'!D874)),"Accrued Int.",IF(ISNUMBER(SEARCH("Interessi Prest",'Statements (Raw)'!D874)),"Sec. Lending",IF('Statements (Raw)'!G874="","Other",IF('Statements (Raw)'!G874&gt;0,"Buy","Sell"))))))))))))))))))))))</f>
        <v/>
      </c>
      <c r="E876" s="6" t="str">
        <f t="shared" si="26"/>
        <v/>
      </c>
      <c r="F876" s="8" t="str">
        <f>IF(A876="","",IF('Statements (Raw)'!E874="","",'Statements (Raw)'!E874))</f>
        <v/>
      </c>
      <c r="G876" s="6" t="str">
        <f>IF(A876="","",IF('Statements (Raw)'!F874="","",'Statements (Raw)'!F874))</f>
        <v/>
      </c>
      <c r="H876" s="9" t="str">
        <f>IF(A876="","",IF('Statements (Raw)'!G874="","",'Statements (Raw)'!G874))</f>
        <v/>
      </c>
      <c r="I876" s="10" t="str">
        <f>IF(A876="","",IF('Statements (Raw)'!H874="","",'Statements (Raw)'!H874))</f>
        <v/>
      </c>
      <c r="J876" s="10">
        <f>IF(A876="",0,IF('Statements (Raw)'!I874="",0,'Statements (Raw)'!I874))</f>
        <v>0</v>
      </c>
      <c r="K876" s="10" t="str">
        <f t="shared" si="27"/>
        <v/>
      </c>
    </row>
    <row r="877" spans="1:11" x14ac:dyDescent="0.3">
      <c r="A877" s="171" t="str">
        <f>IF(OR('Statements (Raw)'!A875="",'Statements (Raw)'!A875&gt;Holdings!$G$3),"",'Statements (Raw)'!A875)</f>
        <v/>
      </c>
      <c r="B877" s="7" t="str">
        <f>IF(A877="","",IF('Statements (Raw)'!B875="","",'Statements (Raw)'!B875))</f>
        <v/>
      </c>
      <c r="C877" s="6" t="str">
        <f>IF(A877="","",IF('Statements (Raw)'!C875&lt;&gt;"",'Statements (Raw)'!C875,IF(ISNUMBER(SEARCH("Conferimento",'Statements (Raw)'!D875)),"CASH DEPOSIT",IF(ISNUMBER(SEARCH("Prelievo",'Statements (Raw)'!D875)),"CASH WITHDRAWAL",IF(ISNUMBER(SEARCH("Bollo",'Statements (Raw)'!D875)),"STAMP DUTY",IF(ISNUMBER(SEARCH("Tobin Tax",'Statements (Raw)'!D875)),"TOBIN TAX",IF(ISNUMBER(SEARCH("Rit.provento",'Statements (Raw)'!D875)),"WITHHOLDING TAX",IF(ISNUMBER(SEARCH("Incasso Dividendi",'Statements (Raw)'!D875)),"DIVIDEND",IF(ISNUMBER(SEARCH("Cedola",'Statements (Raw)'!D875)),"COUPON",IF(ISNUMBER(SEARCH("Ratei Pass",'Statements (Raw)'!D875)),"ACCRUED INT",IF(ISNUMBER(SEARCH("Interessi Prest",'Statements (Raw)'!D875)),"SEC LENDING",IF(ISNUMBER(SEARCH("Rimborso",'Statements (Raw)'!D875)),"REDEMPTION",IF(ISNUMBER(SEARCH("Provento",'Statements (Raw)'!D875)),"DISTRIBUTION","OTHER")))))))))))))</f>
        <v/>
      </c>
      <c r="D877" s="6" t="str">
        <f>IF(A877="","",IF(C877="Saldo Iniziale","Balance",IF(C877="CASH DEPOSIT","Deposit",IF(C877="CASH WITHDRAWAL","Withdrawal",IF(C877="STAMP DUTY","Tax",IF(C877="TOBIN TAX","Tax",IF(C877="WITHHOLDING TAX","Tax",IF(C877="DIVIDEND","Dividend",IF(C877="COUPON","Coupon",IF(C877="ACCRUED INT","Accrued Int.",IF(C877="SEC LENDING","Sec. Lending",IF(C877="REDEMPTION","Redemption",IF(C877="DISTRIBUTION","Distribution",IF(ISNUMBER(SEARCH("Rimborso",'Statements (Raw)'!D875)),"Redemption",IF(ISNUMBER(SEARCH("Cedola",'Statements (Raw)'!D875)),"Coupon",IF(ISNUMBER(SEARCH("Incasso Dividendi",'Statements (Raw)'!D875)),"Dividend",IF(ISNUMBER(SEARCH("Provento Etf",'Statements (Raw)'!D875)),"Distribution",IF(ISNUMBER(SEARCH("Rit.provento",'Statements (Raw)'!D875)),"Tax",IF(ISNUMBER(SEARCH("Ratei Pass",'Statements (Raw)'!D875)),"Accrued Int.",IF(ISNUMBER(SEARCH("Interessi Prest",'Statements (Raw)'!D875)),"Sec. Lending",IF('Statements (Raw)'!G875="","Other",IF('Statements (Raw)'!G875&gt;0,"Buy","Sell"))))))))))))))))))))))</f>
        <v/>
      </c>
      <c r="E877" s="6" t="str">
        <f t="shared" si="26"/>
        <v/>
      </c>
      <c r="F877" s="8" t="str">
        <f>IF(A877="","",IF('Statements (Raw)'!E875="","",'Statements (Raw)'!E875))</f>
        <v/>
      </c>
      <c r="G877" s="6" t="str">
        <f>IF(A877="","",IF('Statements (Raw)'!F875="","",'Statements (Raw)'!F875))</f>
        <v/>
      </c>
      <c r="H877" s="9" t="str">
        <f>IF(A877="","",IF('Statements (Raw)'!G875="","",'Statements (Raw)'!G875))</f>
        <v/>
      </c>
      <c r="I877" s="10" t="str">
        <f>IF(A877="","",IF('Statements (Raw)'!H875="","",'Statements (Raw)'!H875))</f>
        <v/>
      </c>
      <c r="J877" s="10">
        <f>IF(A877="",0,IF('Statements (Raw)'!I875="",0,'Statements (Raw)'!I875))</f>
        <v>0</v>
      </c>
      <c r="K877" s="10" t="str">
        <f t="shared" si="27"/>
        <v/>
      </c>
    </row>
    <row r="878" spans="1:11" x14ac:dyDescent="0.3">
      <c r="A878" s="171" t="str">
        <f>IF(OR('Statements (Raw)'!A876="",'Statements (Raw)'!A876&gt;Holdings!$G$3),"",'Statements (Raw)'!A876)</f>
        <v/>
      </c>
      <c r="B878" s="7" t="str">
        <f>IF(A878="","",IF('Statements (Raw)'!B876="","",'Statements (Raw)'!B876))</f>
        <v/>
      </c>
      <c r="C878" s="6" t="str">
        <f>IF(A878="","",IF('Statements (Raw)'!C876&lt;&gt;"",'Statements (Raw)'!C876,IF(ISNUMBER(SEARCH("Conferimento",'Statements (Raw)'!D876)),"CASH DEPOSIT",IF(ISNUMBER(SEARCH("Prelievo",'Statements (Raw)'!D876)),"CASH WITHDRAWAL",IF(ISNUMBER(SEARCH("Bollo",'Statements (Raw)'!D876)),"STAMP DUTY",IF(ISNUMBER(SEARCH("Tobin Tax",'Statements (Raw)'!D876)),"TOBIN TAX",IF(ISNUMBER(SEARCH("Rit.provento",'Statements (Raw)'!D876)),"WITHHOLDING TAX",IF(ISNUMBER(SEARCH("Incasso Dividendi",'Statements (Raw)'!D876)),"DIVIDEND",IF(ISNUMBER(SEARCH("Cedola",'Statements (Raw)'!D876)),"COUPON",IF(ISNUMBER(SEARCH("Ratei Pass",'Statements (Raw)'!D876)),"ACCRUED INT",IF(ISNUMBER(SEARCH("Interessi Prest",'Statements (Raw)'!D876)),"SEC LENDING",IF(ISNUMBER(SEARCH("Rimborso",'Statements (Raw)'!D876)),"REDEMPTION",IF(ISNUMBER(SEARCH("Provento",'Statements (Raw)'!D876)),"DISTRIBUTION","OTHER")))))))))))))</f>
        <v/>
      </c>
      <c r="D878" s="6" t="str">
        <f>IF(A878="","",IF(C878="Saldo Iniziale","Balance",IF(C878="CASH DEPOSIT","Deposit",IF(C878="CASH WITHDRAWAL","Withdrawal",IF(C878="STAMP DUTY","Tax",IF(C878="TOBIN TAX","Tax",IF(C878="WITHHOLDING TAX","Tax",IF(C878="DIVIDEND","Dividend",IF(C878="COUPON","Coupon",IF(C878="ACCRUED INT","Accrued Int.",IF(C878="SEC LENDING","Sec. Lending",IF(C878="REDEMPTION","Redemption",IF(C878="DISTRIBUTION","Distribution",IF(ISNUMBER(SEARCH("Rimborso",'Statements (Raw)'!D876)),"Redemption",IF(ISNUMBER(SEARCH("Cedola",'Statements (Raw)'!D876)),"Coupon",IF(ISNUMBER(SEARCH("Incasso Dividendi",'Statements (Raw)'!D876)),"Dividend",IF(ISNUMBER(SEARCH("Provento Etf",'Statements (Raw)'!D876)),"Distribution",IF(ISNUMBER(SEARCH("Rit.provento",'Statements (Raw)'!D876)),"Tax",IF(ISNUMBER(SEARCH("Ratei Pass",'Statements (Raw)'!D876)),"Accrued Int.",IF(ISNUMBER(SEARCH("Interessi Prest",'Statements (Raw)'!D876)),"Sec. Lending",IF('Statements (Raw)'!G876="","Other",IF('Statements (Raw)'!G876&gt;0,"Buy","Sell"))))))))))))))))))))))</f>
        <v/>
      </c>
      <c r="E878" s="6" t="str">
        <f t="shared" si="26"/>
        <v/>
      </c>
      <c r="F878" s="8" t="str">
        <f>IF(A878="","",IF('Statements (Raw)'!E876="","",'Statements (Raw)'!E876))</f>
        <v/>
      </c>
      <c r="G878" s="6" t="str">
        <f>IF(A878="","",IF('Statements (Raw)'!F876="","",'Statements (Raw)'!F876))</f>
        <v/>
      </c>
      <c r="H878" s="9" t="str">
        <f>IF(A878="","",IF('Statements (Raw)'!G876="","",'Statements (Raw)'!G876))</f>
        <v/>
      </c>
      <c r="I878" s="10" t="str">
        <f>IF(A878="","",IF('Statements (Raw)'!H876="","",'Statements (Raw)'!H876))</f>
        <v/>
      </c>
      <c r="J878" s="10">
        <f>IF(A878="",0,IF('Statements (Raw)'!I876="",0,'Statements (Raw)'!I876))</f>
        <v>0</v>
      </c>
      <c r="K878" s="10" t="str">
        <f t="shared" si="27"/>
        <v/>
      </c>
    </row>
    <row r="879" spans="1:11" x14ac:dyDescent="0.3">
      <c r="A879" s="171" t="str">
        <f>IF(OR('Statements (Raw)'!A877="",'Statements (Raw)'!A877&gt;Holdings!$G$3),"",'Statements (Raw)'!A877)</f>
        <v/>
      </c>
      <c r="B879" s="7" t="str">
        <f>IF(A879="","",IF('Statements (Raw)'!B877="","",'Statements (Raw)'!B877))</f>
        <v/>
      </c>
      <c r="C879" s="6" t="str">
        <f>IF(A879="","",IF('Statements (Raw)'!C877&lt;&gt;"",'Statements (Raw)'!C877,IF(ISNUMBER(SEARCH("Conferimento",'Statements (Raw)'!D877)),"CASH DEPOSIT",IF(ISNUMBER(SEARCH("Prelievo",'Statements (Raw)'!D877)),"CASH WITHDRAWAL",IF(ISNUMBER(SEARCH("Bollo",'Statements (Raw)'!D877)),"STAMP DUTY",IF(ISNUMBER(SEARCH("Tobin Tax",'Statements (Raw)'!D877)),"TOBIN TAX",IF(ISNUMBER(SEARCH("Rit.provento",'Statements (Raw)'!D877)),"WITHHOLDING TAX",IF(ISNUMBER(SEARCH("Incasso Dividendi",'Statements (Raw)'!D877)),"DIVIDEND",IF(ISNUMBER(SEARCH("Cedola",'Statements (Raw)'!D877)),"COUPON",IF(ISNUMBER(SEARCH("Ratei Pass",'Statements (Raw)'!D877)),"ACCRUED INT",IF(ISNUMBER(SEARCH("Interessi Prest",'Statements (Raw)'!D877)),"SEC LENDING",IF(ISNUMBER(SEARCH("Rimborso",'Statements (Raw)'!D877)),"REDEMPTION",IF(ISNUMBER(SEARCH("Provento",'Statements (Raw)'!D877)),"DISTRIBUTION","OTHER")))))))))))))</f>
        <v/>
      </c>
      <c r="D879" s="6" t="str">
        <f>IF(A879="","",IF(C879="Saldo Iniziale","Balance",IF(C879="CASH DEPOSIT","Deposit",IF(C879="CASH WITHDRAWAL","Withdrawal",IF(C879="STAMP DUTY","Tax",IF(C879="TOBIN TAX","Tax",IF(C879="WITHHOLDING TAX","Tax",IF(C879="DIVIDEND","Dividend",IF(C879="COUPON","Coupon",IF(C879="ACCRUED INT","Accrued Int.",IF(C879="SEC LENDING","Sec. Lending",IF(C879="REDEMPTION","Redemption",IF(C879="DISTRIBUTION","Distribution",IF(ISNUMBER(SEARCH("Rimborso",'Statements (Raw)'!D877)),"Redemption",IF(ISNUMBER(SEARCH("Cedola",'Statements (Raw)'!D877)),"Coupon",IF(ISNUMBER(SEARCH("Incasso Dividendi",'Statements (Raw)'!D877)),"Dividend",IF(ISNUMBER(SEARCH("Provento Etf",'Statements (Raw)'!D877)),"Distribution",IF(ISNUMBER(SEARCH("Rit.provento",'Statements (Raw)'!D877)),"Tax",IF(ISNUMBER(SEARCH("Ratei Pass",'Statements (Raw)'!D877)),"Accrued Int.",IF(ISNUMBER(SEARCH("Interessi Prest",'Statements (Raw)'!D877)),"Sec. Lending",IF('Statements (Raw)'!G877="","Other",IF('Statements (Raw)'!G877&gt;0,"Buy","Sell"))))))))))))))))))))))</f>
        <v/>
      </c>
      <c r="E879" s="6" t="str">
        <f t="shared" si="26"/>
        <v/>
      </c>
      <c r="F879" s="8" t="str">
        <f>IF(A879="","",IF('Statements (Raw)'!E877="","",'Statements (Raw)'!E877))</f>
        <v/>
      </c>
      <c r="G879" s="6" t="str">
        <f>IF(A879="","",IF('Statements (Raw)'!F877="","",'Statements (Raw)'!F877))</f>
        <v/>
      </c>
      <c r="H879" s="9" t="str">
        <f>IF(A879="","",IF('Statements (Raw)'!G877="","",'Statements (Raw)'!G877))</f>
        <v/>
      </c>
      <c r="I879" s="10" t="str">
        <f>IF(A879="","",IF('Statements (Raw)'!H877="","",'Statements (Raw)'!H877))</f>
        <v/>
      </c>
      <c r="J879" s="10">
        <f>IF(A879="",0,IF('Statements (Raw)'!I877="",0,'Statements (Raw)'!I877))</f>
        <v>0</v>
      </c>
      <c r="K879" s="10" t="str">
        <f t="shared" si="27"/>
        <v/>
      </c>
    </row>
    <row r="880" spans="1:11" x14ac:dyDescent="0.3">
      <c r="A880" s="171" t="str">
        <f>IF(OR('Statements (Raw)'!A878="",'Statements (Raw)'!A878&gt;Holdings!$G$3),"",'Statements (Raw)'!A878)</f>
        <v/>
      </c>
      <c r="B880" s="7" t="str">
        <f>IF(A880="","",IF('Statements (Raw)'!B878="","",'Statements (Raw)'!B878))</f>
        <v/>
      </c>
      <c r="C880" s="6" t="str">
        <f>IF(A880="","",IF('Statements (Raw)'!C878&lt;&gt;"",'Statements (Raw)'!C878,IF(ISNUMBER(SEARCH("Conferimento",'Statements (Raw)'!D878)),"CASH DEPOSIT",IF(ISNUMBER(SEARCH("Prelievo",'Statements (Raw)'!D878)),"CASH WITHDRAWAL",IF(ISNUMBER(SEARCH("Bollo",'Statements (Raw)'!D878)),"STAMP DUTY",IF(ISNUMBER(SEARCH("Tobin Tax",'Statements (Raw)'!D878)),"TOBIN TAX",IF(ISNUMBER(SEARCH("Rit.provento",'Statements (Raw)'!D878)),"WITHHOLDING TAX",IF(ISNUMBER(SEARCH("Incasso Dividendi",'Statements (Raw)'!D878)),"DIVIDEND",IF(ISNUMBER(SEARCH("Cedola",'Statements (Raw)'!D878)),"COUPON",IF(ISNUMBER(SEARCH("Ratei Pass",'Statements (Raw)'!D878)),"ACCRUED INT",IF(ISNUMBER(SEARCH("Interessi Prest",'Statements (Raw)'!D878)),"SEC LENDING",IF(ISNUMBER(SEARCH("Rimborso",'Statements (Raw)'!D878)),"REDEMPTION",IF(ISNUMBER(SEARCH("Provento",'Statements (Raw)'!D878)),"DISTRIBUTION","OTHER")))))))))))))</f>
        <v/>
      </c>
      <c r="D880" s="6" t="str">
        <f>IF(A880="","",IF(C880="Saldo Iniziale","Balance",IF(C880="CASH DEPOSIT","Deposit",IF(C880="CASH WITHDRAWAL","Withdrawal",IF(C880="STAMP DUTY","Tax",IF(C880="TOBIN TAX","Tax",IF(C880="WITHHOLDING TAX","Tax",IF(C880="DIVIDEND","Dividend",IF(C880="COUPON","Coupon",IF(C880="ACCRUED INT","Accrued Int.",IF(C880="SEC LENDING","Sec. Lending",IF(C880="REDEMPTION","Redemption",IF(C880="DISTRIBUTION","Distribution",IF(ISNUMBER(SEARCH("Rimborso",'Statements (Raw)'!D878)),"Redemption",IF(ISNUMBER(SEARCH("Cedola",'Statements (Raw)'!D878)),"Coupon",IF(ISNUMBER(SEARCH("Incasso Dividendi",'Statements (Raw)'!D878)),"Dividend",IF(ISNUMBER(SEARCH("Provento Etf",'Statements (Raw)'!D878)),"Distribution",IF(ISNUMBER(SEARCH("Rit.provento",'Statements (Raw)'!D878)),"Tax",IF(ISNUMBER(SEARCH("Ratei Pass",'Statements (Raw)'!D878)),"Accrued Int.",IF(ISNUMBER(SEARCH("Interessi Prest",'Statements (Raw)'!D878)),"Sec. Lending",IF('Statements (Raw)'!G878="","Other",IF('Statements (Raw)'!G878&gt;0,"Buy","Sell"))))))))))))))))))))))</f>
        <v/>
      </c>
      <c r="E880" s="6" t="str">
        <f t="shared" si="26"/>
        <v/>
      </c>
      <c r="F880" s="8" t="str">
        <f>IF(A880="","",IF('Statements (Raw)'!E878="","",'Statements (Raw)'!E878))</f>
        <v/>
      </c>
      <c r="G880" s="6" t="str">
        <f>IF(A880="","",IF('Statements (Raw)'!F878="","",'Statements (Raw)'!F878))</f>
        <v/>
      </c>
      <c r="H880" s="9" t="str">
        <f>IF(A880="","",IF('Statements (Raw)'!G878="","",'Statements (Raw)'!G878))</f>
        <v/>
      </c>
      <c r="I880" s="10" t="str">
        <f>IF(A880="","",IF('Statements (Raw)'!H878="","",'Statements (Raw)'!H878))</f>
        <v/>
      </c>
      <c r="J880" s="10">
        <f>IF(A880="",0,IF('Statements (Raw)'!I878="",0,'Statements (Raw)'!I878))</f>
        <v>0</v>
      </c>
      <c r="K880" s="10" t="str">
        <f t="shared" si="27"/>
        <v/>
      </c>
    </row>
    <row r="881" spans="1:11" x14ac:dyDescent="0.3">
      <c r="A881" s="171" t="str">
        <f>IF(OR('Statements (Raw)'!A879="",'Statements (Raw)'!A879&gt;Holdings!$G$3),"",'Statements (Raw)'!A879)</f>
        <v/>
      </c>
      <c r="B881" s="7" t="str">
        <f>IF(A881="","",IF('Statements (Raw)'!B879="","",'Statements (Raw)'!B879))</f>
        <v/>
      </c>
      <c r="C881" s="6" t="str">
        <f>IF(A881="","",IF('Statements (Raw)'!C879&lt;&gt;"",'Statements (Raw)'!C879,IF(ISNUMBER(SEARCH("Conferimento",'Statements (Raw)'!D879)),"CASH DEPOSIT",IF(ISNUMBER(SEARCH("Prelievo",'Statements (Raw)'!D879)),"CASH WITHDRAWAL",IF(ISNUMBER(SEARCH("Bollo",'Statements (Raw)'!D879)),"STAMP DUTY",IF(ISNUMBER(SEARCH("Tobin Tax",'Statements (Raw)'!D879)),"TOBIN TAX",IF(ISNUMBER(SEARCH("Rit.provento",'Statements (Raw)'!D879)),"WITHHOLDING TAX",IF(ISNUMBER(SEARCH("Incasso Dividendi",'Statements (Raw)'!D879)),"DIVIDEND",IF(ISNUMBER(SEARCH("Cedola",'Statements (Raw)'!D879)),"COUPON",IF(ISNUMBER(SEARCH("Ratei Pass",'Statements (Raw)'!D879)),"ACCRUED INT",IF(ISNUMBER(SEARCH("Interessi Prest",'Statements (Raw)'!D879)),"SEC LENDING",IF(ISNUMBER(SEARCH("Rimborso",'Statements (Raw)'!D879)),"REDEMPTION",IF(ISNUMBER(SEARCH("Provento",'Statements (Raw)'!D879)),"DISTRIBUTION","OTHER")))))))))))))</f>
        <v/>
      </c>
      <c r="D881" s="6" t="str">
        <f>IF(A881="","",IF(C881="Saldo Iniziale","Balance",IF(C881="CASH DEPOSIT","Deposit",IF(C881="CASH WITHDRAWAL","Withdrawal",IF(C881="STAMP DUTY","Tax",IF(C881="TOBIN TAX","Tax",IF(C881="WITHHOLDING TAX","Tax",IF(C881="DIVIDEND","Dividend",IF(C881="COUPON","Coupon",IF(C881="ACCRUED INT","Accrued Int.",IF(C881="SEC LENDING","Sec. Lending",IF(C881="REDEMPTION","Redemption",IF(C881="DISTRIBUTION","Distribution",IF(ISNUMBER(SEARCH("Rimborso",'Statements (Raw)'!D879)),"Redemption",IF(ISNUMBER(SEARCH("Cedola",'Statements (Raw)'!D879)),"Coupon",IF(ISNUMBER(SEARCH("Incasso Dividendi",'Statements (Raw)'!D879)),"Dividend",IF(ISNUMBER(SEARCH("Provento Etf",'Statements (Raw)'!D879)),"Distribution",IF(ISNUMBER(SEARCH("Rit.provento",'Statements (Raw)'!D879)),"Tax",IF(ISNUMBER(SEARCH("Ratei Pass",'Statements (Raw)'!D879)),"Accrued Int.",IF(ISNUMBER(SEARCH("Interessi Prest",'Statements (Raw)'!D879)),"Sec. Lending",IF('Statements (Raw)'!G879="","Other",IF('Statements (Raw)'!G879&gt;0,"Buy","Sell"))))))))))))))))))))))</f>
        <v/>
      </c>
      <c r="E881" s="6" t="str">
        <f t="shared" si="26"/>
        <v/>
      </c>
      <c r="F881" s="8" t="str">
        <f>IF(A881="","",IF('Statements (Raw)'!E879="","",'Statements (Raw)'!E879))</f>
        <v/>
      </c>
      <c r="G881" s="6" t="str">
        <f>IF(A881="","",IF('Statements (Raw)'!F879="","",'Statements (Raw)'!F879))</f>
        <v/>
      </c>
      <c r="H881" s="9" t="str">
        <f>IF(A881="","",IF('Statements (Raw)'!G879="","",'Statements (Raw)'!G879))</f>
        <v/>
      </c>
      <c r="I881" s="10" t="str">
        <f>IF(A881="","",IF('Statements (Raw)'!H879="","",'Statements (Raw)'!H879))</f>
        <v/>
      </c>
      <c r="J881" s="10">
        <f>IF(A881="",0,IF('Statements (Raw)'!I879="",0,'Statements (Raw)'!I879))</f>
        <v>0</v>
      </c>
      <c r="K881" s="10" t="str">
        <f t="shared" si="27"/>
        <v/>
      </c>
    </row>
    <row r="882" spans="1:11" x14ac:dyDescent="0.3">
      <c r="A882" s="171" t="str">
        <f>IF(OR('Statements (Raw)'!A880="",'Statements (Raw)'!A880&gt;Holdings!$G$3),"",'Statements (Raw)'!A880)</f>
        <v/>
      </c>
      <c r="B882" s="7" t="str">
        <f>IF(A882="","",IF('Statements (Raw)'!B880="","",'Statements (Raw)'!B880))</f>
        <v/>
      </c>
      <c r="C882" s="6" t="str">
        <f>IF(A882="","",IF('Statements (Raw)'!C880&lt;&gt;"",'Statements (Raw)'!C880,IF(ISNUMBER(SEARCH("Conferimento",'Statements (Raw)'!D880)),"CASH DEPOSIT",IF(ISNUMBER(SEARCH("Prelievo",'Statements (Raw)'!D880)),"CASH WITHDRAWAL",IF(ISNUMBER(SEARCH("Bollo",'Statements (Raw)'!D880)),"STAMP DUTY",IF(ISNUMBER(SEARCH("Tobin Tax",'Statements (Raw)'!D880)),"TOBIN TAX",IF(ISNUMBER(SEARCH("Rit.provento",'Statements (Raw)'!D880)),"WITHHOLDING TAX",IF(ISNUMBER(SEARCH("Incasso Dividendi",'Statements (Raw)'!D880)),"DIVIDEND",IF(ISNUMBER(SEARCH("Cedola",'Statements (Raw)'!D880)),"COUPON",IF(ISNUMBER(SEARCH("Ratei Pass",'Statements (Raw)'!D880)),"ACCRUED INT",IF(ISNUMBER(SEARCH("Interessi Prest",'Statements (Raw)'!D880)),"SEC LENDING",IF(ISNUMBER(SEARCH("Rimborso",'Statements (Raw)'!D880)),"REDEMPTION",IF(ISNUMBER(SEARCH("Provento",'Statements (Raw)'!D880)),"DISTRIBUTION","OTHER")))))))))))))</f>
        <v/>
      </c>
      <c r="D882" s="6" t="str">
        <f>IF(A882="","",IF(C882="Saldo Iniziale","Balance",IF(C882="CASH DEPOSIT","Deposit",IF(C882="CASH WITHDRAWAL","Withdrawal",IF(C882="STAMP DUTY","Tax",IF(C882="TOBIN TAX","Tax",IF(C882="WITHHOLDING TAX","Tax",IF(C882="DIVIDEND","Dividend",IF(C882="COUPON","Coupon",IF(C882="ACCRUED INT","Accrued Int.",IF(C882="SEC LENDING","Sec. Lending",IF(C882="REDEMPTION","Redemption",IF(C882="DISTRIBUTION","Distribution",IF(ISNUMBER(SEARCH("Rimborso",'Statements (Raw)'!D880)),"Redemption",IF(ISNUMBER(SEARCH("Cedola",'Statements (Raw)'!D880)),"Coupon",IF(ISNUMBER(SEARCH("Incasso Dividendi",'Statements (Raw)'!D880)),"Dividend",IF(ISNUMBER(SEARCH("Provento Etf",'Statements (Raw)'!D880)),"Distribution",IF(ISNUMBER(SEARCH("Rit.provento",'Statements (Raw)'!D880)),"Tax",IF(ISNUMBER(SEARCH("Ratei Pass",'Statements (Raw)'!D880)),"Accrued Int.",IF(ISNUMBER(SEARCH("Interessi Prest",'Statements (Raw)'!D880)),"Sec. Lending",IF('Statements (Raw)'!G880="","Other",IF('Statements (Raw)'!G880&gt;0,"Buy","Sell"))))))))))))))))))))))</f>
        <v/>
      </c>
      <c r="E882" s="6" t="str">
        <f t="shared" si="26"/>
        <v/>
      </c>
      <c r="F882" s="8" t="str">
        <f>IF(A882="","",IF('Statements (Raw)'!E880="","",'Statements (Raw)'!E880))</f>
        <v/>
      </c>
      <c r="G882" s="6" t="str">
        <f>IF(A882="","",IF('Statements (Raw)'!F880="","",'Statements (Raw)'!F880))</f>
        <v/>
      </c>
      <c r="H882" s="9" t="str">
        <f>IF(A882="","",IF('Statements (Raw)'!G880="","",'Statements (Raw)'!G880))</f>
        <v/>
      </c>
      <c r="I882" s="10" t="str">
        <f>IF(A882="","",IF('Statements (Raw)'!H880="","",'Statements (Raw)'!H880))</f>
        <v/>
      </c>
      <c r="J882" s="10">
        <f>IF(A882="",0,IF('Statements (Raw)'!I880="",0,'Statements (Raw)'!I880))</f>
        <v>0</v>
      </c>
      <c r="K882" s="10" t="str">
        <f t="shared" si="27"/>
        <v/>
      </c>
    </row>
    <row r="883" spans="1:11" x14ac:dyDescent="0.3">
      <c r="A883" s="171" t="str">
        <f>IF(OR('Statements (Raw)'!A881="",'Statements (Raw)'!A881&gt;Holdings!$G$3),"",'Statements (Raw)'!A881)</f>
        <v/>
      </c>
      <c r="B883" s="7" t="str">
        <f>IF(A883="","",IF('Statements (Raw)'!B881="","",'Statements (Raw)'!B881))</f>
        <v/>
      </c>
      <c r="C883" s="6" t="str">
        <f>IF(A883="","",IF('Statements (Raw)'!C881&lt;&gt;"",'Statements (Raw)'!C881,IF(ISNUMBER(SEARCH("Conferimento",'Statements (Raw)'!D881)),"CASH DEPOSIT",IF(ISNUMBER(SEARCH("Prelievo",'Statements (Raw)'!D881)),"CASH WITHDRAWAL",IF(ISNUMBER(SEARCH("Bollo",'Statements (Raw)'!D881)),"STAMP DUTY",IF(ISNUMBER(SEARCH("Tobin Tax",'Statements (Raw)'!D881)),"TOBIN TAX",IF(ISNUMBER(SEARCH("Rit.provento",'Statements (Raw)'!D881)),"WITHHOLDING TAX",IF(ISNUMBER(SEARCH("Incasso Dividendi",'Statements (Raw)'!D881)),"DIVIDEND",IF(ISNUMBER(SEARCH("Cedola",'Statements (Raw)'!D881)),"COUPON",IF(ISNUMBER(SEARCH("Ratei Pass",'Statements (Raw)'!D881)),"ACCRUED INT",IF(ISNUMBER(SEARCH("Interessi Prest",'Statements (Raw)'!D881)),"SEC LENDING",IF(ISNUMBER(SEARCH("Rimborso",'Statements (Raw)'!D881)),"REDEMPTION",IF(ISNUMBER(SEARCH("Provento",'Statements (Raw)'!D881)),"DISTRIBUTION","OTHER")))))))))))))</f>
        <v/>
      </c>
      <c r="D883" s="6" t="str">
        <f>IF(A883="","",IF(C883="Saldo Iniziale","Balance",IF(C883="CASH DEPOSIT","Deposit",IF(C883="CASH WITHDRAWAL","Withdrawal",IF(C883="STAMP DUTY","Tax",IF(C883="TOBIN TAX","Tax",IF(C883="WITHHOLDING TAX","Tax",IF(C883="DIVIDEND","Dividend",IF(C883="COUPON","Coupon",IF(C883="ACCRUED INT","Accrued Int.",IF(C883="SEC LENDING","Sec. Lending",IF(C883="REDEMPTION","Redemption",IF(C883="DISTRIBUTION","Distribution",IF(ISNUMBER(SEARCH("Rimborso",'Statements (Raw)'!D881)),"Redemption",IF(ISNUMBER(SEARCH("Cedola",'Statements (Raw)'!D881)),"Coupon",IF(ISNUMBER(SEARCH("Incasso Dividendi",'Statements (Raw)'!D881)),"Dividend",IF(ISNUMBER(SEARCH("Provento Etf",'Statements (Raw)'!D881)),"Distribution",IF(ISNUMBER(SEARCH("Rit.provento",'Statements (Raw)'!D881)),"Tax",IF(ISNUMBER(SEARCH("Ratei Pass",'Statements (Raw)'!D881)),"Accrued Int.",IF(ISNUMBER(SEARCH("Interessi Prest",'Statements (Raw)'!D881)),"Sec. Lending",IF('Statements (Raw)'!G881="","Other",IF('Statements (Raw)'!G881&gt;0,"Buy","Sell"))))))))))))))))))))))</f>
        <v/>
      </c>
      <c r="E883" s="6" t="str">
        <f t="shared" si="26"/>
        <v/>
      </c>
      <c r="F883" s="8" t="str">
        <f>IF(A883="","",IF('Statements (Raw)'!E881="","",'Statements (Raw)'!E881))</f>
        <v/>
      </c>
      <c r="G883" s="6" t="str">
        <f>IF(A883="","",IF('Statements (Raw)'!F881="","",'Statements (Raw)'!F881))</f>
        <v/>
      </c>
      <c r="H883" s="9" t="str">
        <f>IF(A883="","",IF('Statements (Raw)'!G881="","",'Statements (Raw)'!G881))</f>
        <v/>
      </c>
      <c r="I883" s="10" t="str">
        <f>IF(A883="","",IF('Statements (Raw)'!H881="","",'Statements (Raw)'!H881))</f>
        <v/>
      </c>
      <c r="J883" s="10">
        <f>IF(A883="",0,IF('Statements (Raw)'!I881="",0,'Statements (Raw)'!I881))</f>
        <v>0</v>
      </c>
      <c r="K883" s="10" t="str">
        <f t="shared" si="27"/>
        <v/>
      </c>
    </row>
    <row r="884" spans="1:11" x14ac:dyDescent="0.3">
      <c r="A884" s="171" t="str">
        <f>IF(OR('Statements (Raw)'!A882="",'Statements (Raw)'!A882&gt;Holdings!$G$3),"",'Statements (Raw)'!A882)</f>
        <v/>
      </c>
      <c r="B884" s="7" t="str">
        <f>IF(A884="","",IF('Statements (Raw)'!B882="","",'Statements (Raw)'!B882))</f>
        <v/>
      </c>
      <c r="C884" s="6" t="str">
        <f>IF(A884="","",IF('Statements (Raw)'!C882&lt;&gt;"",'Statements (Raw)'!C882,IF(ISNUMBER(SEARCH("Conferimento",'Statements (Raw)'!D882)),"CASH DEPOSIT",IF(ISNUMBER(SEARCH("Prelievo",'Statements (Raw)'!D882)),"CASH WITHDRAWAL",IF(ISNUMBER(SEARCH("Bollo",'Statements (Raw)'!D882)),"STAMP DUTY",IF(ISNUMBER(SEARCH("Tobin Tax",'Statements (Raw)'!D882)),"TOBIN TAX",IF(ISNUMBER(SEARCH("Rit.provento",'Statements (Raw)'!D882)),"WITHHOLDING TAX",IF(ISNUMBER(SEARCH("Incasso Dividendi",'Statements (Raw)'!D882)),"DIVIDEND",IF(ISNUMBER(SEARCH("Cedola",'Statements (Raw)'!D882)),"COUPON",IF(ISNUMBER(SEARCH("Ratei Pass",'Statements (Raw)'!D882)),"ACCRUED INT",IF(ISNUMBER(SEARCH("Interessi Prest",'Statements (Raw)'!D882)),"SEC LENDING",IF(ISNUMBER(SEARCH("Rimborso",'Statements (Raw)'!D882)),"REDEMPTION",IF(ISNUMBER(SEARCH("Provento",'Statements (Raw)'!D882)),"DISTRIBUTION","OTHER")))))))))))))</f>
        <v/>
      </c>
      <c r="D884" s="6" t="str">
        <f>IF(A884="","",IF(C884="Saldo Iniziale","Balance",IF(C884="CASH DEPOSIT","Deposit",IF(C884="CASH WITHDRAWAL","Withdrawal",IF(C884="STAMP DUTY","Tax",IF(C884="TOBIN TAX","Tax",IF(C884="WITHHOLDING TAX","Tax",IF(C884="DIVIDEND","Dividend",IF(C884="COUPON","Coupon",IF(C884="ACCRUED INT","Accrued Int.",IF(C884="SEC LENDING","Sec. Lending",IF(C884="REDEMPTION","Redemption",IF(C884="DISTRIBUTION","Distribution",IF(ISNUMBER(SEARCH("Rimborso",'Statements (Raw)'!D882)),"Redemption",IF(ISNUMBER(SEARCH("Cedola",'Statements (Raw)'!D882)),"Coupon",IF(ISNUMBER(SEARCH("Incasso Dividendi",'Statements (Raw)'!D882)),"Dividend",IF(ISNUMBER(SEARCH("Provento Etf",'Statements (Raw)'!D882)),"Distribution",IF(ISNUMBER(SEARCH("Rit.provento",'Statements (Raw)'!D882)),"Tax",IF(ISNUMBER(SEARCH("Ratei Pass",'Statements (Raw)'!D882)),"Accrued Int.",IF(ISNUMBER(SEARCH("Interessi Prest",'Statements (Raw)'!D882)),"Sec. Lending",IF('Statements (Raw)'!G882="","Other",IF('Statements (Raw)'!G882&gt;0,"Buy","Sell"))))))))))))))))))))))</f>
        <v/>
      </c>
      <c r="E884" s="6" t="str">
        <f t="shared" si="26"/>
        <v/>
      </c>
      <c r="F884" s="8" t="str">
        <f>IF(A884="","",IF('Statements (Raw)'!E882="","",'Statements (Raw)'!E882))</f>
        <v/>
      </c>
      <c r="G884" s="6" t="str">
        <f>IF(A884="","",IF('Statements (Raw)'!F882="","",'Statements (Raw)'!F882))</f>
        <v/>
      </c>
      <c r="H884" s="9" t="str">
        <f>IF(A884="","",IF('Statements (Raw)'!G882="","",'Statements (Raw)'!G882))</f>
        <v/>
      </c>
      <c r="I884" s="10" t="str">
        <f>IF(A884="","",IF('Statements (Raw)'!H882="","",'Statements (Raw)'!H882))</f>
        <v/>
      </c>
      <c r="J884" s="10">
        <f>IF(A884="",0,IF('Statements (Raw)'!I882="",0,'Statements (Raw)'!I882))</f>
        <v>0</v>
      </c>
      <c r="K884" s="10" t="str">
        <f t="shared" si="27"/>
        <v/>
      </c>
    </row>
    <row r="885" spans="1:11" x14ac:dyDescent="0.3">
      <c r="A885" s="171" t="str">
        <f>IF(OR('Statements (Raw)'!A883="",'Statements (Raw)'!A883&gt;Holdings!$G$3),"",'Statements (Raw)'!A883)</f>
        <v/>
      </c>
      <c r="B885" s="7" t="str">
        <f>IF(A885="","",IF('Statements (Raw)'!B883="","",'Statements (Raw)'!B883))</f>
        <v/>
      </c>
      <c r="C885" s="6" t="str">
        <f>IF(A885="","",IF('Statements (Raw)'!C883&lt;&gt;"",'Statements (Raw)'!C883,IF(ISNUMBER(SEARCH("Conferimento",'Statements (Raw)'!D883)),"CASH DEPOSIT",IF(ISNUMBER(SEARCH("Prelievo",'Statements (Raw)'!D883)),"CASH WITHDRAWAL",IF(ISNUMBER(SEARCH("Bollo",'Statements (Raw)'!D883)),"STAMP DUTY",IF(ISNUMBER(SEARCH("Tobin Tax",'Statements (Raw)'!D883)),"TOBIN TAX",IF(ISNUMBER(SEARCH("Rit.provento",'Statements (Raw)'!D883)),"WITHHOLDING TAX",IF(ISNUMBER(SEARCH("Incasso Dividendi",'Statements (Raw)'!D883)),"DIVIDEND",IF(ISNUMBER(SEARCH("Cedola",'Statements (Raw)'!D883)),"COUPON",IF(ISNUMBER(SEARCH("Ratei Pass",'Statements (Raw)'!D883)),"ACCRUED INT",IF(ISNUMBER(SEARCH("Interessi Prest",'Statements (Raw)'!D883)),"SEC LENDING",IF(ISNUMBER(SEARCH("Rimborso",'Statements (Raw)'!D883)),"REDEMPTION",IF(ISNUMBER(SEARCH("Provento",'Statements (Raw)'!D883)),"DISTRIBUTION","OTHER")))))))))))))</f>
        <v/>
      </c>
      <c r="D885" s="6" t="str">
        <f>IF(A885="","",IF(C885="Saldo Iniziale","Balance",IF(C885="CASH DEPOSIT","Deposit",IF(C885="CASH WITHDRAWAL","Withdrawal",IF(C885="STAMP DUTY","Tax",IF(C885="TOBIN TAX","Tax",IF(C885="WITHHOLDING TAX","Tax",IF(C885="DIVIDEND","Dividend",IF(C885="COUPON","Coupon",IF(C885="ACCRUED INT","Accrued Int.",IF(C885="SEC LENDING","Sec. Lending",IF(C885="REDEMPTION","Redemption",IF(C885="DISTRIBUTION","Distribution",IF(ISNUMBER(SEARCH("Rimborso",'Statements (Raw)'!D883)),"Redemption",IF(ISNUMBER(SEARCH("Cedola",'Statements (Raw)'!D883)),"Coupon",IF(ISNUMBER(SEARCH("Incasso Dividendi",'Statements (Raw)'!D883)),"Dividend",IF(ISNUMBER(SEARCH("Provento Etf",'Statements (Raw)'!D883)),"Distribution",IF(ISNUMBER(SEARCH("Rit.provento",'Statements (Raw)'!D883)),"Tax",IF(ISNUMBER(SEARCH("Ratei Pass",'Statements (Raw)'!D883)),"Accrued Int.",IF(ISNUMBER(SEARCH("Interessi Prest",'Statements (Raw)'!D883)),"Sec. Lending",IF('Statements (Raw)'!G883="","Other",IF('Statements (Raw)'!G883&gt;0,"Buy","Sell"))))))))))))))))))))))</f>
        <v/>
      </c>
      <c r="E885" s="6" t="str">
        <f t="shared" si="26"/>
        <v/>
      </c>
      <c r="F885" s="8" t="str">
        <f>IF(A885="","",IF('Statements (Raw)'!E883="","",'Statements (Raw)'!E883))</f>
        <v/>
      </c>
      <c r="G885" s="6" t="str">
        <f>IF(A885="","",IF('Statements (Raw)'!F883="","",'Statements (Raw)'!F883))</f>
        <v/>
      </c>
      <c r="H885" s="9" t="str">
        <f>IF(A885="","",IF('Statements (Raw)'!G883="","",'Statements (Raw)'!G883))</f>
        <v/>
      </c>
      <c r="I885" s="10" t="str">
        <f>IF(A885="","",IF('Statements (Raw)'!H883="","",'Statements (Raw)'!H883))</f>
        <v/>
      </c>
      <c r="J885" s="10">
        <f>IF(A885="",0,IF('Statements (Raw)'!I883="",0,'Statements (Raw)'!I883))</f>
        <v>0</v>
      </c>
      <c r="K885" s="10" t="str">
        <f t="shared" si="27"/>
        <v/>
      </c>
    </row>
    <row r="886" spans="1:11" x14ac:dyDescent="0.3">
      <c r="A886" s="171" t="str">
        <f>IF(OR('Statements (Raw)'!A884="",'Statements (Raw)'!A884&gt;Holdings!$G$3),"",'Statements (Raw)'!A884)</f>
        <v/>
      </c>
      <c r="B886" s="7" t="str">
        <f>IF(A886="","",IF('Statements (Raw)'!B884="","",'Statements (Raw)'!B884))</f>
        <v/>
      </c>
      <c r="C886" s="6" t="str">
        <f>IF(A886="","",IF('Statements (Raw)'!C884&lt;&gt;"",'Statements (Raw)'!C884,IF(ISNUMBER(SEARCH("Conferimento",'Statements (Raw)'!D884)),"CASH DEPOSIT",IF(ISNUMBER(SEARCH("Prelievo",'Statements (Raw)'!D884)),"CASH WITHDRAWAL",IF(ISNUMBER(SEARCH("Bollo",'Statements (Raw)'!D884)),"STAMP DUTY",IF(ISNUMBER(SEARCH("Tobin Tax",'Statements (Raw)'!D884)),"TOBIN TAX",IF(ISNUMBER(SEARCH("Rit.provento",'Statements (Raw)'!D884)),"WITHHOLDING TAX",IF(ISNUMBER(SEARCH("Incasso Dividendi",'Statements (Raw)'!D884)),"DIVIDEND",IF(ISNUMBER(SEARCH("Cedola",'Statements (Raw)'!D884)),"COUPON",IF(ISNUMBER(SEARCH("Ratei Pass",'Statements (Raw)'!D884)),"ACCRUED INT",IF(ISNUMBER(SEARCH("Interessi Prest",'Statements (Raw)'!D884)),"SEC LENDING",IF(ISNUMBER(SEARCH("Rimborso",'Statements (Raw)'!D884)),"REDEMPTION",IF(ISNUMBER(SEARCH("Provento",'Statements (Raw)'!D884)),"DISTRIBUTION","OTHER")))))))))))))</f>
        <v/>
      </c>
      <c r="D886" s="6" t="str">
        <f>IF(A886="","",IF(C886="Saldo Iniziale","Balance",IF(C886="CASH DEPOSIT","Deposit",IF(C886="CASH WITHDRAWAL","Withdrawal",IF(C886="STAMP DUTY","Tax",IF(C886="TOBIN TAX","Tax",IF(C886="WITHHOLDING TAX","Tax",IF(C886="DIVIDEND","Dividend",IF(C886="COUPON","Coupon",IF(C886="ACCRUED INT","Accrued Int.",IF(C886="SEC LENDING","Sec. Lending",IF(C886="REDEMPTION","Redemption",IF(C886="DISTRIBUTION","Distribution",IF(ISNUMBER(SEARCH("Rimborso",'Statements (Raw)'!D884)),"Redemption",IF(ISNUMBER(SEARCH("Cedola",'Statements (Raw)'!D884)),"Coupon",IF(ISNUMBER(SEARCH("Incasso Dividendi",'Statements (Raw)'!D884)),"Dividend",IF(ISNUMBER(SEARCH("Provento Etf",'Statements (Raw)'!D884)),"Distribution",IF(ISNUMBER(SEARCH("Rit.provento",'Statements (Raw)'!D884)),"Tax",IF(ISNUMBER(SEARCH("Ratei Pass",'Statements (Raw)'!D884)),"Accrued Int.",IF(ISNUMBER(SEARCH("Interessi Prest",'Statements (Raw)'!D884)),"Sec. Lending",IF('Statements (Raw)'!G884="","Other",IF('Statements (Raw)'!G884&gt;0,"Buy","Sell"))))))))))))))))))))))</f>
        <v/>
      </c>
      <c r="E886" s="6" t="str">
        <f t="shared" si="26"/>
        <v/>
      </c>
      <c r="F886" s="8" t="str">
        <f>IF(A886="","",IF('Statements (Raw)'!E884="","",'Statements (Raw)'!E884))</f>
        <v/>
      </c>
      <c r="G886" s="6" t="str">
        <f>IF(A886="","",IF('Statements (Raw)'!F884="","",'Statements (Raw)'!F884))</f>
        <v/>
      </c>
      <c r="H886" s="9" t="str">
        <f>IF(A886="","",IF('Statements (Raw)'!G884="","",'Statements (Raw)'!G884))</f>
        <v/>
      </c>
      <c r="I886" s="10" t="str">
        <f>IF(A886="","",IF('Statements (Raw)'!H884="","",'Statements (Raw)'!H884))</f>
        <v/>
      </c>
      <c r="J886" s="10">
        <f>IF(A886="",0,IF('Statements (Raw)'!I884="",0,'Statements (Raw)'!I884))</f>
        <v>0</v>
      </c>
      <c r="K886" s="10" t="str">
        <f t="shared" si="27"/>
        <v/>
      </c>
    </row>
    <row r="887" spans="1:11" x14ac:dyDescent="0.3">
      <c r="A887" s="171" t="str">
        <f>IF(OR('Statements (Raw)'!A885="",'Statements (Raw)'!A885&gt;Holdings!$G$3),"",'Statements (Raw)'!A885)</f>
        <v/>
      </c>
      <c r="B887" s="7" t="str">
        <f>IF(A887="","",IF('Statements (Raw)'!B885="","",'Statements (Raw)'!B885))</f>
        <v/>
      </c>
      <c r="C887" s="6" t="str">
        <f>IF(A887="","",IF('Statements (Raw)'!C885&lt;&gt;"",'Statements (Raw)'!C885,IF(ISNUMBER(SEARCH("Conferimento",'Statements (Raw)'!D885)),"CASH DEPOSIT",IF(ISNUMBER(SEARCH("Prelievo",'Statements (Raw)'!D885)),"CASH WITHDRAWAL",IF(ISNUMBER(SEARCH("Bollo",'Statements (Raw)'!D885)),"STAMP DUTY",IF(ISNUMBER(SEARCH("Tobin Tax",'Statements (Raw)'!D885)),"TOBIN TAX",IF(ISNUMBER(SEARCH("Rit.provento",'Statements (Raw)'!D885)),"WITHHOLDING TAX",IF(ISNUMBER(SEARCH("Incasso Dividendi",'Statements (Raw)'!D885)),"DIVIDEND",IF(ISNUMBER(SEARCH("Cedola",'Statements (Raw)'!D885)),"COUPON",IF(ISNUMBER(SEARCH("Ratei Pass",'Statements (Raw)'!D885)),"ACCRUED INT",IF(ISNUMBER(SEARCH("Interessi Prest",'Statements (Raw)'!D885)),"SEC LENDING",IF(ISNUMBER(SEARCH("Rimborso",'Statements (Raw)'!D885)),"REDEMPTION",IF(ISNUMBER(SEARCH("Provento",'Statements (Raw)'!D885)),"DISTRIBUTION","OTHER")))))))))))))</f>
        <v/>
      </c>
      <c r="D887" s="6" t="str">
        <f>IF(A887="","",IF(C887="Saldo Iniziale","Balance",IF(C887="CASH DEPOSIT","Deposit",IF(C887="CASH WITHDRAWAL","Withdrawal",IF(C887="STAMP DUTY","Tax",IF(C887="TOBIN TAX","Tax",IF(C887="WITHHOLDING TAX","Tax",IF(C887="DIVIDEND","Dividend",IF(C887="COUPON","Coupon",IF(C887="ACCRUED INT","Accrued Int.",IF(C887="SEC LENDING","Sec. Lending",IF(C887="REDEMPTION","Redemption",IF(C887="DISTRIBUTION","Distribution",IF(ISNUMBER(SEARCH("Rimborso",'Statements (Raw)'!D885)),"Redemption",IF(ISNUMBER(SEARCH("Cedola",'Statements (Raw)'!D885)),"Coupon",IF(ISNUMBER(SEARCH("Incasso Dividendi",'Statements (Raw)'!D885)),"Dividend",IF(ISNUMBER(SEARCH("Provento Etf",'Statements (Raw)'!D885)),"Distribution",IF(ISNUMBER(SEARCH("Rit.provento",'Statements (Raw)'!D885)),"Tax",IF(ISNUMBER(SEARCH("Ratei Pass",'Statements (Raw)'!D885)),"Accrued Int.",IF(ISNUMBER(SEARCH("Interessi Prest",'Statements (Raw)'!D885)),"Sec. Lending",IF('Statements (Raw)'!G885="","Other",IF('Statements (Raw)'!G885&gt;0,"Buy","Sell"))))))))))))))))))))))</f>
        <v/>
      </c>
      <c r="E887" s="6" t="str">
        <f t="shared" si="26"/>
        <v/>
      </c>
      <c r="F887" s="8" t="str">
        <f>IF(A887="","",IF('Statements (Raw)'!E885="","",'Statements (Raw)'!E885))</f>
        <v/>
      </c>
      <c r="G887" s="6" t="str">
        <f>IF(A887="","",IF('Statements (Raw)'!F885="","",'Statements (Raw)'!F885))</f>
        <v/>
      </c>
      <c r="H887" s="9" t="str">
        <f>IF(A887="","",IF('Statements (Raw)'!G885="","",'Statements (Raw)'!G885))</f>
        <v/>
      </c>
      <c r="I887" s="10" t="str">
        <f>IF(A887="","",IF('Statements (Raw)'!H885="","",'Statements (Raw)'!H885))</f>
        <v/>
      </c>
      <c r="J887" s="10">
        <f>IF(A887="",0,IF('Statements (Raw)'!I885="",0,'Statements (Raw)'!I885))</f>
        <v>0</v>
      </c>
      <c r="K887" s="10" t="str">
        <f t="shared" si="27"/>
        <v/>
      </c>
    </row>
    <row r="888" spans="1:11" x14ac:dyDescent="0.3">
      <c r="A888" s="171" t="str">
        <f>IF(OR('Statements (Raw)'!A886="",'Statements (Raw)'!A886&gt;Holdings!$G$3),"",'Statements (Raw)'!A886)</f>
        <v/>
      </c>
      <c r="B888" s="7" t="str">
        <f>IF(A888="","",IF('Statements (Raw)'!B886="","",'Statements (Raw)'!B886))</f>
        <v/>
      </c>
      <c r="C888" s="6" t="str">
        <f>IF(A888="","",IF('Statements (Raw)'!C886&lt;&gt;"",'Statements (Raw)'!C886,IF(ISNUMBER(SEARCH("Conferimento",'Statements (Raw)'!D886)),"CASH DEPOSIT",IF(ISNUMBER(SEARCH("Prelievo",'Statements (Raw)'!D886)),"CASH WITHDRAWAL",IF(ISNUMBER(SEARCH("Bollo",'Statements (Raw)'!D886)),"STAMP DUTY",IF(ISNUMBER(SEARCH("Tobin Tax",'Statements (Raw)'!D886)),"TOBIN TAX",IF(ISNUMBER(SEARCH("Rit.provento",'Statements (Raw)'!D886)),"WITHHOLDING TAX",IF(ISNUMBER(SEARCH("Incasso Dividendi",'Statements (Raw)'!D886)),"DIVIDEND",IF(ISNUMBER(SEARCH("Cedola",'Statements (Raw)'!D886)),"COUPON",IF(ISNUMBER(SEARCH("Ratei Pass",'Statements (Raw)'!D886)),"ACCRUED INT",IF(ISNUMBER(SEARCH("Interessi Prest",'Statements (Raw)'!D886)),"SEC LENDING",IF(ISNUMBER(SEARCH("Rimborso",'Statements (Raw)'!D886)),"REDEMPTION",IF(ISNUMBER(SEARCH("Provento",'Statements (Raw)'!D886)),"DISTRIBUTION","OTHER")))))))))))))</f>
        <v/>
      </c>
      <c r="D888" s="6" t="str">
        <f>IF(A888="","",IF(C888="Saldo Iniziale","Balance",IF(C888="CASH DEPOSIT","Deposit",IF(C888="CASH WITHDRAWAL","Withdrawal",IF(C888="STAMP DUTY","Tax",IF(C888="TOBIN TAX","Tax",IF(C888="WITHHOLDING TAX","Tax",IF(C888="DIVIDEND","Dividend",IF(C888="COUPON","Coupon",IF(C888="ACCRUED INT","Accrued Int.",IF(C888="SEC LENDING","Sec. Lending",IF(C888="REDEMPTION","Redemption",IF(C888="DISTRIBUTION","Distribution",IF(ISNUMBER(SEARCH("Rimborso",'Statements (Raw)'!D886)),"Redemption",IF(ISNUMBER(SEARCH("Cedola",'Statements (Raw)'!D886)),"Coupon",IF(ISNUMBER(SEARCH("Incasso Dividendi",'Statements (Raw)'!D886)),"Dividend",IF(ISNUMBER(SEARCH("Provento Etf",'Statements (Raw)'!D886)),"Distribution",IF(ISNUMBER(SEARCH("Rit.provento",'Statements (Raw)'!D886)),"Tax",IF(ISNUMBER(SEARCH("Ratei Pass",'Statements (Raw)'!D886)),"Accrued Int.",IF(ISNUMBER(SEARCH("Interessi Prest",'Statements (Raw)'!D886)),"Sec. Lending",IF('Statements (Raw)'!G886="","Other",IF('Statements (Raw)'!G886&gt;0,"Buy","Sell"))))))))))))))))))))))</f>
        <v/>
      </c>
      <c r="E888" s="6" t="str">
        <f t="shared" si="26"/>
        <v/>
      </c>
      <c r="F888" s="8" t="str">
        <f>IF(A888="","",IF('Statements (Raw)'!E886="","",'Statements (Raw)'!E886))</f>
        <v/>
      </c>
      <c r="G888" s="6" t="str">
        <f>IF(A888="","",IF('Statements (Raw)'!F886="","",'Statements (Raw)'!F886))</f>
        <v/>
      </c>
      <c r="H888" s="9" t="str">
        <f>IF(A888="","",IF('Statements (Raw)'!G886="","",'Statements (Raw)'!G886))</f>
        <v/>
      </c>
      <c r="I888" s="10" t="str">
        <f>IF(A888="","",IF('Statements (Raw)'!H886="","",'Statements (Raw)'!H886))</f>
        <v/>
      </c>
      <c r="J888" s="10">
        <f>IF(A888="",0,IF('Statements (Raw)'!I886="",0,'Statements (Raw)'!I886))</f>
        <v>0</v>
      </c>
      <c r="K888" s="10" t="str">
        <f t="shared" si="27"/>
        <v/>
      </c>
    </row>
    <row r="889" spans="1:11" x14ac:dyDescent="0.3">
      <c r="A889" s="171" t="str">
        <f>IF(OR('Statements (Raw)'!A887="",'Statements (Raw)'!A887&gt;Holdings!$G$3),"",'Statements (Raw)'!A887)</f>
        <v/>
      </c>
      <c r="B889" s="7" t="str">
        <f>IF(A889="","",IF('Statements (Raw)'!B887="","",'Statements (Raw)'!B887))</f>
        <v/>
      </c>
      <c r="C889" s="6" t="str">
        <f>IF(A889="","",IF('Statements (Raw)'!C887&lt;&gt;"",'Statements (Raw)'!C887,IF(ISNUMBER(SEARCH("Conferimento",'Statements (Raw)'!D887)),"CASH DEPOSIT",IF(ISNUMBER(SEARCH("Prelievo",'Statements (Raw)'!D887)),"CASH WITHDRAWAL",IF(ISNUMBER(SEARCH("Bollo",'Statements (Raw)'!D887)),"STAMP DUTY",IF(ISNUMBER(SEARCH("Tobin Tax",'Statements (Raw)'!D887)),"TOBIN TAX",IF(ISNUMBER(SEARCH("Rit.provento",'Statements (Raw)'!D887)),"WITHHOLDING TAX",IF(ISNUMBER(SEARCH("Incasso Dividendi",'Statements (Raw)'!D887)),"DIVIDEND",IF(ISNUMBER(SEARCH("Cedola",'Statements (Raw)'!D887)),"COUPON",IF(ISNUMBER(SEARCH("Ratei Pass",'Statements (Raw)'!D887)),"ACCRUED INT",IF(ISNUMBER(SEARCH("Interessi Prest",'Statements (Raw)'!D887)),"SEC LENDING",IF(ISNUMBER(SEARCH("Rimborso",'Statements (Raw)'!D887)),"REDEMPTION",IF(ISNUMBER(SEARCH("Provento",'Statements (Raw)'!D887)),"DISTRIBUTION","OTHER")))))))))))))</f>
        <v/>
      </c>
      <c r="D889" s="6" t="str">
        <f>IF(A889="","",IF(C889="Saldo Iniziale","Balance",IF(C889="CASH DEPOSIT","Deposit",IF(C889="CASH WITHDRAWAL","Withdrawal",IF(C889="STAMP DUTY","Tax",IF(C889="TOBIN TAX","Tax",IF(C889="WITHHOLDING TAX","Tax",IF(C889="DIVIDEND","Dividend",IF(C889="COUPON","Coupon",IF(C889="ACCRUED INT","Accrued Int.",IF(C889="SEC LENDING","Sec. Lending",IF(C889="REDEMPTION","Redemption",IF(C889="DISTRIBUTION","Distribution",IF(ISNUMBER(SEARCH("Rimborso",'Statements (Raw)'!D887)),"Redemption",IF(ISNUMBER(SEARCH("Cedola",'Statements (Raw)'!D887)),"Coupon",IF(ISNUMBER(SEARCH("Incasso Dividendi",'Statements (Raw)'!D887)),"Dividend",IF(ISNUMBER(SEARCH("Provento Etf",'Statements (Raw)'!D887)),"Distribution",IF(ISNUMBER(SEARCH("Rit.provento",'Statements (Raw)'!D887)),"Tax",IF(ISNUMBER(SEARCH("Ratei Pass",'Statements (Raw)'!D887)),"Accrued Int.",IF(ISNUMBER(SEARCH("Interessi Prest",'Statements (Raw)'!D887)),"Sec. Lending",IF('Statements (Raw)'!G887="","Other",IF('Statements (Raw)'!G887&gt;0,"Buy","Sell"))))))))))))))))))))))</f>
        <v/>
      </c>
      <c r="E889" s="6" t="str">
        <f t="shared" si="26"/>
        <v/>
      </c>
      <c r="F889" s="8" t="str">
        <f>IF(A889="","",IF('Statements (Raw)'!E887="","",'Statements (Raw)'!E887))</f>
        <v/>
      </c>
      <c r="G889" s="6" t="str">
        <f>IF(A889="","",IF('Statements (Raw)'!F887="","",'Statements (Raw)'!F887))</f>
        <v/>
      </c>
      <c r="H889" s="9" t="str">
        <f>IF(A889="","",IF('Statements (Raw)'!G887="","",'Statements (Raw)'!G887))</f>
        <v/>
      </c>
      <c r="I889" s="10" t="str">
        <f>IF(A889="","",IF('Statements (Raw)'!H887="","",'Statements (Raw)'!H887))</f>
        <v/>
      </c>
      <c r="J889" s="10">
        <f>IF(A889="",0,IF('Statements (Raw)'!I887="",0,'Statements (Raw)'!I887))</f>
        <v>0</v>
      </c>
      <c r="K889" s="10" t="str">
        <f t="shared" si="27"/>
        <v/>
      </c>
    </row>
    <row r="890" spans="1:11" x14ac:dyDescent="0.3">
      <c r="A890" s="171" t="str">
        <f>IF(OR('Statements (Raw)'!A888="",'Statements (Raw)'!A888&gt;Holdings!$G$3),"",'Statements (Raw)'!A888)</f>
        <v/>
      </c>
      <c r="B890" s="7" t="str">
        <f>IF(A890="","",IF('Statements (Raw)'!B888="","",'Statements (Raw)'!B888))</f>
        <v/>
      </c>
      <c r="C890" s="6" t="str">
        <f>IF(A890="","",IF('Statements (Raw)'!C888&lt;&gt;"",'Statements (Raw)'!C888,IF(ISNUMBER(SEARCH("Conferimento",'Statements (Raw)'!D888)),"CASH DEPOSIT",IF(ISNUMBER(SEARCH("Prelievo",'Statements (Raw)'!D888)),"CASH WITHDRAWAL",IF(ISNUMBER(SEARCH("Bollo",'Statements (Raw)'!D888)),"STAMP DUTY",IF(ISNUMBER(SEARCH("Tobin Tax",'Statements (Raw)'!D888)),"TOBIN TAX",IF(ISNUMBER(SEARCH("Rit.provento",'Statements (Raw)'!D888)),"WITHHOLDING TAX",IF(ISNUMBER(SEARCH("Incasso Dividendi",'Statements (Raw)'!D888)),"DIVIDEND",IF(ISNUMBER(SEARCH("Cedola",'Statements (Raw)'!D888)),"COUPON",IF(ISNUMBER(SEARCH("Ratei Pass",'Statements (Raw)'!D888)),"ACCRUED INT",IF(ISNUMBER(SEARCH("Interessi Prest",'Statements (Raw)'!D888)),"SEC LENDING",IF(ISNUMBER(SEARCH("Rimborso",'Statements (Raw)'!D888)),"REDEMPTION",IF(ISNUMBER(SEARCH("Provento",'Statements (Raw)'!D888)),"DISTRIBUTION","OTHER")))))))))))))</f>
        <v/>
      </c>
      <c r="D890" s="6" t="str">
        <f>IF(A890="","",IF(C890="Saldo Iniziale","Balance",IF(C890="CASH DEPOSIT","Deposit",IF(C890="CASH WITHDRAWAL","Withdrawal",IF(C890="STAMP DUTY","Tax",IF(C890="TOBIN TAX","Tax",IF(C890="WITHHOLDING TAX","Tax",IF(C890="DIVIDEND","Dividend",IF(C890="COUPON","Coupon",IF(C890="ACCRUED INT","Accrued Int.",IF(C890="SEC LENDING","Sec. Lending",IF(C890="REDEMPTION","Redemption",IF(C890="DISTRIBUTION","Distribution",IF(ISNUMBER(SEARCH("Rimborso",'Statements (Raw)'!D888)),"Redemption",IF(ISNUMBER(SEARCH("Cedola",'Statements (Raw)'!D888)),"Coupon",IF(ISNUMBER(SEARCH("Incasso Dividendi",'Statements (Raw)'!D888)),"Dividend",IF(ISNUMBER(SEARCH("Provento Etf",'Statements (Raw)'!D888)),"Distribution",IF(ISNUMBER(SEARCH("Rit.provento",'Statements (Raw)'!D888)),"Tax",IF(ISNUMBER(SEARCH("Ratei Pass",'Statements (Raw)'!D888)),"Accrued Int.",IF(ISNUMBER(SEARCH("Interessi Prest",'Statements (Raw)'!D888)),"Sec. Lending",IF('Statements (Raw)'!G888="","Other",IF('Statements (Raw)'!G888&gt;0,"Buy","Sell"))))))))))))))))))))))</f>
        <v/>
      </c>
      <c r="E890" s="6" t="str">
        <f t="shared" si="26"/>
        <v/>
      </c>
      <c r="F890" s="8" t="str">
        <f>IF(A890="","",IF('Statements (Raw)'!E888="","",'Statements (Raw)'!E888))</f>
        <v/>
      </c>
      <c r="G890" s="6" t="str">
        <f>IF(A890="","",IF('Statements (Raw)'!F888="","",'Statements (Raw)'!F888))</f>
        <v/>
      </c>
      <c r="H890" s="9" t="str">
        <f>IF(A890="","",IF('Statements (Raw)'!G888="","",'Statements (Raw)'!G888))</f>
        <v/>
      </c>
      <c r="I890" s="10" t="str">
        <f>IF(A890="","",IF('Statements (Raw)'!H888="","",'Statements (Raw)'!H888))</f>
        <v/>
      </c>
      <c r="J890" s="10">
        <f>IF(A890="",0,IF('Statements (Raw)'!I888="",0,'Statements (Raw)'!I888))</f>
        <v>0</v>
      </c>
      <c r="K890" s="10" t="str">
        <f t="shared" si="27"/>
        <v/>
      </c>
    </row>
    <row r="891" spans="1:11" x14ac:dyDescent="0.3">
      <c r="A891" s="171" t="str">
        <f>IF(OR('Statements (Raw)'!A889="",'Statements (Raw)'!A889&gt;Holdings!$G$3),"",'Statements (Raw)'!A889)</f>
        <v/>
      </c>
      <c r="B891" s="7" t="str">
        <f>IF(A891="","",IF('Statements (Raw)'!B889="","",'Statements (Raw)'!B889))</f>
        <v/>
      </c>
      <c r="C891" s="6" t="str">
        <f>IF(A891="","",IF('Statements (Raw)'!C889&lt;&gt;"",'Statements (Raw)'!C889,IF(ISNUMBER(SEARCH("Conferimento",'Statements (Raw)'!D889)),"CASH DEPOSIT",IF(ISNUMBER(SEARCH("Prelievo",'Statements (Raw)'!D889)),"CASH WITHDRAWAL",IF(ISNUMBER(SEARCH("Bollo",'Statements (Raw)'!D889)),"STAMP DUTY",IF(ISNUMBER(SEARCH("Tobin Tax",'Statements (Raw)'!D889)),"TOBIN TAX",IF(ISNUMBER(SEARCH("Rit.provento",'Statements (Raw)'!D889)),"WITHHOLDING TAX",IF(ISNUMBER(SEARCH("Incasso Dividendi",'Statements (Raw)'!D889)),"DIVIDEND",IF(ISNUMBER(SEARCH("Cedola",'Statements (Raw)'!D889)),"COUPON",IF(ISNUMBER(SEARCH("Ratei Pass",'Statements (Raw)'!D889)),"ACCRUED INT",IF(ISNUMBER(SEARCH("Interessi Prest",'Statements (Raw)'!D889)),"SEC LENDING",IF(ISNUMBER(SEARCH("Rimborso",'Statements (Raw)'!D889)),"REDEMPTION",IF(ISNUMBER(SEARCH("Provento",'Statements (Raw)'!D889)),"DISTRIBUTION","OTHER")))))))))))))</f>
        <v/>
      </c>
      <c r="D891" s="6" t="str">
        <f>IF(A891="","",IF(C891="Saldo Iniziale","Balance",IF(C891="CASH DEPOSIT","Deposit",IF(C891="CASH WITHDRAWAL","Withdrawal",IF(C891="STAMP DUTY","Tax",IF(C891="TOBIN TAX","Tax",IF(C891="WITHHOLDING TAX","Tax",IF(C891="DIVIDEND","Dividend",IF(C891="COUPON","Coupon",IF(C891="ACCRUED INT","Accrued Int.",IF(C891="SEC LENDING","Sec. Lending",IF(C891="REDEMPTION","Redemption",IF(C891="DISTRIBUTION","Distribution",IF(ISNUMBER(SEARCH("Rimborso",'Statements (Raw)'!D889)),"Redemption",IF(ISNUMBER(SEARCH("Cedola",'Statements (Raw)'!D889)),"Coupon",IF(ISNUMBER(SEARCH("Incasso Dividendi",'Statements (Raw)'!D889)),"Dividend",IF(ISNUMBER(SEARCH("Provento Etf",'Statements (Raw)'!D889)),"Distribution",IF(ISNUMBER(SEARCH("Rit.provento",'Statements (Raw)'!D889)),"Tax",IF(ISNUMBER(SEARCH("Ratei Pass",'Statements (Raw)'!D889)),"Accrued Int.",IF(ISNUMBER(SEARCH("Interessi Prest",'Statements (Raw)'!D889)),"Sec. Lending",IF('Statements (Raw)'!G889="","Other",IF('Statements (Raw)'!G889&gt;0,"Buy","Sell"))))))))))))))))))))))</f>
        <v/>
      </c>
      <c r="E891" s="6" t="str">
        <f t="shared" si="26"/>
        <v/>
      </c>
      <c r="F891" s="8" t="str">
        <f>IF(A891="","",IF('Statements (Raw)'!E889="","",'Statements (Raw)'!E889))</f>
        <v/>
      </c>
      <c r="G891" s="6" t="str">
        <f>IF(A891="","",IF('Statements (Raw)'!F889="","",'Statements (Raw)'!F889))</f>
        <v/>
      </c>
      <c r="H891" s="9" t="str">
        <f>IF(A891="","",IF('Statements (Raw)'!G889="","",'Statements (Raw)'!G889))</f>
        <v/>
      </c>
      <c r="I891" s="10" t="str">
        <f>IF(A891="","",IF('Statements (Raw)'!H889="","",'Statements (Raw)'!H889))</f>
        <v/>
      </c>
      <c r="J891" s="10">
        <f>IF(A891="",0,IF('Statements (Raw)'!I889="",0,'Statements (Raw)'!I889))</f>
        <v>0</v>
      </c>
      <c r="K891" s="10" t="str">
        <f t="shared" si="27"/>
        <v/>
      </c>
    </row>
    <row r="892" spans="1:11" x14ac:dyDescent="0.3">
      <c r="A892" s="171" t="str">
        <f>IF(OR('Statements (Raw)'!A890="",'Statements (Raw)'!A890&gt;Holdings!$G$3),"",'Statements (Raw)'!A890)</f>
        <v/>
      </c>
      <c r="B892" s="7" t="str">
        <f>IF(A892="","",IF('Statements (Raw)'!B890="","",'Statements (Raw)'!B890))</f>
        <v/>
      </c>
      <c r="C892" s="6" t="str">
        <f>IF(A892="","",IF('Statements (Raw)'!C890&lt;&gt;"",'Statements (Raw)'!C890,IF(ISNUMBER(SEARCH("Conferimento",'Statements (Raw)'!D890)),"CASH DEPOSIT",IF(ISNUMBER(SEARCH("Prelievo",'Statements (Raw)'!D890)),"CASH WITHDRAWAL",IF(ISNUMBER(SEARCH("Bollo",'Statements (Raw)'!D890)),"STAMP DUTY",IF(ISNUMBER(SEARCH("Tobin Tax",'Statements (Raw)'!D890)),"TOBIN TAX",IF(ISNUMBER(SEARCH("Rit.provento",'Statements (Raw)'!D890)),"WITHHOLDING TAX",IF(ISNUMBER(SEARCH("Incasso Dividendi",'Statements (Raw)'!D890)),"DIVIDEND",IF(ISNUMBER(SEARCH("Cedola",'Statements (Raw)'!D890)),"COUPON",IF(ISNUMBER(SEARCH("Ratei Pass",'Statements (Raw)'!D890)),"ACCRUED INT",IF(ISNUMBER(SEARCH("Interessi Prest",'Statements (Raw)'!D890)),"SEC LENDING",IF(ISNUMBER(SEARCH("Rimborso",'Statements (Raw)'!D890)),"REDEMPTION",IF(ISNUMBER(SEARCH("Provento",'Statements (Raw)'!D890)),"DISTRIBUTION","OTHER")))))))))))))</f>
        <v/>
      </c>
      <c r="D892" s="6" t="str">
        <f>IF(A892="","",IF(C892="Saldo Iniziale","Balance",IF(C892="CASH DEPOSIT","Deposit",IF(C892="CASH WITHDRAWAL","Withdrawal",IF(C892="STAMP DUTY","Tax",IF(C892="TOBIN TAX","Tax",IF(C892="WITHHOLDING TAX","Tax",IF(C892="DIVIDEND","Dividend",IF(C892="COUPON","Coupon",IF(C892="ACCRUED INT","Accrued Int.",IF(C892="SEC LENDING","Sec. Lending",IF(C892="REDEMPTION","Redemption",IF(C892="DISTRIBUTION","Distribution",IF(ISNUMBER(SEARCH("Rimborso",'Statements (Raw)'!D890)),"Redemption",IF(ISNUMBER(SEARCH("Cedola",'Statements (Raw)'!D890)),"Coupon",IF(ISNUMBER(SEARCH("Incasso Dividendi",'Statements (Raw)'!D890)),"Dividend",IF(ISNUMBER(SEARCH("Provento Etf",'Statements (Raw)'!D890)),"Distribution",IF(ISNUMBER(SEARCH("Rit.provento",'Statements (Raw)'!D890)),"Tax",IF(ISNUMBER(SEARCH("Ratei Pass",'Statements (Raw)'!D890)),"Accrued Int.",IF(ISNUMBER(SEARCH("Interessi Prest",'Statements (Raw)'!D890)),"Sec. Lending",IF('Statements (Raw)'!G890="","Other",IF('Statements (Raw)'!G890&gt;0,"Buy","Sell"))))))))))))))))))))))</f>
        <v/>
      </c>
      <c r="E892" s="6" t="str">
        <f t="shared" si="26"/>
        <v/>
      </c>
      <c r="F892" s="8" t="str">
        <f>IF(A892="","",IF('Statements (Raw)'!E890="","",'Statements (Raw)'!E890))</f>
        <v/>
      </c>
      <c r="G892" s="6" t="str">
        <f>IF(A892="","",IF('Statements (Raw)'!F890="","",'Statements (Raw)'!F890))</f>
        <v/>
      </c>
      <c r="H892" s="9" t="str">
        <f>IF(A892="","",IF('Statements (Raw)'!G890="","",'Statements (Raw)'!G890))</f>
        <v/>
      </c>
      <c r="I892" s="10" t="str">
        <f>IF(A892="","",IF('Statements (Raw)'!H890="","",'Statements (Raw)'!H890))</f>
        <v/>
      </c>
      <c r="J892" s="10">
        <f>IF(A892="",0,IF('Statements (Raw)'!I890="",0,'Statements (Raw)'!I890))</f>
        <v>0</v>
      </c>
      <c r="K892" s="10" t="str">
        <f t="shared" si="27"/>
        <v/>
      </c>
    </row>
    <row r="893" spans="1:11" x14ac:dyDescent="0.3">
      <c r="A893" s="171" t="str">
        <f>IF(OR('Statements (Raw)'!A891="",'Statements (Raw)'!A891&gt;Holdings!$G$3),"",'Statements (Raw)'!A891)</f>
        <v/>
      </c>
      <c r="B893" s="7" t="str">
        <f>IF(A893="","",IF('Statements (Raw)'!B891="","",'Statements (Raw)'!B891))</f>
        <v/>
      </c>
      <c r="C893" s="6" t="str">
        <f>IF(A893="","",IF('Statements (Raw)'!C891&lt;&gt;"",'Statements (Raw)'!C891,IF(ISNUMBER(SEARCH("Conferimento",'Statements (Raw)'!D891)),"CASH DEPOSIT",IF(ISNUMBER(SEARCH("Prelievo",'Statements (Raw)'!D891)),"CASH WITHDRAWAL",IF(ISNUMBER(SEARCH("Bollo",'Statements (Raw)'!D891)),"STAMP DUTY",IF(ISNUMBER(SEARCH("Tobin Tax",'Statements (Raw)'!D891)),"TOBIN TAX",IF(ISNUMBER(SEARCH("Rit.provento",'Statements (Raw)'!D891)),"WITHHOLDING TAX",IF(ISNUMBER(SEARCH("Incasso Dividendi",'Statements (Raw)'!D891)),"DIVIDEND",IF(ISNUMBER(SEARCH("Cedola",'Statements (Raw)'!D891)),"COUPON",IF(ISNUMBER(SEARCH("Ratei Pass",'Statements (Raw)'!D891)),"ACCRUED INT",IF(ISNUMBER(SEARCH("Interessi Prest",'Statements (Raw)'!D891)),"SEC LENDING",IF(ISNUMBER(SEARCH("Rimborso",'Statements (Raw)'!D891)),"REDEMPTION",IF(ISNUMBER(SEARCH("Provento",'Statements (Raw)'!D891)),"DISTRIBUTION","OTHER")))))))))))))</f>
        <v/>
      </c>
      <c r="D893" s="6" t="str">
        <f>IF(A893="","",IF(C893="Saldo Iniziale","Balance",IF(C893="CASH DEPOSIT","Deposit",IF(C893="CASH WITHDRAWAL","Withdrawal",IF(C893="STAMP DUTY","Tax",IF(C893="TOBIN TAX","Tax",IF(C893="WITHHOLDING TAX","Tax",IF(C893="DIVIDEND","Dividend",IF(C893="COUPON","Coupon",IF(C893="ACCRUED INT","Accrued Int.",IF(C893="SEC LENDING","Sec. Lending",IF(C893="REDEMPTION","Redemption",IF(C893="DISTRIBUTION","Distribution",IF(ISNUMBER(SEARCH("Rimborso",'Statements (Raw)'!D891)),"Redemption",IF(ISNUMBER(SEARCH("Cedola",'Statements (Raw)'!D891)),"Coupon",IF(ISNUMBER(SEARCH("Incasso Dividendi",'Statements (Raw)'!D891)),"Dividend",IF(ISNUMBER(SEARCH("Provento Etf",'Statements (Raw)'!D891)),"Distribution",IF(ISNUMBER(SEARCH("Rit.provento",'Statements (Raw)'!D891)),"Tax",IF(ISNUMBER(SEARCH("Ratei Pass",'Statements (Raw)'!D891)),"Accrued Int.",IF(ISNUMBER(SEARCH("Interessi Prest",'Statements (Raw)'!D891)),"Sec. Lending",IF('Statements (Raw)'!G891="","Other",IF('Statements (Raw)'!G891&gt;0,"Buy","Sell"))))))))))))))))))))))</f>
        <v/>
      </c>
      <c r="E893" s="6" t="str">
        <f t="shared" si="26"/>
        <v/>
      </c>
      <c r="F893" s="8" t="str">
        <f>IF(A893="","",IF('Statements (Raw)'!E891="","",'Statements (Raw)'!E891))</f>
        <v/>
      </c>
      <c r="G893" s="6" t="str">
        <f>IF(A893="","",IF('Statements (Raw)'!F891="","",'Statements (Raw)'!F891))</f>
        <v/>
      </c>
      <c r="H893" s="9" t="str">
        <f>IF(A893="","",IF('Statements (Raw)'!G891="","",'Statements (Raw)'!G891))</f>
        <v/>
      </c>
      <c r="I893" s="10" t="str">
        <f>IF(A893="","",IF('Statements (Raw)'!H891="","",'Statements (Raw)'!H891))</f>
        <v/>
      </c>
      <c r="J893" s="10">
        <f>IF(A893="",0,IF('Statements (Raw)'!I891="",0,'Statements (Raw)'!I891))</f>
        <v>0</v>
      </c>
      <c r="K893" s="10" t="str">
        <f t="shared" si="27"/>
        <v/>
      </c>
    </row>
    <row r="894" spans="1:11" x14ac:dyDescent="0.3">
      <c r="A894" s="171" t="str">
        <f>IF(OR('Statements (Raw)'!A892="",'Statements (Raw)'!A892&gt;Holdings!$G$3),"",'Statements (Raw)'!A892)</f>
        <v/>
      </c>
      <c r="B894" s="7" t="str">
        <f>IF(A894="","",IF('Statements (Raw)'!B892="","",'Statements (Raw)'!B892))</f>
        <v/>
      </c>
      <c r="C894" s="6" t="str">
        <f>IF(A894="","",IF('Statements (Raw)'!C892&lt;&gt;"",'Statements (Raw)'!C892,IF(ISNUMBER(SEARCH("Conferimento",'Statements (Raw)'!D892)),"CASH DEPOSIT",IF(ISNUMBER(SEARCH("Prelievo",'Statements (Raw)'!D892)),"CASH WITHDRAWAL",IF(ISNUMBER(SEARCH("Bollo",'Statements (Raw)'!D892)),"STAMP DUTY",IF(ISNUMBER(SEARCH("Tobin Tax",'Statements (Raw)'!D892)),"TOBIN TAX",IF(ISNUMBER(SEARCH("Rit.provento",'Statements (Raw)'!D892)),"WITHHOLDING TAX",IF(ISNUMBER(SEARCH("Incasso Dividendi",'Statements (Raw)'!D892)),"DIVIDEND",IF(ISNUMBER(SEARCH("Cedola",'Statements (Raw)'!D892)),"COUPON",IF(ISNUMBER(SEARCH("Ratei Pass",'Statements (Raw)'!D892)),"ACCRUED INT",IF(ISNUMBER(SEARCH("Interessi Prest",'Statements (Raw)'!D892)),"SEC LENDING",IF(ISNUMBER(SEARCH("Rimborso",'Statements (Raw)'!D892)),"REDEMPTION",IF(ISNUMBER(SEARCH("Provento",'Statements (Raw)'!D892)),"DISTRIBUTION","OTHER")))))))))))))</f>
        <v/>
      </c>
      <c r="D894" s="6" t="str">
        <f>IF(A894="","",IF(C894="Saldo Iniziale","Balance",IF(C894="CASH DEPOSIT","Deposit",IF(C894="CASH WITHDRAWAL","Withdrawal",IF(C894="STAMP DUTY","Tax",IF(C894="TOBIN TAX","Tax",IF(C894="WITHHOLDING TAX","Tax",IF(C894="DIVIDEND","Dividend",IF(C894="COUPON","Coupon",IF(C894="ACCRUED INT","Accrued Int.",IF(C894="SEC LENDING","Sec. Lending",IF(C894="REDEMPTION","Redemption",IF(C894="DISTRIBUTION","Distribution",IF(ISNUMBER(SEARCH("Rimborso",'Statements (Raw)'!D892)),"Redemption",IF(ISNUMBER(SEARCH("Cedola",'Statements (Raw)'!D892)),"Coupon",IF(ISNUMBER(SEARCH("Incasso Dividendi",'Statements (Raw)'!D892)),"Dividend",IF(ISNUMBER(SEARCH("Provento Etf",'Statements (Raw)'!D892)),"Distribution",IF(ISNUMBER(SEARCH("Rit.provento",'Statements (Raw)'!D892)),"Tax",IF(ISNUMBER(SEARCH("Ratei Pass",'Statements (Raw)'!D892)),"Accrued Int.",IF(ISNUMBER(SEARCH("Interessi Prest",'Statements (Raw)'!D892)),"Sec. Lending",IF('Statements (Raw)'!G892="","Other",IF('Statements (Raw)'!G892&gt;0,"Buy","Sell"))))))))))))))))))))))</f>
        <v/>
      </c>
      <c r="E894" s="6" t="str">
        <f t="shared" si="26"/>
        <v/>
      </c>
      <c r="F894" s="8" t="str">
        <f>IF(A894="","",IF('Statements (Raw)'!E892="","",'Statements (Raw)'!E892))</f>
        <v/>
      </c>
      <c r="G894" s="6" t="str">
        <f>IF(A894="","",IF('Statements (Raw)'!F892="","",'Statements (Raw)'!F892))</f>
        <v/>
      </c>
      <c r="H894" s="9" t="str">
        <f>IF(A894="","",IF('Statements (Raw)'!G892="","",'Statements (Raw)'!G892))</f>
        <v/>
      </c>
      <c r="I894" s="10" t="str">
        <f>IF(A894="","",IF('Statements (Raw)'!H892="","",'Statements (Raw)'!H892))</f>
        <v/>
      </c>
      <c r="J894" s="10">
        <f>IF(A894="",0,IF('Statements (Raw)'!I892="",0,'Statements (Raw)'!I892))</f>
        <v>0</v>
      </c>
      <c r="K894" s="10" t="str">
        <f t="shared" si="27"/>
        <v/>
      </c>
    </row>
    <row r="895" spans="1:11" x14ac:dyDescent="0.3">
      <c r="A895" s="171" t="str">
        <f>IF(OR('Statements (Raw)'!A893="",'Statements (Raw)'!A893&gt;Holdings!$G$3),"",'Statements (Raw)'!A893)</f>
        <v/>
      </c>
      <c r="B895" s="7" t="str">
        <f>IF(A895="","",IF('Statements (Raw)'!B893="","",'Statements (Raw)'!B893))</f>
        <v/>
      </c>
      <c r="C895" s="6" t="str">
        <f>IF(A895="","",IF('Statements (Raw)'!C893&lt;&gt;"",'Statements (Raw)'!C893,IF(ISNUMBER(SEARCH("Conferimento",'Statements (Raw)'!D893)),"CASH DEPOSIT",IF(ISNUMBER(SEARCH("Prelievo",'Statements (Raw)'!D893)),"CASH WITHDRAWAL",IF(ISNUMBER(SEARCH("Bollo",'Statements (Raw)'!D893)),"STAMP DUTY",IF(ISNUMBER(SEARCH("Tobin Tax",'Statements (Raw)'!D893)),"TOBIN TAX",IF(ISNUMBER(SEARCH("Rit.provento",'Statements (Raw)'!D893)),"WITHHOLDING TAX",IF(ISNUMBER(SEARCH("Incasso Dividendi",'Statements (Raw)'!D893)),"DIVIDEND",IF(ISNUMBER(SEARCH("Cedola",'Statements (Raw)'!D893)),"COUPON",IF(ISNUMBER(SEARCH("Ratei Pass",'Statements (Raw)'!D893)),"ACCRUED INT",IF(ISNUMBER(SEARCH("Interessi Prest",'Statements (Raw)'!D893)),"SEC LENDING",IF(ISNUMBER(SEARCH("Rimborso",'Statements (Raw)'!D893)),"REDEMPTION",IF(ISNUMBER(SEARCH("Provento",'Statements (Raw)'!D893)),"DISTRIBUTION","OTHER")))))))))))))</f>
        <v/>
      </c>
      <c r="D895" s="6" t="str">
        <f>IF(A895="","",IF(C895="Saldo Iniziale","Balance",IF(C895="CASH DEPOSIT","Deposit",IF(C895="CASH WITHDRAWAL","Withdrawal",IF(C895="STAMP DUTY","Tax",IF(C895="TOBIN TAX","Tax",IF(C895="WITHHOLDING TAX","Tax",IF(C895="DIVIDEND","Dividend",IF(C895="COUPON","Coupon",IF(C895="ACCRUED INT","Accrued Int.",IF(C895="SEC LENDING","Sec. Lending",IF(C895="REDEMPTION","Redemption",IF(C895="DISTRIBUTION","Distribution",IF(ISNUMBER(SEARCH("Rimborso",'Statements (Raw)'!D893)),"Redemption",IF(ISNUMBER(SEARCH("Cedola",'Statements (Raw)'!D893)),"Coupon",IF(ISNUMBER(SEARCH("Incasso Dividendi",'Statements (Raw)'!D893)),"Dividend",IF(ISNUMBER(SEARCH("Provento Etf",'Statements (Raw)'!D893)),"Distribution",IF(ISNUMBER(SEARCH("Rit.provento",'Statements (Raw)'!D893)),"Tax",IF(ISNUMBER(SEARCH("Ratei Pass",'Statements (Raw)'!D893)),"Accrued Int.",IF(ISNUMBER(SEARCH("Interessi Prest",'Statements (Raw)'!D893)),"Sec. Lending",IF('Statements (Raw)'!G893="","Other",IF('Statements (Raw)'!G893&gt;0,"Buy","Sell"))))))))))))))))))))))</f>
        <v/>
      </c>
      <c r="E895" s="6" t="str">
        <f t="shared" si="26"/>
        <v/>
      </c>
      <c r="F895" s="8" t="str">
        <f>IF(A895="","",IF('Statements (Raw)'!E893="","",'Statements (Raw)'!E893))</f>
        <v/>
      </c>
      <c r="G895" s="6" t="str">
        <f>IF(A895="","",IF('Statements (Raw)'!F893="","",'Statements (Raw)'!F893))</f>
        <v/>
      </c>
      <c r="H895" s="9" t="str">
        <f>IF(A895="","",IF('Statements (Raw)'!G893="","",'Statements (Raw)'!G893))</f>
        <v/>
      </c>
      <c r="I895" s="10" t="str">
        <f>IF(A895="","",IF('Statements (Raw)'!H893="","",'Statements (Raw)'!H893))</f>
        <v/>
      </c>
      <c r="J895" s="10">
        <f>IF(A895="",0,IF('Statements (Raw)'!I893="",0,'Statements (Raw)'!I893))</f>
        <v>0</v>
      </c>
      <c r="K895" s="10" t="str">
        <f t="shared" si="27"/>
        <v/>
      </c>
    </row>
    <row r="896" spans="1:11" x14ac:dyDescent="0.3">
      <c r="A896" s="171" t="str">
        <f>IF(OR('Statements (Raw)'!A894="",'Statements (Raw)'!A894&gt;Holdings!$G$3),"",'Statements (Raw)'!A894)</f>
        <v/>
      </c>
      <c r="B896" s="7" t="str">
        <f>IF(A896="","",IF('Statements (Raw)'!B894="","",'Statements (Raw)'!B894))</f>
        <v/>
      </c>
      <c r="C896" s="6" t="str">
        <f>IF(A896="","",IF('Statements (Raw)'!C894&lt;&gt;"",'Statements (Raw)'!C894,IF(ISNUMBER(SEARCH("Conferimento",'Statements (Raw)'!D894)),"CASH DEPOSIT",IF(ISNUMBER(SEARCH("Prelievo",'Statements (Raw)'!D894)),"CASH WITHDRAWAL",IF(ISNUMBER(SEARCH("Bollo",'Statements (Raw)'!D894)),"STAMP DUTY",IF(ISNUMBER(SEARCH("Tobin Tax",'Statements (Raw)'!D894)),"TOBIN TAX",IF(ISNUMBER(SEARCH("Rit.provento",'Statements (Raw)'!D894)),"WITHHOLDING TAX",IF(ISNUMBER(SEARCH("Incasso Dividendi",'Statements (Raw)'!D894)),"DIVIDEND",IF(ISNUMBER(SEARCH("Cedola",'Statements (Raw)'!D894)),"COUPON",IF(ISNUMBER(SEARCH("Ratei Pass",'Statements (Raw)'!D894)),"ACCRUED INT",IF(ISNUMBER(SEARCH("Interessi Prest",'Statements (Raw)'!D894)),"SEC LENDING",IF(ISNUMBER(SEARCH("Rimborso",'Statements (Raw)'!D894)),"REDEMPTION",IF(ISNUMBER(SEARCH("Provento",'Statements (Raw)'!D894)),"DISTRIBUTION","OTHER")))))))))))))</f>
        <v/>
      </c>
      <c r="D896" s="6" t="str">
        <f>IF(A896="","",IF(C896="Saldo Iniziale","Balance",IF(C896="CASH DEPOSIT","Deposit",IF(C896="CASH WITHDRAWAL","Withdrawal",IF(C896="STAMP DUTY","Tax",IF(C896="TOBIN TAX","Tax",IF(C896="WITHHOLDING TAX","Tax",IF(C896="DIVIDEND","Dividend",IF(C896="COUPON","Coupon",IF(C896="ACCRUED INT","Accrued Int.",IF(C896="SEC LENDING","Sec. Lending",IF(C896="REDEMPTION","Redemption",IF(C896="DISTRIBUTION","Distribution",IF(ISNUMBER(SEARCH("Rimborso",'Statements (Raw)'!D894)),"Redemption",IF(ISNUMBER(SEARCH("Cedola",'Statements (Raw)'!D894)),"Coupon",IF(ISNUMBER(SEARCH("Incasso Dividendi",'Statements (Raw)'!D894)),"Dividend",IF(ISNUMBER(SEARCH("Provento Etf",'Statements (Raw)'!D894)),"Distribution",IF(ISNUMBER(SEARCH("Rit.provento",'Statements (Raw)'!D894)),"Tax",IF(ISNUMBER(SEARCH("Ratei Pass",'Statements (Raw)'!D894)),"Accrued Int.",IF(ISNUMBER(SEARCH("Interessi Prest",'Statements (Raw)'!D894)),"Sec. Lending",IF('Statements (Raw)'!G894="","Other",IF('Statements (Raw)'!G894&gt;0,"Buy","Sell"))))))))))))))))))))))</f>
        <v/>
      </c>
      <c r="E896" s="6" t="str">
        <f t="shared" si="26"/>
        <v/>
      </c>
      <c r="F896" s="8" t="str">
        <f>IF(A896="","",IF('Statements (Raw)'!E894="","",'Statements (Raw)'!E894))</f>
        <v/>
      </c>
      <c r="G896" s="6" t="str">
        <f>IF(A896="","",IF('Statements (Raw)'!F894="","",'Statements (Raw)'!F894))</f>
        <v/>
      </c>
      <c r="H896" s="9" t="str">
        <f>IF(A896="","",IF('Statements (Raw)'!G894="","",'Statements (Raw)'!G894))</f>
        <v/>
      </c>
      <c r="I896" s="10" t="str">
        <f>IF(A896="","",IF('Statements (Raw)'!H894="","",'Statements (Raw)'!H894))</f>
        <v/>
      </c>
      <c r="J896" s="10">
        <f>IF(A896="",0,IF('Statements (Raw)'!I894="",0,'Statements (Raw)'!I894))</f>
        <v>0</v>
      </c>
      <c r="K896" s="10" t="str">
        <f t="shared" si="27"/>
        <v/>
      </c>
    </row>
    <row r="897" spans="1:11" x14ac:dyDescent="0.3">
      <c r="A897" s="171" t="str">
        <f>IF(OR('Statements (Raw)'!A895="",'Statements (Raw)'!A895&gt;Holdings!$G$3),"",'Statements (Raw)'!A895)</f>
        <v/>
      </c>
      <c r="B897" s="7" t="str">
        <f>IF(A897="","",IF('Statements (Raw)'!B895="","",'Statements (Raw)'!B895))</f>
        <v/>
      </c>
      <c r="C897" s="6" t="str">
        <f>IF(A897="","",IF('Statements (Raw)'!C895&lt;&gt;"",'Statements (Raw)'!C895,IF(ISNUMBER(SEARCH("Conferimento",'Statements (Raw)'!D895)),"CASH DEPOSIT",IF(ISNUMBER(SEARCH("Prelievo",'Statements (Raw)'!D895)),"CASH WITHDRAWAL",IF(ISNUMBER(SEARCH("Bollo",'Statements (Raw)'!D895)),"STAMP DUTY",IF(ISNUMBER(SEARCH("Tobin Tax",'Statements (Raw)'!D895)),"TOBIN TAX",IF(ISNUMBER(SEARCH("Rit.provento",'Statements (Raw)'!D895)),"WITHHOLDING TAX",IF(ISNUMBER(SEARCH("Incasso Dividendi",'Statements (Raw)'!D895)),"DIVIDEND",IF(ISNUMBER(SEARCH("Cedola",'Statements (Raw)'!D895)),"COUPON",IF(ISNUMBER(SEARCH("Ratei Pass",'Statements (Raw)'!D895)),"ACCRUED INT",IF(ISNUMBER(SEARCH("Interessi Prest",'Statements (Raw)'!D895)),"SEC LENDING",IF(ISNUMBER(SEARCH("Rimborso",'Statements (Raw)'!D895)),"REDEMPTION",IF(ISNUMBER(SEARCH("Provento",'Statements (Raw)'!D895)),"DISTRIBUTION","OTHER")))))))))))))</f>
        <v/>
      </c>
      <c r="D897" s="6" t="str">
        <f>IF(A897="","",IF(C897="Saldo Iniziale","Balance",IF(C897="CASH DEPOSIT","Deposit",IF(C897="CASH WITHDRAWAL","Withdrawal",IF(C897="STAMP DUTY","Tax",IF(C897="TOBIN TAX","Tax",IF(C897="WITHHOLDING TAX","Tax",IF(C897="DIVIDEND","Dividend",IF(C897="COUPON","Coupon",IF(C897="ACCRUED INT","Accrued Int.",IF(C897="SEC LENDING","Sec. Lending",IF(C897="REDEMPTION","Redemption",IF(C897="DISTRIBUTION","Distribution",IF(ISNUMBER(SEARCH("Rimborso",'Statements (Raw)'!D895)),"Redemption",IF(ISNUMBER(SEARCH("Cedola",'Statements (Raw)'!D895)),"Coupon",IF(ISNUMBER(SEARCH("Incasso Dividendi",'Statements (Raw)'!D895)),"Dividend",IF(ISNUMBER(SEARCH("Provento Etf",'Statements (Raw)'!D895)),"Distribution",IF(ISNUMBER(SEARCH("Rit.provento",'Statements (Raw)'!D895)),"Tax",IF(ISNUMBER(SEARCH("Ratei Pass",'Statements (Raw)'!D895)),"Accrued Int.",IF(ISNUMBER(SEARCH("Interessi Prest",'Statements (Raw)'!D895)),"Sec. Lending",IF('Statements (Raw)'!G895="","Other",IF('Statements (Raw)'!G895&gt;0,"Buy","Sell"))))))))))))))))))))))</f>
        <v/>
      </c>
      <c r="E897" s="6" t="str">
        <f t="shared" si="26"/>
        <v/>
      </c>
      <c r="F897" s="8" t="str">
        <f>IF(A897="","",IF('Statements (Raw)'!E895="","",'Statements (Raw)'!E895))</f>
        <v/>
      </c>
      <c r="G897" s="6" t="str">
        <f>IF(A897="","",IF('Statements (Raw)'!F895="","",'Statements (Raw)'!F895))</f>
        <v/>
      </c>
      <c r="H897" s="9" t="str">
        <f>IF(A897="","",IF('Statements (Raw)'!G895="","",'Statements (Raw)'!G895))</f>
        <v/>
      </c>
      <c r="I897" s="10" t="str">
        <f>IF(A897="","",IF('Statements (Raw)'!H895="","",'Statements (Raw)'!H895))</f>
        <v/>
      </c>
      <c r="J897" s="10">
        <f>IF(A897="",0,IF('Statements (Raw)'!I895="",0,'Statements (Raw)'!I895))</f>
        <v>0</v>
      </c>
      <c r="K897" s="10" t="str">
        <f t="shared" si="27"/>
        <v/>
      </c>
    </row>
    <row r="898" spans="1:11" x14ac:dyDescent="0.3">
      <c r="A898" s="171" t="str">
        <f>IF(OR('Statements (Raw)'!A896="",'Statements (Raw)'!A896&gt;Holdings!$G$3),"",'Statements (Raw)'!A896)</f>
        <v/>
      </c>
      <c r="B898" s="7" t="str">
        <f>IF(A898="","",IF('Statements (Raw)'!B896="","",'Statements (Raw)'!B896))</f>
        <v/>
      </c>
      <c r="C898" s="6" t="str">
        <f>IF(A898="","",IF('Statements (Raw)'!C896&lt;&gt;"",'Statements (Raw)'!C896,IF(ISNUMBER(SEARCH("Conferimento",'Statements (Raw)'!D896)),"CASH DEPOSIT",IF(ISNUMBER(SEARCH("Prelievo",'Statements (Raw)'!D896)),"CASH WITHDRAWAL",IF(ISNUMBER(SEARCH("Bollo",'Statements (Raw)'!D896)),"STAMP DUTY",IF(ISNUMBER(SEARCH("Tobin Tax",'Statements (Raw)'!D896)),"TOBIN TAX",IF(ISNUMBER(SEARCH("Rit.provento",'Statements (Raw)'!D896)),"WITHHOLDING TAX",IF(ISNUMBER(SEARCH("Incasso Dividendi",'Statements (Raw)'!D896)),"DIVIDEND",IF(ISNUMBER(SEARCH("Cedola",'Statements (Raw)'!D896)),"COUPON",IF(ISNUMBER(SEARCH("Ratei Pass",'Statements (Raw)'!D896)),"ACCRUED INT",IF(ISNUMBER(SEARCH("Interessi Prest",'Statements (Raw)'!D896)),"SEC LENDING",IF(ISNUMBER(SEARCH("Rimborso",'Statements (Raw)'!D896)),"REDEMPTION",IF(ISNUMBER(SEARCH("Provento",'Statements (Raw)'!D896)),"DISTRIBUTION","OTHER")))))))))))))</f>
        <v/>
      </c>
      <c r="D898" s="6" t="str">
        <f>IF(A898="","",IF(C898="Saldo Iniziale","Balance",IF(C898="CASH DEPOSIT","Deposit",IF(C898="CASH WITHDRAWAL","Withdrawal",IF(C898="STAMP DUTY","Tax",IF(C898="TOBIN TAX","Tax",IF(C898="WITHHOLDING TAX","Tax",IF(C898="DIVIDEND","Dividend",IF(C898="COUPON","Coupon",IF(C898="ACCRUED INT","Accrued Int.",IF(C898="SEC LENDING","Sec. Lending",IF(C898="REDEMPTION","Redemption",IF(C898="DISTRIBUTION","Distribution",IF(ISNUMBER(SEARCH("Rimborso",'Statements (Raw)'!D896)),"Redemption",IF(ISNUMBER(SEARCH("Cedola",'Statements (Raw)'!D896)),"Coupon",IF(ISNUMBER(SEARCH("Incasso Dividendi",'Statements (Raw)'!D896)),"Dividend",IF(ISNUMBER(SEARCH("Provento Etf",'Statements (Raw)'!D896)),"Distribution",IF(ISNUMBER(SEARCH("Rit.provento",'Statements (Raw)'!D896)),"Tax",IF(ISNUMBER(SEARCH("Ratei Pass",'Statements (Raw)'!D896)),"Accrued Int.",IF(ISNUMBER(SEARCH("Interessi Prest",'Statements (Raw)'!D896)),"Sec. Lending",IF('Statements (Raw)'!G896="","Other",IF('Statements (Raw)'!G896&gt;0,"Buy","Sell"))))))))))))))))))))))</f>
        <v/>
      </c>
      <c r="E898" s="6" t="str">
        <f t="shared" si="26"/>
        <v/>
      </c>
      <c r="F898" s="8" t="str">
        <f>IF(A898="","",IF('Statements (Raw)'!E896="","",'Statements (Raw)'!E896))</f>
        <v/>
      </c>
      <c r="G898" s="6" t="str">
        <f>IF(A898="","",IF('Statements (Raw)'!F896="","",'Statements (Raw)'!F896))</f>
        <v/>
      </c>
      <c r="H898" s="9" t="str">
        <f>IF(A898="","",IF('Statements (Raw)'!G896="","",'Statements (Raw)'!G896))</f>
        <v/>
      </c>
      <c r="I898" s="10" t="str">
        <f>IF(A898="","",IF('Statements (Raw)'!H896="","",'Statements (Raw)'!H896))</f>
        <v/>
      </c>
      <c r="J898" s="10">
        <f>IF(A898="",0,IF('Statements (Raw)'!I896="",0,'Statements (Raw)'!I896))</f>
        <v>0</v>
      </c>
      <c r="K898" s="10" t="str">
        <f t="shared" si="27"/>
        <v/>
      </c>
    </row>
    <row r="899" spans="1:11" x14ac:dyDescent="0.3">
      <c r="A899" s="171" t="str">
        <f>IF(OR('Statements (Raw)'!A897="",'Statements (Raw)'!A897&gt;Holdings!$G$3),"",'Statements (Raw)'!A897)</f>
        <v/>
      </c>
      <c r="B899" s="7" t="str">
        <f>IF(A899="","",IF('Statements (Raw)'!B897="","",'Statements (Raw)'!B897))</f>
        <v/>
      </c>
      <c r="C899" s="6" t="str">
        <f>IF(A899="","",IF('Statements (Raw)'!C897&lt;&gt;"",'Statements (Raw)'!C897,IF(ISNUMBER(SEARCH("Conferimento",'Statements (Raw)'!D897)),"CASH DEPOSIT",IF(ISNUMBER(SEARCH("Prelievo",'Statements (Raw)'!D897)),"CASH WITHDRAWAL",IF(ISNUMBER(SEARCH("Bollo",'Statements (Raw)'!D897)),"STAMP DUTY",IF(ISNUMBER(SEARCH("Tobin Tax",'Statements (Raw)'!D897)),"TOBIN TAX",IF(ISNUMBER(SEARCH("Rit.provento",'Statements (Raw)'!D897)),"WITHHOLDING TAX",IF(ISNUMBER(SEARCH("Incasso Dividendi",'Statements (Raw)'!D897)),"DIVIDEND",IF(ISNUMBER(SEARCH("Cedola",'Statements (Raw)'!D897)),"COUPON",IF(ISNUMBER(SEARCH("Ratei Pass",'Statements (Raw)'!D897)),"ACCRUED INT",IF(ISNUMBER(SEARCH("Interessi Prest",'Statements (Raw)'!D897)),"SEC LENDING",IF(ISNUMBER(SEARCH("Rimborso",'Statements (Raw)'!D897)),"REDEMPTION",IF(ISNUMBER(SEARCH("Provento",'Statements (Raw)'!D897)),"DISTRIBUTION","OTHER")))))))))))))</f>
        <v/>
      </c>
      <c r="D899" s="6" t="str">
        <f>IF(A899="","",IF(C899="Saldo Iniziale","Balance",IF(C899="CASH DEPOSIT","Deposit",IF(C899="CASH WITHDRAWAL","Withdrawal",IF(C899="STAMP DUTY","Tax",IF(C899="TOBIN TAX","Tax",IF(C899="WITHHOLDING TAX","Tax",IF(C899="DIVIDEND","Dividend",IF(C899="COUPON","Coupon",IF(C899="ACCRUED INT","Accrued Int.",IF(C899="SEC LENDING","Sec. Lending",IF(C899="REDEMPTION","Redemption",IF(C899="DISTRIBUTION","Distribution",IF(ISNUMBER(SEARCH("Rimborso",'Statements (Raw)'!D897)),"Redemption",IF(ISNUMBER(SEARCH("Cedola",'Statements (Raw)'!D897)),"Coupon",IF(ISNUMBER(SEARCH("Incasso Dividendi",'Statements (Raw)'!D897)),"Dividend",IF(ISNUMBER(SEARCH("Provento Etf",'Statements (Raw)'!D897)),"Distribution",IF(ISNUMBER(SEARCH("Rit.provento",'Statements (Raw)'!D897)),"Tax",IF(ISNUMBER(SEARCH("Ratei Pass",'Statements (Raw)'!D897)),"Accrued Int.",IF(ISNUMBER(SEARCH("Interessi Prest",'Statements (Raw)'!D897)),"Sec. Lending",IF('Statements (Raw)'!G897="","Other",IF('Statements (Raw)'!G897&gt;0,"Buy","Sell"))))))))))))))))))))))</f>
        <v/>
      </c>
      <c r="E899" s="6" t="str">
        <f t="shared" si="26"/>
        <v/>
      </c>
      <c r="F899" s="8" t="str">
        <f>IF(A899="","",IF('Statements (Raw)'!E897="","",'Statements (Raw)'!E897))</f>
        <v/>
      </c>
      <c r="G899" s="6" t="str">
        <f>IF(A899="","",IF('Statements (Raw)'!F897="","",'Statements (Raw)'!F897))</f>
        <v/>
      </c>
      <c r="H899" s="9" t="str">
        <f>IF(A899="","",IF('Statements (Raw)'!G897="","",'Statements (Raw)'!G897))</f>
        <v/>
      </c>
      <c r="I899" s="10" t="str">
        <f>IF(A899="","",IF('Statements (Raw)'!H897="","",'Statements (Raw)'!H897))</f>
        <v/>
      </c>
      <c r="J899" s="10">
        <f>IF(A899="",0,IF('Statements (Raw)'!I897="",0,'Statements (Raw)'!I897))</f>
        <v>0</v>
      </c>
      <c r="K899" s="10" t="str">
        <f t="shared" si="27"/>
        <v/>
      </c>
    </row>
    <row r="900" spans="1:11" x14ac:dyDescent="0.3">
      <c r="A900" s="171" t="str">
        <f>IF(OR('Statements (Raw)'!A898="",'Statements (Raw)'!A898&gt;Holdings!$G$3),"",'Statements (Raw)'!A898)</f>
        <v/>
      </c>
      <c r="B900" s="7" t="str">
        <f>IF(A900="","",IF('Statements (Raw)'!B898="","",'Statements (Raw)'!B898))</f>
        <v/>
      </c>
      <c r="C900" s="6" t="str">
        <f>IF(A900="","",IF('Statements (Raw)'!C898&lt;&gt;"",'Statements (Raw)'!C898,IF(ISNUMBER(SEARCH("Conferimento",'Statements (Raw)'!D898)),"CASH DEPOSIT",IF(ISNUMBER(SEARCH("Prelievo",'Statements (Raw)'!D898)),"CASH WITHDRAWAL",IF(ISNUMBER(SEARCH("Bollo",'Statements (Raw)'!D898)),"STAMP DUTY",IF(ISNUMBER(SEARCH("Tobin Tax",'Statements (Raw)'!D898)),"TOBIN TAX",IF(ISNUMBER(SEARCH("Rit.provento",'Statements (Raw)'!D898)),"WITHHOLDING TAX",IF(ISNUMBER(SEARCH("Incasso Dividendi",'Statements (Raw)'!D898)),"DIVIDEND",IF(ISNUMBER(SEARCH("Cedola",'Statements (Raw)'!D898)),"COUPON",IF(ISNUMBER(SEARCH("Ratei Pass",'Statements (Raw)'!D898)),"ACCRUED INT",IF(ISNUMBER(SEARCH("Interessi Prest",'Statements (Raw)'!D898)),"SEC LENDING",IF(ISNUMBER(SEARCH("Rimborso",'Statements (Raw)'!D898)),"REDEMPTION",IF(ISNUMBER(SEARCH("Provento",'Statements (Raw)'!D898)),"DISTRIBUTION","OTHER")))))))))))))</f>
        <v/>
      </c>
      <c r="D900" s="6" t="str">
        <f>IF(A900="","",IF(C900="Saldo Iniziale","Balance",IF(C900="CASH DEPOSIT","Deposit",IF(C900="CASH WITHDRAWAL","Withdrawal",IF(C900="STAMP DUTY","Tax",IF(C900="TOBIN TAX","Tax",IF(C900="WITHHOLDING TAX","Tax",IF(C900="DIVIDEND","Dividend",IF(C900="COUPON","Coupon",IF(C900="ACCRUED INT","Accrued Int.",IF(C900="SEC LENDING","Sec. Lending",IF(C900="REDEMPTION","Redemption",IF(C900="DISTRIBUTION","Distribution",IF(ISNUMBER(SEARCH("Rimborso",'Statements (Raw)'!D898)),"Redemption",IF(ISNUMBER(SEARCH("Cedola",'Statements (Raw)'!D898)),"Coupon",IF(ISNUMBER(SEARCH("Incasso Dividendi",'Statements (Raw)'!D898)),"Dividend",IF(ISNUMBER(SEARCH("Provento Etf",'Statements (Raw)'!D898)),"Distribution",IF(ISNUMBER(SEARCH("Rit.provento",'Statements (Raw)'!D898)),"Tax",IF(ISNUMBER(SEARCH("Ratei Pass",'Statements (Raw)'!D898)),"Accrued Int.",IF(ISNUMBER(SEARCH("Interessi Prest",'Statements (Raw)'!D898)),"Sec. Lending",IF('Statements (Raw)'!G898="","Other",IF('Statements (Raw)'!G898&gt;0,"Buy","Sell"))))))))))))))))))))))</f>
        <v/>
      </c>
      <c r="E900" s="6" t="str">
        <f t="shared" si="26"/>
        <v/>
      </c>
      <c r="F900" s="8" t="str">
        <f>IF(A900="","",IF('Statements (Raw)'!E898="","",'Statements (Raw)'!E898))</f>
        <v/>
      </c>
      <c r="G900" s="6" t="str">
        <f>IF(A900="","",IF('Statements (Raw)'!F898="","",'Statements (Raw)'!F898))</f>
        <v/>
      </c>
      <c r="H900" s="9" t="str">
        <f>IF(A900="","",IF('Statements (Raw)'!G898="","",'Statements (Raw)'!G898))</f>
        <v/>
      </c>
      <c r="I900" s="10" t="str">
        <f>IF(A900="","",IF('Statements (Raw)'!H898="","",'Statements (Raw)'!H898))</f>
        <v/>
      </c>
      <c r="J900" s="10">
        <f>IF(A900="",0,IF('Statements (Raw)'!I898="",0,'Statements (Raw)'!I898))</f>
        <v>0</v>
      </c>
      <c r="K900" s="10" t="str">
        <f t="shared" si="27"/>
        <v/>
      </c>
    </row>
    <row r="901" spans="1:11" x14ac:dyDescent="0.3">
      <c r="A901" s="171" t="str">
        <f>IF(OR('Statements (Raw)'!A899="",'Statements (Raw)'!A899&gt;Holdings!$G$3),"",'Statements (Raw)'!A899)</f>
        <v/>
      </c>
      <c r="B901" s="7" t="str">
        <f>IF(A901="","",IF('Statements (Raw)'!B899="","",'Statements (Raw)'!B899))</f>
        <v/>
      </c>
      <c r="C901" s="6" t="str">
        <f>IF(A901="","",IF('Statements (Raw)'!C899&lt;&gt;"",'Statements (Raw)'!C899,IF(ISNUMBER(SEARCH("Conferimento",'Statements (Raw)'!D899)),"CASH DEPOSIT",IF(ISNUMBER(SEARCH("Prelievo",'Statements (Raw)'!D899)),"CASH WITHDRAWAL",IF(ISNUMBER(SEARCH("Bollo",'Statements (Raw)'!D899)),"STAMP DUTY",IF(ISNUMBER(SEARCH("Tobin Tax",'Statements (Raw)'!D899)),"TOBIN TAX",IF(ISNUMBER(SEARCH("Rit.provento",'Statements (Raw)'!D899)),"WITHHOLDING TAX",IF(ISNUMBER(SEARCH("Incasso Dividendi",'Statements (Raw)'!D899)),"DIVIDEND",IF(ISNUMBER(SEARCH("Cedola",'Statements (Raw)'!D899)),"COUPON",IF(ISNUMBER(SEARCH("Ratei Pass",'Statements (Raw)'!D899)),"ACCRUED INT",IF(ISNUMBER(SEARCH("Interessi Prest",'Statements (Raw)'!D899)),"SEC LENDING",IF(ISNUMBER(SEARCH("Rimborso",'Statements (Raw)'!D899)),"REDEMPTION",IF(ISNUMBER(SEARCH("Provento",'Statements (Raw)'!D899)),"DISTRIBUTION","OTHER")))))))))))))</f>
        <v/>
      </c>
      <c r="D901" s="6" t="str">
        <f>IF(A901="","",IF(C901="Saldo Iniziale","Balance",IF(C901="CASH DEPOSIT","Deposit",IF(C901="CASH WITHDRAWAL","Withdrawal",IF(C901="STAMP DUTY","Tax",IF(C901="TOBIN TAX","Tax",IF(C901="WITHHOLDING TAX","Tax",IF(C901="DIVIDEND","Dividend",IF(C901="COUPON","Coupon",IF(C901="ACCRUED INT","Accrued Int.",IF(C901="SEC LENDING","Sec. Lending",IF(C901="REDEMPTION","Redemption",IF(C901="DISTRIBUTION","Distribution",IF(ISNUMBER(SEARCH("Rimborso",'Statements (Raw)'!D899)),"Redemption",IF(ISNUMBER(SEARCH("Cedola",'Statements (Raw)'!D899)),"Coupon",IF(ISNUMBER(SEARCH("Incasso Dividendi",'Statements (Raw)'!D899)),"Dividend",IF(ISNUMBER(SEARCH("Provento Etf",'Statements (Raw)'!D899)),"Distribution",IF(ISNUMBER(SEARCH("Rit.provento",'Statements (Raw)'!D899)),"Tax",IF(ISNUMBER(SEARCH("Ratei Pass",'Statements (Raw)'!D899)),"Accrued Int.",IF(ISNUMBER(SEARCH("Interessi Prest",'Statements (Raw)'!D899)),"Sec. Lending",IF('Statements (Raw)'!G899="","Other",IF('Statements (Raw)'!G899&gt;0,"Buy","Sell"))))))))))))))))))))))</f>
        <v/>
      </c>
      <c r="E901" s="6" t="str">
        <f t="shared" ref="E901:E964" si="28">IF(D901="","",IF(OR(D901="Balance",D901="Deposit",D901="Withdrawal"),"Cash",IF(D901="Tax","Tax/Fee",IF(OR(D901="Dividend",D901="Coupon",D901="Distribution",D901="Sec. Lending",D901="Accrued Int."),"Income",IF(D901="Redemption","Bond",IF(OR(D901="Buy",D901="Sell"),IF(OR(ISNUMBER(SEARCH("BOT ",C901)),ISNUMBER(SEARCH("BTP ",C901)),ISNUMBER(SEARCH("CARRARO",C901))),"Bond",IF(OR(ISNUMBER(SEARCH("isdom",C901)),ISNUMBER(SEARCH("ISHARES",C901)),ISNUMBER(SEARCH("iShares",C901))),"ETF/ETC",IF(OR(ISNUMBER(SEARCH("Bitwise",C901)),ISNUMBER(SEARCH("BITWISE",C901))),"Crypto ETP","Stock"))),"Other"))))))</f>
        <v/>
      </c>
      <c r="F901" s="8" t="str">
        <f>IF(A901="","",IF('Statements (Raw)'!E899="","",'Statements (Raw)'!E899))</f>
        <v/>
      </c>
      <c r="G901" s="6" t="str">
        <f>IF(A901="","",IF('Statements (Raw)'!F899="","",'Statements (Raw)'!F899))</f>
        <v/>
      </c>
      <c r="H901" s="9" t="str">
        <f>IF(A901="","",IF('Statements (Raw)'!G899="","",'Statements (Raw)'!G899))</f>
        <v/>
      </c>
      <c r="I901" s="10" t="str">
        <f>IF(A901="","",IF('Statements (Raw)'!H899="","",'Statements (Raw)'!H899))</f>
        <v/>
      </c>
      <c r="J901" s="10">
        <f>IF(A901="",0,IF('Statements (Raw)'!I899="",0,'Statements (Raw)'!I899))</f>
        <v>0</v>
      </c>
      <c r="K901" s="10" t="str">
        <f t="shared" ref="K901:K964" si="29">IF(I901="","",I901+J901)</f>
        <v/>
      </c>
    </row>
    <row r="902" spans="1:11" x14ac:dyDescent="0.3">
      <c r="A902" s="171" t="str">
        <f>IF(OR('Statements (Raw)'!A900="",'Statements (Raw)'!A900&gt;Holdings!$G$3),"",'Statements (Raw)'!A900)</f>
        <v/>
      </c>
      <c r="B902" s="7" t="str">
        <f>IF(A902="","",IF('Statements (Raw)'!B900="","",'Statements (Raw)'!B900))</f>
        <v/>
      </c>
      <c r="C902" s="6" t="str">
        <f>IF(A902="","",IF('Statements (Raw)'!C900&lt;&gt;"",'Statements (Raw)'!C900,IF(ISNUMBER(SEARCH("Conferimento",'Statements (Raw)'!D900)),"CASH DEPOSIT",IF(ISNUMBER(SEARCH("Prelievo",'Statements (Raw)'!D900)),"CASH WITHDRAWAL",IF(ISNUMBER(SEARCH("Bollo",'Statements (Raw)'!D900)),"STAMP DUTY",IF(ISNUMBER(SEARCH("Tobin Tax",'Statements (Raw)'!D900)),"TOBIN TAX",IF(ISNUMBER(SEARCH("Rit.provento",'Statements (Raw)'!D900)),"WITHHOLDING TAX",IF(ISNUMBER(SEARCH("Incasso Dividendi",'Statements (Raw)'!D900)),"DIVIDEND",IF(ISNUMBER(SEARCH("Cedola",'Statements (Raw)'!D900)),"COUPON",IF(ISNUMBER(SEARCH("Ratei Pass",'Statements (Raw)'!D900)),"ACCRUED INT",IF(ISNUMBER(SEARCH("Interessi Prest",'Statements (Raw)'!D900)),"SEC LENDING",IF(ISNUMBER(SEARCH("Rimborso",'Statements (Raw)'!D900)),"REDEMPTION",IF(ISNUMBER(SEARCH("Provento",'Statements (Raw)'!D900)),"DISTRIBUTION","OTHER")))))))))))))</f>
        <v/>
      </c>
      <c r="D902" s="6" t="str">
        <f>IF(A902="","",IF(C902="Saldo Iniziale","Balance",IF(C902="CASH DEPOSIT","Deposit",IF(C902="CASH WITHDRAWAL","Withdrawal",IF(C902="STAMP DUTY","Tax",IF(C902="TOBIN TAX","Tax",IF(C902="WITHHOLDING TAX","Tax",IF(C902="DIVIDEND","Dividend",IF(C902="COUPON","Coupon",IF(C902="ACCRUED INT","Accrued Int.",IF(C902="SEC LENDING","Sec. Lending",IF(C902="REDEMPTION","Redemption",IF(C902="DISTRIBUTION","Distribution",IF(ISNUMBER(SEARCH("Rimborso",'Statements (Raw)'!D900)),"Redemption",IF(ISNUMBER(SEARCH("Cedola",'Statements (Raw)'!D900)),"Coupon",IF(ISNUMBER(SEARCH("Incasso Dividendi",'Statements (Raw)'!D900)),"Dividend",IF(ISNUMBER(SEARCH("Provento Etf",'Statements (Raw)'!D900)),"Distribution",IF(ISNUMBER(SEARCH("Rit.provento",'Statements (Raw)'!D900)),"Tax",IF(ISNUMBER(SEARCH("Ratei Pass",'Statements (Raw)'!D900)),"Accrued Int.",IF(ISNUMBER(SEARCH("Interessi Prest",'Statements (Raw)'!D900)),"Sec. Lending",IF('Statements (Raw)'!G900="","Other",IF('Statements (Raw)'!G900&gt;0,"Buy","Sell"))))))))))))))))))))))</f>
        <v/>
      </c>
      <c r="E902" s="6" t="str">
        <f t="shared" si="28"/>
        <v/>
      </c>
      <c r="F902" s="8" t="str">
        <f>IF(A902="","",IF('Statements (Raw)'!E900="","",'Statements (Raw)'!E900))</f>
        <v/>
      </c>
      <c r="G902" s="6" t="str">
        <f>IF(A902="","",IF('Statements (Raw)'!F900="","",'Statements (Raw)'!F900))</f>
        <v/>
      </c>
      <c r="H902" s="9" t="str">
        <f>IF(A902="","",IF('Statements (Raw)'!G900="","",'Statements (Raw)'!G900))</f>
        <v/>
      </c>
      <c r="I902" s="10" t="str">
        <f>IF(A902="","",IF('Statements (Raw)'!H900="","",'Statements (Raw)'!H900))</f>
        <v/>
      </c>
      <c r="J902" s="10">
        <f>IF(A902="",0,IF('Statements (Raw)'!I900="",0,'Statements (Raw)'!I900))</f>
        <v>0</v>
      </c>
      <c r="K902" s="10" t="str">
        <f t="shared" si="29"/>
        <v/>
      </c>
    </row>
    <row r="903" spans="1:11" x14ac:dyDescent="0.3">
      <c r="A903" s="171" t="str">
        <f>IF(OR('Statements (Raw)'!A901="",'Statements (Raw)'!A901&gt;Holdings!$G$3),"",'Statements (Raw)'!A901)</f>
        <v/>
      </c>
      <c r="B903" s="7" t="str">
        <f>IF(A903="","",IF('Statements (Raw)'!B901="","",'Statements (Raw)'!B901))</f>
        <v/>
      </c>
      <c r="C903" s="6" t="str">
        <f>IF(A903="","",IF('Statements (Raw)'!C901&lt;&gt;"",'Statements (Raw)'!C901,IF(ISNUMBER(SEARCH("Conferimento",'Statements (Raw)'!D901)),"CASH DEPOSIT",IF(ISNUMBER(SEARCH("Prelievo",'Statements (Raw)'!D901)),"CASH WITHDRAWAL",IF(ISNUMBER(SEARCH("Bollo",'Statements (Raw)'!D901)),"STAMP DUTY",IF(ISNUMBER(SEARCH("Tobin Tax",'Statements (Raw)'!D901)),"TOBIN TAX",IF(ISNUMBER(SEARCH("Rit.provento",'Statements (Raw)'!D901)),"WITHHOLDING TAX",IF(ISNUMBER(SEARCH("Incasso Dividendi",'Statements (Raw)'!D901)),"DIVIDEND",IF(ISNUMBER(SEARCH("Cedola",'Statements (Raw)'!D901)),"COUPON",IF(ISNUMBER(SEARCH("Ratei Pass",'Statements (Raw)'!D901)),"ACCRUED INT",IF(ISNUMBER(SEARCH("Interessi Prest",'Statements (Raw)'!D901)),"SEC LENDING",IF(ISNUMBER(SEARCH("Rimborso",'Statements (Raw)'!D901)),"REDEMPTION",IF(ISNUMBER(SEARCH("Provento",'Statements (Raw)'!D901)),"DISTRIBUTION","OTHER")))))))))))))</f>
        <v/>
      </c>
      <c r="D903" s="6" t="str">
        <f>IF(A903="","",IF(C903="Saldo Iniziale","Balance",IF(C903="CASH DEPOSIT","Deposit",IF(C903="CASH WITHDRAWAL","Withdrawal",IF(C903="STAMP DUTY","Tax",IF(C903="TOBIN TAX","Tax",IF(C903="WITHHOLDING TAX","Tax",IF(C903="DIVIDEND","Dividend",IF(C903="COUPON","Coupon",IF(C903="ACCRUED INT","Accrued Int.",IF(C903="SEC LENDING","Sec. Lending",IF(C903="REDEMPTION","Redemption",IF(C903="DISTRIBUTION","Distribution",IF(ISNUMBER(SEARCH("Rimborso",'Statements (Raw)'!D901)),"Redemption",IF(ISNUMBER(SEARCH("Cedola",'Statements (Raw)'!D901)),"Coupon",IF(ISNUMBER(SEARCH("Incasso Dividendi",'Statements (Raw)'!D901)),"Dividend",IF(ISNUMBER(SEARCH("Provento Etf",'Statements (Raw)'!D901)),"Distribution",IF(ISNUMBER(SEARCH("Rit.provento",'Statements (Raw)'!D901)),"Tax",IF(ISNUMBER(SEARCH("Ratei Pass",'Statements (Raw)'!D901)),"Accrued Int.",IF(ISNUMBER(SEARCH("Interessi Prest",'Statements (Raw)'!D901)),"Sec. Lending",IF('Statements (Raw)'!G901="","Other",IF('Statements (Raw)'!G901&gt;0,"Buy","Sell"))))))))))))))))))))))</f>
        <v/>
      </c>
      <c r="E903" s="6" t="str">
        <f t="shared" si="28"/>
        <v/>
      </c>
      <c r="F903" s="8" t="str">
        <f>IF(A903="","",IF('Statements (Raw)'!E901="","",'Statements (Raw)'!E901))</f>
        <v/>
      </c>
      <c r="G903" s="6" t="str">
        <f>IF(A903="","",IF('Statements (Raw)'!F901="","",'Statements (Raw)'!F901))</f>
        <v/>
      </c>
      <c r="H903" s="9" t="str">
        <f>IF(A903="","",IF('Statements (Raw)'!G901="","",'Statements (Raw)'!G901))</f>
        <v/>
      </c>
      <c r="I903" s="10" t="str">
        <f>IF(A903="","",IF('Statements (Raw)'!H901="","",'Statements (Raw)'!H901))</f>
        <v/>
      </c>
      <c r="J903" s="10">
        <f>IF(A903="",0,IF('Statements (Raw)'!I901="",0,'Statements (Raw)'!I901))</f>
        <v>0</v>
      </c>
      <c r="K903" s="10" t="str">
        <f t="shared" si="29"/>
        <v/>
      </c>
    </row>
    <row r="904" spans="1:11" x14ac:dyDescent="0.3">
      <c r="A904" s="171" t="str">
        <f>IF(OR('Statements (Raw)'!A902="",'Statements (Raw)'!A902&gt;Holdings!$G$3),"",'Statements (Raw)'!A902)</f>
        <v/>
      </c>
      <c r="B904" s="7" t="str">
        <f>IF(A904="","",IF('Statements (Raw)'!B902="","",'Statements (Raw)'!B902))</f>
        <v/>
      </c>
      <c r="C904" s="6" t="str">
        <f>IF(A904="","",IF('Statements (Raw)'!C902&lt;&gt;"",'Statements (Raw)'!C902,IF(ISNUMBER(SEARCH("Conferimento",'Statements (Raw)'!D902)),"CASH DEPOSIT",IF(ISNUMBER(SEARCH("Prelievo",'Statements (Raw)'!D902)),"CASH WITHDRAWAL",IF(ISNUMBER(SEARCH("Bollo",'Statements (Raw)'!D902)),"STAMP DUTY",IF(ISNUMBER(SEARCH("Tobin Tax",'Statements (Raw)'!D902)),"TOBIN TAX",IF(ISNUMBER(SEARCH("Rit.provento",'Statements (Raw)'!D902)),"WITHHOLDING TAX",IF(ISNUMBER(SEARCH("Incasso Dividendi",'Statements (Raw)'!D902)),"DIVIDEND",IF(ISNUMBER(SEARCH("Cedola",'Statements (Raw)'!D902)),"COUPON",IF(ISNUMBER(SEARCH("Ratei Pass",'Statements (Raw)'!D902)),"ACCRUED INT",IF(ISNUMBER(SEARCH("Interessi Prest",'Statements (Raw)'!D902)),"SEC LENDING",IF(ISNUMBER(SEARCH("Rimborso",'Statements (Raw)'!D902)),"REDEMPTION",IF(ISNUMBER(SEARCH("Provento",'Statements (Raw)'!D902)),"DISTRIBUTION","OTHER")))))))))))))</f>
        <v/>
      </c>
      <c r="D904" s="6" t="str">
        <f>IF(A904="","",IF(C904="Saldo Iniziale","Balance",IF(C904="CASH DEPOSIT","Deposit",IF(C904="CASH WITHDRAWAL","Withdrawal",IF(C904="STAMP DUTY","Tax",IF(C904="TOBIN TAX","Tax",IF(C904="WITHHOLDING TAX","Tax",IF(C904="DIVIDEND","Dividend",IF(C904="COUPON","Coupon",IF(C904="ACCRUED INT","Accrued Int.",IF(C904="SEC LENDING","Sec. Lending",IF(C904="REDEMPTION","Redemption",IF(C904="DISTRIBUTION","Distribution",IF(ISNUMBER(SEARCH("Rimborso",'Statements (Raw)'!D902)),"Redemption",IF(ISNUMBER(SEARCH("Cedola",'Statements (Raw)'!D902)),"Coupon",IF(ISNUMBER(SEARCH("Incasso Dividendi",'Statements (Raw)'!D902)),"Dividend",IF(ISNUMBER(SEARCH("Provento Etf",'Statements (Raw)'!D902)),"Distribution",IF(ISNUMBER(SEARCH("Rit.provento",'Statements (Raw)'!D902)),"Tax",IF(ISNUMBER(SEARCH("Ratei Pass",'Statements (Raw)'!D902)),"Accrued Int.",IF(ISNUMBER(SEARCH("Interessi Prest",'Statements (Raw)'!D902)),"Sec. Lending",IF('Statements (Raw)'!G902="","Other",IF('Statements (Raw)'!G902&gt;0,"Buy","Sell"))))))))))))))))))))))</f>
        <v/>
      </c>
      <c r="E904" s="6" t="str">
        <f t="shared" si="28"/>
        <v/>
      </c>
      <c r="F904" s="8" t="str">
        <f>IF(A904="","",IF('Statements (Raw)'!E902="","",'Statements (Raw)'!E902))</f>
        <v/>
      </c>
      <c r="G904" s="6" t="str">
        <f>IF(A904="","",IF('Statements (Raw)'!F902="","",'Statements (Raw)'!F902))</f>
        <v/>
      </c>
      <c r="H904" s="9" t="str">
        <f>IF(A904="","",IF('Statements (Raw)'!G902="","",'Statements (Raw)'!G902))</f>
        <v/>
      </c>
      <c r="I904" s="10" t="str">
        <f>IF(A904="","",IF('Statements (Raw)'!H902="","",'Statements (Raw)'!H902))</f>
        <v/>
      </c>
      <c r="J904" s="10">
        <f>IF(A904="",0,IF('Statements (Raw)'!I902="",0,'Statements (Raw)'!I902))</f>
        <v>0</v>
      </c>
      <c r="K904" s="10" t="str">
        <f t="shared" si="29"/>
        <v/>
      </c>
    </row>
    <row r="905" spans="1:11" x14ac:dyDescent="0.3">
      <c r="A905" s="171" t="str">
        <f>IF(OR('Statements (Raw)'!A903="",'Statements (Raw)'!A903&gt;Holdings!$G$3),"",'Statements (Raw)'!A903)</f>
        <v/>
      </c>
      <c r="B905" s="7" t="str">
        <f>IF(A905="","",IF('Statements (Raw)'!B903="","",'Statements (Raw)'!B903))</f>
        <v/>
      </c>
      <c r="C905" s="6" t="str">
        <f>IF(A905="","",IF('Statements (Raw)'!C903&lt;&gt;"",'Statements (Raw)'!C903,IF(ISNUMBER(SEARCH("Conferimento",'Statements (Raw)'!D903)),"CASH DEPOSIT",IF(ISNUMBER(SEARCH("Prelievo",'Statements (Raw)'!D903)),"CASH WITHDRAWAL",IF(ISNUMBER(SEARCH("Bollo",'Statements (Raw)'!D903)),"STAMP DUTY",IF(ISNUMBER(SEARCH("Tobin Tax",'Statements (Raw)'!D903)),"TOBIN TAX",IF(ISNUMBER(SEARCH("Rit.provento",'Statements (Raw)'!D903)),"WITHHOLDING TAX",IF(ISNUMBER(SEARCH("Incasso Dividendi",'Statements (Raw)'!D903)),"DIVIDEND",IF(ISNUMBER(SEARCH("Cedola",'Statements (Raw)'!D903)),"COUPON",IF(ISNUMBER(SEARCH("Ratei Pass",'Statements (Raw)'!D903)),"ACCRUED INT",IF(ISNUMBER(SEARCH("Interessi Prest",'Statements (Raw)'!D903)),"SEC LENDING",IF(ISNUMBER(SEARCH("Rimborso",'Statements (Raw)'!D903)),"REDEMPTION",IF(ISNUMBER(SEARCH("Provento",'Statements (Raw)'!D903)),"DISTRIBUTION","OTHER")))))))))))))</f>
        <v/>
      </c>
      <c r="D905" s="6" t="str">
        <f>IF(A905="","",IF(C905="Saldo Iniziale","Balance",IF(C905="CASH DEPOSIT","Deposit",IF(C905="CASH WITHDRAWAL","Withdrawal",IF(C905="STAMP DUTY","Tax",IF(C905="TOBIN TAX","Tax",IF(C905="WITHHOLDING TAX","Tax",IF(C905="DIVIDEND","Dividend",IF(C905="COUPON","Coupon",IF(C905="ACCRUED INT","Accrued Int.",IF(C905="SEC LENDING","Sec. Lending",IF(C905="REDEMPTION","Redemption",IF(C905="DISTRIBUTION","Distribution",IF(ISNUMBER(SEARCH("Rimborso",'Statements (Raw)'!D903)),"Redemption",IF(ISNUMBER(SEARCH("Cedola",'Statements (Raw)'!D903)),"Coupon",IF(ISNUMBER(SEARCH("Incasso Dividendi",'Statements (Raw)'!D903)),"Dividend",IF(ISNUMBER(SEARCH("Provento Etf",'Statements (Raw)'!D903)),"Distribution",IF(ISNUMBER(SEARCH("Rit.provento",'Statements (Raw)'!D903)),"Tax",IF(ISNUMBER(SEARCH("Ratei Pass",'Statements (Raw)'!D903)),"Accrued Int.",IF(ISNUMBER(SEARCH("Interessi Prest",'Statements (Raw)'!D903)),"Sec. Lending",IF('Statements (Raw)'!G903="","Other",IF('Statements (Raw)'!G903&gt;0,"Buy","Sell"))))))))))))))))))))))</f>
        <v/>
      </c>
      <c r="E905" s="6" t="str">
        <f t="shared" si="28"/>
        <v/>
      </c>
      <c r="F905" s="8" t="str">
        <f>IF(A905="","",IF('Statements (Raw)'!E903="","",'Statements (Raw)'!E903))</f>
        <v/>
      </c>
      <c r="G905" s="6" t="str">
        <f>IF(A905="","",IF('Statements (Raw)'!F903="","",'Statements (Raw)'!F903))</f>
        <v/>
      </c>
      <c r="H905" s="9" t="str">
        <f>IF(A905="","",IF('Statements (Raw)'!G903="","",'Statements (Raw)'!G903))</f>
        <v/>
      </c>
      <c r="I905" s="10" t="str">
        <f>IF(A905="","",IF('Statements (Raw)'!H903="","",'Statements (Raw)'!H903))</f>
        <v/>
      </c>
      <c r="J905" s="10">
        <f>IF(A905="",0,IF('Statements (Raw)'!I903="",0,'Statements (Raw)'!I903))</f>
        <v>0</v>
      </c>
      <c r="K905" s="10" t="str">
        <f t="shared" si="29"/>
        <v/>
      </c>
    </row>
    <row r="906" spans="1:11" x14ac:dyDescent="0.3">
      <c r="A906" s="171" t="str">
        <f>IF(OR('Statements (Raw)'!A904="",'Statements (Raw)'!A904&gt;Holdings!$G$3),"",'Statements (Raw)'!A904)</f>
        <v/>
      </c>
      <c r="B906" s="7" t="str">
        <f>IF(A906="","",IF('Statements (Raw)'!B904="","",'Statements (Raw)'!B904))</f>
        <v/>
      </c>
      <c r="C906" s="6" t="str">
        <f>IF(A906="","",IF('Statements (Raw)'!C904&lt;&gt;"",'Statements (Raw)'!C904,IF(ISNUMBER(SEARCH("Conferimento",'Statements (Raw)'!D904)),"CASH DEPOSIT",IF(ISNUMBER(SEARCH("Prelievo",'Statements (Raw)'!D904)),"CASH WITHDRAWAL",IF(ISNUMBER(SEARCH("Bollo",'Statements (Raw)'!D904)),"STAMP DUTY",IF(ISNUMBER(SEARCH("Tobin Tax",'Statements (Raw)'!D904)),"TOBIN TAX",IF(ISNUMBER(SEARCH("Rit.provento",'Statements (Raw)'!D904)),"WITHHOLDING TAX",IF(ISNUMBER(SEARCH("Incasso Dividendi",'Statements (Raw)'!D904)),"DIVIDEND",IF(ISNUMBER(SEARCH("Cedola",'Statements (Raw)'!D904)),"COUPON",IF(ISNUMBER(SEARCH("Ratei Pass",'Statements (Raw)'!D904)),"ACCRUED INT",IF(ISNUMBER(SEARCH("Interessi Prest",'Statements (Raw)'!D904)),"SEC LENDING",IF(ISNUMBER(SEARCH("Rimborso",'Statements (Raw)'!D904)),"REDEMPTION",IF(ISNUMBER(SEARCH("Provento",'Statements (Raw)'!D904)),"DISTRIBUTION","OTHER")))))))))))))</f>
        <v/>
      </c>
      <c r="D906" s="6" t="str">
        <f>IF(A906="","",IF(C906="Saldo Iniziale","Balance",IF(C906="CASH DEPOSIT","Deposit",IF(C906="CASH WITHDRAWAL","Withdrawal",IF(C906="STAMP DUTY","Tax",IF(C906="TOBIN TAX","Tax",IF(C906="WITHHOLDING TAX","Tax",IF(C906="DIVIDEND","Dividend",IF(C906="COUPON","Coupon",IF(C906="ACCRUED INT","Accrued Int.",IF(C906="SEC LENDING","Sec. Lending",IF(C906="REDEMPTION","Redemption",IF(C906="DISTRIBUTION","Distribution",IF(ISNUMBER(SEARCH("Rimborso",'Statements (Raw)'!D904)),"Redemption",IF(ISNUMBER(SEARCH("Cedola",'Statements (Raw)'!D904)),"Coupon",IF(ISNUMBER(SEARCH("Incasso Dividendi",'Statements (Raw)'!D904)),"Dividend",IF(ISNUMBER(SEARCH("Provento Etf",'Statements (Raw)'!D904)),"Distribution",IF(ISNUMBER(SEARCH("Rit.provento",'Statements (Raw)'!D904)),"Tax",IF(ISNUMBER(SEARCH("Ratei Pass",'Statements (Raw)'!D904)),"Accrued Int.",IF(ISNUMBER(SEARCH("Interessi Prest",'Statements (Raw)'!D904)),"Sec. Lending",IF('Statements (Raw)'!G904="","Other",IF('Statements (Raw)'!G904&gt;0,"Buy","Sell"))))))))))))))))))))))</f>
        <v/>
      </c>
      <c r="E906" s="6" t="str">
        <f t="shared" si="28"/>
        <v/>
      </c>
      <c r="F906" s="8" t="str">
        <f>IF(A906="","",IF('Statements (Raw)'!E904="","",'Statements (Raw)'!E904))</f>
        <v/>
      </c>
      <c r="G906" s="6" t="str">
        <f>IF(A906="","",IF('Statements (Raw)'!F904="","",'Statements (Raw)'!F904))</f>
        <v/>
      </c>
      <c r="H906" s="9" t="str">
        <f>IF(A906="","",IF('Statements (Raw)'!G904="","",'Statements (Raw)'!G904))</f>
        <v/>
      </c>
      <c r="I906" s="10" t="str">
        <f>IF(A906="","",IF('Statements (Raw)'!H904="","",'Statements (Raw)'!H904))</f>
        <v/>
      </c>
      <c r="J906" s="10">
        <f>IF(A906="",0,IF('Statements (Raw)'!I904="",0,'Statements (Raw)'!I904))</f>
        <v>0</v>
      </c>
      <c r="K906" s="10" t="str">
        <f t="shared" si="29"/>
        <v/>
      </c>
    </row>
    <row r="907" spans="1:11" x14ac:dyDescent="0.3">
      <c r="A907" s="171" t="str">
        <f>IF(OR('Statements (Raw)'!A905="",'Statements (Raw)'!A905&gt;Holdings!$G$3),"",'Statements (Raw)'!A905)</f>
        <v/>
      </c>
      <c r="B907" s="7" t="str">
        <f>IF(A907="","",IF('Statements (Raw)'!B905="","",'Statements (Raw)'!B905))</f>
        <v/>
      </c>
      <c r="C907" s="6" t="str">
        <f>IF(A907="","",IF('Statements (Raw)'!C905&lt;&gt;"",'Statements (Raw)'!C905,IF(ISNUMBER(SEARCH("Conferimento",'Statements (Raw)'!D905)),"CASH DEPOSIT",IF(ISNUMBER(SEARCH("Prelievo",'Statements (Raw)'!D905)),"CASH WITHDRAWAL",IF(ISNUMBER(SEARCH("Bollo",'Statements (Raw)'!D905)),"STAMP DUTY",IF(ISNUMBER(SEARCH("Tobin Tax",'Statements (Raw)'!D905)),"TOBIN TAX",IF(ISNUMBER(SEARCH("Rit.provento",'Statements (Raw)'!D905)),"WITHHOLDING TAX",IF(ISNUMBER(SEARCH("Incasso Dividendi",'Statements (Raw)'!D905)),"DIVIDEND",IF(ISNUMBER(SEARCH("Cedola",'Statements (Raw)'!D905)),"COUPON",IF(ISNUMBER(SEARCH("Ratei Pass",'Statements (Raw)'!D905)),"ACCRUED INT",IF(ISNUMBER(SEARCH("Interessi Prest",'Statements (Raw)'!D905)),"SEC LENDING",IF(ISNUMBER(SEARCH("Rimborso",'Statements (Raw)'!D905)),"REDEMPTION",IF(ISNUMBER(SEARCH("Provento",'Statements (Raw)'!D905)),"DISTRIBUTION","OTHER")))))))))))))</f>
        <v/>
      </c>
      <c r="D907" s="6" t="str">
        <f>IF(A907="","",IF(C907="Saldo Iniziale","Balance",IF(C907="CASH DEPOSIT","Deposit",IF(C907="CASH WITHDRAWAL","Withdrawal",IF(C907="STAMP DUTY","Tax",IF(C907="TOBIN TAX","Tax",IF(C907="WITHHOLDING TAX","Tax",IF(C907="DIVIDEND","Dividend",IF(C907="COUPON","Coupon",IF(C907="ACCRUED INT","Accrued Int.",IF(C907="SEC LENDING","Sec. Lending",IF(C907="REDEMPTION","Redemption",IF(C907="DISTRIBUTION","Distribution",IF(ISNUMBER(SEARCH("Rimborso",'Statements (Raw)'!D905)),"Redemption",IF(ISNUMBER(SEARCH("Cedola",'Statements (Raw)'!D905)),"Coupon",IF(ISNUMBER(SEARCH("Incasso Dividendi",'Statements (Raw)'!D905)),"Dividend",IF(ISNUMBER(SEARCH("Provento Etf",'Statements (Raw)'!D905)),"Distribution",IF(ISNUMBER(SEARCH("Rit.provento",'Statements (Raw)'!D905)),"Tax",IF(ISNUMBER(SEARCH("Ratei Pass",'Statements (Raw)'!D905)),"Accrued Int.",IF(ISNUMBER(SEARCH("Interessi Prest",'Statements (Raw)'!D905)),"Sec. Lending",IF('Statements (Raw)'!G905="","Other",IF('Statements (Raw)'!G905&gt;0,"Buy","Sell"))))))))))))))))))))))</f>
        <v/>
      </c>
      <c r="E907" s="6" t="str">
        <f t="shared" si="28"/>
        <v/>
      </c>
      <c r="F907" s="8" t="str">
        <f>IF(A907="","",IF('Statements (Raw)'!E905="","",'Statements (Raw)'!E905))</f>
        <v/>
      </c>
      <c r="G907" s="6" t="str">
        <f>IF(A907="","",IF('Statements (Raw)'!F905="","",'Statements (Raw)'!F905))</f>
        <v/>
      </c>
      <c r="H907" s="9" t="str">
        <f>IF(A907="","",IF('Statements (Raw)'!G905="","",'Statements (Raw)'!G905))</f>
        <v/>
      </c>
      <c r="I907" s="10" t="str">
        <f>IF(A907="","",IF('Statements (Raw)'!H905="","",'Statements (Raw)'!H905))</f>
        <v/>
      </c>
      <c r="J907" s="10">
        <f>IF(A907="",0,IF('Statements (Raw)'!I905="",0,'Statements (Raw)'!I905))</f>
        <v>0</v>
      </c>
      <c r="K907" s="10" t="str">
        <f t="shared" si="29"/>
        <v/>
      </c>
    </row>
    <row r="908" spans="1:11" x14ac:dyDescent="0.3">
      <c r="A908" s="171" t="str">
        <f>IF(OR('Statements (Raw)'!A906="",'Statements (Raw)'!A906&gt;Holdings!$G$3),"",'Statements (Raw)'!A906)</f>
        <v/>
      </c>
      <c r="B908" s="7" t="str">
        <f>IF(A908="","",IF('Statements (Raw)'!B906="","",'Statements (Raw)'!B906))</f>
        <v/>
      </c>
      <c r="C908" s="6" t="str">
        <f>IF(A908="","",IF('Statements (Raw)'!C906&lt;&gt;"",'Statements (Raw)'!C906,IF(ISNUMBER(SEARCH("Conferimento",'Statements (Raw)'!D906)),"CASH DEPOSIT",IF(ISNUMBER(SEARCH("Prelievo",'Statements (Raw)'!D906)),"CASH WITHDRAWAL",IF(ISNUMBER(SEARCH("Bollo",'Statements (Raw)'!D906)),"STAMP DUTY",IF(ISNUMBER(SEARCH("Tobin Tax",'Statements (Raw)'!D906)),"TOBIN TAX",IF(ISNUMBER(SEARCH("Rit.provento",'Statements (Raw)'!D906)),"WITHHOLDING TAX",IF(ISNUMBER(SEARCH("Incasso Dividendi",'Statements (Raw)'!D906)),"DIVIDEND",IF(ISNUMBER(SEARCH("Cedola",'Statements (Raw)'!D906)),"COUPON",IF(ISNUMBER(SEARCH("Ratei Pass",'Statements (Raw)'!D906)),"ACCRUED INT",IF(ISNUMBER(SEARCH("Interessi Prest",'Statements (Raw)'!D906)),"SEC LENDING",IF(ISNUMBER(SEARCH("Rimborso",'Statements (Raw)'!D906)),"REDEMPTION",IF(ISNUMBER(SEARCH("Provento",'Statements (Raw)'!D906)),"DISTRIBUTION","OTHER")))))))))))))</f>
        <v/>
      </c>
      <c r="D908" s="6" t="str">
        <f>IF(A908="","",IF(C908="Saldo Iniziale","Balance",IF(C908="CASH DEPOSIT","Deposit",IF(C908="CASH WITHDRAWAL","Withdrawal",IF(C908="STAMP DUTY","Tax",IF(C908="TOBIN TAX","Tax",IF(C908="WITHHOLDING TAX","Tax",IF(C908="DIVIDEND","Dividend",IF(C908="COUPON","Coupon",IF(C908="ACCRUED INT","Accrued Int.",IF(C908="SEC LENDING","Sec. Lending",IF(C908="REDEMPTION","Redemption",IF(C908="DISTRIBUTION","Distribution",IF(ISNUMBER(SEARCH("Rimborso",'Statements (Raw)'!D906)),"Redemption",IF(ISNUMBER(SEARCH("Cedola",'Statements (Raw)'!D906)),"Coupon",IF(ISNUMBER(SEARCH("Incasso Dividendi",'Statements (Raw)'!D906)),"Dividend",IF(ISNUMBER(SEARCH("Provento Etf",'Statements (Raw)'!D906)),"Distribution",IF(ISNUMBER(SEARCH("Rit.provento",'Statements (Raw)'!D906)),"Tax",IF(ISNUMBER(SEARCH("Ratei Pass",'Statements (Raw)'!D906)),"Accrued Int.",IF(ISNUMBER(SEARCH("Interessi Prest",'Statements (Raw)'!D906)),"Sec. Lending",IF('Statements (Raw)'!G906="","Other",IF('Statements (Raw)'!G906&gt;0,"Buy","Sell"))))))))))))))))))))))</f>
        <v/>
      </c>
      <c r="E908" s="6" t="str">
        <f t="shared" si="28"/>
        <v/>
      </c>
      <c r="F908" s="8" t="str">
        <f>IF(A908="","",IF('Statements (Raw)'!E906="","",'Statements (Raw)'!E906))</f>
        <v/>
      </c>
      <c r="G908" s="6" t="str">
        <f>IF(A908="","",IF('Statements (Raw)'!F906="","",'Statements (Raw)'!F906))</f>
        <v/>
      </c>
      <c r="H908" s="9" t="str">
        <f>IF(A908="","",IF('Statements (Raw)'!G906="","",'Statements (Raw)'!G906))</f>
        <v/>
      </c>
      <c r="I908" s="10" t="str">
        <f>IF(A908="","",IF('Statements (Raw)'!H906="","",'Statements (Raw)'!H906))</f>
        <v/>
      </c>
      <c r="J908" s="10">
        <f>IF(A908="",0,IF('Statements (Raw)'!I906="",0,'Statements (Raw)'!I906))</f>
        <v>0</v>
      </c>
      <c r="K908" s="10" t="str">
        <f t="shared" si="29"/>
        <v/>
      </c>
    </row>
    <row r="909" spans="1:11" x14ac:dyDescent="0.3">
      <c r="A909" s="171" t="str">
        <f>IF(OR('Statements (Raw)'!A907="",'Statements (Raw)'!A907&gt;Holdings!$G$3),"",'Statements (Raw)'!A907)</f>
        <v/>
      </c>
      <c r="B909" s="7" t="str">
        <f>IF(A909="","",IF('Statements (Raw)'!B907="","",'Statements (Raw)'!B907))</f>
        <v/>
      </c>
      <c r="C909" s="6" t="str">
        <f>IF(A909="","",IF('Statements (Raw)'!C907&lt;&gt;"",'Statements (Raw)'!C907,IF(ISNUMBER(SEARCH("Conferimento",'Statements (Raw)'!D907)),"CASH DEPOSIT",IF(ISNUMBER(SEARCH("Prelievo",'Statements (Raw)'!D907)),"CASH WITHDRAWAL",IF(ISNUMBER(SEARCH("Bollo",'Statements (Raw)'!D907)),"STAMP DUTY",IF(ISNUMBER(SEARCH("Tobin Tax",'Statements (Raw)'!D907)),"TOBIN TAX",IF(ISNUMBER(SEARCH("Rit.provento",'Statements (Raw)'!D907)),"WITHHOLDING TAX",IF(ISNUMBER(SEARCH("Incasso Dividendi",'Statements (Raw)'!D907)),"DIVIDEND",IF(ISNUMBER(SEARCH("Cedola",'Statements (Raw)'!D907)),"COUPON",IF(ISNUMBER(SEARCH("Ratei Pass",'Statements (Raw)'!D907)),"ACCRUED INT",IF(ISNUMBER(SEARCH("Interessi Prest",'Statements (Raw)'!D907)),"SEC LENDING",IF(ISNUMBER(SEARCH("Rimborso",'Statements (Raw)'!D907)),"REDEMPTION",IF(ISNUMBER(SEARCH("Provento",'Statements (Raw)'!D907)),"DISTRIBUTION","OTHER")))))))))))))</f>
        <v/>
      </c>
      <c r="D909" s="6" t="str">
        <f>IF(A909="","",IF(C909="Saldo Iniziale","Balance",IF(C909="CASH DEPOSIT","Deposit",IF(C909="CASH WITHDRAWAL","Withdrawal",IF(C909="STAMP DUTY","Tax",IF(C909="TOBIN TAX","Tax",IF(C909="WITHHOLDING TAX","Tax",IF(C909="DIVIDEND","Dividend",IF(C909="COUPON","Coupon",IF(C909="ACCRUED INT","Accrued Int.",IF(C909="SEC LENDING","Sec. Lending",IF(C909="REDEMPTION","Redemption",IF(C909="DISTRIBUTION","Distribution",IF(ISNUMBER(SEARCH("Rimborso",'Statements (Raw)'!D907)),"Redemption",IF(ISNUMBER(SEARCH("Cedola",'Statements (Raw)'!D907)),"Coupon",IF(ISNUMBER(SEARCH("Incasso Dividendi",'Statements (Raw)'!D907)),"Dividend",IF(ISNUMBER(SEARCH("Provento Etf",'Statements (Raw)'!D907)),"Distribution",IF(ISNUMBER(SEARCH("Rit.provento",'Statements (Raw)'!D907)),"Tax",IF(ISNUMBER(SEARCH("Ratei Pass",'Statements (Raw)'!D907)),"Accrued Int.",IF(ISNUMBER(SEARCH("Interessi Prest",'Statements (Raw)'!D907)),"Sec. Lending",IF('Statements (Raw)'!G907="","Other",IF('Statements (Raw)'!G907&gt;0,"Buy","Sell"))))))))))))))))))))))</f>
        <v/>
      </c>
      <c r="E909" s="6" t="str">
        <f t="shared" si="28"/>
        <v/>
      </c>
      <c r="F909" s="8" t="str">
        <f>IF(A909="","",IF('Statements (Raw)'!E907="","",'Statements (Raw)'!E907))</f>
        <v/>
      </c>
      <c r="G909" s="6" t="str">
        <f>IF(A909="","",IF('Statements (Raw)'!F907="","",'Statements (Raw)'!F907))</f>
        <v/>
      </c>
      <c r="H909" s="9" t="str">
        <f>IF(A909="","",IF('Statements (Raw)'!G907="","",'Statements (Raw)'!G907))</f>
        <v/>
      </c>
      <c r="I909" s="10" t="str">
        <f>IF(A909="","",IF('Statements (Raw)'!H907="","",'Statements (Raw)'!H907))</f>
        <v/>
      </c>
      <c r="J909" s="10">
        <f>IF(A909="",0,IF('Statements (Raw)'!I907="",0,'Statements (Raw)'!I907))</f>
        <v>0</v>
      </c>
      <c r="K909" s="10" t="str">
        <f t="shared" si="29"/>
        <v/>
      </c>
    </row>
    <row r="910" spans="1:11" x14ac:dyDescent="0.3">
      <c r="A910" s="171" t="str">
        <f>IF(OR('Statements (Raw)'!A908="",'Statements (Raw)'!A908&gt;Holdings!$G$3),"",'Statements (Raw)'!A908)</f>
        <v/>
      </c>
      <c r="B910" s="7" t="str">
        <f>IF(A910="","",IF('Statements (Raw)'!B908="","",'Statements (Raw)'!B908))</f>
        <v/>
      </c>
      <c r="C910" s="6" t="str">
        <f>IF(A910="","",IF('Statements (Raw)'!C908&lt;&gt;"",'Statements (Raw)'!C908,IF(ISNUMBER(SEARCH("Conferimento",'Statements (Raw)'!D908)),"CASH DEPOSIT",IF(ISNUMBER(SEARCH("Prelievo",'Statements (Raw)'!D908)),"CASH WITHDRAWAL",IF(ISNUMBER(SEARCH("Bollo",'Statements (Raw)'!D908)),"STAMP DUTY",IF(ISNUMBER(SEARCH("Tobin Tax",'Statements (Raw)'!D908)),"TOBIN TAX",IF(ISNUMBER(SEARCH("Rit.provento",'Statements (Raw)'!D908)),"WITHHOLDING TAX",IF(ISNUMBER(SEARCH("Incasso Dividendi",'Statements (Raw)'!D908)),"DIVIDEND",IF(ISNUMBER(SEARCH("Cedola",'Statements (Raw)'!D908)),"COUPON",IF(ISNUMBER(SEARCH("Ratei Pass",'Statements (Raw)'!D908)),"ACCRUED INT",IF(ISNUMBER(SEARCH("Interessi Prest",'Statements (Raw)'!D908)),"SEC LENDING",IF(ISNUMBER(SEARCH("Rimborso",'Statements (Raw)'!D908)),"REDEMPTION",IF(ISNUMBER(SEARCH("Provento",'Statements (Raw)'!D908)),"DISTRIBUTION","OTHER")))))))))))))</f>
        <v/>
      </c>
      <c r="D910" s="6" t="str">
        <f>IF(A910="","",IF(C910="Saldo Iniziale","Balance",IF(C910="CASH DEPOSIT","Deposit",IF(C910="CASH WITHDRAWAL","Withdrawal",IF(C910="STAMP DUTY","Tax",IF(C910="TOBIN TAX","Tax",IF(C910="WITHHOLDING TAX","Tax",IF(C910="DIVIDEND","Dividend",IF(C910="COUPON","Coupon",IF(C910="ACCRUED INT","Accrued Int.",IF(C910="SEC LENDING","Sec. Lending",IF(C910="REDEMPTION","Redemption",IF(C910="DISTRIBUTION","Distribution",IF(ISNUMBER(SEARCH("Rimborso",'Statements (Raw)'!D908)),"Redemption",IF(ISNUMBER(SEARCH("Cedola",'Statements (Raw)'!D908)),"Coupon",IF(ISNUMBER(SEARCH("Incasso Dividendi",'Statements (Raw)'!D908)),"Dividend",IF(ISNUMBER(SEARCH("Provento Etf",'Statements (Raw)'!D908)),"Distribution",IF(ISNUMBER(SEARCH("Rit.provento",'Statements (Raw)'!D908)),"Tax",IF(ISNUMBER(SEARCH("Ratei Pass",'Statements (Raw)'!D908)),"Accrued Int.",IF(ISNUMBER(SEARCH("Interessi Prest",'Statements (Raw)'!D908)),"Sec. Lending",IF('Statements (Raw)'!G908="","Other",IF('Statements (Raw)'!G908&gt;0,"Buy","Sell"))))))))))))))))))))))</f>
        <v/>
      </c>
      <c r="E910" s="6" t="str">
        <f t="shared" si="28"/>
        <v/>
      </c>
      <c r="F910" s="8" t="str">
        <f>IF(A910="","",IF('Statements (Raw)'!E908="","",'Statements (Raw)'!E908))</f>
        <v/>
      </c>
      <c r="G910" s="6" t="str">
        <f>IF(A910="","",IF('Statements (Raw)'!F908="","",'Statements (Raw)'!F908))</f>
        <v/>
      </c>
      <c r="H910" s="9" t="str">
        <f>IF(A910="","",IF('Statements (Raw)'!G908="","",'Statements (Raw)'!G908))</f>
        <v/>
      </c>
      <c r="I910" s="10" t="str">
        <f>IF(A910="","",IF('Statements (Raw)'!H908="","",'Statements (Raw)'!H908))</f>
        <v/>
      </c>
      <c r="J910" s="10">
        <f>IF(A910="",0,IF('Statements (Raw)'!I908="",0,'Statements (Raw)'!I908))</f>
        <v>0</v>
      </c>
      <c r="K910" s="10" t="str">
        <f t="shared" si="29"/>
        <v/>
      </c>
    </row>
    <row r="911" spans="1:11" x14ac:dyDescent="0.3">
      <c r="A911" s="171" t="str">
        <f>IF(OR('Statements (Raw)'!A909="",'Statements (Raw)'!A909&gt;Holdings!$G$3),"",'Statements (Raw)'!A909)</f>
        <v/>
      </c>
      <c r="B911" s="7" t="str">
        <f>IF(A911="","",IF('Statements (Raw)'!B909="","",'Statements (Raw)'!B909))</f>
        <v/>
      </c>
      <c r="C911" s="6" t="str">
        <f>IF(A911="","",IF('Statements (Raw)'!C909&lt;&gt;"",'Statements (Raw)'!C909,IF(ISNUMBER(SEARCH("Conferimento",'Statements (Raw)'!D909)),"CASH DEPOSIT",IF(ISNUMBER(SEARCH("Prelievo",'Statements (Raw)'!D909)),"CASH WITHDRAWAL",IF(ISNUMBER(SEARCH("Bollo",'Statements (Raw)'!D909)),"STAMP DUTY",IF(ISNUMBER(SEARCH("Tobin Tax",'Statements (Raw)'!D909)),"TOBIN TAX",IF(ISNUMBER(SEARCH("Rit.provento",'Statements (Raw)'!D909)),"WITHHOLDING TAX",IF(ISNUMBER(SEARCH("Incasso Dividendi",'Statements (Raw)'!D909)),"DIVIDEND",IF(ISNUMBER(SEARCH("Cedola",'Statements (Raw)'!D909)),"COUPON",IF(ISNUMBER(SEARCH("Ratei Pass",'Statements (Raw)'!D909)),"ACCRUED INT",IF(ISNUMBER(SEARCH("Interessi Prest",'Statements (Raw)'!D909)),"SEC LENDING",IF(ISNUMBER(SEARCH("Rimborso",'Statements (Raw)'!D909)),"REDEMPTION",IF(ISNUMBER(SEARCH("Provento",'Statements (Raw)'!D909)),"DISTRIBUTION","OTHER")))))))))))))</f>
        <v/>
      </c>
      <c r="D911" s="6" t="str">
        <f>IF(A911="","",IF(C911="Saldo Iniziale","Balance",IF(C911="CASH DEPOSIT","Deposit",IF(C911="CASH WITHDRAWAL","Withdrawal",IF(C911="STAMP DUTY","Tax",IF(C911="TOBIN TAX","Tax",IF(C911="WITHHOLDING TAX","Tax",IF(C911="DIVIDEND","Dividend",IF(C911="COUPON","Coupon",IF(C911="ACCRUED INT","Accrued Int.",IF(C911="SEC LENDING","Sec. Lending",IF(C911="REDEMPTION","Redemption",IF(C911="DISTRIBUTION","Distribution",IF(ISNUMBER(SEARCH("Rimborso",'Statements (Raw)'!D909)),"Redemption",IF(ISNUMBER(SEARCH("Cedola",'Statements (Raw)'!D909)),"Coupon",IF(ISNUMBER(SEARCH("Incasso Dividendi",'Statements (Raw)'!D909)),"Dividend",IF(ISNUMBER(SEARCH("Provento Etf",'Statements (Raw)'!D909)),"Distribution",IF(ISNUMBER(SEARCH("Rit.provento",'Statements (Raw)'!D909)),"Tax",IF(ISNUMBER(SEARCH("Ratei Pass",'Statements (Raw)'!D909)),"Accrued Int.",IF(ISNUMBER(SEARCH("Interessi Prest",'Statements (Raw)'!D909)),"Sec. Lending",IF('Statements (Raw)'!G909="","Other",IF('Statements (Raw)'!G909&gt;0,"Buy","Sell"))))))))))))))))))))))</f>
        <v/>
      </c>
      <c r="E911" s="6" t="str">
        <f t="shared" si="28"/>
        <v/>
      </c>
      <c r="F911" s="8" t="str">
        <f>IF(A911="","",IF('Statements (Raw)'!E909="","",'Statements (Raw)'!E909))</f>
        <v/>
      </c>
      <c r="G911" s="6" t="str">
        <f>IF(A911="","",IF('Statements (Raw)'!F909="","",'Statements (Raw)'!F909))</f>
        <v/>
      </c>
      <c r="H911" s="9" t="str">
        <f>IF(A911="","",IF('Statements (Raw)'!G909="","",'Statements (Raw)'!G909))</f>
        <v/>
      </c>
      <c r="I911" s="10" t="str">
        <f>IF(A911="","",IF('Statements (Raw)'!H909="","",'Statements (Raw)'!H909))</f>
        <v/>
      </c>
      <c r="J911" s="10">
        <f>IF(A911="",0,IF('Statements (Raw)'!I909="",0,'Statements (Raw)'!I909))</f>
        <v>0</v>
      </c>
      <c r="K911" s="10" t="str">
        <f t="shared" si="29"/>
        <v/>
      </c>
    </row>
    <row r="912" spans="1:11" x14ac:dyDescent="0.3">
      <c r="A912" s="171" t="str">
        <f>IF(OR('Statements (Raw)'!A910="",'Statements (Raw)'!A910&gt;Holdings!$G$3),"",'Statements (Raw)'!A910)</f>
        <v/>
      </c>
      <c r="B912" s="7" t="str">
        <f>IF(A912="","",IF('Statements (Raw)'!B910="","",'Statements (Raw)'!B910))</f>
        <v/>
      </c>
      <c r="C912" s="6" t="str">
        <f>IF(A912="","",IF('Statements (Raw)'!C910&lt;&gt;"",'Statements (Raw)'!C910,IF(ISNUMBER(SEARCH("Conferimento",'Statements (Raw)'!D910)),"CASH DEPOSIT",IF(ISNUMBER(SEARCH("Prelievo",'Statements (Raw)'!D910)),"CASH WITHDRAWAL",IF(ISNUMBER(SEARCH("Bollo",'Statements (Raw)'!D910)),"STAMP DUTY",IF(ISNUMBER(SEARCH("Tobin Tax",'Statements (Raw)'!D910)),"TOBIN TAX",IF(ISNUMBER(SEARCH("Rit.provento",'Statements (Raw)'!D910)),"WITHHOLDING TAX",IF(ISNUMBER(SEARCH("Incasso Dividendi",'Statements (Raw)'!D910)),"DIVIDEND",IF(ISNUMBER(SEARCH("Cedola",'Statements (Raw)'!D910)),"COUPON",IF(ISNUMBER(SEARCH("Ratei Pass",'Statements (Raw)'!D910)),"ACCRUED INT",IF(ISNUMBER(SEARCH("Interessi Prest",'Statements (Raw)'!D910)),"SEC LENDING",IF(ISNUMBER(SEARCH("Rimborso",'Statements (Raw)'!D910)),"REDEMPTION",IF(ISNUMBER(SEARCH("Provento",'Statements (Raw)'!D910)),"DISTRIBUTION","OTHER")))))))))))))</f>
        <v/>
      </c>
      <c r="D912" s="6" t="str">
        <f>IF(A912="","",IF(C912="Saldo Iniziale","Balance",IF(C912="CASH DEPOSIT","Deposit",IF(C912="CASH WITHDRAWAL","Withdrawal",IF(C912="STAMP DUTY","Tax",IF(C912="TOBIN TAX","Tax",IF(C912="WITHHOLDING TAX","Tax",IF(C912="DIVIDEND","Dividend",IF(C912="COUPON","Coupon",IF(C912="ACCRUED INT","Accrued Int.",IF(C912="SEC LENDING","Sec. Lending",IF(C912="REDEMPTION","Redemption",IF(C912="DISTRIBUTION","Distribution",IF(ISNUMBER(SEARCH("Rimborso",'Statements (Raw)'!D910)),"Redemption",IF(ISNUMBER(SEARCH("Cedola",'Statements (Raw)'!D910)),"Coupon",IF(ISNUMBER(SEARCH("Incasso Dividendi",'Statements (Raw)'!D910)),"Dividend",IF(ISNUMBER(SEARCH("Provento Etf",'Statements (Raw)'!D910)),"Distribution",IF(ISNUMBER(SEARCH("Rit.provento",'Statements (Raw)'!D910)),"Tax",IF(ISNUMBER(SEARCH("Ratei Pass",'Statements (Raw)'!D910)),"Accrued Int.",IF(ISNUMBER(SEARCH("Interessi Prest",'Statements (Raw)'!D910)),"Sec. Lending",IF('Statements (Raw)'!G910="","Other",IF('Statements (Raw)'!G910&gt;0,"Buy","Sell"))))))))))))))))))))))</f>
        <v/>
      </c>
      <c r="E912" s="6" t="str">
        <f t="shared" si="28"/>
        <v/>
      </c>
      <c r="F912" s="8" t="str">
        <f>IF(A912="","",IF('Statements (Raw)'!E910="","",'Statements (Raw)'!E910))</f>
        <v/>
      </c>
      <c r="G912" s="6" t="str">
        <f>IF(A912="","",IF('Statements (Raw)'!F910="","",'Statements (Raw)'!F910))</f>
        <v/>
      </c>
      <c r="H912" s="9" t="str">
        <f>IF(A912="","",IF('Statements (Raw)'!G910="","",'Statements (Raw)'!G910))</f>
        <v/>
      </c>
      <c r="I912" s="10" t="str">
        <f>IF(A912="","",IF('Statements (Raw)'!H910="","",'Statements (Raw)'!H910))</f>
        <v/>
      </c>
      <c r="J912" s="10">
        <f>IF(A912="",0,IF('Statements (Raw)'!I910="",0,'Statements (Raw)'!I910))</f>
        <v>0</v>
      </c>
      <c r="K912" s="10" t="str">
        <f t="shared" si="29"/>
        <v/>
      </c>
    </row>
    <row r="913" spans="1:11" x14ac:dyDescent="0.3">
      <c r="A913" s="171" t="str">
        <f>IF(OR('Statements (Raw)'!A911="",'Statements (Raw)'!A911&gt;Holdings!$G$3),"",'Statements (Raw)'!A911)</f>
        <v/>
      </c>
      <c r="B913" s="7" t="str">
        <f>IF(A913="","",IF('Statements (Raw)'!B911="","",'Statements (Raw)'!B911))</f>
        <v/>
      </c>
      <c r="C913" s="6" t="str">
        <f>IF(A913="","",IF('Statements (Raw)'!C911&lt;&gt;"",'Statements (Raw)'!C911,IF(ISNUMBER(SEARCH("Conferimento",'Statements (Raw)'!D911)),"CASH DEPOSIT",IF(ISNUMBER(SEARCH("Prelievo",'Statements (Raw)'!D911)),"CASH WITHDRAWAL",IF(ISNUMBER(SEARCH("Bollo",'Statements (Raw)'!D911)),"STAMP DUTY",IF(ISNUMBER(SEARCH("Tobin Tax",'Statements (Raw)'!D911)),"TOBIN TAX",IF(ISNUMBER(SEARCH("Rit.provento",'Statements (Raw)'!D911)),"WITHHOLDING TAX",IF(ISNUMBER(SEARCH("Incasso Dividendi",'Statements (Raw)'!D911)),"DIVIDEND",IF(ISNUMBER(SEARCH("Cedola",'Statements (Raw)'!D911)),"COUPON",IF(ISNUMBER(SEARCH("Ratei Pass",'Statements (Raw)'!D911)),"ACCRUED INT",IF(ISNUMBER(SEARCH("Interessi Prest",'Statements (Raw)'!D911)),"SEC LENDING",IF(ISNUMBER(SEARCH("Rimborso",'Statements (Raw)'!D911)),"REDEMPTION",IF(ISNUMBER(SEARCH("Provento",'Statements (Raw)'!D911)),"DISTRIBUTION","OTHER")))))))))))))</f>
        <v/>
      </c>
      <c r="D913" s="6" t="str">
        <f>IF(A913="","",IF(C913="Saldo Iniziale","Balance",IF(C913="CASH DEPOSIT","Deposit",IF(C913="CASH WITHDRAWAL","Withdrawal",IF(C913="STAMP DUTY","Tax",IF(C913="TOBIN TAX","Tax",IF(C913="WITHHOLDING TAX","Tax",IF(C913="DIVIDEND","Dividend",IF(C913="COUPON","Coupon",IF(C913="ACCRUED INT","Accrued Int.",IF(C913="SEC LENDING","Sec. Lending",IF(C913="REDEMPTION","Redemption",IF(C913="DISTRIBUTION","Distribution",IF(ISNUMBER(SEARCH("Rimborso",'Statements (Raw)'!D911)),"Redemption",IF(ISNUMBER(SEARCH("Cedola",'Statements (Raw)'!D911)),"Coupon",IF(ISNUMBER(SEARCH("Incasso Dividendi",'Statements (Raw)'!D911)),"Dividend",IF(ISNUMBER(SEARCH("Provento Etf",'Statements (Raw)'!D911)),"Distribution",IF(ISNUMBER(SEARCH("Rit.provento",'Statements (Raw)'!D911)),"Tax",IF(ISNUMBER(SEARCH("Ratei Pass",'Statements (Raw)'!D911)),"Accrued Int.",IF(ISNUMBER(SEARCH("Interessi Prest",'Statements (Raw)'!D911)),"Sec. Lending",IF('Statements (Raw)'!G911="","Other",IF('Statements (Raw)'!G911&gt;0,"Buy","Sell"))))))))))))))))))))))</f>
        <v/>
      </c>
      <c r="E913" s="6" t="str">
        <f t="shared" si="28"/>
        <v/>
      </c>
      <c r="F913" s="8" t="str">
        <f>IF(A913="","",IF('Statements (Raw)'!E911="","",'Statements (Raw)'!E911))</f>
        <v/>
      </c>
      <c r="G913" s="6" t="str">
        <f>IF(A913="","",IF('Statements (Raw)'!F911="","",'Statements (Raw)'!F911))</f>
        <v/>
      </c>
      <c r="H913" s="9" t="str">
        <f>IF(A913="","",IF('Statements (Raw)'!G911="","",'Statements (Raw)'!G911))</f>
        <v/>
      </c>
      <c r="I913" s="10" t="str">
        <f>IF(A913="","",IF('Statements (Raw)'!H911="","",'Statements (Raw)'!H911))</f>
        <v/>
      </c>
      <c r="J913" s="10">
        <f>IF(A913="",0,IF('Statements (Raw)'!I911="",0,'Statements (Raw)'!I911))</f>
        <v>0</v>
      </c>
      <c r="K913" s="10" t="str">
        <f t="shared" si="29"/>
        <v/>
      </c>
    </row>
    <row r="914" spans="1:11" x14ac:dyDescent="0.3">
      <c r="A914" s="171" t="str">
        <f>IF(OR('Statements (Raw)'!A912="",'Statements (Raw)'!A912&gt;Holdings!$G$3),"",'Statements (Raw)'!A912)</f>
        <v/>
      </c>
      <c r="B914" s="7" t="str">
        <f>IF(A914="","",IF('Statements (Raw)'!B912="","",'Statements (Raw)'!B912))</f>
        <v/>
      </c>
      <c r="C914" s="6" t="str">
        <f>IF(A914="","",IF('Statements (Raw)'!C912&lt;&gt;"",'Statements (Raw)'!C912,IF(ISNUMBER(SEARCH("Conferimento",'Statements (Raw)'!D912)),"CASH DEPOSIT",IF(ISNUMBER(SEARCH("Prelievo",'Statements (Raw)'!D912)),"CASH WITHDRAWAL",IF(ISNUMBER(SEARCH("Bollo",'Statements (Raw)'!D912)),"STAMP DUTY",IF(ISNUMBER(SEARCH("Tobin Tax",'Statements (Raw)'!D912)),"TOBIN TAX",IF(ISNUMBER(SEARCH("Rit.provento",'Statements (Raw)'!D912)),"WITHHOLDING TAX",IF(ISNUMBER(SEARCH("Incasso Dividendi",'Statements (Raw)'!D912)),"DIVIDEND",IF(ISNUMBER(SEARCH("Cedola",'Statements (Raw)'!D912)),"COUPON",IF(ISNUMBER(SEARCH("Ratei Pass",'Statements (Raw)'!D912)),"ACCRUED INT",IF(ISNUMBER(SEARCH("Interessi Prest",'Statements (Raw)'!D912)),"SEC LENDING",IF(ISNUMBER(SEARCH("Rimborso",'Statements (Raw)'!D912)),"REDEMPTION",IF(ISNUMBER(SEARCH("Provento",'Statements (Raw)'!D912)),"DISTRIBUTION","OTHER")))))))))))))</f>
        <v/>
      </c>
      <c r="D914" s="6" t="str">
        <f>IF(A914="","",IF(C914="Saldo Iniziale","Balance",IF(C914="CASH DEPOSIT","Deposit",IF(C914="CASH WITHDRAWAL","Withdrawal",IF(C914="STAMP DUTY","Tax",IF(C914="TOBIN TAX","Tax",IF(C914="WITHHOLDING TAX","Tax",IF(C914="DIVIDEND","Dividend",IF(C914="COUPON","Coupon",IF(C914="ACCRUED INT","Accrued Int.",IF(C914="SEC LENDING","Sec. Lending",IF(C914="REDEMPTION","Redemption",IF(C914="DISTRIBUTION","Distribution",IF(ISNUMBER(SEARCH("Rimborso",'Statements (Raw)'!D912)),"Redemption",IF(ISNUMBER(SEARCH("Cedola",'Statements (Raw)'!D912)),"Coupon",IF(ISNUMBER(SEARCH("Incasso Dividendi",'Statements (Raw)'!D912)),"Dividend",IF(ISNUMBER(SEARCH("Provento Etf",'Statements (Raw)'!D912)),"Distribution",IF(ISNUMBER(SEARCH("Rit.provento",'Statements (Raw)'!D912)),"Tax",IF(ISNUMBER(SEARCH("Ratei Pass",'Statements (Raw)'!D912)),"Accrued Int.",IF(ISNUMBER(SEARCH("Interessi Prest",'Statements (Raw)'!D912)),"Sec. Lending",IF('Statements (Raw)'!G912="","Other",IF('Statements (Raw)'!G912&gt;0,"Buy","Sell"))))))))))))))))))))))</f>
        <v/>
      </c>
      <c r="E914" s="6" t="str">
        <f t="shared" si="28"/>
        <v/>
      </c>
      <c r="F914" s="8" t="str">
        <f>IF(A914="","",IF('Statements (Raw)'!E912="","",'Statements (Raw)'!E912))</f>
        <v/>
      </c>
      <c r="G914" s="6" t="str">
        <f>IF(A914="","",IF('Statements (Raw)'!F912="","",'Statements (Raw)'!F912))</f>
        <v/>
      </c>
      <c r="H914" s="9" t="str">
        <f>IF(A914="","",IF('Statements (Raw)'!G912="","",'Statements (Raw)'!G912))</f>
        <v/>
      </c>
      <c r="I914" s="10" t="str">
        <f>IF(A914="","",IF('Statements (Raw)'!H912="","",'Statements (Raw)'!H912))</f>
        <v/>
      </c>
      <c r="J914" s="10">
        <f>IF(A914="",0,IF('Statements (Raw)'!I912="",0,'Statements (Raw)'!I912))</f>
        <v>0</v>
      </c>
      <c r="K914" s="10" t="str">
        <f t="shared" si="29"/>
        <v/>
      </c>
    </row>
    <row r="915" spans="1:11" x14ac:dyDescent="0.3">
      <c r="A915" s="171" t="str">
        <f>IF(OR('Statements (Raw)'!A913="",'Statements (Raw)'!A913&gt;Holdings!$G$3),"",'Statements (Raw)'!A913)</f>
        <v/>
      </c>
      <c r="B915" s="7" t="str">
        <f>IF(A915="","",IF('Statements (Raw)'!B913="","",'Statements (Raw)'!B913))</f>
        <v/>
      </c>
      <c r="C915" s="6" t="str">
        <f>IF(A915="","",IF('Statements (Raw)'!C913&lt;&gt;"",'Statements (Raw)'!C913,IF(ISNUMBER(SEARCH("Conferimento",'Statements (Raw)'!D913)),"CASH DEPOSIT",IF(ISNUMBER(SEARCH("Prelievo",'Statements (Raw)'!D913)),"CASH WITHDRAWAL",IF(ISNUMBER(SEARCH("Bollo",'Statements (Raw)'!D913)),"STAMP DUTY",IF(ISNUMBER(SEARCH("Tobin Tax",'Statements (Raw)'!D913)),"TOBIN TAX",IF(ISNUMBER(SEARCH("Rit.provento",'Statements (Raw)'!D913)),"WITHHOLDING TAX",IF(ISNUMBER(SEARCH("Incasso Dividendi",'Statements (Raw)'!D913)),"DIVIDEND",IF(ISNUMBER(SEARCH("Cedola",'Statements (Raw)'!D913)),"COUPON",IF(ISNUMBER(SEARCH("Ratei Pass",'Statements (Raw)'!D913)),"ACCRUED INT",IF(ISNUMBER(SEARCH("Interessi Prest",'Statements (Raw)'!D913)),"SEC LENDING",IF(ISNUMBER(SEARCH("Rimborso",'Statements (Raw)'!D913)),"REDEMPTION",IF(ISNUMBER(SEARCH("Provento",'Statements (Raw)'!D913)),"DISTRIBUTION","OTHER")))))))))))))</f>
        <v/>
      </c>
      <c r="D915" s="6" t="str">
        <f>IF(A915="","",IF(C915="Saldo Iniziale","Balance",IF(C915="CASH DEPOSIT","Deposit",IF(C915="CASH WITHDRAWAL","Withdrawal",IF(C915="STAMP DUTY","Tax",IF(C915="TOBIN TAX","Tax",IF(C915="WITHHOLDING TAX","Tax",IF(C915="DIVIDEND","Dividend",IF(C915="COUPON","Coupon",IF(C915="ACCRUED INT","Accrued Int.",IF(C915="SEC LENDING","Sec. Lending",IF(C915="REDEMPTION","Redemption",IF(C915="DISTRIBUTION","Distribution",IF(ISNUMBER(SEARCH("Rimborso",'Statements (Raw)'!D913)),"Redemption",IF(ISNUMBER(SEARCH("Cedola",'Statements (Raw)'!D913)),"Coupon",IF(ISNUMBER(SEARCH("Incasso Dividendi",'Statements (Raw)'!D913)),"Dividend",IF(ISNUMBER(SEARCH("Provento Etf",'Statements (Raw)'!D913)),"Distribution",IF(ISNUMBER(SEARCH("Rit.provento",'Statements (Raw)'!D913)),"Tax",IF(ISNUMBER(SEARCH("Ratei Pass",'Statements (Raw)'!D913)),"Accrued Int.",IF(ISNUMBER(SEARCH("Interessi Prest",'Statements (Raw)'!D913)),"Sec. Lending",IF('Statements (Raw)'!G913="","Other",IF('Statements (Raw)'!G913&gt;0,"Buy","Sell"))))))))))))))))))))))</f>
        <v/>
      </c>
      <c r="E915" s="6" t="str">
        <f t="shared" si="28"/>
        <v/>
      </c>
      <c r="F915" s="8" t="str">
        <f>IF(A915="","",IF('Statements (Raw)'!E913="","",'Statements (Raw)'!E913))</f>
        <v/>
      </c>
      <c r="G915" s="6" t="str">
        <f>IF(A915="","",IF('Statements (Raw)'!F913="","",'Statements (Raw)'!F913))</f>
        <v/>
      </c>
      <c r="H915" s="9" t="str">
        <f>IF(A915="","",IF('Statements (Raw)'!G913="","",'Statements (Raw)'!G913))</f>
        <v/>
      </c>
      <c r="I915" s="10" t="str">
        <f>IF(A915="","",IF('Statements (Raw)'!H913="","",'Statements (Raw)'!H913))</f>
        <v/>
      </c>
      <c r="J915" s="10">
        <f>IF(A915="",0,IF('Statements (Raw)'!I913="",0,'Statements (Raw)'!I913))</f>
        <v>0</v>
      </c>
      <c r="K915" s="10" t="str">
        <f t="shared" si="29"/>
        <v/>
      </c>
    </row>
    <row r="916" spans="1:11" x14ac:dyDescent="0.3">
      <c r="A916" s="171" t="str">
        <f>IF(OR('Statements (Raw)'!A914="",'Statements (Raw)'!A914&gt;Holdings!$G$3),"",'Statements (Raw)'!A914)</f>
        <v/>
      </c>
      <c r="B916" s="7" t="str">
        <f>IF(A916="","",IF('Statements (Raw)'!B914="","",'Statements (Raw)'!B914))</f>
        <v/>
      </c>
      <c r="C916" s="6" t="str">
        <f>IF(A916="","",IF('Statements (Raw)'!C914&lt;&gt;"",'Statements (Raw)'!C914,IF(ISNUMBER(SEARCH("Conferimento",'Statements (Raw)'!D914)),"CASH DEPOSIT",IF(ISNUMBER(SEARCH("Prelievo",'Statements (Raw)'!D914)),"CASH WITHDRAWAL",IF(ISNUMBER(SEARCH("Bollo",'Statements (Raw)'!D914)),"STAMP DUTY",IF(ISNUMBER(SEARCH("Tobin Tax",'Statements (Raw)'!D914)),"TOBIN TAX",IF(ISNUMBER(SEARCH("Rit.provento",'Statements (Raw)'!D914)),"WITHHOLDING TAX",IF(ISNUMBER(SEARCH("Incasso Dividendi",'Statements (Raw)'!D914)),"DIVIDEND",IF(ISNUMBER(SEARCH("Cedola",'Statements (Raw)'!D914)),"COUPON",IF(ISNUMBER(SEARCH("Ratei Pass",'Statements (Raw)'!D914)),"ACCRUED INT",IF(ISNUMBER(SEARCH("Interessi Prest",'Statements (Raw)'!D914)),"SEC LENDING",IF(ISNUMBER(SEARCH("Rimborso",'Statements (Raw)'!D914)),"REDEMPTION",IF(ISNUMBER(SEARCH("Provento",'Statements (Raw)'!D914)),"DISTRIBUTION","OTHER")))))))))))))</f>
        <v/>
      </c>
      <c r="D916" s="6" t="str">
        <f>IF(A916="","",IF(C916="Saldo Iniziale","Balance",IF(C916="CASH DEPOSIT","Deposit",IF(C916="CASH WITHDRAWAL","Withdrawal",IF(C916="STAMP DUTY","Tax",IF(C916="TOBIN TAX","Tax",IF(C916="WITHHOLDING TAX","Tax",IF(C916="DIVIDEND","Dividend",IF(C916="COUPON","Coupon",IF(C916="ACCRUED INT","Accrued Int.",IF(C916="SEC LENDING","Sec. Lending",IF(C916="REDEMPTION","Redemption",IF(C916="DISTRIBUTION","Distribution",IF(ISNUMBER(SEARCH("Rimborso",'Statements (Raw)'!D914)),"Redemption",IF(ISNUMBER(SEARCH("Cedola",'Statements (Raw)'!D914)),"Coupon",IF(ISNUMBER(SEARCH("Incasso Dividendi",'Statements (Raw)'!D914)),"Dividend",IF(ISNUMBER(SEARCH("Provento Etf",'Statements (Raw)'!D914)),"Distribution",IF(ISNUMBER(SEARCH("Rit.provento",'Statements (Raw)'!D914)),"Tax",IF(ISNUMBER(SEARCH("Ratei Pass",'Statements (Raw)'!D914)),"Accrued Int.",IF(ISNUMBER(SEARCH("Interessi Prest",'Statements (Raw)'!D914)),"Sec. Lending",IF('Statements (Raw)'!G914="","Other",IF('Statements (Raw)'!G914&gt;0,"Buy","Sell"))))))))))))))))))))))</f>
        <v/>
      </c>
      <c r="E916" s="6" t="str">
        <f t="shared" si="28"/>
        <v/>
      </c>
      <c r="F916" s="8" t="str">
        <f>IF(A916="","",IF('Statements (Raw)'!E914="","",'Statements (Raw)'!E914))</f>
        <v/>
      </c>
      <c r="G916" s="6" t="str">
        <f>IF(A916="","",IF('Statements (Raw)'!F914="","",'Statements (Raw)'!F914))</f>
        <v/>
      </c>
      <c r="H916" s="9" t="str">
        <f>IF(A916="","",IF('Statements (Raw)'!G914="","",'Statements (Raw)'!G914))</f>
        <v/>
      </c>
      <c r="I916" s="10" t="str">
        <f>IF(A916="","",IF('Statements (Raw)'!H914="","",'Statements (Raw)'!H914))</f>
        <v/>
      </c>
      <c r="J916" s="10">
        <f>IF(A916="",0,IF('Statements (Raw)'!I914="",0,'Statements (Raw)'!I914))</f>
        <v>0</v>
      </c>
      <c r="K916" s="10" t="str">
        <f t="shared" si="29"/>
        <v/>
      </c>
    </row>
    <row r="917" spans="1:11" x14ac:dyDescent="0.3">
      <c r="A917" s="171" t="str">
        <f>IF(OR('Statements (Raw)'!A915="",'Statements (Raw)'!A915&gt;Holdings!$G$3),"",'Statements (Raw)'!A915)</f>
        <v/>
      </c>
      <c r="B917" s="7" t="str">
        <f>IF(A917="","",IF('Statements (Raw)'!B915="","",'Statements (Raw)'!B915))</f>
        <v/>
      </c>
      <c r="C917" s="6" t="str">
        <f>IF(A917="","",IF('Statements (Raw)'!C915&lt;&gt;"",'Statements (Raw)'!C915,IF(ISNUMBER(SEARCH("Conferimento",'Statements (Raw)'!D915)),"CASH DEPOSIT",IF(ISNUMBER(SEARCH("Prelievo",'Statements (Raw)'!D915)),"CASH WITHDRAWAL",IF(ISNUMBER(SEARCH("Bollo",'Statements (Raw)'!D915)),"STAMP DUTY",IF(ISNUMBER(SEARCH("Tobin Tax",'Statements (Raw)'!D915)),"TOBIN TAX",IF(ISNUMBER(SEARCH("Rit.provento",'Statements (Raw)'!D915)),"WITHHOLDING TAX",IF(ISNUMBER(SEARCH("Incasso Dividendi",'Statements (Raw)'!D915)),"DIVIDEND",IF(ISNUMBER(SEARCH("Cedola",'Statements (Raw)'!D915)),"COUPON",IF(ISNUMBER(SEARCH("Ratei Pass",'Statements (Raw)'!D915)),"ACCRUED INT",IF(ISNUMBER(SEARCH("Interessi Prest",'Statements (Raw)'!D915)),"SEC LENDING",IF(ISNUMBER(SEARCH("Rimborso",'Statements (Raw)'!D915)),"REDEMPTION",IF(ISNUMBER(SEARCH("Provento",'Statements (Raw)'!D915)),"DISTRIBUTION","OTHER")))))))))))))</f>
        <v/>
      </c>
      <c r="D917" s="6" t="str">
        <f>IF(A917="","",IF(C917="Saldo Iniziale","Balance",IF(C917="CASH DEPOSIT","Deposit",IF(C917="CASH WITHDRAWAL","Withdrawal",IF(C917="STAMP DUTY","Tax",IF(C917="TOBIN TAX","Tax",IF(C917="WITHHOLDING TAX","Tax",IF(C917="DIVIDEND","Dividend",IF(C917="COUPON","Coupon",IF(C917="ACCRUED INT","Accrued Int.",IF(C917="SEC LENDING","Sec. Lending",IF(C917="REDEMPTION","Redemption",IF(C917="DISTRIBUTION","Distribution",IF(ISNUMBER(SEARCH("Rimborso",'Statements (Raw)'!D915)),"Redemption",IF(ISNUMBER(SEARCH("Cedola",'Statements (Raw)'!D915)),"Coupon",IF(ISNUMBER(SEARCH("Incasso Dividendi",'Statements (Raw)'!D915)),"Dividend",IF(ISNUMBER(SEARCH("Provento Etf",'Statements (Raw)'!D915)),"Distribution",IF(ISNUMBER(SEARCH("Rit.provento",'Statements (Raw)'!D915)),"Tax",IF(ISNUMBER(SEARCH("Ratei Pass",'Statements (Raw)'!D915)),"Accrued Int.",IF(ISNUMBER(SEARCH("Interessi Prest",'Statements (Raw)'!D915)),"Sec. Lending",IF('Statements (Raw)'!G915="","Other",IF('Statements (Raw)'!G915&gt;0,"Buy","Sell"))))))))))))))))))))))</f>
        <v/>
      </c>
      <c r="E917" s="6" t="str">
        <f t="shared" si="28"/>
        <v/>
      </c>
      <c r="F917" s="8" t="str">
        <f>IF(A917="","",IF('Statements (Raw)'!E915="","",'Statements (Raw)'!E915))</f>
        <v/>
      </c>
      <c r="G917" s="6" t="str">
        <f>IF(A917="","",IF('Statements (Raw)'!F915="","",'Statements (Raw)'!F915))</f>
        <v/>
      </c>
      <c r="H917" s="9" t="str">
        <f>IF(A917="","",IF('Statements (Raw)'!G915="","",'Statements (Raw)'!G915))</f>
        <v/>
      </c>
      <c r="I917" s="10" t="str">
        <f>IF(A917="","",IF('Statements (Raw)'!H915="","",'Statements (Raw)'!H915))</f>
        <v/>
      </c>
      <c r="J917" s="10">
        <f>IF(A917="",0,IF('Statements (Raw)'!I915="",0,'Statements (Raw)'!I915))</f>
        <v>0</v>
      </c>
      <c r="K917" s="10" t="str">
        <f t="shared" si="29"/>
        <v/>
      </c>
    </row>
    <row r="918" spans="1:11" x14ac:dyDescent="0.3">
      <c r="A918" s="171" t="str">
        <f>IF(OR('Statements (Raw)'!A916="",'Statements (Raw)'!A916&gt;Holdings!$G$3),"",'Statements (Raw)'!A916)</f>
        <v/>
      </c>
      <c r="B918" s="7" t="str">
        <f>IF(A918="","",IF('Statements (Raw)'!B916="","",'Statements (Raw)'!B916))</f>
        <v/>
      </c>
      <c r="C918" s="6" t="str">
        <f>IF(A918="","",IF('Statements (Raw)'!C916&lt;&gt;"",'Statements (Raw)'!C916,IF(ISNUMBER(SEARCH("Conferimento",'Statements (Raw)'!D916)),"CASH DEPOSIT",IF(ISNUMBER(SEARCH("Prelievo",'Statements (Raw)'!D916)),"CASH WITHDRAWAL",IF(ISNUMBER(SEARCH("Bollo",'Statements (Raw)'!D916)),"STAMP DUTY",IF(ISNUMBER(SEARCH("Tobin Tax",'Statements (Raw)'!D916)),"TOBIN TAX",IF(ISNUMBER(SEARCH("Rit.provento",'Statements (Raw)'!D916)),"WITHHOLDING TAX",IF(ISNUMBER(SEARCH("Incasso Dividendi",'Statements (Raw)'!D916)),"DIVIDEND",IF(ISNUMBER(SEARCH("Cedola",'Statements (Raw)'!D916)),"COUPON",IF(ISNUMBER(SEARCH("Ratei Pass",'Statements (Raw)'!D916)),"ACCRUED INT",IF(ISNUMBER(SEARCH("Interessi Prest",'Statements (Raw)'!D916)),"SEC LENDING",IF(ISNUMBER(SEARCH("Rimborso",'Statements (Raw)'!D916)),"REDEMPTION",IF(ISNUMBER(SEARCH("Provento",'Statements (Raw)'!D916)),"DISTRIBUTION","OTHER")))))))))))))</f>
        <v/>
      </c>
      <c r="D918" s="6" t="str">
        <f>IF(A918="","",IF(C918="Saldo Iniziale","Balance",IF(C918="CASH DEPOSIT","Deposit",IF(C918="CASH WITHDRAWAL","Withdrawal",IF(C918="STAMP DUTY","Tax",IF(C918="TOBIN TAX","Tax",IF(C918="WITHHOLDING TAX","Tax",IF(C918="DIVIDEND","Dividend",IF(C918="COUPON","Coupon",IF(C918="ACCRUED INT","Accrued Int.",IF(C918="SEC LENDING","Sec. Lending",IF(C918="REDEMPTION","Redemption",IF(C918="DISTRIBUTION","Distribution",IF(ISNUMBER(SEARCH("Rimborso",'Statements (Raw)'!D916)),"Redemption",IF(ISNUMBER(SEARCH("Cedola",'Statements (Raw)'!D916)),"Coupon",IF(ISNUMBER(SEARCH("Incasso Dividendi",'Statements (Raw)'!D916)),"Dividend",IF(ISNUMBER(SEARCH("Provento Etf",'Statements (Raw)'!D916)),"Distribution",IF(ISNUMBER(SEARCH("Rit.provento",'Statements (Raw)'!D916)),"Tax",IF(ISNUMBER(SEARCH("Ratei Pass",'Statements (Raw)'!D916)),"Accrued Int.",IF(ISNUMBER(SEARCH("Interessi Prest",'Statements (Raw)'!D916)),"Sec. Lending",IF('Statements (Raw)'!G916="","Other",IF('Statements (Raw)'!G916&gt;0,"Buy","Sell"))))))))))))))))))))))</f>
        <v/>
      </c>
      <c r="E918" s="6" t="str">
        <f t="shared" si="28"/>
        <v/>
      </c>
      <c r="F918" s="8" t="str">
        <f>IF(A918="","",IF('Statements (Raw)'!E916="","",'Statements (Raw)'!E916))</f>
        <v/>
      </c>
      <c r="G918" s="6" t="str">
        <f>IF(A918="","",IF('Statements (Raw)'!F916="","",'Statements (Raw)'!F916))</f>
        <v/>
      </c>
      <c r="H918" s="9" t="str">
        <f>IF(A918="","",IF('Statements (Raw)'!G916="","",'Statements (Raw)'!G916))</f>
        <v/>
      </c>
      <c r="I918" s="10" t="str">
        <f>IF(A918="","",IF('Statements (Raw)'!H916="","",'Statements (Raw)'!H916))</f>
        <v/>
      </c>
      <c r="J918" s="10">
        <f>IF(A918="",0,IF('Statements (Raw)'!I916="",0,'Statements (Raw)'!I916))</f>
        <v>0</v>
      </c>
      <c r="K918" s="10" t="str">
        <f t="shared" si="29"/>
        <v/>
      </c>
    </row>
    <row r="919" spans="1:11" x14ac:dyDescent="0.3">
      <c r="A919" s="171" t="str">
        <f>IF(OR('Statements (Raw)'!A917="",'Statements (Raw)'!A917&gt;Holdings!$G$3),"",'Statements (Raw)'!A917)</f>
        <v/>
      </c>
      <c r="B919" s="7" t="str">
        <f>IF(A919="","",IF('Statements (Raw)'!B917="","",'Statements (Raw)'!B917))</f>
        <v/>
      </c>
      <c r="C919" s="6" t="str">
        <f>IF(A919="","",IF('Statements (Raw)'!C917&lt;&gt;"",'Statements (Raw)'!C917,IF(ISNUMBER(SEARCH("Conferimento",'Statements (Raw)'!D917)),"CASH DEPOSIT",IF(ISNUMBER(SEARCH("Prelievo",'Statements (Raw)'!D917)),"CASH WITHDRAWAL",IF(ISNUMBER(SEARCH("Bollo",'Statements (Raw)'!D917)),"STAMP DUTY",IF(ISNUMBER(SEARCH("Tobin Tax",'Statements (Raw)'!D917)),"TOBIN TAX",IF(ISNUMBER(SEARCH("Rit.provento",'Statements (Raw)'!D917)),"WITHHOLDING TAX",IF(ISNUMBER(SEARCH("Incasso Dividendi",'Statements (Raw)'!D917)),"DIVIDEND",IF(ISNUMBER(SEARCH("Cedola",'Statements (Raw)'!D917)),"COUPON",IF(ISNUMBER(SEARCH("Ratei Pass",'Statements (Raw)'!D917)),"ACCRUED INT",IF(ISNUMBER(SEARCH("Interessi Prest",'Statements (Raw)'!D917)),"SEC LENDING",IF(ISNUMBER(SEARCH("Rimborso",'Statements (Raw)'!D917)),"REDEMPTION",IF(ISNUMBER(SEARCH("Provento",'Statements (Raw)'!D917)),"DISTRIBUTION","OTHER")))))))))))))</f>
        <v/>
      </c>
      <c r="D919" s="6" t="str">
        <f>IF(A919="","",IF(C919="Saldo Iniziale","Balance",IF(C919="CASH DEPOSIT","Deposit",IF(C919="CASH WITHDRAWAL","Withdrawal",IF(C919="STAMP DUTY","Tax",IF(C919="TOBIN TAX","Tax",IF(C919="WITHHOLDING TAX","Tax",IF(C919="DIVIDEND","Dividend",IF(C919="COUPON","Coupon",IF(C919="ACCRUED INT","Accrued Int.",IF(C919="SEC LENDING","Sec. Lending",IF(C919="REDEMPTION","Redemption",IF(C919="DISTRIBUTION","Distribution",IF(ISNUMBER(SEARCH("Rimborso",'Statements (Raw)'!D917)),"Redemption",IF(ISNUMBER(SEARCH("Cedola",'Statements (Raw)'!D917)),"Coupon",IF(ISNUMBER(SEARCH("Incasso Dividendi",'Statements (Raw)'!D917)),"Dividend",IF(ISNUMBER(SEARCH("Provento Etf",'Statements (Raw)'!D917)),"Distribution",IF(ISNUMBER(SEARCH("Rit.provento",'Statements (Raw)'!D917)),"Tax",IF(ISNUMBER(SEARCH("Ratei Pass",'Statements (Raw)'!D917)),"Accrued Int.",IF(ISNUMBER(SEARCH("Interessi Prest",'Statements (Raw)'!D917)),"Sec. Lending",IF('Statements (Raw)'!G917="","Other",IF('Statements (Raw)'!G917&gt;0,"Buy","Sell"))))))))))))))))))))))</f>
        <v/>
      </c>
      <c r="E919" s="6" t="str">
        <f t="shared" si="28"/>
        <v/>
      </c>
      <c r="F919" s="8" t="str">
        <f>IF(A919="","",IF('Statements (Raw)'!E917="","",'Statements (Raw)'!E917))</f>
        <v/>
      </c>
      <c r="G919" s="6" t="str">
        <f>IF(A919="","",IF('Statements (Raw)'!F917="","",'Statements (Raw)'!F917))</f>
        <v/>
      </c>
      <c r="H919" s="9" t="str">
        <f>IF(A919="","",IF('Statements (Raw)'!G917="","",'Statements (Raw)'!G917))</f>
        <v/>
      </c>
      <c r="I919" s="10" t="str">
        <f>IF(A919="","",IF('Statements (Raw)'!H917="","",'Statements (Raw)'!H917))</f>
        <v/>
      </c>
      <c r="J919" s="10">
        <f>IF(A919="",0,IF('Statements (Raw)'!I917="",0,'Statements (Raw)'!I917))</f>
        <v>0</v>
      </c>
      <c r="K919" s="10" t="str">
        <f t="shared" si="29"/>
        <v/>
      </c>
    </row>
    <row r="920" spans="1:11" x14ac:dyDescent="0.3">
      <c r="A920" s="171" t="str">
        <f>IF(OR('Statements (Raw)'!A918="",'Statements (Raw)'!A918&gt;Holdings!$G$3),"",'Statements (Raw)'!A918)</f>
        <v/>
      </c>
      <c r="B920" s="7" t="str">
        <f>IF(A920="","",IF('Statements (Raw)'!B918="","",'Statements (Raw)'!B918))</f>
        <v/>
      </c>
      <c r="C920" s="6" t="str">
        <f>IF(A920="","",IF('Statements (Raw)'!C918&lt;&gt;"",'Statements (Raw)'!C918,IF(ISNUMBER(SEARCH("Conferimento",'Statements (Raw)'!D918)),"CASH DEPOSIT",IF(ISNUMBER(SEARCH("Prelievo",'Statements (Raw)'!D918)),"CASH WITHDRAWAL",IF(ISNUMBER(SEARCH("Bollo",'Statements (Raw)'!D918)),"STAMP DUTY",IF(ISNUMBER(SEARCH("Tobin Tax",'Statements (Raw)'!D918)),"TOBIN TAX",IF(ISNUMBER(SEARCH("Rit.provento",'Statements (Raw)'!D918)),"WITHHOLDING TAX",IF(ISNUMBER(SEARCH("Incasso Dividendi",'Statements (Raw)'!D918)),"DIVIDEND",IF(ISNUMBER(SEARCH("Cedola",'Statements (Raw)'!D918)),"COUPON",IF(ISNUMBER(SEARCH("Ratei Pass",'Statements (Raw)'!D918)),"ACCRUED INT",IF(ISNUMBER(SEARCH("Interessi Prest",'Statements (Raw)'!D918)),"SEC LENDING",IF(ISNUMBER(SEARCH("Rimborso",'Statements (Raw)'!D918)),"REDEMPTION",IF(ISNUMBER(SEARCH("Provento",'Statements (Raw)'!D918)),"DISTRIBUTION","OTHER")))))))))))))</f>
        <v/>
      </c>
      <c r="D920" s="6" t="str">
        <f>IF(A920="","",IF(C920="Saldo Iniziale","Balance",IF(C920="CASH DEPOSIT","Deposit",IF(C920="CASH WITHDRAWAL","Withdrawal",IF(C920="STAMP DUTY","Tax",IF(C920="TOBIN TAX","Tax",IF(C920="WITHHOLDING TAX","Tax",IF(C920="DIVIDEND","Dividend",IF(C920="COUPON","Coupon",IF(C920="ACCRUED INT","Accrued Int.",IF(C920="SEC LENDING","Sec. Lending",IF(C920="REDEMPTION","Redemption",IF(C920="DISTRIBUTION","Distribution",IF(ISNUMBER(SEARCH("Rimborso",'Statements (Raw)'!D918)),"Redemption",IF(ISNUMBER(SEARCH("Cedola",'Statements (Raw)'!D918)),"Coupon",IF(ISNUMBER(SEARCH("Incasso Dividendi",'Statements (Raw)'!D918)),"Dividend",IF(ISNUMBER(SEARCH("Provento Etf",'Statements (Raw)'!D918)),"Distribution",IF(ISNUMBER(SEARCH("Rit.provento",'Statements (Raw)'!D918)),"Tax",IF(ISNUMBER(SEARCH("Ratei Pass",'Statements (Raw)'!D918)),"Accrued Int.",IF(ISNUMBER(SEARCH("Interessi Prest",'Statements (Raw)'!D918)),"Sec. Lending",IF('Statements (Raw)'!G918="","Other",IF('Statements (Raw)'!G918&gt;0,"Buy","Sell"))))))))))))))))))))))</f>
        <v/>
      </c>
      <c r="E920" s="6" t="str">
        <f t="shared" si="28"/>
        <v/>
      </c>
      <c r="F920" s="8" t="str">
        <f>IF(A920="","",IF('Statements (Raw)'!E918="","",'Statements (Raw)'!E918))</f>
        <v/>
      </c>
      <c r="G920" s="6" t="str">
        <f>IF(A920="","",IF('Statements (Raw)'!F918="","",'Statements (Raw)'!F918))</f>
        <v/>
      </c>
      <c r="H920" s="9" t="str">
        <f>IF(A920="","",IF('Statements (Raw)'!G918="","",'Statements (Raw)'!G918))</f>
        <v/>
      </c>
      <c r="I920" s="10" t="str">
        <f>IF(A920="","",IF('Statements (Raw)'!H918="","",'Statements (Raw)'!H918))</f>
        <v/>
      </c>
      <c r="J920" s="10">
        <f>IF(A920="",0,IF('Statements (Raw)'!I918="",0,'Statements (Raw)'!I918))</f>
        <v>0</v>
      </c>
      <c r="K920" s="10" t="str">
        <f t="shared" si="29"/>
        <v/>
      </c>
    </row>
    <row r="921" spans="1:11" x14ac:dyDescent="0.3">
      <c r="A921" s="171" t="str">
        <f>IF(OR('Statements (Raw)'!A919="",'Statements (Raw)'!A919&gt;Holdings!$G$3),"",'Statements (Raw)'!A919)</f>
        <v/>
      </c>
      <c r="B921" s="7" t="str">
        <f>IF(A921="","",IF('Statements (Raw)'!B919="","",'Statements (Raw)'!B919))</f>
        <v/>
      </c>
      <c r="C921" s="6" t="str">
        <f>IF(A921="","",IF('Statements (Raw)'!C919&lt;&gt;"",'Statements (Raw)'!C919,IF(ISNUMBER(SEARCH("Conferimento",'Statements (Raw)'!D919)),"CASH DEPOSIT",IF(ISNUMBER(SEARCH("Prelievo",'Statements (Raw)'!D919)),"CASH WITHDRAWAL",IF(ISNUMBER(SEARCH("Bollo",'Statements (Raw)'!D919)),"STAMP DUTY",IF(ISNUMBER(SEARCH("Tobin Tax",'Statements (Raw)'!D919)),"TOBIN TAX",IF(ISNUMBER(SEARCH("Rit.provento",'Statements (Raw)'!D919)),"WITHHOLDING TAX",IF(ISNUMBER(SEARCH("Incasso Dividendi",'Statements (Raw)'!D919)),"DIVIDEND",IF(ISNUMBER(SEARCH("Cedola",'Statements (Raw)'!D919)),"COUPON",IF(ISNUMBER(SEARCH("Ratei Pass",'Statements (Raw)'!D919)),"ACCRUED INT",IF(ISNUMBER(SEARCH("Interessi Prest",'Statements (Raw)'!D919)),"SEC LENDING",IF(ISNUMBER(SEARCH("Rimborso",'Statements (Raw)'!D919)),"REDEMPTION",IF(ISNUMBER(SEARCH("Provento",'Statements (Raw)'!D919)),"DISTRIBUTION","OTHER")))))))))))))</f>
        <v/>
      </c>
      <c r="D921" s="6" t="str">
        <f>IF(A921="","",IF(C921="Saldo Iniziale","Balance",IF(C921="CASH DEPOSIT","Deposit",IF(C921="CASH WITHDRAWAL","Withdrawal",IF(C921="STAMP DUTY","Tax",IF(C921="TOBIN TAX","Tax",IF(C921="WITHHOLDING TAX","Tax",IF(C921="DIVIDEND","Dividend",IF(C921="COUPON","Coupon",IF(C921="ACCRUED INT","Accrued Int.",IF(C921="SEC LENDING","Sec. Lending",IF(C921="REDEMPTION","Redemption",IF(C921="DISTRIBUTION","Distribution",IF(ISNUMBER(SEARCH("Rimborso",'Statements (Raw)'!D919)),"Redemption",IF(ISNUMBER(SEARCH("Cedola",'Statements (Raw)'!D919)),"Coupon",IF(ISNUMBER(SEARCH("Incasso Dividendi",'Statements (Raw)'!D919)),"Dividend",IF(ISNUMBER(SEARCH("Provento Etf",'Statements (Raw)'!D919)),"Distribution",IF(ISNUMBER(SEARCH("Rit.provento",'Statements (Raw)'!D919)),"Tax",IF(ISNUMBER(SEARCH("Ratei Pass",'Statements (Raw)'!D919)),"Accrued Int.",IF(ISNUMBER(SEARCH("Interessi Prest",'Statements (Raw)'!D919)),"Sec. Lending",IF('Statements (Raw)'!G919="","Other",IF('Statements (Raw)'!G919&gt;0,"Buy","Sell"))))))))))))))))))))))</f>
        <v/>
      </c>
      <c r="E921" s="6" t="str">
        <f t="shared" si="28"/>
        <v/>
      </c>
      <c r="F921" s="8" t="str">
        <f>IF(A921="","",IF('Statements (Raw)'!E919="","",'Statements (Raw)'!E919))</f>
        <v/>
      </c>
      <c r="G921" s="6" t="str">
        <f>IF(A921="","",IF('Statements (Raw)'!F919="","",'Statements (Raw)'!F919))</f>
        <v/>
      </c>
      <c r="H921" s="9" t="str">
        <f>IF(A921="","",IF('Statements (Raw)'!G919="","",'Statements (Raw)'!G919))</f>
        <v/>
      </c>
      <c r="I921" s="10" t="str">
        <f>IF(A921="","",IF('Statements (Raw)'!H919="","",'Statements (Raw)'!H919))</f>
        <v/>
      </c>
      <c r="J921" s="10">
        <f>IF(A921="",0,IF('Statements (Raw)'!I919="",0,'Statements (Raw)'!I919))</f>
        <v>0</v>
      </c>
      <c r="K921" s="10" t="str">
        <f t="shared" si="29"/>
        <v/>
      </c>
    </row>
    <row r="922" spans="1:11" x14ac:dyDescent="0.3">
      <c r="A922" s="171" t="str">
        <f>IF(OR('Statements (Raw)'!A920="",'Statements (Raw)'!A920&gt;Holdings!$G$3),"",'Statements (Raw)'!A920)</f>
        <v/>
      </c>
      <c r="B922" s="7" t="str">
        <f>IF(A922="","",IF('Statements (Raw)'!B920="","",'Statements (Raw)'!B920))</f>
        <v/>
      </c>
      <c r="C922" s="6" t="str">
        <f>IF(A922="","",IF('Statements (Raw)'!C920&lt;&gt;"",'Statements (Raw)'!C920,IF(ISNUMBER(SEARCH("Conferimento",'Statements (Raw)'!D920)),"CASH DEPOSIT",IF(ISNUMBER(SEARCH("Prelievo",'Statements (Raw)'!D920)),"CASH WITHDRAWAL",IF(ISNUMBER(SEARCH("Bollo",'Statements (Raw)'!D920)),"STAMP DUTY",IF(ISNUMBER(SEARCH("Tobin Tax",'Statements (Raw)'!D920)),"TOBIN TAX",IF(ISNUMBER(SEARCH("Rit.provento",'Statements (Raw)'!D920)),"WITHHOLDING TAX",IF(ISNUMBER(SEARCH("Incasso Dividendi",'Statements (Raw)'!D920)),"DIVIDEND",IF(ISNUMBER(SEARCH("Cedola",'Statements (Raw)'!D920)),"COUPON",IF(ISNUMBER(SEARCH("Ratei Pass",'Statements (Raw)'!D920)),"ACCRUED INT",IF(ISNUMBER(SEARCH("Interessi Prest",'Statements (Raw)'!D920)),"SEC LENDING",IF(ISNUMBER(SEARCH("Rimborso",'Statements (Raw)'!D920)),"REDEMPTION",IF(ISNUMBER(SEARCH("Provento",'Statements (Raw)'!D920)),"DISTRIBUTION","OTHER")))))))))))))</f>
        <v/>
      </c>
      <c r="D922" s="6" t="str">
        <f>IF(A922="","",IF(C922="Saldo Iniziale","Balance",IF(C922="CASH DEPOSIT","Deposit",IF(C922="CASH WITHDRAWAL","Withdrawal",IF(C922="STAMP DUTY","Tax",IF(C922="TOBIN TAX","Tax",IF(C922="WITHHOLDING TAX","Tax",IF(C922="DIVIDEND","Dividend",IF(C922="COUPON","Coupon",IF(C922="ACCRUED INT","Accrued Int.",IF(C922="SEC LENDING","Sec. Lending",IF(C922="REDEMPTION","Redemption",IF(C922="DISTRIBUTION","Distribution",IF(ISNUMBER(SEARCH("Rimborso",'Statements (Raw)'!D920)),"Redemption",IF(ISNUMBER(SEARCH("Cedola",'Statements (Raw)'!D920)),"Coupon",IF(ISNUMBER(SEARCH("Incasso Dividendi",'Statements (Raw)'!D920)),"Dividend",IF(ISNUMBER(SEARCH("Provento Etf",'Statements (Raw)'!D920)),"Distribution",IF(ISNUMBER(SEARCH("Rit.provento",'Statements (Raw)'!D920)),"Tax",IF(ISNUMBER(SEARCH("Ratei Pass",'Statements (Raw)'!D920)),"Accrued Int.",IF(ISNUMBER(SEARCH("Interessi Prest",'Statements (Raw)'!D920)),"Sec. Lending",IF('Statements (Raw)'!G920="","Other",IF('Statements (Raw)'!G920&gt;0,"Buy","Sell"))))))))))))))))))))))</f>
        <v/>
      </c>
      <c r="E922" s="6" t="str">
        <f t="shared" si="28"/>
        <v/>
      </c>
      <c r="F922" s="8" t="str">
        <f>IF(A922="","",IF('Statements (Raw)'!E920="","",'Statements (Raw)'!E920))</f>
        <v/>
      </c>
      <c r="G922" s="6" t="str">
        <f>IF(A922="","",IF('Statements (Raw)'!F920="","",'Statements (Raw)'!F920))</f>
        <v/>
      </c>
      <c r="H922" s="9" t="str">
        <f>IF(A922="","",IF('Statements (Raw)'!G920="","",'Statements (Raw)'!G920))</f>
        <v/>
      </c>
      <c r="I922" s="10" t="str">
        <f>IF(A922="","",IF('Statements (Raw)'!H920="","",'Statements (Raw)'!H920))</f>
        <v/>
      </c>
      <c r="J922" s="10">
        <f>IF(A922="",0,IF('Statements (Raw)'!I920="",0,'Statements (Raw)'!I920))</f>
        <v>0</v>
      </c>
      <c r="K922" s="10" t="str">
        <f t="shared" si="29"/>
        <v/>
      </c>
    </row>
    <row r="923" spans="1:11" x14ac:dyDescent="0.3">
      <c r="A923" s="171" t="str">
        <f>IF(OR('Statements (Raw)'!A921="",'Statements (Raw)'!A921&gt;Holdings!$G$3),"",'Statements (Raw)'!A921)</f>
        <v/>
      </c>
      <c r="B923" s="7" t="str">
        <f>IF(A923="","",IF('Statements (Raw)'!B921="","",'Statements (Raw)'!B921))</f>
        <v/>
      </c>
      <c r="C923" s="6" t="str">
        <f>IF(A923="","",IF('Statements (Raw)'!C921&lt;&gt;"",'Statements (Raw)'!C921,IF(ISNUMBER(SEARCH("Conferimento",'Statements (Raw)'!D921)),"CASH DEPOSIT",IF(ISNUMBER(SEARCH("Prelievo",'Statements (Raw)'!D921)),"CASH WITHDRAWAL",IF(ISNUMBER(SEARCH("Bollo",'Statements (Raw)'!D921)),"STAMP DUTY",IF(ISNUMBER(SEARCH("Tobin Tax",'Statements (Raw)'!D921)),"TOBIN TAX",IF(ISNUMBER(SEARCH("Rit.provento",'Statements (Raw)'!D921)),"WITHHOLDING TAX",IF(ISNUMBER(SEARCH("Incasso Dividendi",'Statements (Raw)'!D921)),"DIVIDEND",IF(ISNUMBER(SEARCH("Cedola",'Statements (Raw)'!D921)),"COUPON",IF(ISNUMBER(SEARCH("Ratei Pass",'Statements (Raw)'!D921)),"ACCRUED INT",IF(ISNUMBER(SEARCH("Interessi Prest",'Statements (Raw)'!D921)),"SEC LENDING",IF(ISNUMBER(SEARCH("Rimborso",'Statements (Raw)'!D921)),"REDEMPTION",IF(ISNUMBER(SEARCH("Provento",'Statements (Raw)'!D921)),"DISTRIBUTION","OTHER")))))))))))))</f>
        <v/>
      </c>
      <c r="D923" s="6" t="str">
        <f>IF(A923="","",IF(C923="Saldo Iniziale","Balance",IF(C923="CASH DEPOSIT","Deposit",IF(C923="CASH WITHDRAWAL","Withdrawal",IF(C923="STAMP DUTY","Tax",IF(C923="TOBIN TAX","Tax",IF(C923="WITHHOLDING TAX","Tax",IF(C923="DIVIDEND","Dividend",IF(C923="COUPON","Coupon",IF(C923="ACCRUED INT","Accrued Int.",IF(C923="SEC LENDING","Sec. Lending",IF(C923="REDEMPTION","Redemption",IF(C923="DISTRIBUTION","Distribution",IF(ISNUMBER(SEARCH("Rimborso",'Statements (Raw)'!D921)),"Redemption",IF(ISNUMBER(SEARCH("Cedola",'Statements (Raw)'!D921)),"Coupon",IF(ISNUMBER(SEARCH("Incasso Dividendi",'Statements (Raw)'!D921)),"Dividend",IF(ISNUMBER(SEARCH("Provento Etf",'Statements (Raw)'!D921)),"Distribution",IF(ISNUMBER(SEARCH("Rit.provento",'Statements (Raw)'!D921)),"Tax",IF(ISNUMBER(SEARCH("Ratei Pass",'Statements (Raw)'!D921)),"Accrued Int.",IF(ISNUMBER(SEARCH("Interessi Prest",'Statements (Raw)'!D921)),"Sec. Lending",IF('Statements (Raw)'!G921="","Other",IF('Statements (Raw)'!G921&gt;0,"Buy","Sell"))))))))))))))))))))))</f>
        <v/>
      </c>
      <c r="E923" s="6" t="str">
        <f t="shared" si="28"/>
        <v/>
      </c>
      <c r="F923" s="8" t="str">
        <f>IF(A923="","",IF('Statements (Raw)'!E921="","",'Statements (Raw)'!E921))</f>
        <v/>
      </c>
      <c r="G923" s="6" t="str">
        <f>IF(A923="","",IF('Statements (Raw)'!F921="","",'Statements (Raw)'!F921))</f>
        <v/>
      </c>
      <c r="H923" s="9" t="str">
        <f>IF(A923="","",IF('Statements (Raw)'!G921="","",'Statements (Raw)'!G921))</f>
        <v/>
      </c>
      <c r="I923" s="10" t="str">
        <f>IF(A923="","",IF('Statements (Raw)'!H921="","",'Statements (Raw)'!H921))</f>
        <v/>
      </c>
      <c r="J923" s="10">
        <f>IF(A923="",0,IF('Statements (Raw)'!I921="",0,'Statements (Raw)'!I921))</f>
        <v>0</v>
      </c>
      <c r="K923" s="10" t="str">
        <f t="shared" si="29"/>
        <v/>
      </c>
    </row>
    <row r="924" spans="1:11" x14ac:dyDescent="0.3">
      <c r="A924" s="171" t="str">
        <f>IF(OR('Statements (Raw)'!A922="",'Statements (Raw)'!A922&gt;Holdings!$G$3),"",'Statements (Raw)'!A922)</f>
        <v/>
      </c>
      <c r="B924" s="7" t="str">
        <f>IF(A924="","",IF('Statements (Raw)'!B922="","",'Statements (Raw)'!B922))</f>
        <v/>
      </c>
      <c r="C924" s="6" t="str">
        <f>IF(A924="","",IF('Statements (Raw)'!C922&lt;&gt;"",'Statements (Raw)'!C922,IF(ISNUMBER(SEARCH("Conferimento",'Statements (Raw)'!D922)),"CASH DEPOSIT",IF(ISNUMBER(SEARCH("Prelievo",'Statements (Raw)'!D922)),"CASH WITHDRAWAL",IF(ISNUMBER(SEARCH("Bollo",'Statements (Raw)'!D922)),"STAMP DUTY",IF(ISNUMBER(SEARCH("Tobin Tax",'Statements (Raw)'!D922)),"TOBIN TAX",IF(ISNUMBER(SEARCH("Rit.provento",'Statements (Raw)'!D922)),"WITHHOLDING TAX",IF(ISNUMBER(SEARCH("Incasso Dividendi",'Statements (Raw)'!D922)),"DIVIDEND",IF(ISNUMBER(SEARCH("Cedola",'Statements (Raw)'!D922)),"COUPON",IF(ISNUMBER(SEARCH("Ratei Pass",'Statements (Raw)'!D922)),"ACCRUED INT",IF(ISNUMBER(SEARCH("Interessi Prest",'Statements (Raw)'!D922)),"SEC LENDING",IF(ISNUMBER(SEARCH("Rimborso",'Statements (Raw)'!D922)),"REDEMPTION",IF(ISNUMBER(SEARCH("Provento",'Statements (Raw)'!D922)),"DISTRIBUTION","OTHER")))))))))))))</f>
        <v/>
      </c>
      <c r="D924" s="6" t="str">
        <f>IF(A924="","",IF(C924="Saldo Iniziale","Balance",IF(C924="CASH DEPOSIT","Deposit",IF(C924="CASH WITHDRAWAL","Withdrawal",IF(C924="STAMP DUTY","Tax",IF(C924="TOBIN TAX","Tax",IF(C924="WITHHOLDING TAX","Tax",IF(C924="DIVIDEND","Dividend",IF(C924="COUPON","Coupon",IF(C924="ACCRUED INT","Accrued Int.",IF(C924="SEC LENDING","Sec. Lending",IF(C924="REDEMPTION","Redemption",IF(C924="DISTRIBUTION","Distribution",IF(ISNUMBER(SEARCH("Rimborso",'Statements (Raw)'!D922)),"Redemption",IF(ISNUMBER(SEARCH("Cedola",'Statements (Raw)'!D922)),"Coupon",IF(ISNUMBER(SEARCH("Incasso Dividendi",'Statements (Raw)'!D922)),"Dividend",IF(ISNUMBER(SEARCH("Provento Etf",'Statements (Raw)'!D922)),"Distribution",IF(ISNUMBER(SEARCH("Rit.provento",'Statements (Raw)'!D922)),"Tax",IF(ISNUMBER(SEARCH("Ratei Pass",'Statements (Raw)'!D922)),"Accrued Int.",IF(ISNUMBER(SEARCH("Interessi Prest",'Statements (Raw)'!D922)),"Sec. Lending",IF('Statements (Raw)'!G922="","Other",IF('Statements (Raw)'!G922&gt;0,"Buy","Sell"))))))))))))))))))))))</f>
        <v/>
      </c>
      <c r="E924" s="6" t="str">
        <f t="shared" si="28"/>
        <v/>
      </c>
      <c r="F924" s="8" t="str">
        <f>IF(A924="","",IF('Statements (Raw)'!E922="","",'Statements (Raw)'!E922))</f>
        <v/>
      </c>
      <c r="G924" s="6" t="str">
        <f>IF(A924="","",IF('Statements (Raw)'!F922="","",'Statements (Raw)'!F922))</f>
        <v/>
      </c>
      <c r="H924" s="9" t="str">
        <f>IF(A924="","",IF('Statements (Raw)'!G922="","",'Statements (Raw)'!G922))</f>
        <v/>
      </c>
      <c r="I924" s="10" t="str">
        <f>IF(A924="","",IF('Statements (Raw)'!H922="","",'Statements (Raw)'!H922))</f>
        <v/>
      </c>
      <c r="J924" s="10">
        <f>IF(A924="",0,IF('Statements (Raw)'!I922="",0,'Statements (Raw)'!I922))</f>
        <v>0</v>
      </c>
      <c r="K924" s="10" t="str">
        <f t="shared" si="29"/>
        <v/>
      </c>
    </row>
    <row r="925" spans="1:11" x14ac:dyDescent="0.3">
      <c r="A925" s="171" t="str">
        <f>IF(OR('Statements (Raw)'!A923="",'Statements (Raw)'!A923&gt;Holdings!$G$3),"",'Statements (Raw)'!A923)</f>
        <v/>
      </c>
      <c r="B925" s="7" t="str">
        <f>IF(A925="","",IF('Statements (Raw)'!B923="","",'Statements (Raw)'!B923))</f>
        <v/>
      </c>
      <c r="C925" s="6" t="str">
        <f>IF(A925="","",IF('Statements (Raw)'!C923&lt;&gt;"",'Statements (Raw)'!C923,IF(ISNUMBER(SEARCH("Conferimento",'Statements (Raw)'!D923)),"CASH DEPOSIT",IF(ISNUMBER(SEARCH("Prelievo",'Statements (Raw)'!D923)),"CASH WITHDRAWAL",IF(ISNUMBER(SEARCH("Bollo",'Statements (Raw)'!D923)),"STAMP DUTY",IF(ISNUMBER(SEARCH("Tobin Tax",'Statements (Raw)'!D923)),"TOBIN TAX",IF(ISNUMBER(SEARCH("Rit.provento",'Statements (Raw)'!D923)),"WITHHOLDING TAX",IF(ISNUMBER(SEARCH("Incasso Dividendi",'Statements (Raw)'!D923)),"DIVIDEND",IF(ISNUMBER(SEARCH("Cedola",'Statements (Raw)'!D923)),"COUPON",IF(ISNUMBER(SEARCH("Ratei Pass",'Statements (Raw)'!D923)),"ACCRUED INT",IF(ISNUMBER(SEARCH("Interessi Prest",'Statements (Raw)'!D923)),"SEC LENDING",IF(ISNUMBER(SEARCH("Rimborso",'Statements (Raw)'!D923)),"REDEMPTION",IF(ISNUMBER(SEARCH("Provento",'Statements (Raw)'!D923)),"DISTRIBUTION","OTHER")))))))))))))</f>
        <v/>
      </c>
      <c r="D925" s="6" t="str">
        <f>IF(A925="","",IF(C925="Saldo Iniziale","Balance",IF(C925="CASH DEPOSIT","Deposit",IF(C925="CASH WITHDRAWAL","Withdrawal",IF(C925="STAMP DUTY","Tax",IF(C925="TOBIN TAX","Tax",IF(C925="WITHHOLDING TAX","Tax",IF(C925="DIVIDEND","Dividend",IF(C925="COUPON","Coupon",IF(C925="ACCRUED INT","Accrued Int.",IF(C925="SEC LENDING","Sec. Lending",IF(C925="REDEMPTION","Redemption",IF(C925="DISTRIBUTION","Distribution",IF(ISNUMBER(SEARCH("Rimborso",'Statements (Raw)'!D923)),"Redemption",IF(ISNUMBER(SEARCH("Cedola",'Statements (Raw)'!D923)),"Coupon",IF(ISNUMBER(SEARCH("Incasso Dividendi",'Statements (Raw)'!D923)),"Dividend",IF(ISNUMBER(SEARCH("Provento Etf",'Statements (Raw)'!D923)),"Distribution",IF(ISNUMBER(SEARCH("Rit.provento",'Statements (Raw)'!D923)),"Tax",IF(ISNUMBER(SEARCH("Ratei Pass",'Statements (Raw)'!D923)),"Accrued Int.",IF(ISNUMBER(SEARCH("Interessi Prest",'Statements (Raw)'!D923)),"Sec. Lending",IF('Statements (Raw)'!G923="","Other",IF('Statements (Raw)'!G923&gt;0,"Buy","Sell"))))))))))))))))))))))</f>
        <v/>
      </c>
      <c r="E925" s="6" t="str">
        <f t="shared" si="28"/>
        <v/>
      </c>
      <c r="F925" s="8" t="str">
        <f>IF(A925="","",IF('Statements (Raw)'!E923="","",'Statements (Raw)'!E923))</f>
        <v/>
      </c>
      <c r="G925" s="6" t="str">
        <f>IF(A925="","",IF('Statements (Raw)'!F923="","",'Statements (Raw)'!F923))</f>
        <v/>
      </c>
      <c r="H925" s="9" t="str">
        <f>IF(A925="","",IF('Statements (Raw)'!G923="","",'Statements (Raw)'!G923))</f>
        <v/>
      </c>
      <c r="I925" s="10" t="str">
        <f>IF(A925="","",IF('Statements (Raw)'!H923="","",'Statements (Raw)'!H923))</f>
        <v/>
      </c>
      <c r="J925" s="10">
        <f>IF(A925="",0,IF('Statements (Raw)'!I923="",0,'Statements (Raw)'!I923))</f>
        <v>0</v>
      </c>
      <c r="K925" s="10" t="str">
        <f t="shared" si="29"/>
        <v/>
      </c>
    </row>
    <row r="926" spans="1:11" x14ac:dyDescent="0.3">
      <c r="A926" s="171" t="str">
        <f>IF(OR('Statements (Raw)'!A924="",'Statements (Raw)'!A924&gt;Holdings!$G$3),"",'Statements (Raw)'!A924)</f>
        <v/>
      </c>
      <c r="B926" s="7" t="str">
        <f>IF(A926="","",IF('Statements (Raw)'!B924="","",'Statements (Raw)'!B924))</f>
        <v/>
      </c>
      <c r="C926" s="6" t="str">
        <f>IF(A926="","",IF('Statements (Raw)'!C924&lt;&gt;"",'Statements (Raw)'!C924,IF(ISNUMBER(SEARCH("Conferimento",'Statements (Raw)'!D924)),"CASH DEPOSIT",IF(ISNUMBER(SEARCH("Prelievo",'Statements (Raw)'!D924)),"CASH WITHDRAWAL",IF(ISNUMBER(SEARCH("Bollo",'Statements (Raw)'!D924)),"STAMP DUTY",IF(ISNUMBER(SEARCH("Tobin Tax",'Statements (Raw)'!D924)),"TOBIN TAX",IF(ISNUMBER(SEARCH("Rit.provento",'Statements (Raw)'!D924)),"WITHHOLDING TAX",IF(ISNUMBER(SEARCH("Incasso Dividendi",'Statements (Raw)'!D924)),"DIVIDEND",IF(ISNUMBER(SEARCH("Cedola",'Statements (Raw)'!D924)),"COUPON",IF(ISNUMBER(SEARCH("Ratei Pass",'Statements (Raw)'!D924)),"ACCRUED INT",IF(ISNUMBER(SEARCH("Interessi Prest",'Statements (Raw)'!D924)),"SEC LENDING",IF(ISNUMBER(SEARCH("Rimborso",'Statements (Raw)'!D924)),"REDEMPTION",IF(ISNUMBER(SEARCH("Provento",'Statements (Raw)'!D924)),"DISTRIBUTION","OTHER")))))))))))))</f>
        <v/>
      </c>
      <c r="D926" s="6" t="str">
        <f>IF(A926="","",IF(C926="Saldo Iniziale","Balance",IF(C926="CASH DEPOSIT","Deposit",IF(C926="CASH WITHDRAWAL","Withdrawal",IF(C926="STAMP DUTY","Tax",IF(C926="TOBIN TAX","Tax",IF(C926="WITHHOLDING TAX","Tax",IF(C926="DIVIDEND","Dividend",IF(C926="COUPON","Coupon",IF(C926="ACCRUED INT","Accrued Int.",IF(C926="SEC LENDING","Sec. Lending",IF(C926="REDEMPTION","Redemption",IF(C926="DISTRIBUTION","Distribution",IF(ISNUMBER(SEARCH("Rimborso",'Statements (Raw)'!D924)),"Redemption",IF(ISNUMBER(SEARCH("Cedola",'Statements (Raw)'!D924)),"Coupon",IF(ISNUMBER(SEARCH("Incasso Dividendi",'Statements (Raw)'!D924)),"Dividend",IF(ISNUMBER(SEARCH("Provento Etf",'Statements (Raw)'!D924)),"Distribution",IF(ISNUMBER(SEARCH("Rit.provento",'Statements (Raw)'!D924)),"Tax",IF(ISNUMBER(SEARCH("Ratei Pass",'Statements (Raw)'!D924)),"Accrued Int.",IF(ISNUMBER(SEARCH("Interessi Prest",'Statements (Raw)'!D924)),"Sec. Lending",IF('Statements (Raw)'!G924="","Other",IF('Statements (Raw)'!G924&gt;0,"Buy","Sell"))))))))))))))))))))))</f>
        <v/>
      </c>
      <c r="E926" s="6" t="str">
        <f t="shared" si="28"/>
        <v/>
      </c>
      <c r="F926" s="8" t="str">
        <f>IF(A926="","",IF('Statements (Raw)'!E924="","",'Statements (Raw)'!E924))</f>
        <v/>
      </c>
      <c r="G926" s="6" t="str">
        <f>IF(A926="","",IF('Statements (Raw)'!F924="","",'Statements (Raw)'!F924))</f>
        <v/>
      </c>
      <c r="H926" s="9" t="str">
        <f>IF(A926="","",IF('Statements (Raw)'!G924="","",'Statements (Raw)'!G924))</f>
        <v/>
      </c>
      <c r="I926" s="10" t="str">
        <f>IF(A926="","",IF('Statements (Raw)'!H924="","",'Statements (Raw)'!H924))</f>
        <v/>
      </c>
      <c r="J926" s="10">
        <f>IF(A926="",0,IF('Statements (Raw)'!I924="",0,'Statements (Raw)'!I924))</f>
        <v>0</v>
      </c>
      <c r="K926" s="10" t="str">
        <f t="shared" si="29"/>
        <v/>
      </c>
    </row>
    <row r="927" spans="1:11" x14ac:dyDescent="0.3">
      <c r="A927" s="171" t="str">
        <f>IF(OR('Statements (Raw)'!A925="",'Statements (Raw)'!A925&gt;Holdings!$G$3),"",'Statements (Raw)'!A925)</f>
        <v/>
      </c>
      <c r="B927" s="7" t="str">
        <f>IF(A927="","",IF('Statements (Raw)'!B925="","",'Statements (Raw)'!B925))</f>
        <v/>
      </c>
      <c r="C927" s="6" t="str">
        <f>IF(A927="","",IF('Statements (Raw)'!C925&lt;&gt;"",'Statements (Raw)'!C925,IF(ISNUMBER(SEARCH("Conferimento",'Statements (Raw)'!D925)),"CASH DEPOSIT",IF(ISNUMBER(SEARCH("Prelievo",'Statements (Raw)'!D925)),"CASH WITHDRAWAL",IF(ISNUMBER(SEARCH("Bollo",'Statements (Raw)'!D925)),"STAMP DUTY",IF(ISNUMBER(SEARCH("Tobin Tax",'Statements (Raw)'!D925)),"TOBIN TAX",IF(ISNUMBER(SEARCH("Rit.provento",'Statements (Raw)'!D925)),"WITHHOLDING TAX",IF(ISNUMBER(SEARCH("Incasso Dividendi",'Statements (Raw)'!D925)),"DIVIDEND",IF(ISNUMBER(SEARCH("Cedola",'Statements (Raw)'!D925)),"COUPON",IF(ISNUMBER(SEARCH("Ratei Pass",'Statements (Raw)'!D925)),"ACCRUED INT",IF(ISNUMBER(SEARCH("Interessi Prest",'Statements (Raw)'!D925)),"SEC LENDING",IF(ISNUMBER(SEARCH("Rimborso",'Statements (Raw)'!D925)),"REDEMPTION",IF(ISNUMBER(SEARCH("Provento",'Statements (Raw)'!D925)),"DISTRIBUTION","OTHER")))))))))))))</f>
        <v/>
      </c>
      <c r="D927" s="6" t="str">
        <f>IF(A927="","",IF(C927="Saldo Iniziale","Balance",IF(C927="CASH DEPOSIT","Deposit",IF(C927="CASH WITHDRAWAL","Withdrawal",IF(C927="STAMP DUTY","Tax",IF(C927="TOBIN TAX","Tax",IF(C927="WITHHOLDING TAX","Tax",IF(C927="DIVIDEND","Dividend",IF(C927="COUPON","Coupon",IF(C927="ACCRUED INT","Accrued Int.",IF(C927="SEC LENDING","Sec. Lending",IF(C927="REDEMPTION","Redemption",IF(C927="DISTRIBUTION","Distribution",IF(ISNUMBER(SEARCH("Rimborso",'Statements (Raw)'!D925)),"Redemption",IF(ISNUMBER(SEARCH("Cedola",'Statements (Raw)'!D925)),"Coupon",IF(ISNUMBER(SEARCH("Incasso Dividendi",'Statements (Raw)'!D925)),"Dividend",IF(ISNUMBER(SEARCH("Provento Etf",'Statements (Raw)'!D925)),"Distribution",IF(ISNUMBER(SEARCH("Rit.provento",'Statements (Raw)'!D925)),"Tax",IF(ISNUMBER(SEARCH("Ratei Pass",'Statements (Raw)'!D925)),"Accrued Int.",IF(ISNUMBER(SEARCH("Interessi Prest",'Statements (Raw)'!D925)),"Sec. Lending",IF('Statements (Raw)'!G925="","Other",IF('Statements (Raw)'!G925&gt;0,"Buy","Sell"))))))))))))))))))))))</f>
        <v/>
      </c>
      <c r="E927" s="6" t="str">
        <f t="shared" si="28"/>
        <v/>
      </c>
      <c r="F927" s="8" t="str">
        <f>IF(A927="","",IF('Statements (Raw)'!E925="","",'Statements (Raw)'!E925))</f>
        <v/>
      </c>
      <c r="G927" s="6" t="str">
        <f>IF(A927="","",IF('Statements (Raw)'!F925="","",'Statements (Raw)'!F925))</f>
        <v/>
      </c>
      <c r="H927" s="9" t="str">
        <f>IF(A927="","",IF('Statements (Raw)'!G925="","",'Statements (Raw)'!G925))</f>
        <v/>
      </c>
      <c r="I927" s="10" t="str">
        <f>IF(A927="","",IF('Statements (Raw)'!H925="","",'Statements (Raw)'!H925))</f>
        <v/>
      </c>
      <c r="J927" s="10">
        <f>IF(A927="",0,IF('Statements (Raw)'!I925="",0,'Statements (Raw)'!I925))</f>
        <v>0</v>
      </c>
      <c r="K927" s="10" t="str">
        <f t="shared" si="29"/>
        <v/>
      </c>
    </row>
    <row r="928" spans="1:11" x14ac:dyDescent="0.3">
      <c r="A928" s="171" t="str">
        <f>IF(OR('Statements (Raw)'!A926="",'Statements (Raw)'!A926&gt;Holdings!$G$3),"",'Statements (Raw)'!A926)</f>
        <v/>
      </c>
      <c r="B928" s="7" t="str">
        <f>IF(A928="","",IF('Statements (Raw)'!B926="","",'Statements (Raw)'!B926))</f>
        <v/>
      </c>
      <c r="C928" s="6" t="str">
        <f>IF(A928="","",IF('Statements (Raw)'!C926&lt;&gt;"",'Statements (Raw)'!C926,IF(ISNUMBER(SEARCH("Conferimento",'Statements (Raw)'!D926)),"CASH DEPOSIT",IF(ISNUMBER(SEARCH("Prelievo",'Statements (Raw)'!D926)),"CASH WITHDRAWAL",IF(ISNUMBER(SEARCH("Bollo",'Statements (Raw)'!D926)),"STAMP DUTY",IF(ISNUMBER(SEARCH("Tobin Tax",'Statements (Raw)'!D926)),"TOBIN TAX",IF(ISNUMBER(SEARCH("Rit.provento",'Statements (Raw)'!D926)),"WITHHOLDING TAX",IF(ISNUMBER(SEARCH("Incasso Dividendi",'Statements (Raw)'!D926)),"DIVIDEND",IF(ISNUMBER(SEARCH("Cedola",'Statements (Raw)'!D926)),"COUPON",IF(ISNUMBER(SEARCH("Ratei Pass",'Statements (Raw)'!D926)),"ACCRUED INT",IF(ISNUMBER(SEARCH("Interessi Prest",'Statements (Raw)'!D926)),"SEC LENDING",IF(ISNUMBER(SEARCH("Rimborso",'Statements (Raw)'!D926)),"REDEMPTION",IF(ISNUMBER(SEARCH("Provento",'Statements (Raw)'!D926)),"DISTRIBUTION","OTHER")))))))))))))</f>
        <v/>
      </c>
      <c r="D928" s="6" t="str">
        <f>IF(A928="","",IF(C928="Saldo Iniziale","Balance",IF(C928="CASH DEPOSIT","Deposit",IF(C928="CASH WITHDRAWAL","Withdrawal",IF(C928="STAMP DUTY","Tax",IF(C928="TOBIN TAX","Tax",IF(C928="WITHHOLDING TAX","Tax",IF(C928="DIVIDEND","Dividend",IF(C928="COUPON","Coupon",IF(C928="ACCRUED INT","Accrued Int.",IF(C928="SEC LENDING","Sec. Lending",IF(C928="REDEMPTION","Redemption",IF(C928="DISTRIBUTION","Distribution",IF(ISNUMBER(SEARCH("Rimborso",'Statements (Raw)'!D926)),"Redemption",IF(ISNUMBER(SEARCH("Cedola",'Statements (Raw)'!D926)),"Coupon",IF(ISNUMBER(SEARCH("Incasso Dividendi",'Statements (Raw)'!D926)),"Dividend",IF(ISNUMBER(SEARCH("Provento Etf",'Statements (Raw)'!D926)),"Distribution",IF(ISNUMBER(SEARCH("Rit.provento",'Statements (Raw)'!D926)),"Tax",IF(ISNUMBER(SEARCH("Ratei Pass",'Statements (Raw)'!D926)),"Accrued Int.",IF(ISNUMBER(SEARCH("Interessi Prest",'Statements (Raw)'!D926)),"Sec. Lending",IF('Statements (Raw)'!G926="","Other",IF('Statements (Raw)'!G926&gt;0,"Buy","Sell"))))))))))))))))))))))</f>
        <v/>
      </c>
      <c r="E928" s="6" t="str">
        <f t="shared" si="28"/>
        <v/>
      </c>
      <c r="F928" s="8" t="str">
        <f>IF(A928="","",IF('Statements (Raw)'!E926="","",'Statements (Raw)'!E926))</f>
        <v/>
      </c>
      <c r="G928" s="6" t="str">
        <f>IF(A928="","",IF('Statements (Raw)'!F926="","",'Statements (Raw)'!F926))</f>
        <v/>
      </c>
      <c r="H928" s="9" t="str">
        <f>IF(A928="","",IF('Statements (Raw)'!G926="","",'Statements (Raw)'!G926))</f>
        <v/>
      </c>
      <c r="I928" s="10" t="str">
        <f>IF(A928="","",IF('Statements (Raw)'!H926="","",'Statements (Raw)'!H926))</f>
        <v/>
      </c>
      <c r="J928" s="10">
        <f>IF(A928="",0,IF('Statements (Raw)'!I926="",0,'Statements (Raw)'!I926))</f>
        <v>0</v>
      </c>
      <c r="K928" s="10" t="str">
        <f t="shared" si="29"/>
        <v/>
      </c>
    </row>
    <row r="929" spans="1:11" x14ac:dyDescent="0.3">
      <c r="A929" s="171" t="str">
        <f>IF(OR('Statements (Raw)'!A927="",'Statements (Raw)'!A927&gt;Holdings!$G$3),"",'Statements (Raw)'!A927)</f>
        <v/>
      </c>
      <c r="B929" s="7" t="str">
        <f>IF(A929="","",IF('Statements (Raw)'!B927="","",'Statements (Raw)'!B927))</f>
        <v/>
      </c>
      <c r="C929" s="6" t="str">
        <f>IF(A929="","",IF('Statements (Raw)'!C927&lt;&gt;"",'Statements (Raw)'!C927,IF(ISNUMBER(SEARCH("Conferimento",'Statements (Raw)'!D927)),"CASH DEPOSIT",IF(ISNUMBER(SEARCH("Prelievo",'Statements (Raw)'!D927)),"CASH WITHDRAWAL",IF(ISNUMBER(SEARCH("Bollo",'Statements (Raw)'!D927)),"STAMP DUTY",IF(ISNUMBER(SEARCH("Tobin Tax",'Statements (Raw)'!D927)),"TOBIN TAX",IF(ISNUMBER(SEARCH("Rit.provento",'Statements (Raw)'!D927)),"WITHHOLDING TAX",IF(ISNUMBER(SEARCH("Incasso Dividendi",'Statements (Raw)'!D927)),"DIVIDEND",IF(ISNUMBER(SEARCH("Cedola",'Statements (Raw)'!D927)),"COUPON",IF(ISNUMBER(SEARCH("Ratei Pass",'Statements (Raw)'!D927)),"ACCRUED INT",IF(ISNUMBER(SEARCH("Interessi Prest",'Statements (Raw)'!D927)),"SEC LENDING",IF(ISNUMBER(SEARCH("Rimborso",'Statements (Raw)'!D927)),"REDEMPTION",IF(ISNUMBER(SEARCH("Provento",'Statements (Raw)'!D927)),"DISTRIBUTION","OTHER")))))))))))))</f>
        <v/>
      </c>
      <c r="D929" s="6" t="str">
        <f>IF(A929="","",IF(C929="Saldo Iniziale","Balance",IF(C929="CASH DEPOSIT","Deposit",IF(C929="CASH WITHDRAWAL","Withdrawal",IF(C929="STAMP DUTY","Tax",IF(C929="TOBIN TAX","Tax",IF(C929="WITHHOLDING TAX","Tax",IF(C929="DIVIDEND","Dividend",IF(C929="COUPON","Coupon",IF(C929="ACCRUED INT","Accrued Int.",IF(C929="SEC LENDING","Sec. Lending",IF(C929="REDEMPTION","Redemption",IF(C929="DISTRIBUTION","Distribution",IF(ISNUMBER(SEARCH("Rimborso",'Statements (Raw)'!D927)),"Redemption",IF(ISNUMBER(SEARCH("Cedola",'Statements (Raw)'!D927)),"Coupon",IF(ISNUMBER(SEARCH("Incasso Dividendi",'Statements (Raw)'!D927)),"Dividend",IF(ISNUMBER(SEARCH("Provento Etf",'Statements (Raw)'!D927)),"Distribution",IF(ISNUMBER(SEARCH("Rit.provento",'Statements (Raw)'!D927)),"Tax",IF(ISNUMBER(SEARCH("Ratei Pass",'Statements (Raw)'!D927)),"Accrued Int.",IF(ISNUMBER(SEARCH("Interessi Prest",'Statements (Raw)'!D927)),"Sec. Lending",IF('Statements (Raw)'!G927="","Other",IF('Statements (Raw)'!G927&gt;0,"Buy","Sell"))))))))))))))))))))))</f>
        <v/>
      </c>
      <c r="E929" s="6" t="str">
        <f t="shared" si="28"/>
        <v/>
      </c>
      <c r="F929" s="8" t="str">
        <f>IF(A929="","",IF('Statements (Raw)'!E927="","",'Statements (Raw)'!E927))</f>
        <v/>
      </c>
      <c r="G929" s="6" t="str">
        <f>IF(A929="","",IF('Statements (Raw)'!F927="","",'Statements (Raw)'!F927))</f>
        <v/>
      </c>
      <c r="H929" s="9" t="str">
        <f>IF(A929="","",IF('Statements (Raw)'!G927="","",'Statements (Raw)'!G927))</f>
        <v/>
      </c>
      <c r="I929" s="10" t="str">
        <f>IF(A929="","",IF('Statements (Raw)'!H927="","",'Statements (Raw)'!H927))</f>
        <v/>
      </c>
      <c r="J929" s="10">
        <f>IF(A929="",0,IF('Statements (Raw)'!I927="",0,'Statements (Raw)'!I927))</f>
        <v>0</v>
      </c>
      <c r="K929" s="10" t="str">
        <f t="shared" si="29"/>
        <v/>
      </c>
    </row>
    <row r="930" spans="1:11" x14ac:dyDescent="0.3">
      <c r="A930" s="171" t="str">
        <f>IF(OR('Statements (Raw)'!A928="",'Statements (Raw)'!A928&gt;Holdings!$G$3),"",'Statements (Raw)'!A928)</f>
        <v/>
      </c>
      <c r="B930" s="7" t="str">
        <f>IF(A930="","",IF('Statements (Raw)'!B928="","",'Statements (Raw)'!B928))</f>
        <v/>
      </c>
      <c r="C930" s="6" t="str">
        <f>IF(A930="","",IF('Statements (Raw)'!C928&lt;&gt;"",'Statements (Raw)'!C928,IF(ISNUMBER(SEARCH("Conferimento",'Statements (Raw)'!D928)),"CASH DEPOSIT",IF(ISNUMBER(SEARCH("Prelievo",'Statements (Raw)'!D928)),"CASH WITHDRAWAL",IF(ISNUMBER(SEARCH("Bollo",'Statements (Raw)'!D928)),"STAMP DUTY",IF(ISNUMBER(SEARCH("Tobin Tax",'Statements (Raw)'!D928)),"TOBIN TAX",IF(ISNUMBER(SEARCH("Rit.provento",'Statements (Raw)'!D928)),"WITHHOLDING TAX",IF(ISNUMBER(SEARCH("Incasso Dividendi",'Statements (Raw)'!D928)),"DIVIDEND",IF(ISNUMBER(SEARCH("Cedola",'Statements (Raw)'!D928)),"COUPON",IF(ISNUMBER(SEARCH("Ratei Pass",'Statements (Raw)'!D928)),"ACCRUED INT",IF(ISNUMBER(SEARCH("Interessi Prest",'Statements (Raw)'!D928)),"SEC LENDING",IF(ISNUMBER(SEARCH("Rimborso",'Statements (Raw)'!D928)),"REDEMPTION",IF(ISNUMBER(SEARCH("Provento",'Statements (Raw)'!D928)),"DISTRIBUTION","OTHER")))))))))))))</f>
        <v/>
      </c>
      <c r="D930" s="6" t="str">
        <f>IF(A930="","",IF(C930="Saldo Iniziale","Balance",IF(C930="CASH DEPOSIT","Deposit",IF(C930="CASH WITHDRAWAL","Withdrawal",IF(C930="STAMP DUTY","Tax",IF(C930="TOBIN TAX","Tax",IF(C930="WITHHOLDING TAX","Tax",IF(C930="DIVIDEND","Dividend",IF(C930="COUPON","Coupon",IF(C930="ACCRUED INT","Accrued Int.",IF(C930="SEC LENDING","Sec. Lending",IF(C930="REDEMPTION","Redemption",IF(C930="DISTRIBUTION","Distribution",IF(ISNUMBER(SEARCH("Rimborso",'Statements (Raw)'!D928)),"Redemption",IF(ISNUMBER(SEARCH("Cedola",'Statements (Raw)'!D928)),"Coupon",IF(ISNUMBER(SEARCH("Incasso Dividendi",'Statements (Raw)'!D928)),"Dividend",IF(ISNUMBER(SEARCH("Provento Etf",'Statements (Raw)'!D928)),"Distribution",IF(ISNUMBER(SEARCH("Rit.provento",'Statements (Raw)'!D928)),"Tax",IF(ISNUMBER(SEARCH("Ratei Pass",'Statements (Raw)'!D928)),"Accrued Int.",IF(ISNUMBER(SEARCH("Interessi Prest",'Statements (Raw)'!D928)),"Sec. Lending",IF('Statements (Raw)'!G928="","Other",IF('Statements (Raw)'!G928&gt;0,"Buy","Sell"))))))))))))))))))))))</f>
        <v/>
      </c>
      <c r="E930" s="6" t="str">
        <f t="shared" si="28"/>
        <v/>
      </c>
      <c r="F930" s="8" t="str">
        <f>IF(A930="","",IF('Statements (Raw)'!E928="","",'Statements (Raw)'!E928))</f>
        <v/>
      </c>
      <c r="G930" s="6" t="str">
        <f>IF(A930="","",IF('Statements (Raw)'!F928="","",'Statements (Raw)'!F928))</f>
        <v/>
      </c>
      <c r="H930" s="9" t="str">
        <f>IF(A930="","",IF('Statements (Raw)'!G928="","",'Statements (Raw)'!G928))</f>
        <v/>
      </c>
      <c r="I930" s="10" t="str">
        <f>IF(A930="","",IF('Statements (Raw)'!H928="","",'Statements (Raw)'!H928))</f>
        <v/>
      </c>
      <c r="J930" s="10">
        <f>IF(A930="",0,IF('Statements (Raw)'!I928="",0,'Statements (Raw)'!I928))</f>
        <v>0</v>
      </c>
      <c r="K930" s="10" t="str">
        <f t="shared" si="29"/>
        <v/>
      </c>
    </row>
    <row r="931" spans="1:11" x14ac:dyDescent="0.3">
      <c r="A931" s="171" t="str">
        <f>IF(OR('Statements (Raw)'!A929="",'Statements (Raw)'!A929&gt;Holdings!$G$3),"",'Statements (Raw)'!A929)</f>
        <v/>
      </c>
      <c r="B931" s="7" t="str">
        <f>IF(A931="","",IF('Statements (Raw)'!B929="","",'Statements (Raw)'!B929))</f>
        <v/>
      </c>
      <c r="C931" s="6" t="str">
        <f>IF(A931="","",IF('Statements (Raw)'!C929&lt;&gt;"",'Statements (Raw)'!C929,IF(ISNUMBER(SEARCH("Conferimento",'Statements (Raw)'!D929)),"CASH DEPOSIT",IF(ISNUMBER(SEARCH("Prelievo",'Statements (Raw)'!D929)),"CASH WITHDRAWAL",IF(ISNUMBER(SEARCH("Bollo",'Statements (Raw)'!D929)),"STAMP DUTY",IF(ISNUMBER(SEARCH("Tobin Tax",'Statements (Raw)'!D929)),"TOBIN TAX",IF(ISNUMBER(SEARCH("Rit.provento",'Statements (Raw)'!D929)),"WITHHOLDING TAX",IF(ISNUMBER(SEARCH("Incasso Dividendi",'Statements (Raw)'!D929)),"DIVIDEND",IF(ISNUMBER(SEARCH("Cedola",'Statements (Raw)'!D929)),"COUPON",IF(ISNUMBER(SEARCH("Ratei Pass",'Statements (Raw)'!D929)),"ACCRUED INT",IF(ISNUMBER(SEARCH("Interessi Prest",'Statements (Raw)'!D929)),"SEC LENDING",IF(ISNUMBER(SEARCH("Rimborso",'Statements (Raw)'!D929)),"REDEMPTION",IF(ISNUMBER(SEARCH("Provento",'Statements (Raw)'!D929)),"DISTRIBUTION","OTHER")))))))))))))</f>
        <v/>
      </c>
      <c r="D931" s="6" t="str">
        <f>IF(A931="","",IF(C931="Saldo Iniziale","Balance",IF(C931="CASH DEPOSIT","Deposit",IF(C931="CASH WITHDRAWAL","Withdrawal",IF(C931="STAMP DUTY","Tax",IF(C931="TOBIN TAX","Tax",IF(C931="WITHHOLDING TAX","Tax",IF(C931="DIVIDEND","Dividend",IF(C931="COUPON","Coupon",IF(C931="ACCRUED INT","Accrued Int.",IF(C931="SEC LENDING","Sec. Lending",IF(C931="REDEMPTION","Redemption",IF(C931="DISTRIBUTION","Distribution",IF(ISNUMBER(SEARCH("Rimborso",'Statements (Raw)'!D929)),"Redemption",IF(ISNUMBER(SEARCH("Cedola",'Statements (Raw)'!D929)),"Coupon",IF(ISNUMBER(SEARCH("Incasso Dividendi",'Statements (Raw)'!D929)),"Dividend",IF(ISNUMBER(SEARCH("Provento Etf",'Statements (Raw)'!D929)),"Distribution",IF(ISNUMBER(SEARCH("Rit.provento",'Statements (Raw)'!D929)),"Tax",IF(ISNUMBER(SEARCH("Ratei Pass",'Statements (Raw)'!D929)),"Accrued Int.",IF(ISNUMBER(SEARCH("Interessi Prest",'Statements (Raw)'!D929)),"Sec. Lending",IF('Statements (Raw)'!G929="","Other",IF('Statements (Raw)'!G929&gt;0,"Buy","Sell"))))))))))))))))))))))</f>
        <v/>
      </c>
      <c r="E931" s="6" t="str">
        <f t="shared" si="28"/>
        <v/>
      </c>
      <c r="F931" s="8" t="str">
        <f>IF(A931="","",IF('Statements (Raw)'!E929="","",'Statements (Raw)'!E929))</f>
        <v/>
      </c>
      <c r="G931" s="6" t="str">
        <f>IF(A931="","",IF('Statements (Raw)'!F929="","",'Statements (Raw)'!F929))</f>
        <v/>
      </c>
      <c r="H931" s="9" t="str">
        <f>IF(A931="","",IF('Statements (Raw)'!G929="","",'Statements (Raw)'!G929))</f>
        <v/>
      </c>
      <c r="I931" s="10" t="str">
        <f>IF(A931="","",IF('Statements (Raw)'!H929="","",'Statements (Raw)'!H929))</f>
        <v/>
      </c>
      <c r="J931" s="10">
        <f>IF(A931="",0,IF('Statements (Raw)'!I929="",0,'Statements (Raw)'!I929))</f>
        <v>0</v>
      </c>
      <c r="K931" s="10" t="str">
        <f t="shared" si="29"/>
        <v/>
      </c>
    </row>
    <row r="932" spans="1:11" x14ac:dyDescent="0.3">
      <c r="A932" s="171" t="str">
        <f>IF(OR('Statements (Raw)'!A930="",'Statements (Raw)'!A930&gt;Holdings!$G$3),"",'Statements (Raw)'!A930)</f>
        <v/>
      </c>
      <c r="B932" s="7" t="str">
        <f>IF(A932="","",IF('Statements (Raw)'!B930="","",'Statements (Raw)'!B930))</f>
        <v/>
      </c>
      <c r="C932" s="6" t="str">
        <f>IF(A932="","",IF('Statements (Raw)'!C930&lt;&gt;"",'Statements (Raw)'!C930,IF(ISNUMBER(SEARCH("Conferimento",'Statements (Raw)'!D930)),"CASH DEPOSIT",IF(ISNUMBER(SEARCH("Prelievo",'Statements (Raw)'!D930)),"CASH WITHDRAWAL",IF(ISNUMBER(SEARCH("Bollo",'Statements (Raw)'!D930)),"STAMP DUTY",IF(ISNUMBER(SEARCH("Tobin Tax",'Statements (Raw)'!D930)),"TOBIN TAX",IF(ISNUMBER(SEARCH("Rit.provento",'Statements (Raw)'!D930)),"WITHHOLDING TAX",IF(ISNUMBER(SEARCH("Incasso Dividendi",'Statements (Raw)'!D930)),"DIVIDEND",IF(ISNUMBER(SEARCH("Cedola",'Statements (Raw)'!D930)),"COUPON",IF(ISNUMBER(SEARCH("Ratei Pass",'Statements (Raw)'!D930)),"ACCRUED INT",IF(ISNUMBER(SEARCH("Interessi Prest",'Statements (Raw)'!D930)),"SEC LENDING",IF(ISNUMBER(SEARCH("Rimborso",'Statements (Raw)'!D930)),"REDEMPTION",IF(ISNUMBER(SEARCH("Provento",'Statements (Raw)'!D930)),"DISTRIBUTION","OTHER")))))))))))))</f>
        <v/>
      </c>
      <c r="D932" s="6" t="str">
        <f>IF(A932="","",IF(C932="Saldo Iniziale","Balance",IF(C932="CASH DEPOSIT","Deposit",IF(C932="CASH WITHDRAWAL","Withdrawal",IF(C932="STAMP DUTY","Tax",IF(C932="TOBIN TAX","Tax",IF(C932="WITHHOLDING TAX","Tax",IF(C932="DIVIDEND","Dividend",IF(C932="COUPON","Coupon",IF(C932="ACCRUED INT","Accrued Int.",IF(C932="SEC LENDING","Sec. Lending",IF(C932="REDEMPTION","Redemption",IF(C932="DISTRIBUTION","Distribution",IF(ISNUMBER(SEARCH("Rimborso",'Statements (Raw)'!D930)),"Redemption",IF(ISNUMBER(SEARCH("Cedola",'Statements (Raw)'!D930)),"Coupon",IF(ISNUMBER(SEARCH("Incasso Dividendi",'Statements (Raw)'!D930)),"Dividend",IF(ISNUMBER(SEARCH("Provento Etf",'Statements (Raw)'!D930)),"Distribution",IF(ISNUMBER(SEARCH("Rit.provento",'Statements (Raw)'!D930)),"Tax",IF(ISNUMBER(SEARCH("Ratei Pass",'Statements (Raw)'!D930)),"Accrued Int.",IF(ISNUMBER(SEARCH("Interessi Prest",'Statements (Raw)'!D930)),"Sec. Lending",IF('Statements (Raw)'!G930="","Other",IF('Statements (Raw)'!G930&gt;0,"Buy","Sell"))))))))))))))))))))))</f>
        <v/>
      </c>
      <c r="E932" s="6" t="str">
        <f t="shared" si="28"/>
        <v/>
      </c>
      <c r="F932" s="8" t="str">
        <f>IF(A932="","",IF('Statements (Raw)'!E930="","",'Statements (Raw)'!E930))</f>
        <v/>
      </c>
      <c r="G932" s="6" t="str">
        <f>IF(A932="","",IF('Statements (Raw)'!F930="","",'Statements (Raw)'!F930))</f>
        <v/>
      </c>
      <c r="H932" s="9" t="str">
        <f>IF(A932="","",IF('Statements (Raw)'!G930="","",'Statements (Raw)'!G930))</f>
        <v/>
      </c>
      <c r="I932" s="10" t="str">
        <f>IF(A932="","",IF('Statements (Raw)'!H930="","",'Statements (Raw)'!H930))</f>
        <v/>
      </c>
      <c r="J932" s="10">
        <f>IF(A932="",0,IF('Statements (Raw)'!I930="",0,'Statements (Raw)'!I930))</f>
        <v>0</v>
      </c>
      <c r="K932" s="10" t="str">
        <f t="shared" si="29"/>
        <v/>
      </c>
    </row>
    <row r="933" spans="1:11" x14ac:dyDescent="0.3">
      <c r="A933" s="171" t="str">
        <f>IF(OR('Statements (Raw)'!A931="",'Statements (Raw)'!A931&gt;Holdings!$G$3),"",'Statements (Raw)'!A931)</f>
        <v/>
      </c>
      <c r="B933" s="7" t="str">
        <f>IF(A933="","",IF('Statements (Raw)'!B931="","",'Statements (Raw)'!B931))</f>
        <v/>
      </c>
      <c r="C933" s="6" t="str">
        <f>IF(A933="","",IF('Statements (Raw)'!C931&lt;&gt;"",'Statements (Raw)'!C931,IF(ISNUMBER(SEARCH("Conferimento",'Statements (Raw)'!D931)),"CASH DEPOSIT",IF(ISNUMBER(SEARCH("Prelievo",'Statements (Raw)'!D931)),"CASH WITHDRAWAL",IF(ISNUMBER(SEARCH("Bollo",'Statements (Raw)'!D931)),"STAMP DUTY",IF(ISNUMBER(SEARCH("Tobin Tax",'Statements (Raw)'!D931)),"TOBIN TAX",IF(ISNUMBER(SEARCH("Rit.provento",'Statements (Raw)'!D931)),"WITHHOLDING TAX",IF(ISNUMBER(SEARCH("Incasso Dividendi",'Statements (Raw)'!D931)),"DIVIDEND",IF(ISNUMBER(SEARCH("Cedola",'Statements (Raw)'!D931)),"COUPON",IF(ISNUMBER(SEARCH("Ratei Pass",'Statements (Raw)'!D931)),"ACCRUED INT",IF(ISNUMBER(SEARCH("Interessi Prest",'Statements (Raw)'!D931)),"SEC LENDING",IF(ISNUMBER(SEARCH("Rimborso",'Statements (Raw)'!D931)),"REDEMPTION",IF(ISNUMBER(SEARCH("Provento",'Statements (Raw)'!D931)),"DISTRIBUTION","OTHER")))))))))))))</f>
        <v/>
      </c>
      <c r="D933" s="6" t="str">
        <f>IF(A933="","",IF(C933="Saldo Iniziale","Balance",IF(C933="CASH DEPOSIT","Deposit",IF(C933="CASH WITHDRAWAL","Withdrawal",IF(C933="STAMP DUTY","Tax",IF(C933="TOBIN TAX","Tax",IF(C933="WITHHOLDING TAX","Tax",IF(C933="DIVIDEND","Dividend",IF(C933="COUPON","Coupon",IF(C933="ACCRUED INT","Accrued Int.",IF(C933="SEC LENDING","Sec. Lending",IF(C933="REDEMPTION","Redemption",IF(C933="DISTRIBUTION","Distribution",IF(ISNUMBER(SEARCH("Rimborso",'Statements (Raw)'!D931)),"Redemption",IF(ISNUMBER(SEARCH("Cedola",'Statements (Raw)'!D931)),"Coupon",IF(ISNUMBER(SEARCH("Incasso Dividendi",'Statements (Raw)'!D931)),"Dividend",IF(ISNUMBER(SEARCH("Provento Etf",'Statements (Raw)'!D931)),"Distribution",IF(ISNUMBER(SEARCH("Rit.provento",'Statements (Raw)'!D931)),"Tax",IF(ISNUMBER(SEARCH("Ratei Pass",'Statements (Raw)'!D931)),"Accrued Int.",IF(ISNUMBER(SEARCH("Interessi Prest",'Statements (Raw)'!D931)),"Sec. Lending",IF('Statements (Raw)'!G931="","Other",IF('Statements (Raw)'!G931&gt;0,"Buy","Sell"))))))))))))))))))))))</f>
        <v/>
      </c>
      <c r="E933" s="6" t="str">
        <f t="shared" si="28"/>
        <v/>
      </c>
      <c r="F933" s="8" t="str">
        <f>IF(A933="","",IF('Statements (Raw)'!E931="","",'Statements (Raw)'!E931))</f>
        <v/>
      </c>
      <c r="G933" s="6" t="str">
        <f>IF(A933="","",IF('Statements (Raw)'!F931="","",'Statements (Raw)'!F931))</f>
        <v/>
      </c>
      <c r="H933" s="9" t="str">
        <f>IF(A933="","",IF('Statements (Raw)'!G931="","",'Statements (Raw)'!G931))</f>
        <v/>
      </c>
      <c r="I933" s="10" t="str">
        <f>IF(A933="","",IF('Statements (Raw)'!H931="","",'Statements (Raw)'!H931))</f>
        <v/>
      </c>
      <c r="J933" s="10">
        <f>IF(A933="",0,IF('Statements (Raw)'!I931="",0,'Statements (Raw)'!I931))</f>
        <v>0</v>
      </c>
      <c r="K933" s="10" t="str">
        <f t="shared" si="29"/>
        <v/>
      </c>
    </row>
    <row r="934" spans="1:11" x14ac:dyDescent="0.3">
      <c r="A934" s="171" t="str">
        <f>IF(OR('Statements (Raw)'!A932="",'Statements (Raw)'!A932&gt;Holdings!$G$3),"",'Statements (Raw)'!A932)</f>
        <v/>
      </c>
      <c r="B934" s="7" t="str">
        <f>IF(A934="","",IF('Statements (Raw)'!B932="","",'Statements (Raw)'!B932))</f>
        <v/>
      </c>
      <c r="C934" s="6" t="str">
        <f>IF(A934="","",IF('Statements (Raw)'!C932&lt;&gt;"",'Statements (Raw)'!C932,IF(ISNUMBER(SEARCH("Conferimento",'Statements (Raw)'!D932)),"CASH DEPOSIT",IF(ISNUMBER(SEARCH("Prelievo",'Statements (Raw)'!D932)),"CASH WITHDRAWAL",IF(ISNUMBER(SEARCH("Bollo",'Statements (Raw)'!D932)),"STAMP DUTY",IF(ISNUMBER(SEARCH("Tobin Tax",'Statements (Raw)'!D932)),"TOBIN TAX",IF(ISNUMBER(SEARCH("Rit.provento",'Statements (Raw)'!D932)),"WITHHOLDING TAX",IF(ISNUMBER(SEARCH("Incasso Dividendi",'Statements (Raw)'!D932)),"DIVIDEND",IF(ISNUMBER(SEARCH("Cedola",'Statements (Raw)'!D932)),"COUPON",IF(ISNUMBER(SEARCH("Ratei Pass",'Statements (Raw)'!D932)),"ACCRUED INT",IF(ISNUMBER(SEARCH("Interessi Prest",'Statements (Raw)'!D932)),"SEC LENDING",IF(ISNUMBER(SEARCH("Rimborso",'Statements (Raw)'!D932)),"REDEMPTION",IF(ISNUMBER(SEARCH("Provento",'Statements (Raw)'!D932)),"DISTRIBUTION","OTHER")))))))))))))</f>
        <v/>
      </c>
      <c r="D934" s="6" t="str">
        <f>IF(A934="","",IF(C934="Saldo Iniziale","Balance",IF(C934="CASH DEPOSIT","Deposit",IF(C934="CASH WITHDRAWAL","Withdrawal",IF(C934="STAMP DUTY","Tax",IF(C934="TOBIN TAX","Tax",IF(C934="WITHHOLDING TAX","Tax",IF(C934="DIVIDEND","Dividend",IF(C934="COUPON","Coupon",IF(C934="ACCRUED INT","Accrued Int.",IF(C934="SEC LENDING","Sec. Lending",IF(C934="REDEMPTION","Redemption",IF(C934="DISTRIBUTION","Distribution",IF(ISNUMBER(SEARCH("Rimborso",'Statements (Raw)'!D932)),"Redemption",IF(ISNUMBER(SEARCH("Cedola",'Statements (Raw)'!D932)),"Coupon",IF(ISNUMBER(SEARCH("Incasso Dividendi",'Statements (Raw)'!D932)),"Dividend",IF(ISNUMBER(SEARCH("Provento Etf",'Statements (Raw)'!D932)),"Distribution",IF(ISNUMBER(SEARCH("Rit.provento",'Statements (Raw)'!D932)),"Tax",IF(ISNUMBER(SEARCH("Ratei Pass",'Statements (Raw)'!D932)),"Accrued Int.",IF(ISNUMBER(SEARCH("Interessi Prest",'Statements (Raw)'!D932)),"Sec. Lending",IF('Statements (Raw)'!G932="","Other",IF('Statements (Raw)'!G932&gt;0,"Buy","Sell"))))))))))))))))))))))</f>
        <v/>
      </c>
      <c r="E934" s="6" t="str">
        <f t="shared" si="28"/>
        <v/>
      </c>
      <c r="F934" s="8" t="str">
        <f>IF(A934="","",IF('Statements (Raw)'!E932="","",'Statements (Raw)'!E932))</f>
        <v/>
      </c>
      <c r="G934" s="6" t="str">
        <f>IF(A934="","",IF('Statements (Raw)'!F932="","",'Statements (Raw)'!F932))</f>
        <v/>
      </c>
      <c r="H934" s="9" t="str">
        <f>IF(A934="","",IF('Statements (Raw)'!G932="","",'Statements (Raw)'!G932))</f>
        <v/>
      </c>
      <c r="I934" s="10" t="str">
        <f>IF(A934="","",IF('Statements (Raw)'!H932="","",'Statements (Raw)'!H932))</f>
        <v/>
      </c>
      <c r="J934" s="10">
        <f>IF(A934="",0,IF('Statements (Raw)'!I932="",0,'Statements (Raw)'!I932))</f>
        <v>0</v>
      </c>
      <c r="K934" s="10" t="str">
        <f t="shared" si="29"/>
        <v/>
      </c>
    </row>
    <row r="935" spans="1:11" x14ac:dyDescent="0.3">
      <c r="A935" s="171" t="str">
        <f>IF(OR('Statements (Raw)'!A933="",'Statements (Raw)'!A933&gt;Holdings!$G$3),"",'Statements (Raw)'!A933)</f>
        <v/>
      </c>
      <c r="B935" s="7" t="str">
        <f>IF(A935="","",IF('Statements (Raw)'!B933="","",'Statements (Raw)'!B933))</f>
        <v/>
      </c>
      <c r="C935" s="6" t="str">
        <f>IF(A935="","",IF('Statements (Raw)'!C933&lt;&gt;"",'Statements (Raw)'!C933,IF(ISNUMBER(SEARCH("Conferimento",'Statements (Raw)'!D933)),"CASH DEPOSIT",IF(ISNUMBER(SEARCH("Prelievo",'Statements (Raw)'!D933)),"CASH WITHDRAWAL",IF(ISNUMBER(SEARCH("Bollo",'Statements (Raw)'!D933)),"STAMP DUTY",IF(ISNUMBER(SEARCH("Tobin Tax",'Statements (Raw)'!D933)),"TOBIN TAX",IF(ISNUMBER(SEARCH("Rit.provento",'Statements (Raw)'!D933)),"WITHHOLDING TAX",IF(ISNUMBER(SEARCH("Incasso Dividendi",'Statements (Raw)'!D933)),"DIVIDEND",IF(ISNUMBER(SEARCH("Cedola",'Statements (Raw)'!D933)),"COUPON",IF(ISNUMBER(SEARCH("Ratei Pass",'Statements (Raw)'!D933)),"ACCRUED INT",IF(ISNUMBER(SEARCH("Interessi Prest",'Statements (Raw)'!D933)),"SEC LENDING",IF(ISNUMBER(SEARCH("Rimborso",'Statements (Raw)'!D933)),"REDEMPTION",IF(ISNUMBER(SEARCH("Provento",'Statements (Raw)'!D933)),"DISTRIBUTION","OTHER")))))))))))))</f>
        <v/>
      </c>
      <c r="D935" s="6" t="str">
        <f>IF(A935="","",IF(C935="Saldo Iniziale","Balance",IF(C935="CASH DEPOSIT","Deposit",IF(C935="CASH WITHDRAWAL","Withdrawal",IF(C935="STAMP DUTY","Tax",IF(C935="TOBIN TAX","Tax",IF(C935="WITHHOLDING TAX","Tax",IF(C935="DIVIDEND","Dividend",IF(C935="COUPON","Coupon",IF(C935="ACCRUED INT","Accrued Int.",IF(C935="SEC LENDING","Sec. Lending",IF(C935="REDEMPTION","Redemption",IF(C935="DISTRIBUTION","Distribution",IF(ISNUMBER(SEARCH("Rimborso",'Statements (Raw)'!D933)),"Redemption",IF(ISNUMBER(SEARCH("Cedola",'Statements (Raw)'!D933)),"Coupon",IF(ISNUMBER(SEARCH("Incasso Dividendi",'Statements (Raw)'!D933)),"Dividend",IF(ISNUMBER(SEARCH("Provento Etf",'Statements (Raw)'!D933)),"Distribution",IF(ISNUMBER(SEARCH("Rit.provento",'Statements (Raw)'!D933)),"Tax",IF(ISNUMBER(SEARCH("Ratei Pass",'Statements (Raw)'!D933)),"Accrued Int.",IF(ISNUMBER(SEARCH("Interessi Prest",'Statements (Raw)'!D933)),"Sec. Lending",IF('Statements (Raw)'!G933="","Other",IF('Statements (Raw)'!G933&gt;0,"Buy","Sell"))))))))))))))))))))))</f>
        <v/>
      </c>
      <c r="E935" s="6" t="str">
        <f t="shared" si="28"/>
        <v/>
      </c>
      <c r="F935" s="8" t="str">
        <f>IF(A935="","",IF('Statements (Raw)'!E933="","",'Statements (Raw)'!E933))</f>
        <v/>
      </c>
      <c r="G935" s="6" t="str">
        <f>IF(A935="","",IF('Statements (Raw)'!F933="","",'Statements (Raw)'!F933))</f>
        <v/>
      </c>
      <c r="H935" s="9" t="str">
        <f>IF(A935="","",IF('Statements (Raw)'!G933="","",'Statements (Raw)'!G933))</f>
        <v/>
      </c>
      <c r="I935" s="10" t="str">
        <f>IF(A935="","",IF('Statements (Raw)'!H933="","",'Statements (Raw)'!H933))</f>
        <v/>
      </c>
      <c r="J935" s="10">
        <f>IF(A935="",0,IF('Statements (Raw)'!I933="",0,'Statements (Raw)'!I933))</f>
        <v>0</v>
      </c>
      <c r="K935" s="10" t="str">
        <f t="shared" si="29"/>
        <v/>
      </c>
    </row>
    <row r="936" spans="1:11" x14ac:dyDescent="0.3">
      <c r="A936" s="171" t="str">
        <f>IF(OR('Statements (Raw)'!A934="",'Statements (Raw)'!A934&gt;Holdings!$G$3),"",'Statements (Raw)'!A934)</f>
        <v/>
      </c>
      <c r="B936" s="7" t="str">
        <f>IF(A936="","",IF('Statements (Raw)'!B934="","",'Statements (Raw)'!B934))</f>
        <v/>
      </c>
      <c r="C936" s="6" t="str">
        <f>IF(A936="","",IF('Statements (Raw)'!C934&lt;&gt;"",'Statements (Raw)'!C934,IF(ISNUMBER(SEARCH("Conferimento",'Statements (Raw)'!D934)),"CASH DEPOSIT",IF(ISNUMBER(SEARCH("Prelievo",'Statements (Raw)'!D934)),"CASH WITHDRAWAL",IF(ISNUMBER(SEARCH("Bollo",'Statements (Raw)'!D934)),"STAMP DUTY",IF(ISNUMBER(SEARCH("Tobin Tax",'Statements (Raw)'!D934)),"TOBIN TAX",IF(ISNUMBER(SEARCH("Rit.provento",'Statements (Raw)'!D934)),"WITHHOLDING TAX",IF(ISNUMBER(SEARCH("Incasso Dividendi",'Statements (Raw)'!D934)),"DIVIDEND",IF(ISNUMBER(SEARCH("Cedola",'Statements (Raw)'!D934)),"COUPON",IF(ISNUMBER(SEARCH("Ratei Pass",'Statements (Raw)'!D934)),"ACCRUED INT",IF(ISNUMBER(SEARCH("Interessi Prest",'Statements (Raw)'!D934)),"SEC LENDING",IF(ISNUMBER(SEARCH("Rimborso",'Statements (Raw)'!D934)),"REDEMPTION",IF(ISNUMBER(SEARCH("Provento",'Statements (Raw)'!D934)),"DISTRIBUTION","OTHER")))))))))))))</f>
        <v/>
      </c>
      <c r="D936" s="6" t="str">
        <f>IF(A936="","",IF(C936="Saldo Iniziale","Balance",IF(C936="CASH DEPOSIT","Deposit",IF(C936="CASH WITHDRAWAL","Withdrawal",IF(C936="STAMP DUTY","Tax",IF(C936="TOBIN TAX","Tax",IF(C936="WITHHOLDING TAX","Tax",IF(C936="DIVIDEND","Dividend",IF(C936="COUPON","Coupon",IF(C936="ACCRUED INT","Accrued Int.",IF(C936="SEC LENDING","Sec. Lending",IF(C936="REDEMPTION","Redemption",IF(C936="DISTRIBUTION","Distribution",IF(ISNUMBER(SEARCH("Rimborso",'Statements (Raw)'!D934)),"Redemption",IF(ISNUMBER(SEARCH("Cedola",'Statements (Raw)'!D934)),"Coupon",IF(ISNUMBER(SEARCH("Incasso Dividendi",'Statements (Raw)'!D934)),"Dividend",IF(ISNUMBER(SEARCH("Provento Etf",'Statements (Raw)'!D934)),"Distribution",IF(ISNUMBER(SEARCH("Rit.provento",'Statements (Raw)'!D934)),"Tax",IF(ISNUMBER(SEARCH("Ratei Pass",'Statements (Raw)'!D934)),"Accrued Int.",IF(ISNUMBER(SEARCH("Interessi Prest",'Statements (Raw)'!D934)),"Sec. Lending",IF('Statements (Raw)'!G934="","Other",IF('Statements (Raw)'!G934&gt;0,"Buy","Sell"))))))))))))))))))))))</f>
        <v/>
      </c>
      <c r="E936" s="6" t="str">
        <f t="shared" si="28"/>
        <v/>
      </c>
      <c r="F936" s="8" t="str">
        <f>IF(A936="","",IF('Statements (Raw)'!E934="","",'Statements (Raw)'!E934))</f>
        <v/>
      </c>
      <c r="G936" s="6" t="str">
        <f>IF(A936="","",IF('Statements (Raw)'!F934="","",'Statements (Raw)'!F934))</f>
        <v/>
      </c>
      <c r="H936" s="9" t="str">
        <f>IF(A936="","",IF('Statements (Raw)'!G934="","",'Statements (Raw)'!G934))</f>
        <v/>
      </c>
      <c r="I936" s="10" t="str">
        <f>IF(A936="","",IF('Statements (Raw)'!H934="","",'Statements (Raw)'!H934))</f>
        <v/>
      </c>
      <c r="J936" s="10">
        <f>IF(A936="",0,IF('Statements (Raw)'!I934="",0,'Statements (Raw)'!I934))</f>
        <v>0</v>
      </c>
      <c r="K936" s="10" t="str">
        <f t="shared" si="29"/>
        <v/>
      </c>
    </row>
    <row r="937" spans="1:11" x14ac:dyDescent="0.3">
      <c r="A937" s="171" t="str">
        <f>IF(OR('Statements (Raw)'!A935="",'Statements (Raw)'!A935&gt;Holdings!$G$3),"",'Statements (Raw)'!A935)</f>
        <v/>
      </c>
      <c r="B937" s="7" t="str">
        <f>IF(A937="","",IF('Statements (Raw)'!B935="","",'Statements (Raw)'!B935))</f>
        <v/>
      </c>
      <c r="C937" s="6" t="str">
        <f>IF(A937="","",IF('Statements (Raw)'!C935&lt;&gt;"",'Statements (Raw)'!C935,IF(ISNUMBER(SEARCH("Conferimento",'Statements (Raw)'!D935)),"CASH DEPOSIT",IF(ISNUMBER(SEARCH("Prelievo",'Statements (Raw)'!D935)),"CASH WITHDRAWAL",IF(ISNUMBER(SEARCH("Bollo",'Statements (Raw)'!D935)),"STAMP DUTY",IF(ISNUMBER(SEARCH("Tobin Tax",'Statements (Raw)'!D935)),"TOBIN TAX",IF(ISNUMBER(SEARCH("Rit.provento",'Statements (Raw)'!D935)),"WITHHOLDING TAX",IF(ISNUMBER(SEARCH("Incasso Dividendi",'Statements (Raw)'!D935)),"DIVIDEND",IF(ISNUMBER(SEARCH("Cedola",'Statements (Raw)'!D935)),"COUPON",IF(ISNUMBER(SEARCH("Ratei Pass",'Statements (Raw)'!D935)),"ACCRUED INT",IF(ISNUMBER(SEARCH("Interessi Prest",'Statements (Raw)'!D935)),"SEC LENDING",IF(ISNUMBER(SEARCH("Rimborso",'Statements (Raw)'!D935)),"REDEMPTION",IF(ISNUMBER(SEARCH("Provento",'Statements (Raw)'!D935)),"DISTRIBUTION","OTHER")))))))))))))</f>
        <v/>
      </c>
      <c r="D937" s="6" t="str">
        <f>IF(A937="","",IF(C937="Saldo Iniziale","Balance",IF(C937="CASH DEPOSIT","Deposit",IF(C937="CASH WITHDRAWAL","Withdrawal",IF(C937="STAMP DUTY","Tax",IF(C937="TOBIN TAX","Tax",IF(C937="WITHHOLDING TAX","Tax",IF(C937="DIVIDEND","Dividend",IF(C937="COUPON","Coupon",IF(C937="ACCRUED INT","Accrued Int.",IF(C937="SEC LENDING","Sec. Lending",IF(C937="REDEMPTION","Redemption",IF(C937="DISTRIBUTION","Distribution",IF(ISNUMBER(SEARCH("Rimborso",'Statements (Raw)'!D935)),"Redemption",IF(ISNUMBER(SEARCH("Cedola",'Statements (Raw)'!D935)),"Coupon",IF(ISNUMBER(SEARCH("Incasso Dividendi",'Statements (Raw)'!D935)),"Dividend",IF(ISNUMBER(SEARCH("Provento Etf",'Statements (Raw)'!D935)),"Distribution",IF(ISNUMBER(SEARCH("Rit.provento",'Statements (Raw)'!D935)),"Tax",IF(ISNUMBER(SEARCH("Ratei Pass",'Statements (Raw)'!D935)),"Accrued Int.",IF(ISNUMBER(SEARCH("Interessi Prest",'Statements (Raw)'!D935)),"Sec. Lending",IF('Statements (Raw)'!G935="","Other",IF('Statements (Raw)'!G935&gt;0,"Buy","Sell"))))))))))))))))))))))</f>
        <v/>
      </c>
      <c r="E937" s="6" t="str">
        <f t="shared" si="28"/>
        <v/>
      </c>
      <c r="F937" s="8" t="str">
        <f>IF(A937="","",IF('Statements (Raw)'!E935="","",'Statements (Raw)'!E935))</f>
        <v/>
      </c>
      <c r="G937" s="6" t="str">
        <f>IF(A937="","",IF('Statements (Raw)'!F935="","",'Statements (Raw)'!F935))</f>
        <v/>
      </c>
      <c r="H937" s="9" t="str">
        <f>IF(A937="","",IF('Statements (Raw)'!G935="","",'Statements (Raw)'!G935))</f>
        <v/>
      </c>
      <c r="I937" s="10" t="str">
        <f>IF(A937="","",IF('Statements (Raw)'!H935="","",'Statements (Raw)'!H935))</f>
        <v/>
      </c>
      <c r="J937" s="10">
        <f>IF(A937="",0,IF('Statements (Raw)'!I935="",0,'Statements (Raw)'!I935))</f>
        <v>0</v>
      </c>
      <c r="K937" s="10" t="str">
        <f t="shared" si="29"/>
        <v/>
      </c>
    </row>
    <row r="938" spans="1:11" x14ac:dyDescent="0.3">
      <c r="A938" s="171" t="str">
        <f>IF(OR('Statements (Raw)'!A936="",'Statements (Raw)'!A936&gt;Holdings!$G$3),"",'Statements (Raw)'!A936)</f>
        <v/>
      </c>
      <c r="B938" s="7" t="str">
        <f>IF(A938="","",IF('Statements (Raw)'!B936="","",'Statements (Raw)'!B936))</f>
        <v/>
      </c>
      <c r="C938" s="6" t="str">
        <f>IF(A938="","",IF('Statements (Raw)'!C936&lt;&gt;"",'Statements (Raw)'!C936,IF(ISNUMBER(SEARCH("Conferimento",'Statements (Raw)'!D936)),"CASH DEPOSIT",IF(ISNUMBER(SEARCH("Prelievo",'Statements (Raw)'!D936)),"CASH WITHDRAWAL",IF(ISNUMBER(SEARCH("Bollo",'Statements (Raw)'!D936)),"STAMP DUTY",IF(ISNUMBER(SEARCH("Tobin Tax",'Statements (Raw)'!D936)),"TOBIN TAX",IF(ISNUMBER(SEARCH("Rit.provento",'Statements (Raw)'!D936)),"WITHHOLDING TAX",IF(ISNUMBER(SEARCH("Incasso Dividendi",'Statements (Raw)'!D936)),"DIVIDEND",IF(ISNUMBER(SEARCH("Cedola",'Statements (Raw)'!D936)),"COUPON",IF(ISNUMBER(SEARCH("Ratei Pass",'Statements (Raw)'!D936)),"ACCRUED INT",IF(ISNUMBER(SEARCH("Interessi Prest",'Statements (Raw)'!D936)),"SEC LENDING",IF(ISNUMBER(SEARCH("Rimborso",'Statements (Raw)'!D936)),"REDEMPTION",IF(ISNUMBER(SEARCH("Provento",'Statements (Raw)'!D936)),"DISTRIBUTION","OTHER")))))))))))))</f>
        <v/>
      </c>
      <c r="D938" s="6" t="str">
        <f>IF(A938="","",IF(C938="Saldo Iniziale","Balance",IF(C938="CASH DEPOSIT","Deposit",IF(C938="CASH WITHDRAWAL","Withdrawal",IF(C938="STAMP DUTY","Tax",IF(C938="TOBIN TAX","Tax",IF(C938="WITHHOLDING TAX","Tax",IF(C938="DIVIDEND","Dividend",IF(C938="COUPON","Coupon",IF(C938="ACCRUED INT","Accrued Int.",IF(C938="SEC LENDING","Sec. Lending",IF(C938="REDEMPTION","Redemption",IF(C938="DISTRIBUTION","Distribution",IF(ISNUMBER(SEARCH("Rimborso",'Statements (Raw)'!D936)),"Redemption",IF(ISNUMBER(SEARCH("Cedola",'Statements (Raw)'!D936)),"Coupon",IF(ISNUMBER(SEARCH("Incasso Dividendi",'Statements (Raw)'!D936)),"Dividend",IF(ISNUMBER(SEARCH("Provento Etf",'Statements (Raw)'!D936)),"Distribution",IF(ISNUMBER(SEARCH("Rit.provento",'Statements (Raw)'!D936)),"Tax",IF(ISNUMBER(SEARCH("Ratei Pass",'Statements (Raw)'!D936)),"Accrued Int.",IF(ISNUMBER(SEARCH("Interessi Prest",'Statements (Raw)'!D936)),"Sec. Lending",IF('Statements (Raw)'!G936="","Other",IF('Statements (Raw)'!G936&gt;0,"Buy","Sell"))))))))))))))))))))))</f>
        <v/>
      </c>
      <c r="E938" s="6" t="str">
        <f t="shared" si="28"/>
        <v/>
      </c>
      <c r="F938" s="8" t="str">
        <f>IF(A938="","",IF('Statements (Raw)'!E936="","",'Statements (Raw)'!E936))</f>
        <v/>
      </c>
      <c r="G938" s="6" t="str">
        <f>IF(A938="","",IF('Statements (Raw)'!F936="","",'Statements (Raw)'!F936))</f>
        <v/>
      </c>
      <c r="H938" s="9" t="str">
        <f>IF(A938="","",IF('Statements (Raw)'!G936="","",'Statements (Raw)'!G936))</f>
        <v/>
      </c>
      <c r="I938" s="10" t="str">
        <f>IF(A938="","",IF('Statements (Raw)'!H936="","",'Statements (Raw)'!H936))</f>
        <v/>
      </c>
      <c r="J938" s="10">
        <f>IF(A938="",0,IF('Statements (Raw)'!I936="",0,'Statements (Raw)'!I936))</f>
        <v>0</v>
      </c>
      <c r="K938" s="10" t="str">
        <f t="shared" si="29"/>
        <v/>
      </c>
    </row>
    <row r="939" spans="1:11" x14ac:dyDescent="0.3">
      <c r="A939" s="171" t="str">
        <f>IF(OR('Statements (Raw)'!A937="",'Statements (Raw)'!A937&gt;Holdings!$G$3),"",'Statements (Raw)'!A937)</f>
        <v/>
      </c>
      <c r="B939" s="7" t="str">
        <f>IF(A939="","",IF('Statements (Raw)'!B937="","",'Statements (Raw)'!B937))</f>
        <v/>
      </c>
      <c r="C939" s="6" t="str">
        <f>IF(A939="","",IF('Statements (Raw)'!C937&lt;&gt;"",'Statements (Raw)'!C937,IF(ISNUMBER(SEARCH("Conferimento",'Statements (Raw)'!D937)),"CASH DEPOSIT",IF(ISNUMBER(SEARCH("Prelievo",'Statements (Raw)'!D937)),"CASH WITHDRAWAL",IF(ISNUMBER(SEARCH("Bollo",'Statements (Raw)'!D937)),"STAMP DUTY",IF(ISNUMBER(SEARCH("Tobin Tax",'Statements (Raw)'!D937)),"TOBIN TAX",IF(ISNUMBER(SEARCH("Rit.provento",'Statements (Raw)'!D937)),"WITHHOLDING TAX",IF(ISNUMBER(SEARCH("Incasso Dividendi",'Statements (Raw)'!D937)),"DIVIDEND",IF(ISNUMBER(SEARCH("Cedola",'Statements (Raw)'!D937)),"COUPON",IF(ISNUMBER(SEARCH("Ratei Pass",'Statements (Raw)'!D937)),"ACCRUED INT",IF(ISNUMBER(SEARCH("Interessi Prest",'Statements (Raw)'!D937)),"SEC LENDING",IF(ISNUMBER(SEARCH("Rimborso",'Statements (Raw)'!D937)),"REDEMPTION",IF(ISNUMBER(SEARCH("Provento",'Statements (Raw)'!D937)),"DISTRIBUTION","OTHER")))))))))))))</f>
        <v/>
      </c>
      <c r="D939" s="6" t="str">
        <f>IF(A939="","",IF(C939="Saldo Iniziale","Balance",IF(C939="CASH DEPOSIT","Deposit",IF(C939="CASH WITHDRAWAL","Withdrawal",IF(C939="STAMP DUTY","Tax",IF(C939="TOBIN TAX","Tax",IF(C939="WITHHOLDING TAX","Tax",IF(C939="DIVIDEND","Dividend",IF(C939="COUPON","Coupon",IF(C939="ACCRUED INT","Accrued Int.",IF(C939="SEC LENDING","Sec. Lending",IF(C939="REDEMPTION","Redemption",IF(C939="DISTRIBUTION","Distribution",IF(ISNUMBER(SEARCH("Rimborso",'Statements (Raw)'!D937)),"Redemption",IF(ISNUMBER(SEARCH("Cedola",'Statements (Raw)'!D937)),"Coupon",IF(ISNUMBER(SEARCH("Incasso Dividendi",'Statements (Raw)'!D937)),"Dividend",IF(ISNUMBER(SEARCH("Provento Etf",'Statements (Raw)'!D937)),"Distribution",IF(ISNUMBER(SEARCH("Rit.provento",'Statements (Raw)'!D937)),"Tax",IF(ISNUMBER(SEARCH("Ratei Pass",'Statements (Raw)'!D937)),"Accrued Int.",IF(ISNUMBER(SEARCH("Interessi Prest",'Statements (Raw)'!D937)),"Sec. Lending",IF('Statements (Raw)'!G937="","Other",IF('Statements (Raw)'!G937&gt;0,"Buy","Sell"))))))))))))))))))))))</f>
        <v/>
      </c>
      <c r="E939" s="6" t="str">
        <f t="shared" si="28"/>
        <v/>
      </c>
      <c r="F939" s="8" t="str">
        <f>IF(A939="","",IF('Statements (Raw)'!E937="","",'Statements (Raw)'!E937))</f>
        <v/>
      </c>
      <c r="G939" s="6" t="str">
        <f>IF(A939="","",IF('Statements (Raw)'!F937="","",'Statements (Raw)'!F937))</f>
        <v/>
      </c>
      <c r="H939" s="9" t="str">
        <f>IF(A939="","",IF('Statements (Raw)'!G937="","",'Statements (Raw)'!G937))</f>
        <v/>
      </c>
      <c r="I939" s="10" t="str">
        <f>IF(A939="","",IF('Statements (Raw)'!H937="","",'Statements (Raw)'!H937))</f>
        <v/>
      </c>
      <c r="J939" s="10">
        <f>IF(A939="",0,IF('Statements (Raw)'!I937="",0,'Statements (Raw)'!I937))</f>
        <v>0</v>
      </c>
      <c r="K939" s="10" t="str">
        <f t="shared" si="29"/>
        <v/>
      </c>
    </row>
    <row r="940" spans="1:11" x14ac:dyDescent="0.3">
      <c r="A940" s="171" t="str">
        <f>IF(OR('Statements (Raw)'!A938="",'Statements (Raw)'!A938&gt;Holdings!$G$3),"",'Statements (Raw)'!A938)</f>
        <v/>
      </c>
      <c r="B940" s="7" t="str">
        <f>IF(A940="","",IF('Statements (Raw)'!B938="","",'Statements (Raw)'!B938))</f>
        <v/>
      </c>
      <c r="C940" s="6" t="str">
        <f>IF(A940="","",IF('Statements (Raw)'!C938&lt;&gt;"",'Statements (Raw)'!C938,IF(ISNUMBER(SEARCH("Conferimento",'Statements (Raw)'!D938)),"CASH DEPOSIT",IF(ISNUMBER(SEARCH("Prelievo",'Statements (Raw)'!D938)),"CASH WITHDRAWAL",IF(ISNUMBER(SEARCH("Bollo",'Statements (Raw)'!D938)),"STAMP DUTY",IF(ISNUMBER(SEARCH("Tobin Tax",'Statements (Raw)'!D938)),"TOBIN TAX",IF(ISNUMBER(SEARCH("Rit.provento",'Statements (Raw)'!D938)),"WITHHOLDING TAX",IF(ISNUMBER(SEARCH("Incasso Dividendi",'Statements (Raw)'!D938)),"DIVIDEND",IF(ISNUMBER(SEARCH("Cedola",'Statements (Raw)'!D938)),"COUPON",IF(ISNUMBER(SEARCH("Ratei Pass",'Statements (Raw)'!D938)),"ACCRUED INT",IF(ISNUMBER(SEARCH("Interessi Prest",'Statements (Raw)'!D938)),"SEC LENDING",IF(ISNUMBER(SEARCH("Rimborso",'Statements (Raw)'!D938)),"REDEMPTION",IF(ISNUMBER(SEARCH("Provento",'Statements (Raw)'!D938)),"DISTRIBUTION","OTHER")))))))))))))</f>
        <v/>
      </c>
      <c r="D940" s="6" t="str">
        <f>IF(A940="","",IF(C940="Saldo Iniziale","Balance",IF(C940="CASH DEPOSIT","Deposit",IF(C940="CASH WITHDRAWAL","Withdrawal",IF(C940="STAMP DUTY","Tax",IF(C940="TOBIN TAX","Tax",IF(C940="WITHHOLDING TAX","Tax",IF(C940="DIVIDEND","Dividend",IF(C940="COUPON","Coupon",IF(C940="ACCRUED INT","Accrued Int.",IF(C940="SEC LENDING","Sec. Lending",IF(C940="REDEMPTION","Redemption",IF(C940="DISTRIBUTION","Distribution",IF(ISNUMBER(SEARCH("Rimborso",'Statements (Raw)'!D938)),"Redemption",IF(ISNUMBER(SEARCH("Cedola",'Statements (Raw)'!D938)),"Coupon",IF(ISNUMBER(SEARCH("Incasso Dividendi",'Statements (Raw)'!D938)),"Dividend",IF(ISNUMBER(SEARCH("Provento Etf",'Statements (Raw)'!D938)),"Distribution",IF(ISNUMBER(SEARCH("Rit.provento",'Statements (Raw)'!D938)),"Tax",IF(ISNUMBER(SEARCH("Ratei Pass",'Statements (Raw)'!D938)),"Accrued Int.",IF(ISNUMBER(SEARCH("Interessi Prest",'Statements (Raw)'!D938)),"Sec. Lending",IF('Statements (Raw)'!G938="","Other",IF('Statements (Raw)'!G938&gt;0,"Buy","Sell"))))))))))))))))))))))</f>
        <v/>
      </c>
      <c r="E940" s="6" t="str">
        <f t="shared" si="28"/>
        <v/>
      </c>
      <c r="F940" s="8" t="str">
        <f>IF(A940="","",IF('Statements (Raw)'!E938="","",'Statements (Raw)'!E938))</f>
        <v/>
      </c>
      <c r="G940" s="6" t="str">
        <f>IF(A940="","",IF('Statements (Raw)'!F938="","",'Statements (Raw)'!F938))</f>
        <v/>
      </c>
      <c r="H940" s="9" t="str">
        <f>IF(A940="","",IF('Statements (Raw)'!G938="","",'Statements (Raw)'!G938))</f>
        <v/>
      </c>
      <c r="I940" s="10" t="str">
        <f>IF(A940="","",IF('Statements (Raw)'!H938="","",'Statements (Raw)'!H938))</f>
        <v/>
      </c>
      <c r="J940" s="10">
        <f>IF(A940="",0,IF('Statements (Raw)'!I938="",0,'Statements (Raw)'!I938))</f>
        <v>0</v>
      </c>
      <c r="K940" s="10" t="str">
        <f t="shared" si="29"/>
        <v/>
      </c>
    </row>
    <row r="941" spans="1:11" x14ac:dyDescent="0.3">
      <c r="A941" s="171" t="str">
        <f>IF(OR('Statements (Raw)'!A939="",'Statements (Raw)'!A939&gt;Holdings!$G$3),"",'Statements (Raw)'!A939)</f>
        <v/>
      </c>
      <c r="B941" s="7" t="str">
        <f>IF(A941="","",IF('Statements (Raw)'!B939="","",'Statements (Raw)'!B939))</f>
        <v/>
      </c>
      <c r="C941" s="6" t="str">
        <f>IF(A941="","",IF('Statements (Raw)'!C939&lt;&gt;"",'Statements (Raw)'!C939,IF(ISNUMBER(SEARCH("Conferimento",'Statements (Raw)'!D939)),"CASH DEPOSIT",IF(ISNUMBER(SEARCH("Prelievo",'Statements (Raw)'!D939)),"CASH WITHDRAWAL",IF(ISNUMBER(SEARCH("Bollo",'Statements (Raw)'!D939)),"STAMP DUTY",IF(ISNUMBER(SEARCH("Tobin Tax",'Statements (Raw)'!D939)),"TOBIN TAX",IF(ISNUMBER(SEARCH("Rit.provento",'Statements (Raw)'!D939)),"WITHHOLDING TAX",IF(ISNUMBER(SEARCH("Incasso Dividendi",'Statements (Raw)'!D939)),"DIVIDEND",IF(ISNUMBER(SEARCH("Cedola",'Statements (Raw)'!D939)),"COUPON",IF(ISNUMBER(SEARCH("Ratei Pass",'Statements (Raw)'!D939)),"ACCRUED INT",IF(ISNUMBER(SEARCH("Interessi Prest",'Statements (Raw)'!D939)),"SEC LENDING",IF(ISNUMBER(SEARCH("Rimborso",'Statements (Raw)'!D939)),"REDEMPTION",IF(ISNUMBER(SEARCH("Provento",'Statements (Raw)'!D939)),"DISTRIBUTION","OTHER")))))))))))))</f>
        <v/>
      </c>
      <c r="D941" s="6" t="str">
        <f>IF(A941="","",IF(C941="Saldo Iniziale","Balance",IF(C941="CASH DEPOSIT","Deposit",IF(C941="CASH WITHDRAWAL","Withdrawal",IF(C941="STAMP DUTY","Tax",IF(C941="TOBIN TAX","Tax",IF(C941="WITHHOLDING TAX","Tax",IF(C941="DIVIDEND","Dividend",IF(C941="COUPON","Coupon",IF(C941="ACCRUED INT","Accrued Int.",IF(C941="SEC LENDING","Sec. Lending",IF(C941="REDEMPTION","Redemption",IF(C941="DISTRIBUTION","Distribution",IF(ISNUMBER(SEARCH("Rimborso",'Statements (Raw)'!D939)),"Redemption",IF(ISNUMBER(SEARCH("Cedola",'Statements (Raw)'!D939)),"Coupon",IF(ISNUMBER(SEARCH("Incasso Dividendi",'Statements (Raw)'!D939)),"Dividend",IF(ISNUMBER(SEARCH("Provento Etf",'Statements (Raw)'!D939)),"Distribution",IF(ISNUMBER(SEARCH("Rit.provento",'Statements (Raw)'!D939)),"Tax",IF(ISNUMBER(SEARCH("Ratei Pass",'Statements (Raw)'!D939)),"Accrued Int.",IF(ISNUMBER(SEARCH("Interessi Prest",'Statements (Raw)'!D939)),"Sec. Lending",IF('Statements (Raw)'!G939="","Other",IF('Statements (Raw)'!G939&gt;0,"Buy","Sell"))))))))))))))))))))))</f>
        <v/>
      </c>
      <c r="E941" s="6" t="str">
        <f t="shared" si="28"/>
        <v/>
      </c>
      <c r="F941" s="8" t="str">
        <f>IF(A941="","",IF('Statements (Raw)'!E939="","",'Statements (Raw)'!E939))</f>
        <v/>
      </c>
      <c r="G941" s="6" t="str">
        <f>IF(A941="","",IF('Statements (Raw)'!F939="","",'Statements (Raw)'!F939))</f>
        <v/>
      </c>
      <c r="H941" s="9" t="str">
        <f>IF(A941="","",IF('Statements (Raw)'!G939="","",'Statements (Raw)'!G939))</f>
        <v/>
      </c>
      <c r="I941" s="10" t="str">
        <f>IF(A941="","",IF('Statements (Raw)'!H939="","",'Statements (Raw)'!H939))</f>
        <v/>
      </c>
      <c r="J941" s="10">
        <f>IF(A941="",0,IF('Statements (Raw)'!I939="",0,'Statements (Raw)'!I939))</f>
        <v>0</v>
      </c>
      <c r="K941" s="10" t="str">
        <f t="shared" si="29"/>
        <v/>
      </c>
    </row>
    <row r="942" spans="1:11" x14ac:dyDescent="0.3">
      <c r="A942" s="171" t="str">
        <f>IF(OR('Statements (Raw)'!A940="",'Statements (Raw)'!A940&gt;Holdings!$G$3),"",'Statements (Raw)'!A940)</f>
        <v/>
      </c>
      <c r="B942" s="7" t="str">
        <f>IF(A942="","",IF('Statements (Raw)'!B940="","",'Statements (Raw)'!B940))</f>
        <v/>
      </c>
      <c r="C942" s="6" t="str">
        <f>IF(A942="","",IF('Statements (Raw)'!C940&lt;&gt;"",'Statements (Raw)'!C940,IF(ISNUMBER(SEARCH("Conferimento",'Statements (Raw)'!D940)),"CASH DEPOSIT",IF(ISNUMBER(SEARCH("Prelievo",'Statements (Raw)'!D940)),"CASH WITHDRAWAL",IF(ISNUMBER(SEARCH("Bollo",'Statements (Raw)'!D940)),"STAMP DUTY",IF(ISNUMBER(SEARCH("Tobin Tax",'Statements (Raw)'!D940)),"TOBIN TAX",IF(ISNUMBER(SEARCH("Rit.provento",'Statements (Raw)'!D940)),"WITHHOLDING TAX",IF(ISNUMBER(SEARCH("Incasso Dividendi",'Statements (Raw)'!D940)),"DIVIDEND",IF(ISNUMBER(SEARCH("Cedola",'Statements (Raw)'!D940)),"COUPON",IF(ISNUMBER(SEARCH("Ratei Pass",'Statements (Raw)'!D940)),"ACCRUED INT",IF(ISNUMBER(SEARCH("Interessi Prest",'Statements (Raw)'!D940)),"SEC LENDING",IF(ISNUMBER(SEARCH("Rimborso",'Statements (Raw)'!D940)),"REDEMPTION",IF(ISNUMBER(SEARCH("Provento",'Statements (Raw)'!D940)),"DISTRIBUTION","OTHER")))))))))))))</f>
        <v/>
      </c>
      <c r="D942" s="6" t="str">
        <f>IF(A942="","",IF(C942="Saldo Iniziale","Balance",IF(C942="CASH DEPOSIT","Deposit",IF(C942="CASH WITHDRAWAL","Withdrawal",IF(C942="STAMP DUTY","Tax",IF(C942="TOBIN TAX","Tax",IF(C942="WITHHOLDING TAX","Tax",IF(C942="DIVIDEND","Dividend",IF(C942="COUPON","Coupon",IF(C942="ACCRUED INT","Accrued Int.",IF(C942="SEC LENDING","Sec. Lending",IF(C942="REDEMPTION","Redemption",IF(C942="DISTRIBUTION","Distribution",IF(ISNUMBER(SEARCH("Rimborso",'Statements (Raw)'!D940)),"Redemption",IF(ISNUMBER(SEARCH("Cedola",'Statements (Raw)'!D940)),"Coupon",IF(ISNUMBER(SEARCH("Incasso Dividendi",'Statements (Raw)'!D940)),"Dividend",IF(ISNUMBER(SEARCH("Provento Etf",'Statements (Raw)'!D940)),"Distribution",IF(ISNUMBER(SEARCH("Rit.provento",'Statements (Raw)'!D940)),"Tax",IF(ISNUMBER(SEARCH("Ratei Pass",'Statements (Raw)'!D940)),"Accrued Int.",IF(ISNUMBER(SEARCH("Interessi Prest",'Statements (Raw)'!D940)),"Sec. Lending",IF('Statements (Raw)'!G940="","Other",IF('Statements (Raw)'!G940&gt;0,"Buy","Sell"))))))))))))))))))))))</f>
        <v/>
      </c>
      <c r="E942" s="6" t="str">
        <f t="shared" si="28"/>
        <v/>
      </c>
      <c r="F942" s="8" t="str">
        <f>IF(A942="","",IF('Statements (Raw)'!E940="","",'Statements (Raw)'!E940))</f>
        <v/>
      </c>
      <c r="G942" s="6" t="str">
        <f>IF(A942="","",IF('Statements (Raw)'!F940="","",'Statements (Raw)'!F940))</f>
        <v/>
      </c>
      <c r="H942" s="9" t="str">
        <f>IF(A942="","",IF('Statements (Raw)'!G940="","",'Statements (Raw)'!G940))</f>
        <v/>
      </c>
      <c r="I942" s="10" t="str">
        <f>IF(A942="","",IF('Statements (Raw)'!H940="","",'Statements (Raw)'!H940))</f>
        <v/>
      </c>
      <c r="J942" s="10">
        <f>IF(A942="",0,IF('Statements (Raw)'!I940="",0,'Statements (Raw)'!I940))</f>
        <v>0</v>
      </c>
      <c r="K942" s="10" t="str">
        <f t="shared" si="29"/>
        <v/>
      </c>
    </row>
    <row r="943" spans="1:11" x14ac:dyDescent="0.3">
      <c r="A943" s="171" t="str">
        <f>IF(OR('Statements (Raw)'!A941="",'Statements (Raw)'!A941&gt;Holdings!$G$3),"",'Statements (Raw)'!A941)</f>
        <v/>
      </c>
      <c r="B943" s="7" t="str">
        <f>IF(A943="","",IF('Statements (Raw)'!B941="","",'Statements (Raw)'!B941))</f>
        <v/>
      </c>
      <c r="C943" s="6" t="str">
        <f>IF(A943="","",IF('Statements (Raw)'!C941&lt;&gt;"",'Statements (Raw)'!C941,IF(ISNUMBER(SEARCH("Conferimento",'Statements (Raw)'!D941)),"CASH DEPOSIT",IF(ISNUMBER(SEARCH("Prelievo",'Statements (Raw)'!D941)),"CASH WITHDRAWAL",IF(ISNUMBER(SEARCH("Bollo",'Statements (Raw)'!D941)),"STAMP DUTY",IF(ISNUMBER(SEARCH("Tobin Tax",'Statements (Raw)'!D941)),"TOBIN TAX",IF(ISNUMBER(SEARCH("Rit.provento",'Statements (Raw)'!D941)),"WITHHOLDING TAX",IF(ISNUMBER(SEARCH("Incasso Dividendi",'Statements (Raw)'!D941)),"DIVIDEND",IF(ISNUMBER(SEARCH("Cedola",'Statements (Raw)'!D941)),"COUPON",IF(ISNUMBER(SEARCH("Ratei Pass",'Statements (Raw)'!D941)),"ACCRUED INT",IF(ISNUMBER(SEARCH("Interessi Prest",'Statements (Raw)'!D941)),"SEC LENDING",IF(ISNUMBER(SEARCH("Rimborso",'Statements (Raw)'!D941)),"REDEMPTION",IF(ISNUMBER(SEARCH("Provento",'Statements (Raw)'!D941)),"DISTRIBUTION","OTHER")))))))))))))</f>
        <v/>
      </c>
      <c r="D943" s="6" t="str">
        <f>IF(A943="","",IF(C943="Saldo Iniziale","Balance",IF(C943="CASH DEPOSIT","Deposit",IF(C943="CASH WITHDRAWAL","Withdrawal",IF(C943="STAMP DUTY","Tax",IF(C943="TOBIN TAX","Tax",IF(C943="WITHHOLDING TAX","Tax",IF(C943="DIVIDEND","Dividend",IF(C943="COUPON","Coupon",IF(C943="ACCRUED INT","Accrued Int.",IF(C943="SEC LENDING","Sec. Lending",IF(C943="REDEMPTION","Redemption",IF(C943="DISTRIBUTION","Distribution",IF(ISNUMBER(SEARCH("Rimborso",'Statements (Raw)'!D941)),"Redemption",IF(ISNUMBER(SEARCH("Cedola",'Statements (Raw)'!D941)),"Coupon",IF(ISNUMBER(SEARCH("Incasso Dividendi",'Statements (Raw)'!D941)),"Dividend",IF(ISNUMBER(SEARCH("Provento Etf",'Statements (Raw)'!D941)),"Distribution",IF(ISNUMBER(SEARCH("Rit.provento",'Statements (Raw)'!D941)),"Tax",IF(ISNUMBER(SEARCH("Ratei Pass",'Statements (Raw)'!D941)),"Accrued Int.",IF(ISNUMBER(SEARCH("Interessi Prest",'Statements (Raw)'!D941)),"Sec. Lending",IF('Statements (Raw)'!G941="","Other",IF('Statements (Raw)'!G941&gt;0,"Buy","Sell"))))))))))))))))))))))</f>
        <v/>
      </c>
      <c r="E943" s="6" t="str">
        <f t="shared" si="28"/>
        <v/>
      </c>
      <c r="F943" s="8" t="str">
        <f>IF(A943="","",IF('Statements (Raw)'!E941="","",'Statements (Raw)'!E941))</f>
        <v/>
      </c>
      <c r="G943" s="6" t="str">
        <f>IF(A943="","",IF('Statements (Raw)'!F941="","",'Statements (Raw)'!F941))</f>
        <v/>
      </c>
      <c r="H943" s="9" t="str">
        <f>IF(A943="","",IF('Statements (Raw)'!G941="","",'Statements (Raw)'!G941))</f>
        <v/>
      </c>
      <c r="I943" s="10" t="str">
        <f>IF(A943="","",IF('Statements (Raw)'!H941="","",'Statements (Raw)'!H941))</f>
        <v/>
      </c>
      <c r="J943" s="10">
        <f>IF(A943="",0,IF('Statements (Raw)'!I941="",0,'Statements (Raw)'!I941))</f>
        <v>0</v>
      </c>
      <c r="K943" s="10" t="str">
        <f t="shared" si="29"/>
        <v/>
      </c>
    </row>
    <row r="944" spans="1:11" x14ac:dyDescent="0.3">
      <c r="A944" s="171" t="str">
        <f>IF(OR('Statements (Raw)'!A942="",'Statements (Raw)'!A942&gt;Holdings!$G$3),"",'Statements (Raw)'!A942)</f>
        <v/>
      </c>
      <c r="B944" s="7" t="str">
        <f>IF(A944="","",IF('Statements (Raw)'!B942="","",'Statements (Raw)'!B942))</f>
        <v/>
      </c>
      <c r="C944" s="6" t="str">
        <f>IF(A944="","",IF('Statements (Raw)'!C942&lt;&gt;"",'Statements (Raw)'!C942,IF(ISNUMBER(SEARCH("Conferimento",'Statements (Raw)'!D942)),"CASH DEPOSIT",IF(ISNUMBER(SEARCH("Prelievo",'Statements (Raw)'!D942)),"CASH WITHDRAWAL",IF(ISNUMBER(SEARCH("Bollo",'Statements (Raw)'!D942)),"STAMP DUTY",IF(ISNUMBER(SEARCH("Tobin Tax",'Statements (Raw)'!D942)),"TOBIN TAX",IF(ISNUMBER(SEARCH("Rit.provento",'Statements (Raw)'!D942)),"WITHHOLDING TAX",IF(ISNUMBER(SEARCH("Incasso Dividendi",'Statements (Raw)'!D942)),"DIVIDEND",IF(ISNUMBER(SEARCH("Cedola",'Statements (Raw)'!D942)),"COUPON",IF(ISNUMBER(SEARCH("Ratei Pass",'Statements (Raw)'!D942)),"ACCRUED INT",IF(ISNUMBER(SEARCH("Interessi Prest",'Statements (Raw)'!D942)),"SEC LENDING",IF(ISNUMBER(SEARCH("Rimborso",'Statements (Raw)'!D942)),"REDEMPTION",IF(ISNUMBER(SEARCH("Provento",'Statements (Raw)'!D942)),"DISTRIBUTION","OTHER")))))))))))))</f>
        <v/>
      </c>
      <c r="D944" s="6" t="str">
        <f>IF(A944="","",IF(C944="Saldo Iniziale","Balance",IF(C944="CASH DEPOSIT","Deposit",IF(C944="CASH WITHDRAWAL","Withdrawal",IF(C944="STAMP DUTY","Tax",IF(C944="TOBIN TAX","Tax",IF(C944="WITHHOLDING TAX","Tax",IF(C944="DIVIDEND","Dividend",IF(C944="COUPON","Coupon",IF(C944="ACCRUED INT","Accrued Int.",IF(C944="SEC LENDING","Sec. Lending",IF(C944="REDEMPTION","Redemption",IF(C944="DISTRIBUTION","Distribution",IF(ISNUMBER(SEARCH("Rimborso",'Statements (Raw)'!D942)),"Redemption",IF(ISNUMBER(SEARCH("Cedola",'Statements (Raw)'!D942)),"Coupon",IF(ISNUMBER(SEARCH("Incasso Dividendi",'Statements (Raw)'!D942)),"Dividend",IF(ISNUMBER(SEARCH("Provento Etf",'Statements (Raw)'!D942)),"Distribution",IF(ISNUMBER(SEARCH("Rit.provento",'Statements (Raw)'!D942)),"Tax",IF(ISNUMBER(SEARCH("Ratei Pass",'Statements (Raw)'!D942)),"Accrued Int.",IF(ISNUMBER(SEARCH("Interessi Prest",'Statements (Raw)'!D942)),"Sec. Lending",IF('Statements (Raw)'!G942="","Other",IF('Statements (Raw)'!G942&gt;0,"Buy","Sell"))))))))))))))))))))))</f>
        <v/>
      </c>
      <c r="E944" s="6" t="str">
        <f t="shared" si="28"/>
        <v/>
      </c>
      <c r="F944" s="8" t="str">
        <f>IF(A944="","",IF('Statements (Raw)'!E942="","",'Statements (Raw)'!E942))</f>
        <v/>
      </c>
      <c r="G944" s="6" t="str">
        <f>IF(A944="","",IF('Statements (Raw)'!F942="","",'Statements (Raw)'!F942))</f>
        <v/>
      </c>
      <c r="H944" s="9" t="str">
        <f>IF(A944="","",IF('Statements (Raw)'!G942="","",'Statements (Raw)'!G942))</f>
        <v/>
      </c>
      <c r="I944" s="10" t="str">
        <f>IF(A944="","",IF('Statements (Raw)'!H942="","",'Statements (Raw)'!H942))</f>
        <v/>
      </c>
      <c r="J944" s="10">
        <f>IF(A944="",0,IF('Statements (Raw)'!I942="",0,'Statements (Raw)'!I942))</f>
        <v>0</v>
      </c>
      <c r="K944" s="10" t="str">
        <f t="shared" si="29"/>
        <v/>
      </c>
    </row>
    <row r="945" spans="1:11" x14ac:dyDescent="0.3">
      <c r="A945" s="171" t="str">
        <f>IF(OR('Statements (Raw)'!A943="",'Statements (Raw)'!A943&gt;Holdings!$G$3),"",'Statements (Raw)'!A943)</f>
        <v/>
      </c>
      <c r="B945" s="7" t="str">
        <f>IF(A945="","",IF('Statements (Raw)'!B943="","",'Statements (Raw)'!B943))</f>
        <v/>
      </c>
      <c r="C945" s="6" t="str">
        <f>IF(A945="","",IF('Statements (Raw)'!C943&lt;&gt;"",'Statements (Raw)'!C943,IF(ISNUMBER(SEARCH("Conferimento",'Statements (Raw)'!D943)),"CASH DEPOSIT",IF(ISNUMBER(SEARCH("Prelievo",'Statements (Raw)'!D943)),"CASH WITHDRAWAL",IF(ISNUMBER(SEARCH("Bollo",'Statements (Raw)'!D943)),"STAMP DUTY",IF(ISNUMBER(SEARCH("Tobin Tax",'Statements (Raw)'!D943)),"TOBIN TAX",IF(ISNUMBER(SEARCH("Rit.provento",'Statements (Raw)'!D943)),"WITHHOLDING TAX",IF(ISNUMBER(SEARCH("Incasso Dividendi",'Statements (Raw)'!D943)),"DIVIDEND",IF(ISNUMBER(SEARCH("Cedola",'Statements (Raw)'!D943)),"COUPON",IF(ISNUMBER(SEARCH("Ratei Pass",'Statements (Raw)'!D943)),"ACCRUED INT",IF(ISNUMBER(SEARCH("Interessi Prest",'Statements (Raw)'!D943)),"SEC LENDING",IF(ISNUMBER(SEARCH("Rimborso",'Statements (Raw)'!D943)),"REDEMPTION",IF(ISNUMBER(SEARCH("Provento",'Statements (Raw)'!D943)),"DISTRIBUTION","OTHER")))))))))))))</f>
        <v/>
      </c>
      <c r="D945" s="6" t="str">
        <f>IF(A945="","",IF(C945="Saldo Iniziale","Balance",IF(C945="CASH DEPOSIT","Deposit",IF(C945="CASH WITHDRAWAL","Withdrawal",IF(C945="STAMP DUTY","Tax",IF(C945="TOBIN TAX","Tax",IF(C945="WITHHOLDING TAX","Tax",IF(C945="DIVIDEND","Dividend",IF(C945="COUPON","Coupon",IF(C945="ACCRUED INT","Accrued Int.",IF(C945="SEC LENDING","Sec. Lending",IF(C945="REDEMPTION","Redemption",IF(C945="DISTRIBUTION","Distribution",IF(ISNUMBER(SEARCH("Rimborso",'Statements (Raw)'!D943)),"Redemption",IF(ISNUMBER(SEARCH("Cedola",'Statements (Raw)'!D943)),"Coupon",IF(ISNUMBER(SEARCH("Incasso Dividendi",'Statements (Raw)'!D943)),"Dividend",IF(ISNUMBER(SEARCH("Provento Etf",'Statements (Raw)'!D943)),"Distribution",IF(ISNUMBER(SEARCH("Rit.provento",'Statements (Raw)'!D943)),"Tax",IF(ISNUMBER(SEARCH("Ratei Pass",'Statements (Raw)'!D943)),"Accrued Int.",IF(ISNUMBER(SEARCH("Interessi Prest",'Statements (Raw)'!D943)),"Sec. Lending",IF('Statements (Raw)'!G943="","Other",IF('Statements (Raw)'!G943&gt;0,"Buy","Sell"))))))))))))))))))))))</f>
        <v/>
      </c>
      <c r="E945" s="6" t="str">
        <f t="shared" si="28"/>
        <v/>
      </c>
      <c r="F945" s="8" t="str">
        <f>IF(A945="","",IF('Statements (Raw)'!E943="","",'Statements (Raw)'!E943))</f>
        <v/>
      </c>
      <c r="G945" s="6" t="str">
        <f>IF(A945="","",IF('Statements (Raw)'!F943="","",'Statements (Raw)'!F943))</f>
        <v/>
      </c>
      <c r="H945" s="9" t="str">
        <f>IF(A945="","",IF('Statements (Raw)'!G943="","",'Statements (Raw)'!G943))</f>
        <v/>
      </c>
      <c r="I945" s="10" t="str">
        <f>IF(A945="","",IF('Statements (Raw)'!H943="","",'Statements (Raw)'!H943))</f>
        <v/>
      </c>
      <c r="J945" s="10">
        <f>IF(A945="",0,IF('Statements (Raw)'!I943="",0,'Statements (Raw)'!I943))</f>
        <v>0</v>
      </c>
      <c r="K945" s="10" t="str">
        <f t="shared" si="29"/>
        <v/>
      </c>
    </row>
    <row r="946" spans="1:11" x14ac:dyDescent="0.3">
      <c r="A946" s="171" t="str">
        <f>IF(OR('Statements (Raw)'!A944="",'Statements (Raw)'!A944&gt;Holdings!$G$3),"",'Statements (Raw)'!A944)</f>
        <v/>
      </c>
      <c r="B946" s="7" t="str">
        <f>IF(A946="","",IF('Statements (Raw)'!B944="","",'Statements (Raw)'!B944))</f>
        <v/>
      </c>
      <c r="C946" s="6" t="str">
        <f>IF(A946="","",IF('Statements (Raw)'!C944&lt;&gt;"",'Statements (Raw)'!C944,IF(ISNUMBER(SEARCH("Conferimento",'Statements (Raw)'!D944)),"CASH DEPOSIT",IF(ISNUMBER(SEARCH("Prelievo",'Statements (Raw)'!D944)),"CASH WITHDRAWAL",IF(ISNUMBER(SEARCH("Bollo",'Statements (Raw)'!D944)),"STAMP DUTY",IF(ISNUMBER(SEARCH("Tobin Tax",'Statements (Raw)'!D944)),"TOBIN TAX",IF(ISNUMBER(SEARCH("Rit.provento",'Statements (Raw)'!D944)),"WITHHOLDING TAX",IF(ISNUMBER(SEARCH("Incasso Dividendi",'Statements (Raw)'!D944)),"DIVIDEND",IF(ISNUMBER(SEARCH("Cedola",'Statements (Raw)'!D944)),"COUPON",IF(ISNUMBER(SEARCH("Ratei Pass",'Statements (Raw)'!D944)),"ACCRUED INT",IF(ISNUMBER(SEARCH("Interessi Prest",'Statements (Raw)'!D944)),"SEC LENDING",IF(ISNUMBER(SEARCH("Rimborso",'Statements (Raw)'!D944)),"REDEMPTION",IF(ISNUMBER(SEARCH("Provento",'Statements (Raw)'!D944)),"DISTRIBUTION","OTHER")))))))))))))</f>
        <v/>
      </c>
      <c r="D946" s="6" t="str">
        <f>IF(A946="","",IF(C946="Saldo Iniziale","Balance",IF(C946="CASH DEPOSIT","Deposit",IF(C946="CASH WITHDRAWAL","Withdrawal",IF(C946="STAMP DUTY","Tax",IF(C946="TOBIN TAX","Tax",IF(C946="WITHHOLDING TAX","Tax",IF(C946="DIVIDEND","Dividend",IF(C946="COUPON","Coupon",IF(C946="ACCRUED INT","Accrued Int.",IF(C946="SEC LENDING","Sec. Lending",IF(C946="REDEMPTION","Redemption",IF(C946="DISTRIBUTION","Distribution",IF(ISNUMBER(SEARCH("Rimborso",'Statements (Raw)'!D944)),"Redemption",IF(ISNUMBER(SEARCH("Cedola",'Statements (Raw)'!D944)),"Coupon",IF(ISNUMBER(SEARCH("Incasso Dividendi",'Statements (Raw)'!D944)),"Dividend",IF(ISNUMBER(SEARCH("Provento Etf",'Statements (Raw)'!D944)),"Distribution",IF(ISNUMBER(SEARCH("Rit.provento",'Statements (Raw)'!D944)),"Tax",IF(ISNUMBER(SEARCH("Ratei Pass",'Statements (Raw)'!D944)),"Accrued Int.",IF(ISNUMBER(SEARCH("Interessi Prest",'Statements (Raw)'!D944)),"Sec. Lending",IF('Statements (Raw)'!G944="","Other",IF('Statements (Raw)'!G944&gt;0,"Buy","Sell"))))))))))))))))))))))</f>
        <v/>
      </c>
      <c r="E946" s="6" t="str">
        <f t="shared" si="28"/>
        <v/>
      </c>
      <c r="F946" s="8" t="str">
        <f>IF(A946="","",IF('Statements (Raw)'!E944="","",'Statements (Raw)'!E944))</f>
        <v/>
      </c>
      <c r="G946" s="6" t="str">
        <f>IF(A946="","",IF('Statements (Raw)'!F944="","",'Statements (Raw)'!F944))</f>
        <v/>
      </c>
      <c r="H946" s="9" t="str">
        <f>IF(A946="","",IF('Statements (Raw)'!G944="","",'Statements (Raw)'!G944))</f>
        <v/>
      </c>
      <c r="I946" s="10" t="str">
        <f>IF(A946="","",IF('Statements (Raw)'!H944="","",'Statements (Raw)'!H944))</f>
        <v/>
      </c>
      <c r="J946" s="10">
        <f>IF(A946="",0,IF('Statements (Raw)'!I944="",0,'Statements (Raw)'!I944))</f>
        <v>0</v>
      </c>
      <c r="K946" s="10" t="str">
        <f t="shared" si="29"/>
        <v/>
      </c>
    </row>
    <row r="947" spans="1:11" x14ac:dyDescent="0.3">
      <c r="A947" s="171" t="str">
        <f>IF(OR('Statements (Raw)'!A945="",'Statements (Raw)'!A945&gt;Holdings!$G$3),"",'Statements (Raw)'!A945)</f>
        <v/>
      </c>
      <c r="B947" s="7" t="str">
        <f>IF(A947="","",IF('Statements (Raw)'!B945="","",'Statements (Raw)'!B945))</f>
        <v/>
      </c>
      <c r="C947" s="6" t="str">
        <f>IF(A947="","",IF('Statements (Raw)'!C945&lt;&gt;"",'Statements (Raw)'!C945,IF(ISNUMBER(SEARCH("Conferimento",'Statements (Raw)'!D945)),"CASH DEPOSIT",IF(ISNUMBER(SEARCH("Prelievo",'Statements (Raw)'!D945)),"CASH WITHDRAWAL",IF(ISNUMBER(SEARCH("Bollo",'Statements (Raw)'!D945)),"STAMP DUTY",IF(ISNUMBER(SEARCH("Tobin Tax",'Statements (Raw)'!D945)),"TOBIN TAX",IF(ISNUMBER(SEARCH("Rit.provento",'Statements (Raw)'!D945)),"WITHHOLDING TAX",IF(ISNUMBER(SEARCH("Incasso Dividendi",'Statements (Raw)'!D945)),"DIVIDEND",IF(ISNUMBER(SEARCH("Cedola",'Statements (Raw)'!D945)),"COUPON",IF(ISNUMBER(SEARCH("Ratei Pass",'Statements (Raw)'!D945)),"ACCRUED INT",IF(ISNUMBER(SEARCH("Interessi Prest",'Statements (Raw)'!D945)),"SEC LENDING",IF(ISNUMBER(SEARCH("Rimborso",'Statements (Raw)'!D945)),"REDEMPTION",IF(ISNUMBER(SEARCH("Provento",'Statements (Raw)'!D945)),"DISTRIBUTION","OTHER")))))))))))))</f>
        <v/>
      </c>
      <c r="D947" s="6" t="str">
        <f>IF(A947="","",IF(C947="Saldo Iniziale","Balance",IF(C947="CASH DEPOSIT","Deposit",IF(C947="CASH WITHDRAWAL","Withdrawal",IF(C947="STAMP DUTY","Tax",IF(C947="TOBIN TAX","Tax",IF(C947="WITHHOLDING TAX","Tax",IF(C947="DIVIDEND","Dividend",IF(C947="COUPON","Coupon",IF(C947="ACCRUED INT","Accrued Int.",IF(C947="SEC LENDING","Sec. Lending",IF(C947="REDEMPTION","Redemption",IF(C947="DISTRIBUTION","Distribution",IF(ISNUMBER(SEARCH("Rimborso",'Statements (Raw)'!D945)),"Redemption",IF(ISNUMBER(SEARCH("Cedola",'Statements (Raw)'!D945)),"Coupon",IF(ISNUMBER(SEARCH("Incasso Dividendi",'Statements (Raw)'!D945)),"Dividend",IF(ISNUMBER(SEARCH("Provento Etf",'Statements (Raw)'!D945)),"Distribution",IF(ISNUMBER(SEARCH("Rit.provento",'Statements (Raw)'!D945)),"Tax",IF(ISNUMBER(SEARCH("Ratei Pass",'Statements (Raw)'!D945)),"Accrued Int.",IF(ISNUMBER(SEARCH("Interessi Prest",'Statements (Raw)'!D945)),"Sec. Lending",IF('Statements (Raw)'!G945="","Other",IF('Statements (Raw)'!G945&gt;0,"Buy","Sell"))))))))))))))))))))))</f>
        <v/>
      </c>
      <c r="E947" s="6" t="str">
        <f t="shared" si="28"/>
        <v/>
      </c>
      <c r="F947" s="8" t="str">
        <f>IF(A947="","",IF('Statements (Raw)'!E945="","",'Statements (Raw)'!E945))</f>
        <v/>
      </c>
      <c r="G947" s="6" t="str">
        <f>IF(A947="","",IF('Statements (Raw)'!F945="","",'Statements (Raw)'!F945))</f>
        <v/>
      </c>
      <c r="H947" s="9" t="str">
        <f>IF(A947="","",IF('Statements (Raw)'!G945="","",'Statements (Raw)'!G945))</f>
        <v/>
      </c>
      <c r="I947" s="10" t="str">
        <f>IF(A947="","",IF('Statements (Raw)'!H945="","",'Statements (Raw)'!H945))</f>
        <v/>
      </c>
      <c r="J947" s="10">
        <f>IF(A947="",0,IF('Statements (Raw)'!I945="",0,'Statements (Raw)'!I945))</f>
        <v>0</v>
      </c>
      <c r="K947" s="10" t="str">
        <f t="shared" si="29"/>
        <v/>
      </c>
    </row>
    <row r="948" spans="1:11" x14ac:dyDescent="0.3">
      <c r="A948" s="171" t="str">
        <f>IF(OR('Statements (Raw)'!A946="",'Statements (Raw)'!A946&gt;Holdings!$G$3),"",'Statements (Raw)'!A946)</f>
        <v/>
      </c>
      <c r="B948" s="7" t="str">
        <f>IF(A948="","",IF('Statements (Raw)'!B946="","",'Statements (Raw)'!B946))</f>
        <v/>
      </c>
      <c r="C948" s="6" t="str">
        <f>IF(A948="","",IF('Statements (Raw)'!C946&lt;&gt;"",'Statements (Raw)'!C946,IF(ISNUMBER(SEARCH("Conferimento",'Statements (Raw)'!D946)),"CASH DEPOSIT",IF(ISNUMBER(SEARCH("Prelievo",'Statements (Raw)'!D946)),"CASH WITHDRAWAL",IF(ISNUMBER(SEARCH("Bollo",'Statements (Raw)'!D946)),"STAMP DUTY",IF(ISNUMBER(SEARCH("Tobin Tax",'Statements (Raw)'!D946)),"TOBIN TAX",IF(ISNUMBER(SEARCH("Rit.provento",'Statements (Raw)'!D946)),"WITHHOLDING TAX",IF(ISNUMBER(SEARCH("Incasso Dividendi",'Statements (Raw)'!D946)),"DIVIDEND",IF(ISNUMBER(SEARCH("Cedola",'Statements (Raw)'!D946)),"COUPON",IF(ISNUMBER(SEARCH("Ratei Pass",'Statements (Raw)'!D946)),"ACCRUED INT",IF(ISNUMBER(SEARCH("Interessi Prest",'Statements (Raw)'!D946)),"SEC LENDING",IF(ISNUMBER(SEARCH("Rimborso",'Statements (Raw)'!D946)),"REDEMPTION",IF(ISNUMBER(SEARCH("Provento",'Statements (Raw)'!D946)),"DISTRIBUTION","OTHER")))))))))))))</f>
        <v/>
      </c>
      <c r="D948" s="6" t="str">
        <f>IF(A948="","",IF(C948="Saldo Iniziale","Balance",IF(C948="CASH DEPOSIT","Deposit",IF(C948="CASH WITHDRAWAL","Withdrawal",IF(C948="STAMP DUTY","Tax",IF(C948="TOBIN TAX","Tax",IF(C948="WITHHOLDING TAX","Tax",IF(C948="DIVIDEND","Dividend",IF(C948="COUPON","Coupon",IF(C948="ACCRUED INT","Accrued Int.",IF(C948="SEC LENDING","Sec. Lending",IF(C948="REDEMPTION","Redemption",IF(C948="DISTRIBUTION","Distribution",IF(ISNUMBER(SEARCH("Rimborso",'Statements (Raw)'!D946)),"Redemption",IF(ISNUMBER(SEARCH("Cedola",'Statements (Raw)'!D946)),"Coupon",IF(ISNUMBER(SEARCH("Incasso Dividendi",'Statements (Raw)'!D946)),"Dividend",IF(ISNUMBER(SEARCH("Provento Etf",'Statements (Raw)'!D946)),"Distribution",IF(ISNUMBER(SEARCH("Rit.provento",'Statements (Raw)'!D946)),"Tax",IF(ISNUMBER(SEARCH("Ratei Pass",'Statements (Raw)'!D946)),"Accrued Int.",IF(ISNUMBER(SEARCH("Interessi Prest",'Statements (Raw)'!D946)),"Sec. Lending",IF('Statements (Raw)'!G946="","Other",IF('Statements (Raw)'!G946&gt;0,"Buy","Sell"))))))))))))))))))))))</f>
        <v/>
      </c>
      <c r="E948" s="6" t="str">
        <f t="shared" si="28"/>
        <v/>
      </c>
      <c r="F948" s="8" t="str">
        <f>IF(A948="","",IF('Statements (Raw)'!E946="","",'Statements (Raw)'!E946))</f>
        <v/>
      </c>
      <c r="G948" s="6" t="str">
        <f>IF(A948="","",IF('Statements (Raw)'!F946="","",'Statements (Raw)'!F946))</f>
        <v/>
      </c>
      <c r="H948" s="9" t="str">
        <f>IF(A948="","",IF('Statements (Raw)'!G946="","",'Statements (Raw)'!G946))</f>
        <v/>
      </c>
      <c r="I948" s="10" t="str">
        <f>IF(A948="","",IF('Statements (Raw)'!H946="","",'Statements (Raw)'!H946))</f>
        <v/>
      </c>
      <c r="J948" s="10">
        <f>IF(A948="",0,IF('Statements (Raw)'!I946="",0,'Statements (Raw)'!I946))</f>
        <v>0</v>
      </c>
      <c r="K948" s="10" t="str">
        <f t="shared" si="29"/>
        <v/>
      </c>
    </row>
    <row r="949" spans="1:11" x14ac:dyDescent="0.3">
      <c r="A949" s="171" t="str">
        <f>IF(OR('Statements (Raw)'!A947="",'Statements (Raw)'!A947&gt;Holdings!$G$3),"",'Statements (Raw)'!A947)</f>
        <v/>
      </c>
      <c r="B949" s="7" t="str">
        <f>IF(A949="","",IF('Statements (Raw)'!B947="","",'Statements (Raw)'!B947))</f>
        <v/>
      </c>
      <c r="C949" s="6" t="str">
        <f>IF(A949="","",IF('Statements (Raw)'!C947&lt;&gt;"",'Statements (Raw)'!C947,IF(ISNUMBER(SEARCH("Conferimento",'Statements (Raw)'!D947)),"CASH DEPOSIT",IF(ISNUMBER(SEARCH("Prelievo",'Statements (Raw)'!D947)),"CASH WITHDRAWAL",IF(ISNUMBER(SEARCH("Bollo",'Statements (Raw)'!D947)),"STAMP DUTY",IF(ISNUMBER(SEARCH("Tobin Tax",'Statements (Raw)'!D947)),"TOBIN TAX",IF(ISNUMBER(SEARCH("Rit.provento",'Statements (Raw)'!D947)),"WITHHOLDING TAX",IF(ISNUMBER(SEARCH("Incasso Dividendi",'Statements (Raw)'!D947)),"DIVIDEND",IF(ISNUMBER(SEARCH("Cedola",'Statements (Raw)'!D947)),"COUPON",IF(ISNUMBER(SEARCH("Ratei Pass",'Statements (Raw)'!D947)),"ACCRUED INT",IF(ISNUMBER(SEARCH("Interessi Prest",'Statements (Raw)'!D947)),"SEC LENDING",IF(ISNUMBER(SEARCH("Rimborso",'Statements (Raw)'!D947)),"REDEMPTION",IF(ISNUMBER(SEARCH("Provento",'Statements (Raw)'!D947)),"DISTRIBUTION","OTHER")))))))))))))</f>
        <v/>
      </c>
      <c r="D949" s="6" t="str">
        <f>IF(A949="","",IF(C949="Saldo Iniziale","Balance",IF(C949="CASH DEPOSIT","Deposit",IF(C949="CASH WITHDRAWAL","Withdrawal",IF(C949="STAMP DUTY","Tax",IF(C949="TOBIN TAX","Tax",IF(C949="WITHHOLDING TAX","Tax",IF(C949="DIVIDEND","Dividend",IF(C949="COUPON","Coupon",IF(C949="ACCRUED INT","Accrued Int.",IF(C949="SEC LENDING","Sec. Lending",IF(C949="REDEMPTION","Redemption",IF(C949="DISTRIBUTION","Distribution",IF(ISNUMBER(SEARCH("Rimborso",'Statements (Raw)'!D947)),"Redemption",IF(ISNUMBER(SEARCH("Cedola",'Statements (Raw)'!D947)),"Coupon",IF(ISNUMBER(SEARCH("Incasso Dividendi",'Statements (Raw)'!D947)),"Dividend",IF(ISNUMBER(SEARCH("Provento Etf",'Statements (Raw)'!D947)),"Distribution",IF(ISNUMBER(SEARCH("Rit.provento",'Statements (Raw)'!D947)),"Tax",IF(ISNUMBER(SEARCH("Ratei Pass",'Statements (Raw)'!D947)),"Accrued Int.",IF(ISNUMBER(SEARCH("Interessi Prest",'Statements (Raw)'!D947)),"Sec. Lending",IF('Statements (Raw)'!G947="","Other",IF('Statements (Raw)'!G947&gt;0,"Buy","Sell"))))))))))))))))))))))</f>
        <v/>
      </c>
      <c r="E949" s="6" t="str">
        <f t="shared" si="28"/>
        <v/>
      </c>
      <c r="F949" s="8" t="str">
        <f>IF(A949="","",IF('Statements (Raw)'!E947="","",'Statements (Raw)'!E947))</f>
        <v/>
      </c>
      <c r="G949" s="6" t="str">
        <f>IF(A949="","",IF('Statements (Raw)'!F947="","",'Statements (Raw)'!F947))</f>
        <v/>
      </c>
      <c r="H949" s="9" t="str">
        <f>IF(A949="","",IF('Statements (Raw)'!G947="","",'Statements (Raw)'!G947))</f>
        <v/>
      </c>
      <c r="I949" s="10" t="str">
        <f>IF(A949="","",IF('Statements (Raw)'!H947="","",'Statements (Raw)'!H947))</f>
        <v/>
      </c>
      <c r="J949" s="10">
        <f>IF(A949="",0,IF('Statements (Raw)'!I947="",0,'Statements (Raw)'!I947))</f>
        <v>0</v>
      </c>
      <c r="K949" s="10" t="str">
        <f t="shared" si="29"/>
        <v/>
      </c>
    </row>
    <row r="950" spans="1:11" x14ac:dyDescent="0.3">
      <c r="A950" s="171" t="str">
        <f>IF(OR('Statements (Raw)'!A948="",'Statements (Raw)'!A948&gt;Holdings!$G$3),"",'Statements (Raw)'!A948)</f>
        <v/>
      </c>
      <c r="B950" s="7" t="str">
        <f>IF(A950="","",IF('Statements (Raw)'!B948="","",'Statements (Raw)'!B948))</f>
        <v/>
      </c>
      <c r="C950" s="6" t="str">
        <f>IF(A950="","",IF('Statements (Raw)'!C948&lt;&gt;"",'Statements (Raw)'!C948,IF(ISNUMBER(SEARCH("Conferimento",'Statements (Raw)'!D948)),"CASH DEPOSIT",IF(ISNUMBER(SEARCH("Prelievo",'Statements (Raw)'!D948)),"CASH WITHDRAWAL",IF(ISNUMBER(SEARCH("Bollo",'Statements (Raw)'!D948)),"STAMP DUTY",IF(ISNUMBER(SEARCH("Tobin Tax",'Statements (Raw)'!D948)),"TOBIN TAX",IF(ISNUMBER(SEARCH("Rit.provento",'Statements (Raw)'!D948)),"WITHHOLDING TAX",IF(ISNUMBER(SEARCH("Incasso Dividendi",'Statements (Raw)'!D948)),"DIVIDEND",IF(ISNUMBER(SEARCH("Cedola",'Statements (Raw)'!D948)),"COUPON",IF(ISNUMBER(SEARCH("Ratei Pass",'Statements (Raw)'!D948)),"ACCRUED INT",IF(ISNUMBER(SEARCH("Interessi Prest",'Statements (Raw)'!D948)),"SEC LENDING",IF(ISNUMBER(SEARCH("Rimborso",'Statements (Raw)'!D948)),"REDEMPTION",IF(ISNUMBER(SEARCH("Provento",'Statements (Raw)'!D948)),"DISTRIBUTION","OTHER")))))))))))))</f>
        <v/>
      </c>
      <c r="D950" s="6" t="str">
        <f>IF(A950="","",IF(C950="Saldo Iniziale","Balance",IF(C950="CASH DEPOSIT","Deposit",IF(C950="CASH WITHDRAWAL","Withdrawal",IF(C950="STAMP DUTY","Tax",IF(C950="TOBIN TAX","Tax",IF(C950="WITHHOLDING TAX","Tax",IF(C950="DIVIDEND","Dividend",IF(C950="COUPON","Coupon",IF(C950="ACCRUED INT","Accrued Int.",IF(C950="SEC LENDING","Sec. Lending",IF(C950="REDEMPTION","Redemption",IF(C950="DISTRIBUTION","Distribution",IF(ISNUMBER(SEARCH("Rimborso",'Statements (Raw)'!D948)),"Redemption",IF(ISNUMBER(SEARCH("Cedola",'Statements (Raw)'!D948)),"Coupon",IF(ISNUMBER(SEARCH("Incasso Dividendi",'Statements (Raw)'!D948)),"Dividend",IF(ISNUMBER(SEARCH("Provento Etf",'Statements (Raw)'!D948)),"Distribution",IF(ISNUMBER(SEARCH("Rit.provento",'Statements (Raw)'!D948)),"Tax",IF(ISNUMBER(SEARCH("Ratei Pass",'Statements (Raw)'!D948)),"Accrued Int.",IF(ISNUMBER(SEARCH("Interessi Prest",'Statements (Raw)'!D948)),"Sec. Lending",IF('Statements (Raw)'!G948="","Other",IF('Statements (Raw)'!G948&gt;0,"Buy","Sell"))))))))))))))))))))))</f>
        <v/>
      </c>
      <c r="E950" s="6" t="str">
        <f t="shared" si="28"/>
        <v/>
      </c>
      <c r="F950" s="8" t="str">
        <f>IF(A950="","",IF('Statements (Raw)'!E948="","",'Statements (Raw)'!E948))</f>
        <v/>
      </c>
      <c r="G950" s="6" t="str">
        <f>IF(A950="","",IF('Statements (Raw)'!F948="","",'Statements (Raw)'!F948))</f>
        <v/>
      </c>
      <c r="H950" s="9" t="str">
        <f>IF(A950="","",IF('Statements (Raw)'!G948="","",'Statements (Raw)'!G948))</f>
        <v/>
      </c>
      <c r="I950" s="10" t="str">
        <f>IF(A950="","",IF('Statements (Raw)'!H948="","",'Statements (Raw)'!H948))</f>
        <v/>
      </c>
      <c r="J950" s="10">
        <f>IF(A950="",0,IF('Statements (Raw)'!I948="",0,'Statements (Raw)'!I948))</f>
        <v>0</v>
      </c>
      <c r="K950" s="10" t="str">
        <f t="shared" si="29"/>
        <v/>
      </c>
    </row>
    <row r="951" spans="1:11" x14ac:dyDescent="0.3">
      <c r="A951" s="171" t="str">
        <f>IF(OR('Statements (Raw)'!A949="",'Statements (Raw)'!A949&gt;Holdings!$G$3),"",'Statements (Raw)'!A949)</f>
        <v/>
      </c>
      <c r="B951" s="7" t="str">
        <f>IF(A951="","",IF('Statements (Raw)'!B949="","",'Statements (Raw)'!B949))</f>
        <v/>
      </c>
      <c r="C951" s="6" t="str">
        <f>IF(A951="","",IF('Statements (Raw)'!C949&lt;&gt;"",'Statements (Raw)'!C949,IF(ISNUMBER(SEARCH("Conferimento",'Statements (Raw)'!D949)),"CASH DEPOSIT",IF(ISNUMBER(SEARCH("Prelievo",'Statements (Raw)'!D949)),"CASH WITHDRAWAL",IF(ISNUMBER(SEARCH("Bollo",'Statements (Raw)'!D949)),"STAMP DUTY",IF(ISNUMBER(SEARCH("Tobin Tax",'Statements (Raw)'!D949)),"TOBIN TAX",IF(ISNUMBER(SEARCH("Rit.provento",'Statements (Raw)'!D949)),"WITHHOLDING TAX",IF(ISNUMBER(SEARCH("Incasso Dividendi",'Statements (Raw)'!D949)),"DIVIDEND",IF(ISNUMBER(SEARCH("Cedola",'Statements (Raw)'!D949)),"COUPON",IF(ISNUMBER(SEARCH("Ratei Pass",'Statements (Raw)'!D949)),"ACCRUED INT",IF(ISNUMBER(SEARCH("Interessi Prest",'Statements (Raw)'!D949)),"SEC LENDING",IF(ISNUMBER(SEARCH("Rimborso",'Statements (Raw)'!D949)),"REDEMPTION",IF(ISNUMBER(SEARCH("Provento",'Statements (Raw)'!D949)),"DISTRIBUTION","OTHER")))))))))))))</f>
        <v/>
      </c>
      <c r="D951" s="6" t="str">
        <f>IF(A951="","",IF(C951="Saldo Iniziale","Balance",IF(C951="CASH DEPOSIT","Deposit",IF(C951="CASH WITHDRAWAL","Withdrawal",IF(C951="STAMP DUTY","Tax",IF(C951="TOBIN TAX","Tax",IF(C951="WITHHOLDING TAX","Tax",IF(C951="DIVIDEND","Dividend",IF(C951="COUPON","Coupon",IF(C951="ACCRUED INT","Accrued Int.",IF(C951="SEC LENDING","Sec. Lending",IF(C951="REDEMPTION","Redemption",IF(C951="DISTRIBUTION","Distribution",IF(ISNUMBER(SEARCH("Rimborso",'Statements (Raw)'!D949)),"Redemption",IF(ISNUMBER(SEARCH("Cedola",'Statements (Raw)'!D949)),"Coupon",IF(ISNUMBER(SEARCH("Incasso Dividendi",'Statements (Raw)'!D949)),"Dividend",IF(ISNUMBER(SEARCH("Provento Etf",'Statements (Raw)'!D949)),"Distribution",IF(ISNUMBER(SEARCH("Rit.provento",'Statements (Raw)'!D949)),"Tax",IF(ISNUMBER(SEARCH("Ratei Pass",'Statements (Raw)'!D949)),"Accrued Int.",IF(ISNUMBER(SEARCH("Interessi Prest",'Statements (Raw)'!D949)),"Sec. Lending",IF('Statements (Raw)'!G949="","Other",IF('Statements (Raw)'!G949&gt;0,"Buy","Sell"))))))))))))))))))))))</f>
        <v/>
      </c>
      <c r="E951" s="6" t="str">
        <f t="shared" si="28"/>
        <v/>
      </c>
      <c r="F951" s="8" t="str">
        <f>IF(A951="","",IF('Statements (Raw)'!E949="","",'Statements (Raw)'!E949))</f>
        <v/>
      </c>
      <c r="G951" s="6" t="str">
        <f>IF(A951="","",IF('Statements (Raw)'!F949="","",'Statements (Raw)'!F949))</f>
        <v/>
      </c>
      <c r="H951" s="9" t="str">
        <f>IF(A951="","",IF('Statements (Raw)'!G949="","",'Statements (Raw)'!G949))</f>
        <v/>
      </c>
      <c r="I951" s="10" t="str">
        <f>IF(A951="","",IF('Statements (Raw)'!H949="","",'Statements (Raw)'!H949))</f>
        <v/>
      </c>
      <c r="J951" s="10">
        <f>IF(A951="",0,IF('Statements (Raw)'!I949="",0,'Statements (Raw)'!I949))</f>
        <v>0</v>
      </c>
      <c r="K951" s="10" t="str">
        <f t="shared" si="29"/>
        <v/>
      </c>
    </row>
    <row r="952" spans="1:11" x14ac:dyDescent="0.3">
      <c r="A952" s="171" t="str">
        <f>IF(OR('Statements (Raw)'!A950="",'Statements (Raw)'!A950&gt;Holdings!$G$3),"",'Statements (Raw)'!A950)</f>
        <v/>
      </c>
      <c r="B952" s="7" t="str">
        <f>IF(A952="","",IF('Statements (Raw)'!B950="","",'Statements (Raw)'!B950))</f>
        <v/>
      </c>
      <c r="C952" s="6" t="str">
        <f>IF(A952="","",IF('Statements (Raw)'!C950&lt;&gt;"",'Statements (Raw)'!C950,IF(ISNUMBER(SEARCH("Conferimento",'Statements (Raw)'!D950)),"CASH DEPOSIT",IF(ISNUMBER(SEARCH("Prelievo",'Statements (Raw)'!D950)),"CASH WITHDRAWAL",IF(ISNUMBER(SEARCH("Bollo",'Statements (Raw)'!D950)),"STAMP DUTY",IF(ISNUMBER(SEARCH("Tobin Tax",'Statements (Raw)'!D950)),"TOBIN TAX",IF(ISNUMBER(SEARCH("Rit.provento",'Statements (Raw)'!D950)),"WITHHOLDING TAX",IF(ISNUMBER(SEARCH("Incasso Dividendi",'Statements (Raw)'!D950)),"DIVIDEND",IF(ISNUMBER(SEARCH("Cedola",'Statements (Raw)'!D950)),"COUPON",IF(ISNUMBER(SEARCH("Ratei Pass",'Statements (Raw)'!D950)),"ACCRUED INT",IF(ISNUMBER(SEARCH("Interessi Prest",'Statements (Raw)'!D950)),"SEC LENDING",IF(ISNUMBER(SEARCH("Rimborso",'Statements (Raw)'!D950)),"REDEMPTION",IF(ISNUMBER(SEARCH("Provento",'Statements (Raw)'!D950)),"DISTRIBUTION","OTHER")))))))))))))</f>
        <v/>
      </c>
      <c r="D952" s="6" t="str">
        <f>IF(A952="","",IF(C952="Saldo Iniziale","Balance",IF(C952="CASH DEPOSIT","Deposit",IF(C952="CASH WITHDRAWAL","Withdrawal",IF(C952="STAMP DUTY","Tax",IF(C952="TOBIN TAX","Tax",IF(C952="WITHHOLDING TAX","Tax",IF(C952="DIVIDEND","Dividend",IF(C952="COUPON","Coupon",IF(C952="ACCRUED INT","Accrued Int.",IF(C952="SEC LENDING","Sec. Lending",IF(C952="REDEMPTION","Redemption",IF(C952="DISTRIBUTION","Distribution",IF(ISNUMBER(SEARCH("Rimborso",'Statements (Raw)'!D950)),"Redemption",IF(ISNUMBER(SEARCH("Cedola",'Statements (Raw)'!D950)),"Coupon",IF(ISNUMBER(SEARCH("Incasso Dividendi",'Statements (Raw)'!D950)),"Dividend",IF(ISNUMBER(SEARCH("Provento Etf",'Statements (Raw)'!D950)),"Distribution",IF(ISNUMBER(SEARCH("Rit.provento",'Statements (Raw)'!D950)),"Tax",IF(ISNUMBER(SEARCH("Ratei Pass",'Statements (Raw)'!D950)),"Accrued Int.",IF(ISNUMBER(SEARCH("Interessi Prest",'Statements (Raw)'!D950)),"Sec. Lending",IF('Statements (Raw)'!G950="","Other",IF('Statements (Raw)'!G950&gt;0,"Buy","Sell"))))))))))))))))))))))</f>
        <v/>
      </c>
      <c r="E952" s="6" t="str">
        <f t="shared" si="28"/>
        <v/>
      </c>
      <c r="F952" s="8" t="str">
        <f>IF(A952="","",IF('Statements (Raw)'!E950="","",'Statements (Raw)'!E950))</f>
        <v/>
      </c>
      <c r="G952" s="6" t="str">
        <f>IF(A952="","",IF('Statements (Raw)'!F950="","",'Statements (Raw)'!F950))</f>
        <v/>
      </c>
      <c r="H952" s="9" t="str">
        <f>IF(A952="","",IF('Statements (Raw)'!G950="","",'Statements (Raw)'!G950))</f>
        <v/>
      </c>
      <c r="I952" s="10" t="str">
        <f>IF(A952="","",IF('Statements (Raw)'!H950="","",'Statements (Raw)'!H950))</f>
        <v/>
      </c>
      <c r="J952" s="10">
        <f>IF(A952="",0,IF('Statements (Raw)'!I950="",0,'Statements (Raw)'!I950))</f>
        <v>0</v>
      </c>
      <c r="K952" s="10" t="str">
        <f t="shared" si="29"/>
        <v/>
      </c>
    </row>
    <row r="953" spans="1:11" x14ac:dyDescent="0.3">
      <c r="A953" s="171" t="str">
        <f>IF(OR('Statements (Raw)'!A951="",'Statements (Raw)'!A951&gt;Holdings!$G$3),"",'Statements (Raw)'!A951)</f>
        <v/>
      </c>
      <c r="B953" s="7" t="str">
        <f>IF(A953="","",IF('Statements (Raw)'!B951="","",'Statements (Raw)'!B951))</f>
        <v/>
      </c>
      <c r="C953" s="6" t="str">
        <f>IF(A953="","",IF('Statements (Raw)'!C951&lt;&gt;"",'Statements (Raw)'!C951,IF(ISNUMBER(SEARCH("Conferimento",'Statements (Raw)'!D951)),"CASH DEPOSIT",IF(ISNUMBER(SEARCH("Prelievo",'Statements (Raw)'!D951)),"CASH WITHDRAWAL",IF(ISNUMBER(SEARCH("Bollo",'Statements (Raw)'!D951)),"STAMP DUTY",IF(ISNUMBER(SEARCH("Tobin Tax",'Statements (Raw)'!D951)),"TOBIN TAX",IF(ISNUMBER(SEARCH("Rit.provento",'Statements (Raw)'!D951)),"WITHHOLDING TAX",IF(ISNUMBER(SEARCH("Incasso Dividendi",'Statements (Raw)'!D951)),"DIVIDEND",IF(ISNUMBER(SEARCH("Cedola",'Statements (Raw)'!D951)),"COUPON",IF(ISNUMBER(SEARCH("Ratei Pass",'Statements (Raw)'!D951)),"ACCRUED INT",IF(ISNUMBER(SEARCH("Interessi Prest",'Statements (Raw)'!D951)),"SEC LENDING",IF(ISNUMBER(SEARCH("Rimborso",'Statements (Raw)'!D951)),"REDEMPTION",IF(ISNUMBER(SEARCH("Provento",'Statements (Raw)'!D951)),"DISTRIBUTION","OTHER")))))))))))))</f>
        <v/>
      </c>
      <c r="D953" s="6" t="str">
        <f>IF(A953="","",IF(C953="Saldo Iniziale","Balance",IF(C953="CASH DEPOSIT","Deposit",IF(C953="CASH WITHDRAWAL","Withdrawal",IF(C953="STAMP DUTY","Tax",IF(C953="TOBIN TAX","Tax",IF(C953="WITHHOLDING TAX","Tax",IF(C953="DIVIDEND","Dividend",IF(C953="COUPON","Coupon",IF(C953="ACCRUED INT","Accrued Int.",IF(C953="SEC LENDING","Sec. Lending",IF(C953="REDEMPTION","Redemption",IF(C953="DISTRIBUTION","Distribution",IF(ISNUMBER(SEARCH("Rimborso",'Statements (Raw)'!D951)),"Redemption",IF(ISNUMBER(SEARCH("Cedola",'Statements (Raw)'!D951)),"Coupon",IF(ISNUMBER(SEARCH("Incasso Dividendi",'Statements (Raw)'!D951)),"Dividend",IF(ISNUMBER(SEARCH("Provento Etf",'Statements (Raw)'!D951)),"Distribution",IF(ISNUMBER(SEARCH("Rit.provento",'Statements (Raw)'!D951)),"Tax",IF(ISNUMBER(SEARCH("Ratei Pass",'Statements (Raw)'!D951)),"Accrued Int.",IF(ISNUMBER(SEARCH("Interessi Prest",'Statements (Raw)'!D951)),"Sec. Lending",IF('Statements (Raw)'!G951="","Other",IF('Statements (Raw)'!G951&gt;0,"Buy","Sell"))))))))))))))))))))))</f>
        <v/>
      </c>
      <c r="E953" s="6" t="str">
        <f t="shared" si="28"/>
        <v/>
      </c>
      <c r="F953" s="8" t="str">
        <f>IF(A953="","",IF('Statements (Raw)'!E951="","",'Statements (Raw)'!E951))</f>
        <v/>
      </c>
      <c r="G953" s="6" t="str">
        <f>IF(A953="","",IF('Statements (Raw)'!F951="","",'Statements (Raw)'!F951))</f>
        <v/>
      </c>
      <c r="H953" s="9" t="str">
        <f>IF(A953="","",IF('Statements (Raw)'!G951="","",'Statements (Raw)'!G951))</f>
        <v/>
      </c>
      <c r="I953" s="10" t="str">
        <f>IF(A953="","",IF('Statements (Raw)'!H951="","",'Statements (Raw)'!H951))</f>
        <v/>
      </c>
      <c r="J953" s="10">
        <f>IF(A953="",0,IF('Statements (Raw)'!I951="",0,'Statements (Raw)'!I951))</f>
        <v>0</v>
      </c>
      <c r="K953" s="10" t="str">
        <f t="shared" si="29"/>
        <v/>
      </c>
    </row>
    <row r="954" spans="1:11" x14ac:dyDescent="0.3">
      <c r="A954" s="171" t="str">
        <f>IF(OR('Statements (Raw)'!A952="",'Statements (Raw)'!A952&gt;Holdings!$G$3),"",'Statements (Raw)'!A952)</f>
        <v/>
      </c>
      <c r="B954" s="7" t="str">
        <f>IF(A954="","",IF('Statements (Raw)'!B952="","",'Statements (Raw)'!B952))</f>
        <v/>
      </c>
      <c r="C954" s="6" t="str">
        <f>IF(A954="","",IF('Statements (Raw)'!C952&lt;&gt;"",'Statements (Raw)'!C952,IF(ISNUMBER(SEARCH("Conferimento",'Statements (Raw)'!D952)),"CASH DEPOSIT",IF(ISNUMBER(SEARCH("Prelievo",'Statements (Raw)'!D952)),"CASH WITHDRAWAL",IF(ISNUMBER(SEARCH("Bollo",'Statements (Raw)'!D952)),"STAMP DUTY",IF(ISNUMBER(SEARCH("Tobin Tax",'Statements (Raw)'!D952)),"TOBIN TAX",IF(ISNUMBER(SEARCH("Rit.provento",'Statements (Raw)'!D952)),"WITHHOLDING TAX",IF(ISNUMBER(SEARCH("Incasso Dividendi",'Statements (Raw)'!D952)),"DIVIDEND",IF(ISNUMBER(SEARCH("Cedola",'Statements (Raw)'!D952)),"COUPON",IF(ISNUMBER(SEARCH("Ratei Pass",'Statements (Raw)'!D952)),"ACCRUED INT",IF(ISNUMBER(SEARCH("Interessi Prest",'Statements (Raw)'!D952)),"SEC LENDING",IF(ISNUMBER(SEARCH("Rimborso",'Statements (Raw)'!D952)),"REDEMPTION",IF(ISNUMBER(SEARCH("Provento",'Statements (Raw)'!D952)),"DISTRIBUTION","OTHER")))))))))))))</f>
        <v/>
      </c>
      <c r="D954" s="6" t="str">
        <f>IF(A954="","",IF(C954="Saldo Iniziale","Balance",IF(C954="CASH DEPOSIT","Deposit",IF(C954="CASH WITHDRAWAL","Withdrawal",IF(C954="STAMP DUTY","Tax",IF(C954="TOBIN TAX","Tax",IF(C954="WITHHOLDING TAX","Tax",IF(C954="DIVIDEND","Dividend",IF(C954="COUPON","Coupon",IF(C954="ACCRUED INT","Accrued Int.",IF(C954="SEC LENDING","Sec. Lending",IF(C954="REDEMPTION","Redemption",IF(C954="DISTRIBUTION","Distribution",IF(ISNUMBER(SEARCH("Rimborso",'Statements (Raw)'!D952)),"Redemption",IF(ISNUMBER(SEARCH("Cedola",'Statements (Raw)'!D952)),"Coupon",IF(ISNUMBER(SEARCH("Incasso Dividendi",'Statements (Raw)'!D952)),"Dividend",IF(ISNUMBER(SEARCH("Provento Etf",'Statements (Raw)'!D952)),"Distribution",IF(ISNUMBER(SEARCH("Rit.provento",'Statements (Raw)'!D952)),"Tax",IF(ISNUMBER(SEARCH("Ratei Pass",'Statements (Raw)'!D952)),"Accrued Int.",IF(ISNUMBER(SEARCH("Interessi Prest",'Statements (Raw)'!D952)),"Sec. Lending",IF('Statements (Raw)'!G952="","Other",IF('Statements (Raw)'!G952&gt;0,"Buy","Sell"))))))))))))))))))))))</f>
        <v/>
      </c>
      <c r="E954" s="6" t="str">
        <f t="shared" si="28"/>
        <v/>
      </c>
      <c r="F954" s="8" t="str">
        <f>IF(A954="","",IF('Statements (Raw)'!E952="","",'Statements (Raw)'!E952))</f>
        <v/>
      </c>
      <c r="G954" s="6" t="str">
        <f>IF(A954="","",IF('Statements (Raw)'!F952="","",'Statements (Raw)'!F952))</f>
        <v/>
      </c>
      <c r="H954" s="9" t="str">
        <f>IF(A954="","",IF('Statements (Raw)'!G952="","",'Statements (Raw)'!G952))</f>
        <v/>
      </c>
      <c r="I954" s="10" t="str">
        <f>IF(A954="","",IF('Statements (Raw)'!H952="","",'Statements (Raw)'!H952))</f>
        <v/>
      </c>
      <c r="J954" s="10">
        <f>IF(A954="",0,IF('Statements (Raw)'!I952="",0,'Statements (Raw)'!I952))</f>
        <v>0</v>
      </c>
      <c r="K954" s="10" t="str">
        <f t="shared" si="29"/>
        <v/>
      </c>
    </row>
    <row r="955" spans="1:11" x14ac:dyDescent="0.3">
      <c r="A955" s="171" t="str">
        <f>IF(OR('Statements (Raw)'!A953="",'Statements (Raw)'!A953&gt;Holdings!$G$3),"",'Statements (Raw)'!A953)</f>
        <v/>
      </c>
      <c r="B955" s="7" t="str">
        <f>IF(A955="","",IF('Statements (Raw)'!B953="","",'Statements (Raw)'!B953))</f>
        <v/>
      </c>
      <c r="C955" s="6" t="str">
        <f>IF(A955="","",IF('Statements (Raw)'!C953&lt;&gt;"",'Statements (Raw)'!C953,IF(ISNUMBER(SEARCH("Conferimento",'Statements (Raw)'!D953)),"CASH DEPOSIT",IF(ISNUMBER(SEARCH("Prelievo",'Statements (Raw)'!D953)),"CASH WITHDRAWAL",IF(ISNUMBER(SEARCH("Bollo",'Statements (Raw)'!D953)),"STAMP DUTY",IF(ISNUMBER(SEARCH("Tobin Tax",'Statements (Raw)'!D953)),"TOBIN TAX",IF(ISNUMBER(SEARCH("Rit.provento",'Statements (Raw)'!D953)),"WITHHOLDING TAX",IF(ISNUMBER(SEARCH("Incasso Dividendi",'Statements (Raw)'!D953)),"DIVIDEND",IF(ISNUMBER(SEARCH("Cedola",'Statements (Raw)'!D953)),"COUPON",IF(ISNUMBER(SEARCH("Ratei Pass",'Statements (Raw)'!D953)),"ACCRUED INT",IF(ISNUMBER(SEARCH("Interessi Prest",'Statements (Raw)'!D953)),"SEC LENDING",IF(ISNUMBER(SEARCH("Rimborso",'Statements (Raw)'!D953)),"REDEMPTION",IF(ISNUMBER(SEARCH("Provento",'Statements (Raw)'!D953)),"DISTRIBUTION","OTHER")))))))))))))</f>
        <v/>
      </c>
      <c r="D955" s="6" t="str">
        <f>IF(A955="","",IF(C955="Saldo Iniziale","Balance",IF(C955="CASH DEPOSIT","Deposit",IF(C955="CASH WITHDRAWAL","Withdrawal",IF(C955="STAMP DUTY","Tax",IF(C955="TOBIN TAX","Tax",IF(C955="WITHHOLDING TAX","Tax",IF(C955="DIVIDEND","Dividend",IF(C955="COUPON","Coupon",IF(C955="ACCRUED INT","Accrued Int.",IF(C955="SEC LENDING","Sec. Lending",IF(C955="REDEMPTION","Redemption",IF(C955="DISTRIBUTION","Distribution",IF(ISNUMBER(SEARCH("Rimborso",'Statements (Raw)'!D953)),"Redemption",IF(ISNUMBER(SEARCH("Cedola",'Statements (Raw)'!D953)),"Coupon",IF(ISNUMBER(SEARCH("Incasso Dividendi",'Statements (Raw)'!D953)),"Dividend",IF(ISNUMBER(SEARCH("Provento Etf",'Statements (Raw)'!D953)),"Distribution",IF(ISNUMBER(SEARCH("Rit.provento",'Statements (Raw)'!D953)),"Tax",IF(ISNUMBER(SEARCH("Ratei Pass",'Statements (Raw)'!D953)),"Accrued Int.",IF(ISNUMBER(SEARCH("Interessi Prest",'Statements (Raw)'!D953)),"Sec. Lending",IF('Statements (Raw)'!G953="","Other",IF('Statements (Raw)'!G953&gt;0,"Buy","Sell"))))))))))))))))))))))</f>
        <v/>
      </c>
      <c r="E955" s="6" t="str">
        <f t="shared" si="28"/>
        <v/>
      </c>
      <c r="F955" s="8" t="str">
        <f>IF(A955="","",IF('Statements (Raw)'!E953="","",'Statements (Raw)'!E953))</f>
        <v/>
      </c>
      <c r="G955" s="6" t="str">
        <f>IF(A955="","",IF('Statements (Raw)'!F953="","",'Statements (Raw)'!F953))</f>
        <v/>
      </c>
      <c r="H955" s="9" t="str">
        <f>IF(A955="","",IF('Statements (Raw)'!G953="","",'Statements (Raw)'!G953))</f>
        <v/>
      </c>
      <c r="I955" s="10" t="str">
        <f>IF(A955="","",IF('Statements (Raw)'!H953="","",'Statements (Raw)'!H953))</f>
        <v/>
      </c>
      <c r="J955" s="10">
        <f>IF(A955="",0,IF('Statements (Raw)'!I953="",0,'Statements (Raw)'!I953))</f>
        <v>0</v>
      </c>
      <c r="K955" s="10" t="str">
        <f t="shared" si="29"/>
        <v/>
      </c>
    </row>
    <row r="956" spans="1:11" x14ac:dyDescent="0.3">
      <c r="A956" s="171" t="str">
        <f>IF(OR('Statements (Raw)'!A954="",'Statements (Raw)'!A954&gt;Holdings!$G$3),"",'Statements (Raw)'!A954)</f>
        <v/>
      </c>
      <c r="B956" s="7" t="str">
        <f>IF(A956="","",IF('Statements (Raw)'!B954="","",'Statements (Raw)'!B954))</f>
        <v/>
      </c>
      <c r="C956" s="6" t="str">
        <f>IF(A956="","",IF('Statements (Raw)'!C954&lt;&gt;"",'Statements (Raw)'!C954,IF(ISNUMBER(SEARCH("Conferimento",'Statements (Raw)'!D954)),"CASH DEPOSIT",IF(ISNUMBER(SEARCH("Prelievo",'Statements (Raw)'!D954)),"CASH WITHDRAWAL",IF(ISNUMBER(SEARCH("Bollo",'Statements (Raw)'!D954)),"STAMP DUTY",IF(ISNUMBER(SEARCH("Tobin Tax",'Statements (Raw)'!D954)),"TOBIN TAX",IF(ISNUMBER(SEARCH("Rit.provento",'Statements (Raw)'!D954)),"WITHHOLDING TAX",IF(ISNUMBER(SEARCH("Incasso Dividendi",'Statements (Raw)'!D954)),"DIVIDEND",IF(ISNUMBER(SEARCH("Cedola",'Statements (Raw)'!D954)),"COUPON",IF(ISNUMBER(SEARCH("Ratei Pass",'Statements (Raw)'!D954)),"ACCRUED INT",IF(ISNUMBER(SEARCH("Interessi Prest",'Statements (Raw)'!D954)),"SEC LENDING",IF(ISNUMBER(SEARCH("Rimborso",'Statements (Raw)'!D954)),"REDEMPTION",IF(ISNUMBER(SEARCH("Provento",'Statements (Raw)'!D954)),"DISTRIBUTION","OTHER")))))))))))))</f>
        <v/>
      </c>
      <c r="D956" s="6" t="str">
        <f>IF(A956="","",IF(C956="Saldo Iniziale","Balance",IF(C956="CASH DEPOSIT","Deposit",IF(C956="CASH WITHDRAWAL","Withdrawal",IF(C956="STAMP DUTY","Tax",IF(C956="TOBIN TAX","Tax",IF(C956="WITHHOLDING TAX","Tax",IF(C956="DIVIDEND","Dividend",IF(C956="COUPON","Coupon",IF(C956="ACCRUED INT","Accrued Int.",IF(C956="SEC LENDING","Sec. Lending",IF(C956="REDEMPTION","Redemption",IF(C956="DISTRIBUTION","Distribution",IF(ISNUMBER(SEARCH("Rimborso",'Statements (Raw)'!D954)),"Redemption",IF(ISNUMBER(SEARCH("Cedola",'Statements (Raw)'!D954)),"Coupon",IF(ISNUMBER(SEARCH("Incasso Dividendi",'Statements (Raw)'!D954)),"Dividend",IF(ISNUMBER(SEARCH("Provento Etf",'Statements (Raw)'!D954)),"Distribution",IF(ISNUMBER(SEARCH("Rit.provento",'Statements (Raw)'!D954)),"Tax",IF(ISNUMBER(SEARCH("Ratei Pass",'Statements (Raw)'!D954)),"Accrued Int.",IF(ISNUMBER(SEARCH("Interessi Prest",'Statements (Raw)'!D954)),"Sec. Lending",IF('Statements (Raw)'!G954="","Other",IF('Statements (Raw)'!G954&gt;0,"Buy","Sell"))))))))))))))))))))))</f>
        <v/>
      </c>
      <c r="E956" s="6" t="str">
        <f t="shared" si="28"/>
        <v/>
      </c>
      <c r="F956" s="8" t="str">
        <f>IF(A956="","",IF('Statements (Raw)'!E954="","",'Statements (Raw)'!E954))</f>
        <v/>
      </c>
      <c r="G956" s="6" t="str">
        <f>IF(A956="","",IF('Statements (Raw)'!F954="","",'Statements (Raw)'!F954))</f>
        <v/>
      </c>
      <c r="H956" s="9" t="str">
        <f>IF(A956="","",IF('Statements (Raw)'!G954="","",'Statements (Raw)'!G954))</f>
        <v/>
      </c>
      <c r="I956" s="10" t="str">
        <f>IF(A956="","",IF('Statements (Raw)'!H954="","",'Statements (Raw)'!H954))</f>
        <v/>
      </c>
      <c r="J956" s="10">
        <f>IF(A956="",0,IF('Statements (Raw)'!I954="",0,'Statements (Raw)'!I954))</f>
        <v>0</v>
      </c>
      <c r="K956" s="10" t="str">
        <f t="shared" si="29"/>
        <v/>
      </c>
    </row>
    <row r="957" spans="1:11" x14ac:dyDescent="0.3">
      <c r="A957" s="171" t="str">
        <f>IF(OR('Statements (Raw)'!A955="",'Statements (Raw)'!A955&gt;Holdings!$G$3),"",'Statements (Raw)'!A955)</f>
        <v/>
      </c>
      <c r="B957" s="7" t="str">
        <f>IF(A957="","",IF('Statements (Raw)'!B955="","",'Statements (Raw)'!B955))</f>
        <v/>
      </c>
      <c r="C957" s="6" t="str">
        <f>IF(A957="","",IF('Statements (Raw)'!C955&lt;&gt;"",'Statements (Raw)'!C955,IF(ISNUMBER(SEARCH("Conferimento",'Statements (Raw)'!D955)),"CASH DEPOSIT",IF(ISNUMBER(SEARCH("Prelievo",'Statements (Raw)'!D955)),"CASH WITHDRAWAL",IF(ISNUMBER(SEARCH("Bollo",'Statements (Raw)'!D955)),"STAMP DUTY",IF(ISNUMBER(SEARCH("Tobin Tax",'Statements (Raw)'!D955)),"TOBIN TAX",IF(ISNUMBER(SEARCH("Rit.provento",'Statements (Raw)'!D955)),"WITHHOLDING TAX",IF(ISNUMBER(SEARCH("Incasso Dividendi",'Statements (Raw)'!D955)),"DIVIDEND",IF(ISNUMBER(SEARCH("Cedola",'Statements (Raw)'!D955)),"COUPON",IF(ISNUMBER(SEARCH("Ratei Pass",'Statements (Raw)'!D955)),"ACCRUED INT",IF(ISNUMBER(SEARCH("Interessi Prest",'Statements (Raw)'!D955)),"SEC LENDING",IF(ISNUMBER(SEARCH("Rimborso",'Statements (Raw)'!D955)),"REDEMPTION",IF(ISNUMBER(SEARCH("Provento",'Statements (Raw)'!D955)),"DISTRIBUTION","OTHER")))))))))))))</f>
        <v/>
      </c>
      <c r="D957" s="6" t="str">
        <f>IF(A957="","",IF(C957="Saldo Iniziale","Balance",IF(C957="CASH DEPOSIT","Deposit",IF(C957="CASH WITHDRAWAL","Withdrawal",IF(C957="STAMP DUTY","Tax",IF(C957="TOBIN TAX","Tax",IF(C957="WITHHOLDING TAX","Tax",IF(C957="DIVIDEND","Dividend",IF(C957="COUPON","Coupon",IF(C957="ACCRUED INT","Accrued Int.",IF(C957="SEC LENDING","Sec. Lending",IF(C957="REDEMPTION","Redemption",IF(C957="DISTRIBUTION","Distribution",IF(ISNUMBER(SEARCH("Rimborso",'Statements (Raw)'!D955)),"Redemption",IF(ISNUMBER(SEARCH("Cedola",'Statements (Raw)'!D955)),"Coupon",IF(ISNUMBER(SEARCH("Incasso Dividendi",'Statements (Raw)'!D955)),"Dividend",IF(ISNUMBER(SEARCH("Provento Etf",'Statements (Raw)'!D955)),"Distribution",IF(ISNUMBER(SEARCH("Rit.provento",'Statements (Raw)'!D955)),"Tax",IF(ISNUMBER(SEARCH("Ratei Pass",'Statements (Raw)'!D955)),"Accrued Int.",IF(ISNUMBER(SEARCH("Interessi Prest",'Statements (Raw)'!D955)),"Sec. Lending",IF('Statements (Raw)'!G955="","Other",IF('Statements (Raw)'!G955&gt;0,"Buy","Sell"))))))))))))))))))))))</f>
        <v/>
      </c>
      <c r="E957" s="6" t="str">
        <f t="shared" si="28"/>
        <v/>
      </c>
      <c r="F957" s="8" t="str">
        <f>IF(A957="","",IF('Statements (Raw)'!E955="","",'Statements (Raw)'!E955))</f>
        <v/>
      </c>
      <c r="G957" s="6" t="str">
        <f>IF(A957="","",IF('Statements (Raw)'!F955="","",'Statements (Raw)'!F955))</f>
        <v/>
      </c>
      <c r="H957" s="9" t="str">
        <f>IF(A957="","",IF('Statements (Raw)'!G955="","",'Statements (Raw)'!G955))</f>
        <v/>
      </c>
      <c r="I957" s="10" t="str">
        <f>IF(A957="","",IF('Statements (Raw)'!H955="","",'Statements (Raw)'!H955))</f>
        <v/>
      </c>
      <c r="J957" s="10">
        <f>IF(A957="",0,IF('Statements (Raw)'!I955="",0,'Statements (Raw)'!I955))</f>
        <v>0</v>
      </c>
      <c r="K957" s="10" t="str">
        <f t="shared" si="29"/>
        <v/>
      </c>
    </row>
    <row r="958" spans="1:11" x14ac:dyDescent="0.3">
      <c r="A958" s="171" t="str">
        <f>IF(OR('Statements (Raw)'!A956="",'Statements (Raw)'!A956&gt;Holdings!$G$3),"",'Statements (Raw)'!A956)</f>
        <v/>
      </c>
      <c r="B958" s="7" t="str">
        <f>IF(A958="","",IF('Statements (Raw)'!B956="","",'Statements (Raw)'!B956))</f>
        <v/>
      </c>
      <c r="C958" s="6" t="str">
        <f>IF(A958="","",IF('Statements (Raw)'!C956&lt;&gt;"",'Statements (Raw)'!C956,IF(ISNUMBER(SEARCH("Conferimento",'Statements (Raw)'!D956)),"CASH DEPOSIT",IF(ISNUMBER(SEARCH("Prelievo",'Statements (Raw)'!D956)),"CASH WITHDRAWAL",IF(ISNUMBER(SEARCH("Bollo",'Statements (Raw)'!D956)),"STAMP DUTY",IF(ISNUMBER(SEARCH("Tobin Tax",'Statements (Raw)'!D956)),"TOBIN TAX",IF(ISNUMBER(SEARCH("Rit.provento",'Statements (Raw)'!D956)),"WITHHOLDING TAX",IF(ISNUMBER(SEARCH("Incasso Dividendi",'Statements (Raw)'!D956)),"DIVIDEND",IF(ISNUMBER(SEARCH("Cedola",'Statements (Raw)'!D956)),"COUPON",IF(ISNUMBER(SEARCH("Ratei Pass",'Statements (Raw)'!D956)),"ACCRUED INT",IF(ISNUMBER(SEARCH("Interessi Prest",'Statements (Raw)'!D956)),"SEC LENDING",IF(ISNUMBER(SEARCH("Rimborso",'Statements (Raw)'!D956)),"REDEMPTION",IF(ISNUMBER(SEARCH("Provento",'Statements (Raw)'!D956)),"DISTRIBUTION","OTHER")))))))))))))</f>
        <v/>
      </c>
      <c r="D958" s="6" t="str">
        <f>IF(A958="","",IF(C958="Saldo Iniziale","Balance",IF(C958="CASH DEPOSIT","Deposit",IF(C958="CASH WITHDRAWAL","Withdrawal",IF(C958="STAMP DUTY","Tax",IF(C958="TOBIN TAX","Tax",IF(C958="WITHHOLDING TAX","Tax",IF(C958="DIVIDEND","Dividend",IF(C958="COUPON","Coupon",IF(C958="ACCRUED INT","Accrued Int.",IF(C958="SEC LENDING","Sec. Lending",IF(C958="REDEMPTION","Redemption",IF(C958="DISTRIBUTION","Distribution",IF(ISNUMBER(SEARCH("Rimborso",'Statements (Raw)'!D956)),"Redemption",IF(ISNUMBER(SEARCH("Cedola",'Statements (Raw)'!D956)),"Coupon",IF(ISNUMBER(SEARCH("Incasso Dividendi",'Statements (Raw)'!D956)),"Dividend",IF(ISNUMBER(SEARCH("Provento Etf",'Statements (Raw)'!D956)),"Distribution",IF(ISNUMBER(SEARCH("Rit.provento",'Statements (Raw)'!D956)),"Tax",IF(ISNUMBER(SEARCH("Ratei Pass",'Statements (Raw)'!D956)),"Accrued Int.",IF(ISNUMBER(SEARCH("Interessi Prest",'Statements (Raw)'!D956)),"Sec. Lending",IF('Statements (Raw)'!G956="","Other",IF('Statements (Raw)'!G956&gt;0,"Buy","Sell"))))))))))))))))))))))</f>
        <v/>
      </c>
      <c r="E958" s="6" t="str">
        <f t="shared" si="28"/>
        <v/>
      </c>
      <c r="F958" s="8" t="str">
        <f>IF(A958="","",IF('Statements (Raw)'!E956="","",'Statements (Raw)'!E956))</f>
        <v/>
      </c>
      <c r="G958" s="6" t="str">
        <f>IF(A958="","",IF('Statements (Raw)'!F956="","",'Statements (Raw)'!F956))</f>
        <v/>
      </c>
      <c r="H958" s="9" t="str">
        <f>IF(A958="","",IF('Statements (Raw)'!G956="","",'Statements (Raw)'!G956))</f>
        <v/>
      </c>
      <c r="I958" s="10" t="str">
        <f>IF(A958="","",IF('Statements (Raw)'!H956="","",'Statements (Raw)'!H956))</f>
        <v/>
      </c>
      <c r="J958" s="10">
        <f>IF(A958="",0,IF('Statements (Raw)'!I956="",0,'Statements (Raw)'!I956))</f>
        <v>0</v>
      </c>
      <c r="K958" s="10" t="str">
        <f t="shared" si="29"/>
        <v/>
      </c>
    </row>
    <row r="959" spans="1:11" x14ac:dyDescent="0.3">
      <c r="A959" s="171" t="str">
        <f>IF(OR('Statements (Raw)'!A957="",'Statements (Raw)'!A957&gt;Holdings!$G$3),"",'Statements (Raw)'!A957)</f>
        <v/>
      </c>
      <c r="B959" s="7" t="str">
        <f>IF(A959="","",IF('Statements (Raw)'!B957="","",'Statements (Raw)'!B957))</f>
        <v/>
      </c>
      <c r="C959" s="6" t="str">
        <f>IF(A959="","",IF('Statements (Raw)'!C957&lt;&gt;"",'Statements (Raw)'!C957,IF(ISNUMBER(SEARCH("Conferimento",'Statements (Raw)'!D957)),"CASH DEPOSIT",IF(ISNUMBER(SEARCH("Prelievo",'Statements (Raw)'!D957)),"CASH WITHDRAWAL",IF(ISNUMBER(SEARCH("Bollo",'Statements (Raw)'!D957)),"STAMP DUTY",IF(ISNUMBER(SEARCH("Tobin Tax",'Statements (Raw)'!D957)),"TOBIN TAX",IF(ISNUMBER(SEARCH("Rit.provento",'Statements (Raw)'!D957)),"WITHHOLDING TAX",IF(ISNUMBER(SEARCH("Incasso Dividendi",'Statements (Raw)'!D957)),"DIVIDEND",IF(ISNUMBER(SEARCH("Cedola",'Statements (Raw)'!D957)),"COUPON",IF(ISNUMBER(SEARCH("Ratei Pass",'Statements (Raw)'!D957)),"ACCRUED INT",IF(ISNUMBER(SEARCH("Interessi Prest",'Statements (Raw)'!D957)),"SEC LENDING",IF(ISNUMBER(SEARCH("Rimborso",'Statements (Raw)'!D957)),"REDEMPTION",IF(ISNUMBER(SEARCH("Provento",'Statements (Raw)'!D957)),"DISTRIBUTION","OTHER")))))))))))))</f>
        <v/>
      </c>
      <c r="D959" s="6" t="str">
        <f>IF(A959="","",IF(C959="Saldo Iniziale","Balance",IF(C959="CASH DEPOSIT","Deposit",IF(C959="CASH WITHDRAWAL","Withdrawal",IF(C959="STAMP DUTY","Tax",IF(C959="TOBIN TAX","Tax",IF(C959="WITHHOLDING TAX","Tax",IF(C959="DIVIDEND","Dividend",IF(C959="COUPON","Coupon",IF(C959="ACCRUED INT","Accrued Int.",IF(C959="SEC LENDING","Sec. Lending",IF(C959="REDEMPTION","Redemption",IF(C959="DISTRIBUTION","Distribution",IF(ISNUMBER(SEARCH("Rimborso",'Statements (Raw)'!D957)),"Redemption",IF(ISNUMBER(SEARCH("Cedola",'Statements (Raw)'!D957)),"Coupon",IF(ISNUMBER(SEARCH("Incasso Dividendi",'Statements (Raw)'!D957)),"Dividend",IF(ISNUMBER(SEARCH("Provento Etf",'Statements (Raw)'!D957)),"Distribution",IF(ISNUMBER(SEARCH("Rit.provento",'Statements (Raw)'!D957)),"Tax",IF(ISNUMBER(SEARCH("Ratei Pass",'Statements (Raw)'!D957)),"Accrued Int.",IF(ISNUMBER(SEARCH("Interessi Prest",'Statements (Raw)'!D957)),"Sec. Lending",IF('Statements (Raw)'!G957="","Other",IF('Statements (Raw)'!G957&gt;0,"Buy","Sell"))))))))))))))))))))))</f>
        <v/>
      </c>
      <c r="E959" s="6" t="str">
        <f t="shared" si="28"/>
        <v/>
      </c>
      <c r="F959" s="8" t="str">
        <f>IF(A959="","",IF('Statements (Raw)'!E957="","",'Statements (Raw)'!E957))</f>
        <v/>
      </c>
      <c r="G959" s="6" t="str">
        <f>IF(A959="","",IF('Statements (Raw)'!F957="","",'Statements (Raw)'!F957))</f>
        <v/>
      </c>
      <c r="H959" s="9" t="str">
        <f>IF(A959="","",IF('Statements (Raw)'!G957="","",'Statements (Raw)'!G957))</f>
        <v/>
      </c>
      <c r="I959" s="10" t="str">
        <f>IF(A959="","",IF('Statements (Raw)'!H957="","",'Statements (Raw)'!H957))</f>
        <v/>
      </c>
      <c r="J959" s="10">
        <f>IF(A959="",0,IF('Statements (Raw)'!I957="",0,'Statements (Raw)'!I957))</f>
        <v>0</v>
      </c>
      <c r="K959" s="10" t="str">
        <f t="shared" si="29"/>
        <v/>
      </c>
    </row>
    <row r="960" spans="1:11" x14ac:dyDescent="0.3">
      <c r="A960" s="171" t="str">
        <f>IF(OR('Statements (Raw)'!A958="",'Statements (Raw)'!A958&gt;Holdings!$G$3),"",'Statements (Raw)'!A958)</f>
        <v/>
      </c>
      <c r="B960" s="7" t="str">
        <f>IF(A960="","",IF('Statements (Raw)'!B958="","",'Statements (Raw)'!B958))</f>
        <v/>
      </c>
      <c r="C960" s="6" t="str">
        <f>IF(A960="","",IF('Statements (Raw)'!C958&lt;&gt;"",'Statements (Raw)'!C958,IF(ISNUMBER(SEARCH("Conferimento",'Statements (Raw)'!D958)),"CASH DEPOSIT",IF(ISNUMBER(SEARCH("Prelievo",'Statements (Raw)'!D958)),"CASH WITHDRAWAL",IF(ISNUMBER(SEARCH("Bollo",'Statements (Raw)'!D958)),"STAMP DUTY",IF(ISNUMBER(SEARCH("Tobin Tax",'Statements (Raw)'!D958)),"TOBIN TAX",IF(ISNUMBER(SEARCH("Rit.provento",'Statements (Raw)'!D958)),"WITHHOLDING TAX",IF(ISNUMBER(SEARCH("Incasso Dividendi",'Statements (Raw)'!D958)),"DIVIDEND",IF(ISNUMBER(SEARCH("Cedola",'Statements (Raw)'!D958)),"COUPON",IF(ISNUMBER(SEARCH("Ratei Pass",'Statements (Raw)'!D958)),"ACCRUED INT",IF(ISNUMBER(SEARCH("Interessi Prest",'Statements (Raw)'!D958)),"SEC LENDING",IF(ISNUMBER(SEARCH("Rimborso",'Statements (Raw)'!D958)),"REDEMPTION",IF(ISNUMBER(SEARCH("Provento",'Statements (Raw)'!D958)),"DISTRIBUTION","OTHER")))))))))))))</f>
        <v/>
      </c>
      <c r="D960" s="6" t="str">
        <f>IF(A960="","",IF(C960="Saldo Iniziale","Balance",IF(C960="CASH DEPOSIT","Deposit",IF(C960="CASH WITHDRAWAL","Withdrawal",IF(C960="STAMP DUTY","Tax",IF(C960="TOBIN TAX","Tax",IF(C960="WITHHOLDING TAX","Tax",IF(C960="DIVIDEND","Dividend",IF(C960="COUPON","Coupon",IF(C960="ACCRUED INT","Accrued Int.",IF(C960="SEC LENDING","Sec. Lending",IF(C960="REDEMPTION","Redemption",IF(C960="DISTRIBUTION","Distribution",IF(ISNUMBER(SEARCH("Rimborso",'Statements (Raw)'!D958)),"Redemption",IF(ISNUMBER(SEARCH("Cedola",'Statements (Raw)'!D958)),"Coupon",IF(ISNUMBER(SEARCH("Incasso Dividendi",'Statements (Raw)'!D958)),"Dividend",IF(ISNUMBER(SEARCH("Provento Etf",'Statements (Raw)'!D958)),"Distribution",IF(ISNUMBER(SEARCH("Rit.provento",'Statements (Raw)'!D958)),"Tax",IF(ISNUMBER(SEARCH("Ratei Pass",'Statements (Raw)'!D958)),"Accrued Int.",IF(ISNUMBER(SEARCH("Interessi Prest",'Statements (Raw)'!D958)),"Sec. Lending",IF('Statements (Raw)'!G958="","Other",IF('Statements (Raw)'!G958&gt;0,"Buy","Sell"))))))))))))))))))))))</f>
        <v/>
      </c>
      <c r="E960" s="6" t="str">
        <f t="shared" si="28"/>
        <v/>
      </c>
      <c r="F960" s="8" t="str">
        <f>IF(A960="","",IF('Statements (Raw)'!E958="","",'Statements (Raw)'!E958))</f>
        <v/>
      </c>
      <c r="G960" s="6" t="str">
        <f>IF(A960="","",IF('Statements (Raw)'!F958="","",'Statements (Raw)'!F958))</f>
        <v/>
      </c>
      <c r="H960" s="9" t="str">
        <f>IF(A960="","",IF('Statements (Raw)'!G958="","",'Statements (Raw)'!G958))</f>
        <v/>
      </c>
      <c r="I960" s="10" t="str">
        <f>IF(A960="","",IF('Statements (Raw)'!H958="","",'Statements (Raw)'!H958))</f>
        <v/>
      </c>
      <c r="J960" s="10">
        <f>IF(A960="",0,IF('Statements (Raw)'!I958="",0,'Statements (Raw)'!I958))</f>
        <v>0</v>
      </c>
      <c r="K960" s="10" t="str">
        <f t="shared" si="29"/>
        <v/>
      </c>
    </row>
    <row r="961" spans="1:11" x14ac:dyDescent="0.3">
      <c r="A961" s="171" t="str">
        <f>IF(OR('Statements (Raw)'!A959="",'Statements (Raw)'!A959&gt;Holdings!$G$3),"",'Statements (Raw)'!A959)</f>
        <v/>
      </c>
      <c r="B961" s="7" t="str">
        <f>IF(A961="","",IF('Statements (Raw)'!B959="","",'Statements (Raw)'!B959))</f>
        <v/>
      </c>
      <c r="C961" s="6" t="str">
        <f>IF(A961="","",IF('Statements (Raw)'!C959&lt;&gt;"",'Statements (Raw)'!C959,IF(ISNUMBER(SEARCH("Conferimento",'Statements (Raw)'!D959)),"CASH DEPOSIT",IF(ISNUMBER(SEARCH("Prelievo",'Statements (Raw)'!D959)),"CASH WITHDRAWAL",IF(ISNUMBER(SEARCH("Bollo",'Statements (Raw)'!D959)),"STAMP DUTY",IF(ISNUMBER(SEARCH("Tobin Tax",'Statements (Raw)'!D959)),"TOBIN TAX",IF(ISNUMBER(SEARCH("Rit.provento",'Statements (Raw)'!D959)),"WITHHOLDING TAX",IF(ISNUMBER(SEARCH("Incasso Dividendi",'Statements (Raw)'!D959)),"DIVIDEND",IF(ISNUMBER(SEARCH("Cedola",'Statements (Raw)'!D959)),"COUPON",IF(ISNUMBER(SEARCH("Ratei Pass",'Statements (Raw)'!D959)),"ACCRUED INT",IF(ISNUMBER(SEARCH("Interessi Prest",'Statements (Raw)'!D959)),"SEC LENDING",IF(ISNUMBER(SEARCH("Rimborso",'Statements (Raw)'!D959)),"REDEMPTION",IF(ISNUMBER(SEARCH("Provento",'Statements (Raw)'!D959)),"DISTRIBUTION","OTHER")))))))))))))</f>
        <v/>
      </c>
      <c r="D961" s="6" t="str">
        <f>IF(A961="","",IF(C961="Saldo Iniziale","Balance",IF(C961="CASH DEPOSIT","Deposit",IF(C961="CASH WITHDRAWAL","Withdrawal",IF(C961="STAMP DUTY","Tax",IF(C961="TOBIN TAX","Tax",IF(C961="WITHHOLDING TAX","Tax",IF(C961="DIVIDEND","Dividend",IF(C961="COUPON","Coupon",IF(C961="ACCRUED INT","Accrued Int.",IF(C961="SEC LENDING","Sec. Lending",IF(C961="REDEMPTION","Redemption",IF(C961="DISTRIBUTION","Distribution",IF(ISNUMBER(SEARCH("Rimborso",'Statements (Raw)'!D959)),"Redemption",IF(ISNUMBER(SEARCH("Cedola",'Statements (Raw)'!D959)),"Coupon",IF(ISNUMBER(SEARCH("Incasso Dividendi",'Statements (Raw)'!D959)),"Dividend",IF(ISNUMBER(SEARCH("Provento Etf",'Statements (Raw)'!D959)),"Distribution",IF(ISNUMBER(SEARCH("Rit.provento",'Statements (Raw)'!D959)),"Tax",IF(ISNUMBER(SEARCH("Ratei Pass",'Statements (Raw)'!D959)),"Accrued Int.",IF(ISNUMBER(SEARCH("Interessi Prest",'Statements (Raw)'!D959)),"Sec. Lending",IF('Statements (Raw)'!G959="","Other",IF('Statements (Raw)'!G959&gt;0,"Buy","Sell"))))))))))))))))))))))</f>
        <v/>
      </c>
      <c r="E961" s="6" t="str">
        <f t="shared" si="28"/>
        <v/>
      </c>
      <c r="F961" s="8" t="str">
        <f>IF(A961="","",IF('Statements (Raw)'!E959="","",'Statements (Raw)'!E959))</f>
        <v/>
      </c>
      <c r="G961" s="6" t="str">
        <f>IF(A961="","",IF('Statements (Raw)'!F959="","",'Statements (Raw)'!F959))</f>
        <v/>
      </c>
      <c r="H961" s="9" t="str">
        <f>IF(A961="","",IF('Statements (Raw)'!G959="","",'Statements (Raw)'!G959))</f>
        <v/>
      </c>
      <c r="I961" s="10" t="str">
        <f>IF(A961="","",IF('Statements (Raw)'!H959="","",'Statements (Raw)'!H959))</f>
        <v/>
      </c>
      <c r="J961" s="10">
        <f>IF(A961="",0,IF('Statements (Raw)'!I959="",0,'Statements (Raw)'!I959))</f>
        <v>0</v>
      </c>
      <c r="K961" s="10" t="str">
        <f t="shared" si="29"/>
        <v/>
      </c>
    </row>
    <row r="962" spans="1:11" x14ac:dyDescent="0.3">
      <c r="A962" s="171" t="str">
        <f>IF(OR('Statements (Raw)'!A960="",'Statements (Raw)'!A960&gt;Holdings!$G$3),"",'Statements (Raw)'!A960)</f>
        <v/>
      </c>
      <c r="B962" s="7" t="str">
        <f>IF(A962="","",IF('Statements (Raw)'!B960="","",'Statements (Raw)'!B960))</f>
        <v/>
      </c>
      <c r="C962" s="6" t="str">
        <f>IF(A962="","",IF('Statements (Raw)'!C960&lt;&gt;"",'Statements (Raw)'!C960,IF(ISNUMBER(SEARCH("Conferimento",'Statements (Raw)'!D960)),"CASH DEPOSIT",IF(ISNUMBER(SEARCH("Prelievo",'Statements (Raw)'!D960)),"CASH WITHDRAWAL",IF(ISNUMBER(SEARCH("Bollo",'Statements (Raw)'!D960)),"STAMP DUTY",IF(ISNUMBER(SEARCH("Tobin Tax",'Statements (Raw)'!D960)),"TOBIN TAX",IF(ISNUMBER(SEARCH("Rit.provento",'Statements (Raw)'!D960)),"WITHHOLDING TAX",IF(ISNUMBER(SEARCH("Incasso Dividendi",'Statements (Raw)'!D960)),"DIVIDEND",IF(ISNUMBER(SEARCH("Cedola",'Statements (Raw)'!D960)),"COUPON",IF(ISNUMBER(SEARCH("Ratei Pass",'Statements (Raw)'!D960)),"ACCRUED INT",IF(ISNUMBER(SEARCH("Interessi Prest",'Statements (Raw)'!D960)),"SEC LENDING",IF(ISNUMBER(SEARCH("Rimborso",'Statements (Raw)'!D960)),"REDEMPTION",IF(ISNUMBER(SEARCH("Provento",'Statements (Raw)'!D960)),"DISTRIBUTION","OTHER")))))))))))))</f>
        <v/>
      </c>
      <c r="D962" s="6" t="str">
        <f>IF(A962="","",IF(C962="Saldo Iniziale","Balance",IF(C962="CASH DEPOSIT","Deposit",IF(C962="CASH WITHDRAWAL","Withdrawal",IF(C962="STAMP DUTY","Tax",IF(C962="TOBIN TAX","Tax",IF(C962="WITHHOLDING TAX","Tax",IF(C962="DIVIDEND","Dividend",IF(C962="COUPON","Coupon",IF(C962="ACCRUED INT","Accrued Int.",IF(C962="SEC LENDING","Sec. Lending",IF(C962="REDEMPTION","Redemption",IF(C962="DISTRIBUTION","Distribution",IF(ISNUMBER(SEARCH("Rimborso",'Statements (Raw)'!D960)),"Redemption",IF(ISNUMBER(SEARCH("Cedola",'Statements (Raw)'!D960)),"Coupon",IF(ISNUMBER(SEARCH("Incasso Dividendi",'Statements (Raw)'!D960)),"Dividend",IF(ISNUMBER(SEARCH("Provento Etf",'Statements (Raw)'!D960)),"Distribution",IF(ISNUMBER(SEARCH("Rit.provento",'Statements (Raw)'!D960)),"Tax",IF(ISNUMBER(SEARCH("Ratei Pass",'Statements (Raw)'!D960)),"Accrued Int.",IF(ISNUMBER(SEARCH("Interessi Prest",'Statements (Raw)'!D960)),"Sec. Lending",IF('Statements (Raw)'!G960="","Other",IF('Statements (Raw)'!G960&gt;0,"Buy","Sell"))))))))))))))))))))))</f>
        <v/>
      </c>
      <c r="E962" s="6" t="str">
        <f t="shared" si="28"/>
        <v/>
      </c>
      <c r="F962" s="8" t="str">
        <f>IF(A962="","",IF('Statements (Raw)'!E960="","",'Statements (Raw)'!E960))</f>
        <v/>
      </c>
      <c r="G962" s="6" t="str">
        <f>IF(A962="","",IF('Statements (Raw)'!F960="","",'Statements (Raw)'!F960))</f>
        <v/>
      </c>
      <c r="H962" s="9" t="str">
        <f>IF(A962="","",IF('Statements (Raw)'!G960="","",'Statements (Raw)'!G960))</f>
        <v/>
      </c>
      <c r="I962" s="10" t="str">
        <f>IF(A962="","",IF('Statements (Raw)'!H960="","",'Statements (Raw)'!H960))</f>
        <v/>
      </c>
      <c r="J962" s="10">
        <f>IF(A962="",0,IF('Statements (Raw)'!I960="",0,'Statements (Raw)'!I960))</f>
        <v>0</v>
      </c>
      <c r="K962" s="10" t="str">
        <f t="shared" si="29"/>
        <v/>
      </c>
    </row>
    <row r="963" spans="1:11" x14ac:dyDescent="0.3">
      <c r="A963" s="171" t="str">
        <f>IF(OR('Statements (Raw)'!A961="",'Statements (Raw)'!A961&gt;Holdings!$G$3),"",'Statements (Raw)'!A961)</f>
        <v/>
      </c>
      <c r="B963" s="7" t="str">
        <f>IF(A963="","",IF('Statements (Raw)'!B961="","",'Statements (Raw)'!B961))</f>
        <v/>
      </c>
      <c r="C963" s="6" t="str">
        <f>IF(A963="","",IF('Statements (Raw)'!C961&lt;&gt;"",'Statements (Raw)'!C961,IF(ISNUMBER(SEARCH("Conferimento",'Statements (Raw)'!D961)),"CASH DEPOSIT",IF(ISNUMBER(SEARCH("Prelievo",'Statements (Raw)'!D961)),"CASH WITHDRAWAL",IF(ISNUMBER(SEARCH("Bollo",'Statements (Raw)'!D961)),"STAMP DUTY",IF(ISNUMBER(SEARCH("Tobin Tax",'Statements (Raw)'!D961)),"TOBIN TAX",IF(ISNUMBER(SEARCH("Rit.provento",'Statements (Raw)'!D961)),"WITHHOLDING TAX",IF(ISNUMBER(SEARCH("Incasso Dividendi",'Statements (Raw)'!D961)),"DIVIDEND",IF(ISNUMBER(SEARCH("Cedola",'Statements (Raw)'!D961)),"COUPON",IF(ISNUMBER(SEARCH("Ratei Pass",'Statements (Raw)'!D961)),"ACCRUED INT",IF(ISNUMBER(SEARCH("Interessi Prest",'Statements (Raw)'!D961)),"SEC LENDING",IF(ISNUMBER(SEARCH("Rimborso",'Statements (Raw)'!D961)),"REDEMPTION",IF(ISNUMBER(SEARCH("Provento",'Statements (Raw)'!D961)),"DISTRIBUTION","OTHER")))))))))))))</f>
        <v/>
      </c>
      <c r="D963" s="6" t="str">
        <f>IF(A963="","",IF(C963="Saldo Iniziale","Balance",IF(C963="CASH DEPOSIT","Deposit",IF(C963="CASH WITHDRAWAL","Withdrawal",IF(C963="STAMP DUTY","Tax",IF(C963="TOBIN TAX","Tax",IF(C963="WITHHOLDING TAX","Tax",IF(C963="DIVIDEND","Dividend",IF(C963="COUPON","Coupon",IF(C963="ACCRUED INT","Accrued Int.",IF(C963="SEC LENDING","Sec. Lending",IF(C963="REDEMPTION","Redemption",IF(C963="DISTRIBUTION","Distribution",IF(ISNUMBER(SEARCH("Rimborso",'Statements (Raw)'!D961)),"Redemption",IF(ISNUMBER(SEARCH("Cedola",'Statements (Raw)'!D961)),"Coupon",IF(ISNUMBER(SEARCH("Incasso Dividendi",'Statements (Raw)'!D961)),"Dividend",IF(ISNUMBER(SEARCH("Provento Etf",'Statements (Raw)'!D961)),"Distribution",IF(ISNUMBER(SEARCH("Rit.provento",'Statements (Raw)'!D961)),"Tax",IF(ISNUMBER(SEARCH("Ratei Pass",'Statements (Raw)'!D961)),"Accrued Int.",IF(ISNUMBER(SEARCH("Interessi Prest",'Statements (Raw)'!D961)),"Sec. Lending",IF('Statements (Raw)'!G961="","Other",IF('Statements (Raw)'!G961&gt;0,"Buy","Sell"))))))))))))))))))))))</f>
        <v/>
      </c>
      <c r="E963" s="6" t="str">
        <f t="shared" si="28"/>
        <v/>
      </c>
      <c r="F963" s="8" t="str">
        <f>IF(A963="","",IF('Statements (Raw)'!E961="","",'Statements (Raw)'!E961))</f>
        <v/>
      </c>
      <c r="G963" s="6" t="str">
        <f>IF(A963="","",IF('Statements (Raw)'!F961="","",'Statements (Raw)'!F961))</f>
        <v/>
      </c>
      <c r="H963" s="9" t="str">
        <f>IF(A963="","",IF('Statements (Raw)'!G961="","",'Statements (Raw)'!G961))</f>
        <v/>
      </c>
      <c r="I963" s="10" t="str">
        <f>IF(A963="","",IF('Statements (Raw)'!H961="","",'Statements (Raw)'!H961))</f>
        <v/>
      </c>
      <c r="J963" s="10">
        <f>IF(A963="",0,IF('Statements (Raw)'!I961="",0,'Statements (Raw)'!I961))</f>
        <v>0</v>
      </c>
      <c r="K963" s="10" t="str">
        <f t="shared" si="29"/>
        <v/>
      </c>
    </row>
    <row r="964" spans="1:11" x14ac:dyDescent="0.3">
      <c r="A964" s="171" t="str">
        <f>IF(OR('Statements (Raw)'!A962="",'Statements (Raw)'!A962&gt;Holdings!$G$3),"",'Statements (Raw)'!A962)</f>
        <v/>
      </c>
      <c r="B964" s="7" t="str">
        <f>IF(A964="","",IF('Statements (Raw)'!B962="","",'Statements (Raw)'!B962))</f>
        <v/>
      </c>
      <c r="C964" s="6" t="str">
        <f>IF(A964="","",IF('Statements (Raw)'!C962&lt;&gt;"",'Statements (Raw)'!C962,IF(ISNUMBER(SEARCH("Conferimento",'Statements (Raw)'!D962)),"CASH DEPOSIT",IF(ISNUMBER(SEARCH("Prelievo",'Statements (Raw)'!D962)),"CASH WITHDRAWAL",IF(ISNUMBER(SEARCH("Bollo",'Statements (Raw)'!D962)),"STAMP DUTY",IF(ISNUMBER(SEARCH("Tobin Tax",'Statements (Raw)'!D962)),"TOBIN TAX",IF(ISNUMBER(SEARCH("Rit.provento",'Statements (Raw)'!D962)),"WITHHOLDING TAX",IF(ISNUMBER(SEARCH("Incasso Dividendi",'Statements (Raw)'!D962)),"DIVIDEND",IF(ISNUMBER(SEARCH("Cedola",'Statements (Raw)'!D962)),"COUPON",IF(ISNUMBER(SEARCH("Ratei Pass",'Statements (Raw)'!D962)),"ACCRUED INT",IF(ISNUMBER(SEARCH("Interessi Prest",'Statements (Raw)'!D962)),"SEC LENDING",IF(ISNUMBER(SEARCH("Rimborso",'Statements (Raw)'!D962)),"REDEMPTION",IF(ISNUMBER(SEARCH("Provento",'Statements (Raw)'!D962)),"DISTRIBUTION","OTHER")))))))))))))</f>
        <v/>
      </c>
      <c r="D964" s="6" t="str">
        <f>IF(A964="","",IF(C964="Saldo Iniziale","Balance",IF(C964="CASH DEPOSIT","Deposit",IF(C964="CASH WITHDRAWAL","Withdrawal",IF(C964="STAMP DUTY","Tax",IF(C964="TOBIN TAX","Tax",IF(C964="WITHHOLDING TAX","Tax",IF(C964="DIVIDEND","Dividend",IF(C964="COUPON","Coupon",IF(C964="ACCRUED INT","Accrued Int.",IF(C964="SEC LENDING","Sec. Lending",IF(C964="REDEMPTION","Redemption",IF(C964="DISTRIBUTION","Distribution",IF(ISNUMBER(SEARCH("Rimborso",'Statements (Raw)'!D962)),"Redemption",IF(ISNUMBER(SEARCH("Cedola",'Statements (Raw)'!D962)),"Coupon",IF(ISNUMBER(SEARCH("Incasso Dividendi",'Statements (Raw)'!D962)),"Dividend",IF(ISNUMBER(SEARCH("Provento Etf",'Statements (Raw)'!D962)),"Distribution",IF(ISNUMBER(SEARCH("Rit.provento",'Statements (Raw)'!D962)),"Tax",IF(ISNUMBER(SEARCH("Ratei Pass",'Statements (Raw)'!D962)),"Accrued Int.",IF(ISNUMBER(SEARCH("Interessi Prest",'Statements (Raw)'!D962)),"Sec. Lending",IF('Statements (Raw)'!G962="","Other",IF('Statements (Raw)'!G962&gt;0,"Buy","Sell"))))))))))))))))))))))</f>
        <v/>
      </c>
      <c r="E964" s="6" t="str">
        <f t="shared" si="28"/>
        <v/>
      </c>
      <c r="F964" s="8" t="str">
        <f>IF(A964="","",IF('Statements (Raw)'!E962="","",'Statements (Raw)'!E962))</f>
        <v/>
      </c>
      <c r="G964" s="6" t="str">
        <f>IF(A964="","",IF('Statements (Raw)'!F962="","",'Statements (Raw)'!F962))</f>
        <v/>
      </c>
      <c r="H964" s="9" t="str">
        <f>IF(A964="","",IF('Statements (Raw)'!G962="","",'Statements (Raw)'!G962))</f>
        <v/>
      </c>
      <c r="I964" s="10" t="str">
        <f>IF(A964="","",IF('Statements (Raw)'!H962="","",'Statements (Raw)'!H962))</f>
        <v/>
      </c>
      <c r="J964" s="10">
        <f>IF(A964="",0,IF('Statements (Raw)'!I962="",0,'Statements (Raw)'!I962))</f>
        <v>0</v>
      </c>
      <c r="K964" s="10" t="str">
        <f t="shared" si="29"/>
        <v/>
      </c>
    </row>
    <row r="965" spans="1:11" x14ac:dyDescent="0.3">
      <c r="A965" s="171" t="str">
        <f>IF(OR('Statements (Raw)'!A963="",'Statements (Raw)'!A963&gt;Holdings!$G$3),"",'Statements (Raw)'!A963)</f>
        <v/>
      </c>
      <c r="B965" s="7" t="str">
        <f>IF(A965="","",IF('Statements (Raw)'!B963="","",'Statements (Raw)'!B963))</f>
        <v/>
      </c>
      <c r="C965" s="6" t="str">
        <f>IF(A965="","",IF('Statements (Raw)'!C963&lt;&gt;"",'Statements (Raw)'!C963,IF(ISNUMBER(SEARCH("Conferimento",'Statements (Raw)'!D963)),"CASH DEPOSIT",IF(ISNUMBER(SEARCH("Prelievo",'Statements (Raw)'!D963)),"CASH WITHDRAWAL",IF(ISNUMBER(SEARCH("Bollo",'Statements (Raw)'!D963)),"STAMP DUTY",IF(ISNUMBER(SEARCH("Tobin Tax",'Statements (Raw)'!D963)),"TOBIN TAX",IF(ISNUMBER(SEARCH("Rit.provento",'Statements (Raw)'!D963)),"WITHHOLDING TAX",IF(ISNUMBER(SEARCH("Incasso Dividendi",'Statements (Raw)'!D963)),"DIVIDEND",IF(ISNUMBER(SEARCH("Cedola",'Statements (Raw)'!D963)),"COUPON",IF(ISNUMBER(SEARCH("Ratei Pass",'Statements (Raw)'!D963)),"ACCRUED INT",IF(ISNUMBER(SEARCH("Interessi Prest",'Statements (Raw)'!D963)),"SEC LENDING",IF(ISNUMBER(SEARCH("Rimborso",'Statements (Raw)'!D963)),"REDEMPTION",IF(ISNUMBER(SEARCH("Provento",'Statements (Raw)'!D963)),"DISTRIBUTION","OTHER")))))))))))))</f>
        <v/>
      </c>
      <c r="D965" s="6" t="str">
        <f>IF(A965="","",IF(C965="Saldo Iniziale","Balance",IF(C965="CASH DEPOSIT","Deposit",IF(C965="CASH WITHDRAWAL","Withdrawal",IF(C965="STAMP DUTY","Tax",IF(C965="TOBIN TAX","Tax",IF(C965="WITHHOLDING TAX","Tax",IF(C965="DIVIDEND","Dividend",IF(C965="COUPON","Coupon",IF(C965="ACCRUED INT","Accrued Int.",IF(C965="SEC LENDING","Sec. Lending",IF(C965="REDEMPTION","Redemption",IF(C965="DISTRIBUTION","Distribution",IF(ISNUMBER(SEARCH("Rimborso",'Statements (Raw)'!D963)),"Redemption",IF(ISNUMBER(SEARCH("Cedola",'Statements (Raw)'!D963)),"Coupon",IF(ISNUMBER(SEARCH("Incasso Dividendi",'Statements (Raw)'!D963)),"Dividend",IF(ISNUMBER(SEARCH("Provento Etf",'Statements (Raw)'!D963)),"Distribution",IF(ISNUMBER(SEARCH("Rit.provento",'Statements (Raw)'!D963)),"Tax",IF(ISNUMBER(SEARCH("Ratei Pass",'Statements (Raw)'!D963)),"Accrued Int.",IF(ISNUMBER(SEARCH("Interessi Prest",'Statements (Raw)'!D963)),"Sec. Lending",IF('Statements (Raw)'!G963="","Other",IF('Statements (Raw)'!G963&gt;0,"Buy","Sell"))))))))))))))))))))))</f>
        <v/>
      </c>
      <c r="E965" s="6" t="str">
        <f t="shared" ref="E965:E1002" si="30">IF(D965="","",IF(OR(D965="Balance",D965="Deposit",D965="Withdrawal"),"Cash",IF(D965="Tax","Tax/Fee",IF(OR(D965="Dividend",D965="Coupon",D965="Distribution",D965="Sec. Lending",D965="Accrued Int."),"Income",IF(D965="Redemption","Bond",IF(OR(D965="Buy",D965="Sell"),IF(OR(ISNUMBER(SEARCH("BOT ",C965)),ISNUMBER(SEARCH("BTP ",C965)),ISNUMBER(SEARCH("CARRARO",C965))),"Bond",IF(OR(ISNUMBER(SEARCH("isdom",C965)),ISNUMBER(SEARCH("ISHARES",C965)),ISNUMBER(SEARCH("iShares",C965))),"ETF/ETC",IF(OR(ISNUMBER(SEARCH("Bitwise",C965)),ISNUMBER(SEARCH("BITWISE",C965))),"Crypto ETP","Stock"))),"Other"))))))</f>
        <v/>
      </c>
      <c r="F965" s="8" t="str">
        <f>IF(A965="","",IF('Statements (Raw)'!E963="","",'Statements (Raw)'!E963))</f>
        <v/>
      </c>
      <c r="G965" s="6" t="str">
        <f>IF(A965="","",IF('Statements (Raw)'!F963="","",'Statements (Raw)'!F963))</f>
        <v/>
      </c>
      <c r="H965" s="9" t="str">
        <f>IF(A965="","",IF('Statements (Raw)'!G963="","",'Statements (Raw)'!G963))</f>
        <v/>
      </c>
      <c r="I965" s="10" t="str">
        <f>IF(A965="","",IF('Statements (Raw)'!H963="","",'Statements (Raw)'!H963))</f>
        <v/>
      </c>
      <c r="J965" s="10">
        <f>IF(A965="",0,IF('Statements (Raw)'!I963="",0,'Statements (Raw)'!I963))</f>
        <v>0</v>
      </c>
      <c r="K965" s="10" t="str">
        <f t="shared" ref="K965:K1002" si="31">IF(I965="","",I965+J965)</f>
        <v/>
      </c>
    </row>
    <row r="966" spans="1:11" x14ac:dyDescent="0.3">
      <c r="A966" s="171" t="str">
        <f>IF(OR('Statements (Raw)'!A964="",'Statements (Raw)'!A964&gt;Holdings!$G$3),"",'Statements (Raw)'!A964)</f>
        <v/>
      </c>
      <c r="B966" s="7" t="str">
        <f>IF(A966="","",IF('Statements (Raw)'!B964="","",'Statements (Raw)'!B964))</f>
        <v/>
      </c>
      <c r="C966" s="6" t="str">
        <f>IF(A966="","",IF('Statements (Raw)'!C964&lt;&gt;"",'Statements (Raw)'!C964,IF(ISNUMBER(SEARCH("Conferimento",'Statements (Raw)'!D964)),"CASH DEPOSIT",IF(ISNUMBER(SEARCH("Prelievo",'Statements (Raw)'!D964)),"CASH WITHDRAWAL",IF(ISNUMBER(SEARCH("Bollo",'Statements (Raw)'!D964)),"STAMP DUTY",IF(ISNUMBER(SEARCH("Tobin Tax",'Statements (Raw)'!D964)),"TOBIN TAX",IF(ISNUMBER(SEARCH("Rit.provento",'Statements (Raw)'!D964)),"WITHHOLDING TAX",IF(ISNUMBER(SEARCH("Incasso Dividendi",'Statements (Raw)'!D964)),"DIVIDEND",IF(ISNUMBER(SEARCH("Cedola",'Statements (Raw)'!D964)),"COUPON",IF(ISNUMBER(SEARCH("Ratei Pass",'Statements (Raw)'!D964)),"ACCRUED INT",IF(ISNUMBER(SEARCH("Interessi Prest",'Statements (Raw)'!D964)),"SEC LENDING",IF(ISNUMBER(SEARCH("Rimborso",'Statements (Raw)'!D964)),"REDEMPTION",IF(ISNUMBER(SEARCH("Provento",'Statements (Raw)'!D964)),"DISTRIBUTION","OTHER")))))))))))))</f>
        <v/>
      </c>
      <c r="D966" s="6" t="str">
        <f>IF(A966="","",IF(C966="Saldo Iniziale","Balance",IF(C966="CASH DEPOSIT","Deposit",IF(C966="CASH WITHDRAWAL","Withdrawal",IF(C966="STAMP DUTY","Tax",IF(C966="TOBIN TAX","Tax",IF(C966="WITHHOLDING TAX","Tax",IF(C966="DIVIDEND","Dividend",IF(C966="COUPON","Coupon",IF(C966="ACCRUED INT","Accrued Int.",IF(C966="SEC LENDING","Sec. Lending",IF(C966="REDEMPTION","Redemption",IF(C966="DISTRIBUTION","Distribution",IF(ISNUMBER(SEARCH("Rimborso",'Statements (Raw)'!D964)),"Redemption",IF(ISNUMBER(SEARCH("Cedola",'Statements (Raw)'!D964)),"Coupon",IF(ISNUMBER(SEARCH("Incasso Dividendi",'Statements (Raw)'!D964)),"Dividend",IF(ISNUMBER(SEARCH("Provento Etf",'Statements (Raw)'!D964)),"Distribution",IF(ISNUMBER(SEARCH("Rit.provento",'Statements (Raw)'!D964)),"Tax",IF(ISNUMBER(SEARCH("Ratei Pass",'Statements (Raw)'!D964)),"Accrued Int.",IF(ISNUMBER(SEARCH("Interessi Prest",'Statements (Raw)'!D964)),"Sec. Lending",IF('Statements (Raw)'!G964="","Other",IF('Statements (Raw)'!G964&gt;0,"Buy","Sell"))))))))))))))))))))))</f>
        <v/>
      </c>
      <c r="E966" s="6" t="str">
        <f t="shared" si="30"/>
        <v/>
      </c>
      <c r="F966" s="8" t="str">
        <f>IF(A966="","",IF('Statements (Raw)'!E964="","",'Statements (Raw)'!E964))</f>
        <v/>
      </c>
      <c r="G966" s="6" t="str">
        <f>IF(A966="","",IF('Statements (Raw)'!F964="","",'Statements (Raw)'!F964))</f>
        <v/>
      </c>
      <c r="H966" s="9" t="str">
        <f>IF(A966="","",IF('Statements (Raw)'!G964="","",'Statements (Raw)'!G964))</f>
        <v/>
      </c>
      <c r="I966" s="10" t="str">
        <f>IF(A966="","",IF('Statements (Raw)'!H964="","",'Statements (Raw)'!H964))</f>
        <v/>
      </c>
      <c r="J966" s="10">
        <f>IF(A966="",0,IF('Statements (Raw)'!I964="",0,'Statements (Raw)'!I964))</f>
        <v>0</v>
      </c>
      <c r="K966" s="10" t="str">
        <f t="shared" si="31"/>
        <v/>
      </c>
    </row>
    <row r="967" spans="1:11" x14ac:dyDescent="0.3">
      <c r="A967" s="171" t="str">
        <f>IF(OR('Statements (Raw)'!A965="",'Statements (Raw)'!A965&gt;Holdings!$G$3),"",'Statements (Raw)'!A965)</f>
        <v/>
      </c>
      <c r="B967" s="7" t="str">
        <f>IF(A967="","",IF('Statements (Raw)'!B965="","",'Statements (Raw)'!B965))</f>
        <v/>
      </c>
      <c r="C967" s="6" t="str">
        <f>IF(A967="","",IF('Statements (Raw)'!C965&lt;&gt;"",'Statements (Raw)'!C965,IF(ISNUMBER(SEARCH("Conferimento",'Statements (Raw)'!D965)),"CASH DEPOSIT",IF(ISNUMBER(SEARCH("Prelievo",'Statements (Raw)'!D965)),"CASH WITHDRAWAL",IF(ISNUMBER(SEARCH("Bollo",'Statements (Raw)'!D965)),"STAMP DUTY",IF(ISNUMBER(SEARCH("Tobin Tax",'Statements (Raw)'!D965)),"TOBIN TAX",IF(ISNUMBER(SEARCH("Rit.provento",'Statements (Raw)'!D965)),"WITHHOLDING TAX",IF(ISNUMBER(SEARCH("Incasso Dividendi",'Statements (Raw)'!D965)),"DIVIDEND",IF(ISNUMBER(SEARCH("Cedola",'Statements (Raw)'!D965)),"COUPON",IF(ISNUMBER(SEARCH("Ratei Pass",'Statements (Raw)'!D965)),"ACCRUED INT",IF(ISNUMBER(SEARCH("Interessi Prest",'Statements (Raw)'!D965)),"SEC LENDING",IF(ISNUMBER(SEARCH("Rimborso",'Statements (Raw)'!D965)),"REDEMPTION",IF(ISNUMBER(SEARCH("Provento",'Statements (Raw)'!D965)),"DISTRIBUTION","OTHER")))))))))))))</f>
        <v/>
      </c>
      <c r="D967" s="6" t="str">
        <f>IF(A967="","",IF(C967="Saldo Iniziale","Balance",IF(C967="CASH DEPOSIT","Deposit",IF(C967="CASH WITHDRAWAL","Withdrawal",IF(C967="STAMP DUTY","Tax",IF(C967="TOBIN TAX","Tax",IF(C967="WITHHOLDING TAX","Tax",IF(C967="DIVIDEND","Dividend",IF(C967="COUPON","Coupon",IF(C967="ACCRUED INT","Accrued Int.",IF(C967="SEC LENDING","Sec. Lending",IF(C967="REDEMPTION","Redemption",IF(C967="DISTRIBUTION","Distribution",IF(ISNUMBER(SEARCH("Rimborso",'Statements (Raw)'!D965)),"Redemption",IF(ISNUMBER(SEARCH("Cedola",'Statements (Raw)'!D965)),"Coupon",IF(ISNUMBER(SEARCH("Incasso Dividendi",'Statements (Raw)'!D965)),"Dividend",IF(ISNUMBER(SEARCH("Provento Etf",'Statements (Raw)'!D965)),"Distribution",IF(ISNUMBER(SEARCH("Rit.provento",'Statements (Raw)'!D965)),"Tax",IF(ISNUMBER(SEARCH("Ratei Pass",'Statements (Raw)'!D965)),"Accrued Int.",IF(ISNUMBER(SEARCH("Interessi Prest",'Statements (Raw)'!D965)),"Sec. Lending",IF('Statements (Raw)'!G965="","Other",IF('Statements (Raw)'!G965&gt;0,"Buy","Sell"))))))))))))))))))))))</f>
        <v/>
      </c>
      <c r="E967" s="6" t="str">
        <f t="shared" si="30"/>
        <v/>
      </c>
      <c r="F967" s="8" t="str">
        <f>IF(A967="","",IF('Statements (Raw)'!E965="","",'Statements (Raw)'!E965))</f>
        <v/>
      </c>
      <c r="G967" s="6" t="str">
        <f>IF(A967="","",IF('Statements (Raw)'!F965="","",'Statements (Raw)'!F965))</f>
        <v/>
      </c>
      <c r="H967" s="9" t="str">
        <f>IF(A967="","",IF('Statements (Raw)'!G965="","",'Statements (Raw)'!G965))</f>
        <v/>
      </c>
      <c r="I967" s="10" t="str">
        <f>IF(A967="","",IF('Statements (Raw)'!H965="","",'Statements (Raw)'!H965))</f>
        <v/>
      </c>
      <c r="J967" s="10">
        <f>IF(A967="",0,IF('Statements (Raw)'!I965="",0,'Statements (Raw)'!I965))</f>
        <v>0</v>
      </c>
      <c r="K967" s="10" t="str">
        <f t="shared" si="31"/>
        <v/>
      </c>
    </row>
    <row r="968" spans="1:11" x14ac:dyDescent="0.3">
      <c r="A968" s="171" t="str">
        <f>IF(OR('Statements (Raw)'!A966="",'Statements (Raw)'!A966&gt;Holdings!$G$3),"",'Statements (Raw)'!A966)</f>
        <v/>
      </c>
      <c r="B968" s="7" t="str">
        <f>IF(A968="","",IF('Statements (Raw)'!B966="","",'Statements (Raw)'!B966))</f>
        <v/>
      </c>
      <c r="C968" s="6" t="str">
        <f>IF(A968="","",IF('Statements (Raw)'!C966&lt;&gt;"",'Statements (Raw)'!C966,IF(ISNUMBER(SEARCH("Conferimento",'Statements (Raw)'!D966)),"CASH DEPOSIT",IF(ISNUMBER(SEARCH("Prelievo",'Statements (Raw)'!D966)),"CASH WITHDRAWAL",IF(ISNUMBER(SEARCH("Bollo",'Statements (Raw)'!D966)),"STAMP DUTY",IF(ISNUMBER(SEARCH("Tobin Tax",'Statements (Raw)'!D966)),"TOBIN TAX",IF(ISNUMBER(SEARCH("Rit.provento",'Statements (Raw)'!D966)),"WITHHOLDING TAX",IF(ISNUMBER(SEARCH("Incasso Dividendi",'Statements (Raw)'!D966)),"DIVIDEND",IF(ISNUMBER(SEARCH("Cedola",'Statements (Raw)'!D966)),"COUPON",IF(ISNUMBER(SEARCH("Ratei Pass",'Statements (Raw)'!D966)),"ACCRUED INT",IF(ISNUMBER(SEARCH("Interessi Prest",'Statements (Raw)'!D966)),"SEC LENDING",IF(ISNUMBER(SEARCH("Rimborso",'Statements (Raw)'!D966)),"REDEMPTION",IF(ISNUMBER(SEARCH("Provento",'Statements (Raw)'!D966)),"DISTRIBUTION","OTHER")))))))))))))</f>
        <v/>
      </c>
      <c r="D968" s="6" t="str">
        <f>IF(A968="","",IF(C968="Saldo Iniziale","Balance",IF(C968="CASH DEPOSIT","Deposit",IF(C968="CASH WITHDRAWAL","Withdrawal",IF(C968="STAMP DUTY","Tax",IF(C968="TOBIN TAX","Tax",IF(C968="WITHHOLDING TAX","Tax",IF(C968="DIVIDEND","Dividend",IF(C968="COUPON","Coupon",IF(C968="ACCRUED INT","Accrued Int.",IF(C968="SEC LENDING","Sec. Lending",IF(C968="REDEMPTION","Redemption",IF(C968="DISTRIBUTION","Distribution",IF(ISNUMBER(SEARCH("Rimborso",'Statements (Raw)'!D966)),"Redemption",IF(ISNUMBER(SEARCH("Cedola",'Statements (Raw)'!D966)),"Coupon",IF(ISNUMBER(SEARCH("Incasso Dividendi",'Statements (Raw)'!D966)),"Dividend",IF(ISNUMBER(SEARCH("Provento Etf",'Statements (Raw)'!D966)),"Distribution",IF(ISNUMBER(SEARCH("Rit.provento",'Statements (Raw)'!D966)),"Tax",IF(ISNUMBER(SEARCH("Ratei Pass",'Statements (Raw)'!D966)),"Accrued Int.",IF(ISNUMBER(SEARCH("Interessi Prest",'Statements (Raw)'!D966)),"Sec. Lending",IF('Statements (Raw)'!G966="","Other",IF('Statements (Raw)'!G966&gt;0,"Buy","Sell"))))))))))))))))))))))</f>
        <v/>
      </c>
      <c r="E968" s="6" t="str">
        <f t="shared" si="30"/>
        <v/>
      </c>
      <c r="F968" s="8" t="str">
        <f>IF(A968="","",IF('Statements (Raw)'!E966="","",'Statements (Raw)'!E966))</f>
        <v/>
      </c>
      <c r="G968" s="6" t="str">
        <f>IF(A968="","",IF('Statements (Raw)'!F966="","",'Statements (Raw)'!F966))</f>
        <v/>
      </c>
      <c r="H968" s="9" t="str">
        <f>IF(A968="","",IF('Statements (Raw)'!G966="","",'Statements (Raw)'!G966))</f>
        <v/>
      </c>
      <c r="I968" s="10" t="str">
        <f>IF(A968="","",IF('Statements (Raw)'!H966="","",'Statements (Raw)'!H966))</f>
        <v/>
      </c>
      <c r="J968" s="10">
        <f>IF(A968="",0,IF('Statements (Raw)'!I966="",0,'Statements (Raw)'!I966))</f>
        <v>0</v>
      </c>
      <c r="K968" s="10" t="str">
        <f t="shared" si="31"/>
        <v/>
      </c>
    </row>
    <row r="969" spans="1:11" x14ac:dyDescent="0.3">
      <c r="A969" s="171" t="str">
        <f>IF(OR('Statements (Raw)'!A967="",'Statements (Raw)'!A967&gt;Holdings!$G$3),"",'Statements (Raw)'!A967)</f>
        <v/>
      </c>
      <c r="B969" s="7" t="str">
        <f>IF(A969="","",IF('Statements (Raw)'!B967="","",'Statements (Raw)'!B967))</f>
        <v/>
      </c>
      <c r="C969" s="6" t="str">
        <f>IF(A969="","",IF('Statements (Raw)'!C967&lt;&gt;"",'Statements (Raw)'!C967,IF(ISNUMBER(SEARCH("Conferimento",'Statements (Raw)'!D967)),"CASH DEPOSIT",IF(ISNUMBER(SEARCH("Prelievo",'Statements (Raw)'!D967)),"CASH WITHDRAWAL",IF(ISNUMBER(SEARCH("Bollo",'Statements (Raw)'!D967)),"STAMP DUTY",IF(ISNUMBER(SEARCH("Tobin Tax",'Statements (Raw)'!D967)),"TOBIN TAX",IF(ISNUMBER(SEARCH("Rit.provento",'Statements (Raw)'!D967)),"WITHHOLDING TAX",IF(ISNUMBER(SEARCH("Incasso Dividendi",'Statements (Raw)'!D967)),"DIVIDEND",IF(ISNUMBER(SEARCH("Cedola",'Statements (Raw)'!D967)),"COUPON",IF(ISNUMBER(SEARCH("Ratei Pass",'Statements (Raw)'!D967)),"ACCRUED INT",IF(ISNUMBER(SEARCH("Interessi Prest",'Statements (Raw)'!D967)),"SEC LENDING",IF(ISNUMBER(SEARCH("Rimborso",'Statements (Raw)'!D967)),"REDEMPTION",IF(ISNUMBER(SEARCH("Provento",'Statements (Raw)'!D967)),"DISTRIBUTION","OTHER")))))))))))))</f>
        <v/>
      </c>
      <c r="D969" s="6" t="str">
        <f>IF(A969="","",IF(C969="Saldo Iniziale","Balance",IF(C969="CASH DEPOSIT","Deposit",IF(C969="CASH WITHDRAWAL","Withdrawal",IF(C969="STAMP DUTY","Tax",IF(C969="TOBIN TAX","Tax",IF(C969="WITHHOLDING TAX","Tax",IF(C969="DIVIDEND","Dividend",IF(C969="COUPON","Coupon",IF(C969="ACCRUED INT","Accrued Int.",IF(C969="SEC LENDING","Sec. Lending",IF(C969="REDEMPTION","Redemption",IF(C969="DISTRIBUTION","Distribution",IF(ISNUMBER(SEARCH("Rimborso",'Statements (Raw)'!D967)),"Redemption",IF(ISNUMBER(SEARCH("Cedola",'Statements (Raw)'!D967)),"Coupon",IF(ISNUMBER(SEARCH("Incasso Dividendi",'Statements (Raw)'!D967)),"Dividend",IF(ISNUMBER(SEARCH("Provento Etf",'Statements (Raw)'!D967)),"Distribution",IF(ISNUMBER(SEARCH("Rit.provento",'Statements (Raw)'!D967)),"Tax",IF(ISNUMBER(SEARCH("Ratei Pass",'Statements (Raw)'!D967)),"Accrued Int.",IF(ISNUMBER(SEARCH("Interessi Prest",'Statements (Raw)'!D967)),"Sec. Lending",IF('Statements (Raw)'!G967="","Other",IF('Statements (Raw)'!G967&gt;0,"Buy","Sell"))))))))))))))))))))))</f>
        <v/>
      </c>
      <c r="E969" s="6" t="str">
        <f t="shared" si="30"/>
        <v/>
      </c>
      <c r="F969" s="8" t="str">
        <f>IF(A969="","",IF('Statements (Raw)'!E967="","",'Statements (Raw)'!E967))</f>
        <v/>
      </c>
      <c r="G969" s="6" t="str">
        <f>IF(A969="","",IF('Statements (Raw)'!F967="","",'Statements (Raw)'!F967))</f>
        <v/>
      </c>
      <c r="H969" s="9" t="str">
        <f>IF(A969="","",IF('Statements (Raw)'!G967="","",'Statements (Raw)'!G967))</f>
        <v/>
      </c>
      <c r="I969" s="10" t="str">
        <f>IF(A969="","",IF('Statements (Raw)'!H967="","",'Statements (Raw)'!H967))</f>
        <v/>
      </c>
      <c r="J969" s="10">
        <f>IF(A969="",0,IF('Statements (Raw)'!I967="",0,'Statements (Raw)'!I967))</f>
        <v>0</v>
      </c>
      <c r="K969" s="10" t="str">
        <f t="shared" si="31"/>
        <v/>
      </c>
    </row>
    <row r="970" spans="1:11" x14ac:dyDescent="0.3">
      <c r="A970" s="171" t="str">
        <f>IF(OR('Statements (Raw)'!A968="",'Statements (Raw)'!A968&gt;Holdings!$G$3),"",'Statements (Raw)'!A968)</f>
        <v/>
      </c>
      <c r="B970" s="7" t="str">
        <f>IF(A970="","",IF('Statements (Raw)'!B968="","",'Statements (Raw)'!B968))</f>
        <v/>
      </c>
      <c r="C970" s="6" t="str">
        <f>IF(A970="","",IF('Statements (Raw)'!C968&lt;&gt;"",'Statements (Raw)'!C968,IF(ISNUMBER(SEARCH("Conferimento",'Statements (Raw)'!D968)),"CASH DEPOSIT",IF(ISNUMBER(SEARCH("Prelievo",'Statements (Raw)'!D968)),"CASH WITHDRAWAL",IF(ISNUMBER(SEARCH("Bollo",'Statements (Raw)'!D968)),"STAMP DUTY",IF(ISNUMBER(SEARCH("Tobin Tax",'Statements (Raw)'!D968)),"TOBIN TAX",IF(ISNUMBER(SEARCH("Rit.provento",'Statements (Raw)'!D968)),"WITHHOLDING TAX",IF(ISNUMBER(SEARCH("Incasso Dividendi",'Statements (Raw)'!D968)),"DIVIDEND",IF(ISNUMBER(SEARCH("Cedola",'Statements (Raw)'!D968)),"COUPON",IF(ISNUMBER(SEARCH("Ratei Pass",'Statements (Raw)'!D968)),"ACCRUED INT",IF(ISNUMBER(SEARCH("Interessi Prest",'Statements (Raw)'!D968)),"SEC LENDING",IF(ISNUMBER(SEARCH("Rimborso",'Statements (Raw)'!D968)),"REDEMPTION",IF(ISNUMBER(SEARCH("Provento",'Statements (Raw)'!D968)),"DISTRIBUTION","OTHER")))))))))))))</f>
        <v/>
      </c>
      <c r="D970" s="6" t="str">
        <f>IF(A970="","",IF(C970="Saldo Iniziale","Balance",IF(C970="CASH DEPOSIT","Deposit",IF(C970="CASH WITHDRAWAL","Withdrawal",IF(C970="STAMP DUTY","Tax",IF(C970="TOBIN TAX","Tax",IF(C970="WITHHOLDING TAX","Tax",IF(C970="DIVIDEND","Dividend",IF(C970="COUPON","Coupon",IF(C970="ACCRUED INT","Accrued Int.",IF(C970="SEC LENDING","Sec. Lending",IF(C970="REDEMPTION","Redemption",IF(C970="DISTRIBUTION","Distribution",IF(ISNUMBER(SEARCH("Rimborso",'Statements (Raw)'!D968)),"Redemption",IF(ISNUMBER(SEARCH("Cedola",'Statements (Raw)'!D968)),"Coupon",IF(ISNUMBER(SEARCH("Incasso Dividendi",'Statements (Raw)'!D968)),"Dividend",IF(ISNUMBER(SEARCH("Provento Etf",'Statements (Raw)'!D968)),"Distribution",IF(ISNUMBER(SEARCH("Rit.provento",'Statements (Raw)'!D968)),"Tax",IF(ISNUMBER(SEARCH("Ratei Pass",'Statements (Raw)'!D968)),"Accrued Int.",IF(ISNUMBER(SEARCH("Interessi Prest",'Statements (Raw)'!D968)),"Sec. Lending",IF('Statements (Raw)'!G968="","Other",IF('Statements (Raw)'!G968&gt;0,"Buy","Sell"))))))))))))))))))))))</f>
        <v/>
      </c>
      <c r="E970" s="6" t="str">
        <f t="shared" si="30"/>
        <v/>
      </c>
      <c r="F970" s="8" t="str">
        <f>IF(A970="","",IF('Statements (Raw)'!E968="","",'Statements (Raw)'!E968))</f>
        <v/>
      </c>
      <c r="G970" s="6" t="str">
        <f>IF(A970="","",IF('Statements (Raw)'!F968="","",'Statements (Raw)'!F968))</f>
        <v/>
      </c>
      <c r="H970" s="9" t="str">
        <f>IF(A970="","",IF('Statements (Raw)'!G968="","",'Statements (Raw)'!G968))</f>
        <v/>
      </c>
      <c r="I970" s="10" t="str">
        <f>IF(A970="","",IF('Statements (Raw)'!H968="","",'Statements (Raw)'!H968))</f>
        <v/>
      </c>
      <c r="J970" s="10">
        <f>IF(A970="",0,IF('Statements (Raw)'!I968="",0,'Statements (Raw)'!I968))</f>
        <v>0</v>
      </c>
      <c r="K970" s="10" t="str">
        <f t="shared" si="31"/>
        <v/>
      </c>
    </row>
    <row r="971" spans="1:11" x14ac:dyDescent="0.3">
      <c r="A971" s="171" t="str">
        <f>IF(OR('Statements (Raw)'!A969="",'Statements (Raw)'!A969&gt;Holdings!$G$3),"",'Statements (Raw)'!A969)</f>
        <v/>
      </c>
      <c r="B971" s="7" t="str">
        <f>IF(A971="","",IF('Statements (Raw)'!B969="","",'Statements (Raw)'!B969))</f>
        <v/>
      </c>
      <c r="C971" s="6" t="str">
        <f>IF(A971="","",IF('Statements (Raw)'!C969&lt;&gt;"",'Statements (Raw)'!C969,IF(ISNUMBER(SEARCH("Conferimento",'Statements (Raw)'!D969)),"CASH DEPOSIT",IF(ISNUMBER(SEARCH("Prelievo",'Statements (Raw)'!D969)),"CASH WITHDRAWAL",IF(ISNUMBER(SEARCH("Bollo",'Statements (Raw)'!D969)),"STAMP DUTY",IF(ISNUMBER(SEARCH("Tobin Tax",'Statements (Raw)'!D969)),"TOBIN TAX",IF(ISNUMBER(SEARCH("Rit.provento",'Statements (Raw)'!D969)),"WITHHOLDING TAX",IF(ISNUMBER(SEARCH("Incasso Dividendi",'Statements (Raw)'!D969)),"DIVIDEND",IF(ISNUMBER(SEARCH("Cedola",'Statements (Raw)'!D969)),"COUPON",IF(ISNUMBER(SEARCH("Ratei Pass",'Statements (Raw)'!D969)),"ACCRUED INT",IF(ISNUMBER(SEARCH("Interessi Prest",'Statements (Raw)'!D969)),"SEC LENDING",IF(ISNUMBER(SEARCH("Rimborso",'Statements (Raw)'!D969)),"REDEMPTION",IF(ISNUMBER(SEARCH("Provento",'Statements (Raw)'!D969)),"DISTRIBUTION","OTHER")))))))))))))</f>
        <v/>
      </c>
      <c r="D971" s="6" t="str">
        <f>IF(A971="","",IF(C971="Saldo Iniziale","Balance",IF(C971="CASH DEPOSIT","Deposit",IF(C971="CASH WITHDRAWAL","Withdrawal",IF(C971="STAMP DUTY","Tax",IF(C971="TOBIN TAX","Tax",IF(C971="WITHHOLDING TAX","Tax",IF(C971="DIVIDEND","Dividend",IF(C971="COUPON","Coupon",IF(C971="ACCRUED INT","Accrued Int.",IF(C971="SEC LENDING","Sec. Lending",IF(C971="REDEMPTION","Redemption",IF(C971="DISTRIBUTION","Distribution",IF(ISNUMBER(SEARCH("Rimborso",'Statements (Raw)'!D969)),"Redemption",IF(ISNUMBER(SEARCH("Cedola",'Statements (Raw)'!D969)),"Coupon",IF(ISNUMBER(SEARCH("Incasso Dividendi",'Statements (Raw)'!D969)),"Dividend",IF(ISNUMBER(SEARCH("Provento Etf",'Statements (Raw)'!D969)),"Distribution",IF(ISNUMBER(SEARCH("Rit.provento",'Statements (Raw)'!D969)),"Tax",IF(ISNUMBER(SEARCH("Ratei Pass",'Statements (Raw)'!D969)),"Accrued Int.",IF(ISNUMBER(SEARCH("Interessi Prest",'Statements (Raw)'!D969)),"Sec. Lending",IF('Statements (Raw)'!G969="","Other",IF('Statements (Raw)'!G969&gt;0,"Buy","Sell"))))))))))))))))))))))</f>
        <v/>
      </c>
      <c r="E971" s="6" t="str">
        <f t="shared" si="30"/>
        <v/>
      </c>
      <c r="F971" s="8" t="str">
        <f>IF(A971="","",IF('Statements (Raw)'!E969="","",'Statements (Raw)'!E969))</f>
        <v/>
      </c>
      <c r="G971" s="6" t="str">
        <f>IF(A971="","",IF('Statements (Raw)'!F969="","",'Statements (Raw)'!F969))</f>
        <v/>
      </c>
      <c r="H971" s="9" t="str">
        <f>IF(A971="","",IF('Statements (Raw)'!G969="","",'Statements (Raw)'!G969))</f>
        <v/>
      </c>
      <c r="I971" s="10" t="str">
        <f>IF(A971="","",IF('Statements (Raw)'!H969="","",'Statements (Raw)'!H969))</f>
        <v/>
      </c>
      <c r="J971" s="10">
        <f>IF(A971="",0,IF('Statements (Raw)'!I969="",0,'Statements (Raw)'!I969))</f>
        <v>0</v>
      </c>
      <c r="K971" s="10" t="str">
        <f t="shared" si="31"/>
        <v/>
      </c>
    </row>
    <row r="972" spans="1:11" x14ac:dyDescent="0.3">
      <c r="A972" s="171" t="str">
        <f>IF(OR('Statements (Raw)'!A970="",'Statements (Raw)'!A970&gt;Holdings!$G$3),"",'Statements (Raw)'!A970)</f>
        <v/>
      </c>
      <c r="B972" s="7" t="str">
        <f>IF(A972="","",IF('Statements (Raw)'!B970="","",'Statements (Raw)'!B970))</f>
        <v/>
      </c>
      <c r="C972" s="6" t="str">
        <f>IF(A972="","",IF('Statements (Raw)'!C970&lt;&gt;"",'Statements (Raw)'!C970,IF(ISNUMBER(SEARCH("Conferimento",'Statements (Raw)'!D970)),"CASH DEPOSIT",IF(ISNUMBER(SEARCH("Prelievo",'Statements (Raw)'!D970)),"CASH WITHDRAWAL",IF(ISNUMBER(SEARCH("Bollo",'Statements (Raw)'!D970)),"STAMP DUTY",IF(ISNUMBER(SEARCH("Tobin Tax",'Statements (Raw)'!D970)),"TOBIN TAX",IF(ISNUMBER(SEARCH("Rit.provento",'Statements (Raw)'!D970)),"WITHHOLDING TAX",IF(ISNUMBER(SEARCH("Incasso Dividendi",'Statements (Raw)'!D970)),"DIVIDEND",IF(ISNUMBER(SEARCH("Cedola",'Statements (Raw)'!D970)),"COUPON",IF(ISNUMBER(SEARCH("Ratei Pass",'Statements (Raw)'!D970)),"ACCRUED INT",IF(ISNUMBER(SEARCH("Interessi Prest",'Statements (Raw)'!D970)),"SEC LENDING",IF(ISNUMBER(SEARCH("Rimborso",'Statements (Raw)'!D970)),"REDEMPTION",IF(ISNUMBER(SEARCH("Provento",'Statements (Raw)'!D970)),"DISTRIBUTION","OTHER")))))))))))))</f>
        <v/>
      </c>
      <c r="D972" s="6" t="str">
        <f>IF(A972="","",IF(C972="Saldo Iniziale","Balance",IF(C972="CASH DEPOSIT","Deposit",IF(C972="CASH WITHDRAWAL","Withdrawal",IF(C972="STAMP DUTY","Tax",IF(C972="TOBIN TAX","Tax",IF(C972="WITHHOLDING TAX","Tax",IF(C972="DIVIDEND","Dividend",IF(C972="COUPON","Coupon",IF(C972="ACCRUED INT","Accrued Int.",IF(C972="SEC LENDING","Sec. Lending",IF(C972="REDEMPTION","Redemption",IF(C972="DISTRIBUTION","Distribution",IF(ISNUMBER(SEARCH("Rimborso",'Statements (Raw)'!D970)),"Redemption",IF(ISNUMBER(SEARCH("Cedola",'Statements (Raw)'!D970)),"Coupon",IF(ISNUMBER(SEARCH("Incasso Dividendi",'Statements (Raw)'!D970)),"Dividend",IF(ISNUMBER(SEARCH("Provento Etf",'Statements (Raw)'!D970)),"Distribution",IF(ISNUMBER(SEARCH("Rit.provento",'Statements (Raw)'!D970)),"Tax",IF(ISNUMBER(SEARCH("Ratei Pass",'Statements (Raw)'!D970)),"Accrued Int.",IF(ISNUMBER(SEARCH("Interessi Prest",'Statements (Raw)'!D970)),"Sec. Lending",IF('Statements (Raw)'!G970="","Other",IF('Statements (Raw)'!G970&gt;0,"Buy","Sell"))))))))))))))))))))))</f>
        <v/>
      </c>
      <c r="E972" s="6" t="str">
        <f t="shared" si="30"/>
        <v/>
      </c>
      <c r="F972" s="8" t="str">
        <f>IF(A972="","",IF('Statements (Raw)'!E970="","",'Statements (Raw)'!E970))</f>
        <v/>
      </c>
      <c r="G972" s="6" t="str">
        <f>IF(A972="","",IF('Statements (Raw)'!F970="","",'Statements (Raw)'!F970))</f>
        <v/>
      </c>
      <c r="H972" s="9" t="str">
        <f>IF(A972="","",IF('Statements (Raw)'!G970="","",'Statements (Raw)'!G970))</f>
        <v/>
      </c>
      <c r="I972" s="10" t="str">
        <f>IF(A972="","",IF('Statements (Raw)'!H970="","",'Statements (Raw)'!H970))</f>
        <v/>
      </c>
      <c r="J972" s="10">
        <f>IF(A972="",0,IF('Statements (Raw)'!I970="",0,'Statements (Raw)'!I970))</f>
        <v>0</v>
      </c>
      <c r="K972" s="10" t="str">
        <f t="shared" si="31"/>
        <v/>
      </c>
    </row>
    <row r="973" spans="1:11" x14ac:dyDescent="0.3">
      <c r="A973" s="171" t="str">
        <f>IF(OR('Statements (Raw)'!A971="",'Statements (Raw)'!A971&gt;Holdings!$G$3),"",'Statements (Raw)'!A971)</f>
        <v/>
      </c>
      <c r="B973" s="7" t="str">
        <f>IF(A973="","",IF('Statements (Raw)'!B971="","",'Statements (Raw)'!B971))</f>
        <v/>
      </c>
      <c r="C973" s="6" t="str">
        <f>IF(A973="","",IF('Statements (Raw)'!C971&lt;&gt;"",'Statements (Raw)'!C971,IF(ISNUMBER(SEARCH("Conferimento",'Statements (Raw)'!D971)),"CASH DEPOSIT",IF(ISNUMBER(SEARCH("Prelievo",'Statements (Raw)'!D971)),"CASH WITHDRAWAL",IF(ISNUMBER(SEARCH("Bollo",'Statements (Raw)'!D971)),"STAMP DUTY",IF(ISNUMBER(SEARCH("Tobin Tax",'Statements (Raw)'!D971)),"TOBIN TAX",IF(ISNUMBER(SEARCH("Rit.provento",'Statements (Raw)'!D971)),"WITHHOLDING TAX",IF(ISNUMBER(SEARCH("Incasso Dividendi",'Statements (Raw)'!D971)),"DIVIDEND",IF(ISNUMBER(SEARCH("Cedola",'Statements (Raw)'!D971)),"COUPON",IF(ISNUMBER(SEARCH("Ratei Pass",'Statements (Raw)'!D971)),"ACCRUED INT",IF(ISNUMBER(SEARCH("Interessi Prest",'Statements (Raw)'!D971)),"SEC LENDING",IF(ISNUMBER(SEARCH("Rimborso",'Statements (Raw)'!D971)),"REDEMPTION",IF(ISNUMBER(SEARCH("Provento",'Statements (Raw)'!D971)),"DISTRIBUTION","OTHER")))))))))))))</f>
        <v/>
      </c>
      <c r="D973" s="6" t="str">
        <f>IF(A973="","",IF(C973="Saldo Iniziale","Balance",IF(C973="CASH DEPOSIT","Deposit",IF(C973="CASH WITHDRAWAL","Withdrawal",IF(C973="STAMP DUTY","Tax",IF(C973="TOBIN TAX","Tax",IF(C973="WITHHOLDING TAX","Tax",IF(C973="DIVIDEND","Dividend",IF(C973="COUPON","Coupon",IF(C973="ACCRUED INT","Accrued Int.",IF(C973="SEC LENDING","Sec. Lending",IF(C973="REDEMPTION","Redemption",IF(C973="DISTRIBUTION","Distribution",IF(ISNUMBER(SEARCH("Rimborso",'Statements (Raw)'!D971)),"Redemption",IF(ISNUMBER(SEARCH("Cedola",'Statements (Raw)'!D971)),"Coupon",IF(ISNUMBER(SEARCH("Incasso Dividendi",'Statements (Raw)'!D971)),"Dividend",IF(ISNUMBER(SEARCH("Provento Etf",'Statements (Raw)'!D971)),"Distribution",IF(ISNUMBER(SEARCH("Rit.provento",'Statements (Raw)'!D971)),"Tax",IF(ISNUMBER(SEARCH("Ratei Pass",'Statements (Raw)'!D971)),"Accrued Int.",IF(ISNUMBER(SEARCH("Interessi Prest",'Statements (Raw)'!D971)),"Sec. Lending",IF('Statements (Raw)'!G971="","Other",IF('Statements (Raw)'!G971&gt;0,"Buy","Sell"))))))))))))))))))))))</f>
        <v/>
      </c>
      <c r="E973" s="6" t="str">
        <f t="shared" si="30"/>
        <v/>
      </c>
      <c r="F973" s="8" t="str">
        <f>IF(A973="","",IF('Statements (Raw)'!E971="","",'Statements (Raw)'!E971))</f>
        <v/>
      </c>
      <c r="G973" s="6" t="str">
        <f>IF(A973="","",IF('Statements (Raw)'!F971="","",'Statements (Raw)'!F971))</f>
        <v/>
      </c>
      <c r="H973" s="9" t="str">
        <f>IF(A973="","",IF('Statements (Raw)'!G971="","",'Statements (Raw)'!G971))</f>
        <v/>
      </c>
      <c r="I973" s="10" t="str">
        <f>IF(A973="","",IF('Statements (Raw)'!H971="","",'Statements (Raw)'!H971))</f>
        <v/>
      </c>
      <c r="J973" s="10">
        <f>IF(A973="",0,IF('Statements (Raw)'!I971="",0,'Statements (Raw)'!I971))</f>
        <v>0</v>
      </c>
      <c r="K973" s="10" t="str">
        <f t="shared" si="31"/>
        <v/>
      </c>
    </row>
    <row r="974" spans="1:11" x14ac:dyDescent="0.3">
      <c r="A974" s="171" t="str">
        <f>IF(OR('Statements (Raw)'!A972="",'Statements (Raw)'!A972&gt;Holdings!$G$3),"",'Statements (Raw)'!A972)</f>
        <v/>
      </c>
      <c r="B974" s="7" t="str">
        <f>IF(A974="","",IF('Statements (Raw)'!B972="","",'Statements (Raw)'!B972))</f>
        <v/>
      </c>
      <c r="C974" s="6" t="str">
        <f>IF(A974="","",IF('Statements (Raw)'!C972&lt;&gt;"",'Statements (Raw)'!C972,IF(ISNUMBER(SEARCH("Conferimento",'Statements (Raw)'!D972)),"CASH DEPOSIT",IF(ISNUMBER(SEARCH("Prelievo",'Statements (Raw)'!D972)),"CASH WITHDRAWAL",IF(ISNUMBER(SEARCH("Bollo",'Statements (Raw)'!D972)),"STAMP DUTY",IF(ISNUMBER(SEARCH("Tobin Tax",'Statements (Raw)'!D972)),"TOBIN TAX",IF(ISNUMBER(SEARCH("Rit.provento",'Statements (Raw)'!D972)),"WITHHOLDING TAX",IF(ISNUMBER(SEARCH("Incasso Dividendi",'Statements (Raw)'!D972)),"DIVIDEND",IF(ISNUMBER(SEARCH("Cedola",'Statements (Raw)'!D972)),"COUPON",IF(ISNUMBER(SEARCH("Ratei Pass",'Statements (Raw)'!D972)),"ACCRUED INT",IF(ISNUMBER(SEARCH("Interessi Prest",'Statements (Raw)'!D972)),"SEC LENDING",IF(ISNUMBER(SEARCH("Rimborso",'Statements (Raw)'!D972)),"REDEMPTION",IF(ISNUMBER(SEARCH("Provento",'Statements (Raw)'!D972)),"DISTRIBUTION","OTHER")))))))))))))</f>
        <v/>
      </c>
      <c r="D974" s="6" t="str">
        <f>IF(A974="","",IF(C974="Saldo Iniziale","Balance",IF(C974="CASH DEPOSIT","Deposit",IF(C974="CASH WITHDRAWAL","Withdrawal",IF(C974="STAMP DUTY","Tax",IF(C974="TOBIN TAX","Tax",IF(C974="WITHHOLDING TAX","Tax",IF(C974="DIVIDEND","Dividend",IF(C974="COUPON","Coupon",IF(C974="ACCRUED INT","Accrued Int.",IF(C974="SEC LENDING","Sec. Lending",IF(C974="REDEMPTION","Redemption",IF(C974="DISTRIBUTION","Distribution",IF(ISNUMBER(SEARCH("Rimborso",'Statements (Raw)'!D972)),"Redemption",IF(ISNUMBER(SEARCH("Cedola",'Statements (Raw)'!D972)),"Coupon",IF(ISNUMBER(SEARCH("Incasso Dividendi",'Statements (Raw)'!D972)),"Dividend",IF(ISNUMBER(SEARCH("Provento Etf",'Statements (Raw)'!D972)),"Distribution",IF(ISNUMBER(SEARCH("Rit.provento",'Statements (Raw)'!D972)),"Tax",IF(ISNUMBER(SEARCH("Ratei Pass",'Statements (Raw)'!D972)),"Accrued Int.",IF(ISNUMBER(SEARCH("Interessi Prest",'Statements (Raw)'!D972)),"Sec. Lending",IF('Statements (Raw)'!G972="","Other",IF('Statements (Raw)'!G972&gt;0,"Buy","Sell"))))))))))))))))))))))</f>
        <v/>
      </c>
      <c r="E974" s="6" t="str">
        <f t="shared" si="30"/>
        <v/>
      </c>
      <c r="F974" s="8" t="str">
        <f>IF(A974="","",IF('Statements (Raw)'!E972="","",'Statements (Raw)'!E972))</f>
        <v/>
      </c>
      <c r="G974" s="6" t="str">
        <f>IF(A974="","",IF('Statements (Raw)'!F972="","",'Statements (Raw)'!F972))</f>
        <v/>
      </c>
      <c r="H974" s="9" t="str">
        <f>IF(A974="","",IF('Statements (Raw)'!G972="","",'Statements (Raw)'!G972))</f>
        <v/>
      </c>
      <c r="I974" s="10" t="str">
        <f>IF(A974="","",IF('Statements (Raw)'!H972="","",'Statements (Raw)'!H972))</f>
        <v/>
      </c>
      <c r="J974" s="10">
        <f>IF(A974="",0,IF('Statements (Raw)'!I972="",0,'Statements (Raw)'!I972))</f>
        <v>0</v>
      </c>
      <c r="K974" s="10" t="str">
        <f t="shared" si="31"/>
        <v/>
      </c>
    </row>
    <row r="975" spans="1:11" x14ac:dyDescent="0.3">
      <c r="A975" s="171" t="str">
        <f>IF(OR('Statements (Raw)'!A973="",'Statements (Raw)'!A973&gt;Holdings!$G$3),"",'Statements (Raw)'!A973)</f>
        <v/>
      </c>
      <c r="B975" s="7" t="str">
        <f>IF(A975="","",IF('Statements (Raw)'!B973="","",'Statements (Raw)'!B973))</f>
        <v/>
      </c>
      <c r="C975" s="6" t="str">
        <f>IF(A975="","",IF('Statements (Raw)'!C973&lt;&gt;"",'Statements (Raw)'!C973,IF(ISNUMBER(SEARCH("Conferimento",'Statements (Raw)'!D973)),"CASH DEPOSIT",IF(ISNUMBER(SEARCH("Prelievo",'Statements (Raw)'!D973)),"CASH WITHDRAWAL",IF(ISNUMBER(SEARCH("Bollo",'Statements (Raw)'!D973)),"STAMP DUTY",IF(ISNUMBER(SEARCH("Tobin Tax",'Statements (Raw)'!D973)),"TOBIN TAX",IF(ISNUMBER(SEARCH("Rit.provento",'Statements (Raw)'!D973)),"WITHHOLDING TAX",IF(ISNUMBER(SEARCH("Incasso Dividendi",'Statements (Raw)'!D973)),"DIVIDEND",IF(ISNUMBER(SEARCH("Cedola",'Statements (Raw)'!D973)),"COUPON",IF(ISNUMBER(SEARCH("Ratei Pass",'Statements (Raw)'!D973)),"ACCRUED INT",IF(ISNUMBER(SEARCH("Interessi Prest",'Statements (Raw)'!D973)),"SEC LENDING",IF(ISNUMBER(SEARCH("Rimborso",'Statements (Raw)'!D973)),"REDEMPTION",IF(ISNUMBER(SEARCH("Provento",'Statements (Raw)'!D973)),"DISTRIBUTION","OTHER")))))))))))))</f>
        <v/>
      </c>
      <c r="D975" s="6" t="str">
        <f>IF(A975="","",IF(C975="Saldo Iniziale","Balance",IF(C975="CASH DEPOSIT","Deposit",IF(C975="CASH WITHDRAWAL","Withdrawal",IF(C975="STAMP DUTY","Tax",IF(C975="TOBIN TAX","Tax",IF(C975="WITHHOLDING TAX","Tax",IF(C975="DIVIDEND","Dividend",IF(C975="COUPON","Coupon",IF(C975="ACCRUED INT","Accrued Int.",IF(C975="SEC LENDING","Sec. Lending",IF(C975="REDEMPTION","Redemption",IF(C975="DISTRIBUTION","Distribution",IF(ISNUMBER(SEARCH("Rimborso",'Statements (Raw)'!D973)),"Redemption",IF(ISNUMBER(SEARCH("Cedola",'Statements (Raw)'!D973)),"Coupon",IF(ISNUMBER(SEARCH("Incasso Dividendi",'Statements (Raw)'!D973)),"Dividend",IF(ISNUMBER(SEARCH("Provento Etf",'Statements (Raw)'!D973)),"Distribution",IF(ISNUMBER(SEARCH("Rit.provento",'Statements (Raw)'!D973)),"Tax",IF(ISNUMBER(SEARCH("Ratei Pass",'Statements (Raw)'!D973)),"Accrued Int.",IF(ISNUMBER(SEARCH("Interessi Prest",'Statements (Raw)'!D973)),"Sec. Lending",IF('Statements (Raw)'!G973="","Other",IF('Statements (Raw)'!G973&gt;0,"Buy","Sell"))))))))))))))))))))))</f>
        <v/>
      </c>
      <c r="E975" s="6" t="str">
        <f t="shared" si="30"/>
        <v/>
      </c>
      <c r="F975" s="8" t="str">
        <f>IF(A975="","",IF('Statements (Raw)'!E973="","",'Statements (Raw)'!E973))</f>
        <v/>
      </c>
      <c r="G975" s="6" t="str">
        <f>IF(A975="","",IF('Statements (Raw)'!F973="","",'Statements (Raw)'!F973))</f>
        <v/>
      </c>
      <c r="H975" s="9" t="str">
        <f>IF(A975="","",IF('Statements (Raw)'!G973="","",'Statements (Raw)'!G973))</f>
        <v/>
      </c>
      <c r="I975" s="10" t="str">
        <f>IF(A975="","",IF('Statements (Raw)'!H973="","",'Statements (Raw)'!H973))</f>
        <v/>
      </c>
      <c r="J975" s="10">
        <f>IF(A975="",0,IF('Statements (Raw)'!I973="",0,'Statements (Raw)'!I973))</f>
        <v>0</v>
      </c>
      <c r="K975" s="10" t="str">
        <f t="shared" si="31"/>
        <v/>
      </c>
    </row>
    <row r="976" spans="1:11" x14ac:dyDescent="0.3">
      <c r="A976" s="171" t="str">
        <f>IF(OR('Statements (Raw)'!A974="",'Statements (Raw)'!A974&gt;Holdings!$G$3),"",'Statements (Raw)'!A974)</f>
        <v/>
      </c>
      <c r="B976" s="7" t="str">
        <f>IF(A976="","",IF('Statements (Raw)'!B974="","",'Statements (Raw)'!B974))</f>
        <v/>
      </c>
      <c r="C976" s="6" t="str">
        <f>IF(A976="","",IF('Statements (Raw)'!C974&lt;&gt;"",'Statements (Raw)'!C974,IF(ISNUMBER(SEARCH("Conferimento",'Statements (Raw)'!D974)),"CASH DEPOSIT",IF(ISNUMBER(SEARCH("Prelievo",'Statements (Raw)'!D974)),"CASH WITHDRAWAL",IF(ISNUMBER(SEARCH("Bollo",'Statements (Raw)'!D974)),"STAMP DUTY",IF(ISNUMBER(SEARCH("Tobin Tax",'Statements (Raw)'!D974)),"TOBIN TAX",IF(ISNUMBER(SEARCH("Rit.provento",'Statements (Raw)'!D974)),"WITHHOLDING TAX",IF(ISNUMBER(SEARCH("Incasso Dividendi",'Statements (Raw)'!D974)),"DIVIDEND",IF(ISNUMBER(SEARCH("Cedola",'Statements (Raw)'!D974)),"COUPON",IF(ISNUMBER(SEARCH("Ratei Pass",'Statements (Raw)'!D974)),"ACCRUED INT",IF(ISNUMBER(SEARCH("Interessi Prest",'Statements (Raw)'!D974)),"SEC LENDING",IF(ISNUMBER(SEARCH("Rimborso",'Statements (Raw)'!D974)),"REDEMPTION",IF(ISNUMBER(SEARCH("Provento",'Statements (Raw)'!D974)),"DISTRIBUTION","OTHER")))))))))))))</f>
        <v/>
      </c>
      <c r="D976" s="6" t="str">
        <f>IF(A976="","",IF(C976="Saldo Iniziale","Balance",IF(C976="CASH DEPOSIT","Deposit",IF(C976="CASH WITHDRAWAL","Withdrawal",IF(C976="STAMP DUTY","Tax",IF(C976="TOBIN TAX","Tax",IF(C976="WITHHOLDING TAX","Tax",IF(C976="DIVIDEND","Dividend",IF(C976="COUPON","Coupon",IF(C976="ACCRUED INT","Accrued Int.",IF(C976="SEC LENDING","Sec. Lending",IF(C976="REDEMPTION","Redemption",IF(C976="DISTRIBUTION","Distribution",IF(ISNUMBER(SEARCH("Rimborso",'Statements (Raw)'!D974)),"Redemption",IF(ISNUMBER(SEARCH("Cedola",'Statements (Raw)'!D974)),"Coupon",IF(ISNUMBER(SEARCH("Incasso Dividendi",'Statements (Raw)'!D974)),"Dividend",IF(ISNUMBER(SEARCH("Provento Etf",'Statements (Raw)'!D974)),"Distribution",IF(ISNUMBER(SEARCH("Rit.provento",'Statements (Raw)'!D974)),"Tax",IF(ISNUMBER(SEARCH("Ratei Pass",'Statements (Raw)'!D974)),"Accrued Int.",IF(ISNUMBER(SEARCH("Interessi Prest",'Statements (Raw)'!D974)),"Sec. Lending",IF('Statements (Raw)'!G974="","Other",IF('Statements (Raw)'!G974&gt;0,"Buy","Sell"))))))))))))))))))))))</f>
        <v/>
      </c>
      <c r="E976" s="6" t="str">
        <f t="shared" si="30"/>
        <v/>
      </c>
      <c r="F976" s="8" t="str">
        <f>IF(A976="","",IF('Statements (Raw)'!E974="","",'Statements (Raw)'!E974))</f>
        <v/>
      </c>
      <c r="G976" s="6" t="str">
        <f>IF(A976="","",IF('Statements (Raw)'!F974="","",'Statements (Raw)'!F974))</f>
        <v/>
      </c>
      <c r="H976" s="9" t="str">
        <f>IF(A976="","",IF('Statements (Raw)'!G974="","",'Statements (Raw)'!G974))</f>
        <v/>
      </c>
      <c r="I976" s="10" t="str">
        <f>IF(A976="","",IF('Statements (Raw)'!H974="","",'Statements (Raw)'!H974))</f>
        <v/>
      </c>
      <c r="J976" s="10">
        <f>IF(A976="",0,IF('Statements (Raw)'!I974="",0,'Statements (Raw)'!I974))</f>
        <v>0</v>
      </c>
      <c r="K976" s="10" t="str">
        <f t="shared" si="31"/>
        <v/>
      </c>
    </row>
    <row r="977" spans="1:11" x14ac:dyDescent="0.3">
      <c r="A977" s="171" t="str">
        <f>IF(OR('Statements (Raw)'!A975="",'Statements (Raw)'!A975&gt;Holdings!$G$3),"",'Statements (Raw)'!A975)</f>
        <v/>
      </c>
      <c r="B977" s="7" t="str">
        <f>IF(A977="","",IF('Statements (Raw)'!B975="","",'Statements (Raw)'!B975))</f>
        <v/>
      </c>
      <c r="C977" s="6" t="str">
        <f>IF(A977="","",IF('Statements (Raw)'!C975&lt;&gt;"",'Statements (Raw)'!C975,IF(ISNUMBER(SEARCH("Conferimento",'Statements (Raw)'!D975)),"CASH DEPOSIT",IF(ISNUMBER(SEARCH("Prelievo",'Statements (Raw)'!D975)),"CASH WITHDRAWAL",IF(ISNUMBER(SEARCH("Bollo",'Statements (Raw)'!D975)),"STAMP DUTY",IF(ISNUMBER(SEARCH("Tobin Tax",'Statements (Raw)'!D975)),"TOBIN TAX",IF(ISNUMBER(SEARCH("Rit.provento",'Statements (Raw)'!D975)),"WITHHOLDING TAX",IF(ISNUMBER(SEARCH("Incasso Dividendi",'Statements (Raw)'!D975)),"DIVIDEND",IF(ISNUMBER(SEARCH("Cedola",'Statements (Raw)'!D975)),"COUPON",IF(ISNUMBER(SEARCH("Ratei Pass",'Statements (Raw)'!D975)),"ACCRUED INT",IF(ISNUMBER(SEARCH("Interessi Prest",'Statements (Raw)'!D975)),"SEC LENDING",IF(ISNUMBER(SEARCH("Rimborso",'Statements (Raw)'!D975)),"REDEMPTION",IF(ISNUMBER(SEARCH("Provento",'Statements (Raw)'!D975)),"DISTRIBUTION","OTHER")))))))))))))</f>
        <v/>
      </c>
      <c r="D977" s="6" t="str">
        <f>IF(A977="","",IF(C977="Saldo Iniziale","Balance",IF(C977="CASH DEPOSIT","Deposit",IF(C977="CASH WITHDRAWAL","Withdrawal",IF(C977="STAMP DUTY","Tax",IF(C977="TOBIN TAX","Tax",IF(C977="WITHHOLDING TAX","Tax",IF(C977="DIVIDEND","Dividend",IF(C977="COUPON","Coupon",IF(C977="ACCRUED INT","Accrued Int.",IF(C977="SEC LENDING","Sec. Lending",IF(C977="REDEMPTION","Redemption",IF(C977="DISTRIBUTION","Distribution",IF(ISNUMBER(SEARCH("Rimborso",'Statements (Raw)'!D975)),"Redemption",IF(ISNUMBER(SEARCH("Cedola",'Statements (Raw)'!D975)),"Coupon",IF(ISNUMBER(SEARCH("Incasso Dividendi",'Statements (Raw)'!D975)),"Dividend",IF(ISNUMBER(SEARCH("Provento Etf",'Statements (Raw)'!D975)),"Distribution",IF(ISNUMBER(SEARCH("Rit.provento",'Statements (Raw)'!D975)),"Tax",IF(ISNUMBER(SEARCH("Ratei Pass",'Statements (Raw)'!D975)),"Accrued Int.",IF(ISNUMBER(SEARCH("Interessi Prest",'Statements (Raw)'!D975)),"Sec. Lending",IF('Statements (Raw)'!G975="","Other",IF('Statements (Raw)'!G975&gt;0,"Buy","Sell"))))))))))))))))))))))</f>
        <v/>
      </c>
      <c r="E977" s="6" t="str">
        <f t="shared" si="30"/>
        <v/>
      </c>
      <c r="F977" s="8" t="str">
        <f>IF(A977="","",IF('Statements (Raw)'!E975="","",'Statements (Raw)'!E975))</f>
        <v/>
      </c>
      <c r="G977" s="6" t="str">
        <f>IF(A977="","",IF('Statements (Raw)'!F975="","",'Statements (Raw)'!F975))</f>
        <v/>
      </c>
      <c r="H977" s="9" t="str">
        <f>IF(A977="","",IF('Statements (Raw)'!G975="","",'Statements (Raw)'!G975))</f>
        <v/>
      </c>
      <c r="I977" s="10" t="str">
        <f>IF(A977="","",IF('Statements (Raw)'!H975="","",'Statements (Raw)'!H975))</f>
        <v/>
      </c>
      <c r="J977" s="10">
        <f>IF(A977="",0,IF('Statements (Raw)'!I975="",0,'Statements (Raw)'!I975))</f>
        <v>0</v>
      </c>
      <c r="K977" s="10" t="str">
        <f t="shared" si="31"/>
        <v/>
      </c>
    </row>
    <row r="978" spans="1:11" x14ac:dyDescent="0.3">
      <c r="A978" s="171" t="str">
        <f>IF(OR('Statements (Raw)'!A976="",'Statements (Raw)'!A976&gt;Holdings!$G$3),"",'Statements (Raw)'!A976)</f>
        <v/>
      </c>
      <c r="B978" s="7" t="str">
        <f>IF(A978="","",IF('Statements (Raw)'!B976="","",'Statements (Raw)'!B976))</f>
        <v/>
      </c>
      <c r="C978" s="6" t="str">
        <f>IF(A978="","",IF('Statements (Raw)'!C976&lt;&gt;"",'Statements (Raw)'!C976,IF(ISNUMBER(SEARCH("Conferimento",'Statements (Raw)'!D976)),"CASH DEPOSIT",IF(ISNUMBER(SEARCH("Prelievo",'Statements (Raw)'!D976)),"CASH WITHDRAWAL",IF(ISNUMBER(SEARCH("Bollo",'Statements (Raw)'!D976)),"STAMP DUTY",IF(ISNUMBER(SEARCH("Tobin Tax",'Statements (Raw)'!D976)),"TOBIN TAX",IF(ISNUMBER(SEARCH("Rit.provento",'Statements (Raw)'!D976)),"WITHHOLDING TAX",IF(ISNUMBER(SEARCH("Incasso Dividendi",'Statements (Raw)'!D976)),"DIVIDEND",IF(ISNUMBER(SEARCH("Cedola",'Statements (Raw)'!D976)),"COUPON",IF(ISNUMBER(SEARCH("Ratei Pass",'Statements (Raw)'!D976)),"ACCRUED INT",IF(ISNUMBER(SEARCH("Interessi Prest",'Statements (Raw)'!D976)),"SEC LENDING",IF(ISNUMBER(SEARCH("Rimborso",'Statements (Raw)'!D976)),"REDEMPTION",IF(ISNUMBER(SEARCH("Provento",'Statements (Raw)'!D976)),"DISTRIBUTION","OTHER")))))))))))))</f>
        <v/>
      </c>
      <c r="D978" s="6" t="str">
        <f>IF(A978="","",IF(C978="Saldo Iniziale","Balance",IF(C978="CASH DEPOSIT","Deposit",IF(C978="CASH WITHDRAWAL","Withdrawal",IF(C978="STAMP DUTY","Tax",IF(C978="TOBIN TAX","Tax",IF(C978="WITHHOLDING TAX","Tax",IF(C978="DIVIDEND","Dividend",IF(C978="COUPON","Coupon",IF(C978="ACCRUED INT","Accrued Int.",IF(C978="SEC LENDING","Sec. Lending",IF(C978="REDEMPTION","Redemption",IF(C978="DISTRIBUTION","Distribution",IF(ISNUMBER(SEARCH("Rimborso",'Statements (Raw)'!D976)),"Redemption",IF(ISNUMBER(SEARCH("Cedola",'Statements (Raw)'!D976)),"Coupon",IF(ISNUMBER(SEARCH("Incasso Dividendi",'Statements (Raw)'!D976)),"Dividend",IF(ISNUMBER(SEARCH("Provento Etf",'Statements (Raw)'!D976)),"Distribution",IF(ISNUMBER(SEARCH("Rit.provento",'Statements (Raw)'!D976)),"Tax",IF(ISNUMBER(SEARCH("Ratei Pass",'Statements (Raw)'!D976)),"Accrued Int.",IF(ISNUMBER(SEARCH("Interessi Prest",'Statements (Raw)'!D976)),"Sec. Lending",IF('Statements (Raw)'!G976="","Other",IF('Statements (Raw)'!G976&gt;0,"Buy","Sell"))))))))))))))))))))))</f>
        <v/>
      </c>
      <c r="E978" s="6" t="str">
        <f t="shared" si="30"/>
        <v/>
      </c>
      <c r="F978" s="8" t="str">
        <f>IF(A978="","",IF('Statements (Raw)'!E976="","",'Statements (Raw)'!E976))</f>
        <v/>
      </c>
      <c r="G978" s="6" t="str">
        <f>IF(A978="","",IF('Statements (Raw)'!F976="","",'Statements (Raw)'!F976))</f>
        <v/>
      </c>
      <c r="H978" s="9" t="str">
        <f>IF(A978="","",IF('Statements (Raw)'!G976="","",'Statements (Raw)'!G976))</f>
        <v/>
      </c>
      <c r="I978" s="10" t="str">
        <f>IF(A978="","",IF('Statements (Raw)'!H976="","",'Statements (Raw)'!H976))</f>
        <v/>
      </c>
      <c r="J978" s="10">
        <f>IF(A978="",0,IF('Statements (Raw)'!I976="",0,'Statements (Raw)'!I976))</f>
        <v>0</v>
      </c>
      <c r="K978" s="10" t="str">
        <f t="shared" si="31"/>
        <v/>
      </c>
    </row>
    <row r="979" spans="1:11" x14ac:dyDescent="0.3">
      <c r="A979" s="171" t="str">
        <f>IF(OR('Statements (Raw)'!A977="",'Statements (Raw)'!A977&gt;Holdings!$G$3),"",'Statements (Raw)'!A977)</f>
        <v/>
      </c>
      <c r="B979" s="7" t="str">
        <f>IF(A979="","",IF('Statements (Raw)'!B977="","",'Statements (Raw)'!B977))</f>
        <v/>
      </c>
      <c r="C979" s="6" t="str">
        <f>IF(A979="","",IF('Statements (Raw)'!C977&lt;&gt;"",'Statements (Raw)'!C977,IF(ISNUMBER(SEARCH("Conferimento",'Statements (Raw)'!D977)),"CASH DEPOSIT",IF(ISNUMBER(SEARCH("Prelievo",'Statements (Raw)'!D977)),"CASH WITHDRAWAL",IF(ISNUMBER(SEARCH("Bollo",'Statements (Raw)'!D977)),"STAMP DUTY",IF(ISNUMBER(SEARCH("Tobin Tax",'Statements (Raw)'!D977)),"TOBIN TAX",IF(ISNUMBER(SEARCH("Rit.provento",'Statements (Raw)'!D977)),"WITHHOLDING TAX",IF(ISNUMBER(SEARCH("Incasso Dividendi",'Statements (Raw)'!D977)),"DIVIDEND",IF(ISNUMBER(SEARCH("Cedola",'Statements (Raw)'!D977)),"COUPON",IF(ISNUMBER(SEARCH("Ratei Pass",'Statements (Raw)'!D977)),"ACCRUED INT",IF(ISNUMBER(SEARCH("Interessi Prest",'Statements (Raw)'!D977)),"SEC LENDING",IF(ISNUMBER(SEARCH("Rimborso",'Statements (Raw)'!D977)),"REDEMPTION",IF(ISNUMBER(SEARCH("Provento",'Statements (Raw)'!D977)),"DISTRIBUTION","OTHER")))))))))))))</f>
        <v/>
      </c>
      <c r="D979" s="6" t="str">
        <f>IF(A979="","",IF(C979="Saldo Iniziale","Balance",IF(C979="CASH DEPOSIT","Deposit",IF(C979="CASH WITHDRAWAL","Withdrawal",IF(C979="STAMP DUTY","Tax",IF(C979="TOBIN TAX","Tax",IF(C979="WITHHOLDING TAX","Tax",IF(C979="DIVIDEND","Dividend",IF(C979="COUPON","Coupon",IF(C979="ACCRUED INT","Accrued Int.",IF(C979="SEC LENDING","Sec. Lending",IF(C979="REDEMPTION","Redemption",IF(C979="DISTRIBUTION","Distribution",IF(ISNUMBER(SEARCH("Rimborso",'Statements (Raw)'!D977)),"Redemption",IF(ISNUMBER(SEARCH("Cedola",'Statements (Raw)'!D977)),"Coupon",IF(ISNUMBER(SEARCH("Incasso Dividendi",'Statements (Raw)'!D977)),"Dividend",IF(ISNUMBER(SEARCH("Provento Etf",'Statements (Raw)'!D977)),"Distribution",IF(ISNUMBER(SEARCH("Rit.provento",'Statements (Raw)'!D977)),"Tax",IF(ISNUMBER(SEARCH("Ratei Pass",'Statements (Raw)'!D977)),"Accrued Int.",IF(ISNUMBER(SEARCH("Interessi Prest",'Statements (Raw)'!D977)),"Sec. Lending",IF('Statements (Raw)'!G977="","Other",IF('Statements (Raw)'!G977&gt;0,"Buy","Sell"))))))))))))))))))))))</f>
        <v/>
      </c>
      <c r="E979" s="6" t="str">
        <f t="shared" si="30"/>
        <v/>
      </c>
      <c r="F979" s="8" t="str">
        <f>IF(A979="","",IF('Statements (Raw)'!E977="","",'Statements (Raw)'!E977))</f>
        <v/>
      </c>
      <c r="G979" s="6" t="str">
        <f>IF(A979="","",IF('Statements (Raw)'!F977="","",'Statements (Raw)'!F977))</f>
        <v/>
      </c>
      <c r="H979" s="9" t="str">
        <f>IF(A979="","",IF('Statements (Raw)'!G977="","",'Statements (Raw)'!G977))</f>
        <v/>
      </c>
      <c r="I979" s="10" t="str">
        <f>IF(A979="","",IF('Statements (Raw)'!H977="","",'Statements (Raw)'!H977))</f>
        <v/>
      </c>
      <c r="J979" s="10">
        <f>IF(A979="",0,IF('Statements (Raw)'!I977="",0,'Statements (Raw)'!I977))</f>
        <v>0</v>
      </c>
      <c r="K979" s="10" t="str">
        <f t="shared" si="31"/>
        <v/>
      </c>
    </row>
    <row r="980" spans="1:11" x14ac:dyDescent="0.3">
      <c r="A980" s="171" t="str">
        <f>IF(OR('Statements (Raw)'!A978="",'Statements (Raw)'!A978&gt;Holdings!$G$3),"",'Statements (Raw)'!A978)</f>
        <v/>
      </c>
      <c r="B980" s="7" t="str">
        <f>IF(A980="","",IF('Statements (Raw)'!B978="","",'Statements (Raw)'!B978))</f>
        <v/>
      </c>
      <c r="C980" s="6" t="str">
        <f>IF(A980="","",IF('Statements (Raw)'!C978&lt;&gt;"",'Statements (Raw)'!C978,IF(ISNUMBER(SEARCH("Conferimento",'Statements (Raw)'!D978)),"CASH DEPOSIT",IF(ISNUMBER(SEARCH("Prelievo",'Statements (Raw)'!D978)),"CASH WITHDRAWAL",IF(ISNUMBER(SEARCH("Bollo",'Statements (Raw)'!D978)),"STAMP DUTY",IF(ISNUMBER(SEARCH("Tobin Tax",'Statements (Raw)'!D978)),"TOBIN TAX",IF(ISNUMBER(SEARCH("Rit.provento",'Statements (Raw)'!D978)),"WITHHOLDING TAX",IF(ISNUMBER(SEARCH("Incasso Dividendi",'Statements (Raw)'!D978)),"DIVIDEND",IF(ISNUMBER(SEARCH("Cedola",'Statements (Raw)'!D978)),"COUPON",IF(ISNUMBER(SEARCH("Ratei Pass",'Statements (Raw)'!D978)),"ACCRUED INT",IF(ISNUMBER(SEARCH("Interessi Prest",'Statements (Raw)'!D978)),"SEC LENDING",IF(ISNUMBER(SEARCH("Rimborso",'Statements (Raw)'!D978)),"REDEMPTION",IF(ISNUMBER(SEARCH("Provento",'Statements (Raw)'!D978)),"DISTRIBUTION","OTHER")))))))))))))</f>
        <v/>
      </c>
      <c r="D980" s="6" t="str">
        <f>IF(A980="","",IF(C980="Saldo Iniziale","Balance",IF(C980="CASH DEPOSIT","Deposit",IF(C980="CASH WITHDRAWAL","Withdrawal",IF(C980="STAMP DUTY","Tax",IF(C980="TOBIN TAX","Tax",IF(C980="WITHHOLDING TAX","Tax",IF(C980="DIVIDEND","Dividend",IF(C980="COUPON","Coupon",IF(C980="ACCRUED INT","Accrued Int.",IF(C980="SEC LENDING","Sec. Lending",IF(C980="REDEMPTION","Redemption",IF(C980="DISTRIBUTION","Distribution",IF(ISNUMBER(SEARCH("Rimborso",'Statements (Raw)'!D978)),"Redemption",IF(ISNUMBER(SEARCH("Cedola",'Statements (Raw)'!D978)),"Coupon",IF(ISNUMBER(SEARCH("Incasso Dividendi",'Statements (Raw)'!D978)),"Dividend",IF(ISNUMBER(SEARCH("Provento Etf",'Statements (Raw)'!D978)),"Distribution",IF(ISNUMBER(SEARCH("Rit.provento",'Statements (Raw)'!D978)),"Tax",IF(ISNUMBER(SEARCH("Ratei Pass",'Statements (Raw)'!D978)),"Accrued Int.",IF(ISNUMBER(SEARCH("Interessi Prest",'Statements (Raw)'!D978)),"Sec. Lending",IF('Statements (Raw)'!G978="","Other",IF('Statements (Raw)'!G978&gt;0,"Buy","Sell"))))))))))))))))))))))</f>
        <v/>
      </c>
      <c r="E980" s="6" t="str">
        <f t="shared" si="30"/>
        <v/>
      </c>
      <c r="F980" s="8" t="str">
        <f>IF(A980="","",IF('Statements (Raw)'!E978="","",'Statements (Raw)'!E978))</f>
        <v/>
      </c>
      <c r="G980" s="6" t="str">
        <f>IF(A980="","",IF('Statements (Raw)'!F978="","",'Statements (Raw)'!F978))</f>
        <v/>
      </c>
      <c r="H980" s="9" t="str">
        <f>IF(A980="","",IF('Statements (Raw)'!G978="","",'Statements (Raw)'!G978))</f>
        <v/>
      </c>
      <c r="I980" s="10" t="str">
        <f>IF(A980="","",IF('Statements (Raw)'!H978="","",'Statements (Raw)'!H978))</f>
        <v/>
      </c>
      <c r="J980" s="10">
        <f>IF(A980="",0,IF('Statements (Raw)'!I978="",0,'Statements (Raw)'!I978))</f>
        <v>0</v>
      </c>
      <c r="K980" s="10" t="str">
        <f t="shared" si="31"/>
        <v/>
      </c>
    </row>
    <row r="981" spans="1:11" x14ac:dyDescent="0.3">
      <c r="A981" s="171" t="str">
        <f>IF(OR('Statements (Raw)'!A979="",'Statements (Raw)'!A979&gt;Holdings!$G$3),"",'Statements (Raw)'!A979)</f>
        <v/>
      </c>
      <c r="B981" s="7" t="str">
        <f>IF(A981="","",IF('Statements (Raw)'!B979="","",'Statements (Raw)'!B979))</f>
        <v/>
      </c>
      <c r="C981" s="6" t="str">
        <f>IF(A981="","",IF('Statements (Raw)'!C979&lt;&gt;"",'Statements (Raw)'!C979,IF(ISNUMBER(SEARCH("Conferimento",'Statements (Raw)'!D979)),"CASH DEPOSIT",IF(ISNUMBER(SEARCH("Prelievo",'Statements (Raw)'!D979)),"CASH WITHDRAWAL",IF(ISNUMBER(SEARCH("Bollo",'Statements (Raw)'!D979)),"STAMP DUTY",IF(ISNUMBER(SEARCH("Tobin Tax",'Statements (Raw)'!D979)),"TOBIN TAX",IF(ISNUMBER(SEARCH("Rit.provento",'Statements (Raw)'!D979)),"WITHHOLDING TAX",IF(ISNUMBER(SEARCH("Incasso Dividendi",'Statements (Raw)'!D979)),"DIVIDEND",IF(ISNUMBER(SEARCH("Cedola",'Statements (Raw)'!D979)),"COUPON",IF(ISNUMBER(SEARCH("Ratei Pass",'Statements (Raw)'!D979)),"ACCRUED INT",IF(ISNUMBER(SEARCH("Interessi Prest",'Statements (Raw)'!D979)),"SEC LENDING",IF(ISNUMBER(SEARCH("Rimborso",'Statements (Raw)'!D979)),"REDEMPTION",IF(ISNUMBER(SEARCH("Provento",'Statements (Raw)'!D979)),"DISTRIBUTION","OTHER")))))))))))))</f>
        <v/>
      </c>
      <c r="D981" s="6" t="str">
        <f>IF(A981="","",IF(C981="Saldo Iniziale","Balance",IF(C981="CASH DEPOSIT","Deposit",IF(C981="CASH WITHDRAWAL","Withdrawal",IF(C981="STAMP DUTY","Tax",IF(C981="TOBIN TAX","Tax",IF(C981="WITHHOLDING TAX","Tax",IF(C981="DIVIDEND","Dividend",IF(C981="COUPON","Coupon",IF(C981="ACCRUED INT","Accrued Int.",IF(C981="SEC LENDING","Sec. Lending",IF(C981="REDEMPTION","Redemption",IF(C981="DISTRIBUTION","Distribution",IF(ISNUMBER(SEARCH("Rimborso",'Statements (Raw)'!D979)),"Redemption",IF(ISNUMBER(SEARCH("Cedola",'Statements (Raw)'!D979)),"Coupon",IF(ISNUMBER(SEARCH("Incasso Dividendi",'Statements (Raw)'!D979)),"Dividend",IF(ISNUMBER(SEARCH("Provento Etf",'Statements (Raw)'!D979)),"Distribution",IF(ISNUMBER(SEARCH("Rit.provento",'Statements (Raw)'!D979)),"Tax",IF(ISNUMBER(SEARCH("Ratei Pass",'Statements (Raw)'!D979)),"Accrued Int.",IF(ISNUMBER(SEARCH("Interessi Prest",'Statements (Raw)'!D979)),"Sec. Lending",IF('Statements (Raw)'!G979="","Other",IF('Statements (Raw)'!G979&gt;0,"Buy","Sell"))))))))))))))))))))))</f>
        <v/>
      </c>
      <c r="E981" s="6" t="str">
        <f t="shared" si="30"/>
        <v/>
      </c>
      <c r="F981" s="8" t="str">
        <f>IF(A981="","",IF('Statements (Raw)'!E979="","",'Statements (Raw)'!E979))</f>
        <v/>
      </c>
      <c r="G981" s="6" t="str">
        <f>IF(A981="","",IF('Statements (Raw)'!F979="","",'Statements (Raw)'!F979))</f>
        <v/>
      </c>
      <c r="H981" s="9" t="str">
        <f>IF(A981="","",IF('Statements (Raw)'!G979="","",'Statements (Raw)'!G979))</f>
        <v/>
      </c>
      <c r="I981" s="10" t="str">
        <f>IF(A981="","",IF('Statements (Raw)'!H979="","",'Statements (Raw)'!H979))</f>
        <v/>
      </c>
      <c r="J981" s="10">
        <f>IF(A981="",0,IF('Statements (Raw)'!I979="",0,'Statements (Raw)'!I979))</f>
        <v>0</v>
      </c>
      <c r="K981" s="10" t="str">
        <f t="shared" si="31"/>
        <v/>
      </c>
    </row>
    <row r="982" spans="1:11" x14ac:dyDescent="0.3">
      <c r="A982" s="171" t="str">
        <f>IF(OR('Statements (Raw)'!A980="",'Statements (Raw)'!A980&gt;Holdings!$G$3),"",'Statements (Raw)'!A980)</f>
        <v/>
      </c>
      <c r="B982" s="7" t="str">
        <f>IF(A982="","",IF('Statements (Raw)'!B980="","",'Statements (Raw)'!B980))</f>
        <v/>
      </c>
      <c r="C982" s="6" t="str">
        <f>IF(A982="","",IF('Statements (Raw)'!C980&lt;&gt;"",'Statements (Raw)'!C980,IF(ISNUMBER(SEARCH("Conferimento",'Statements (Raw)'!D980)),"CASH DEPOSIT",IF(ISNUMBER(SEARCH("Prelievo",'Statements (Raw)'!D980)),"CASH WITHDRAWAL",IF(ISNUMBER(SEARCH("Bollo",'Statements (Raw)'!D980)),"STAMP DUTY",IF(ISNUMBER(SEARCH("Tobin Tax",'Statements (Raw)'!D980)),"TOBIN TAX",IF(ISNUMBER(SEARCH("Rit.provento",'Statements (Raw)'!D980)),"WITHHOLDING TAX",IF(ISNUMBER(SEARCH("Incasso Dividendi",'Statements (Raw)'!D980)),"DIVIDEND",IF(ISNUMBER(SEARCH("Cedola",'Statements (Raw)'!D980)),"COUPON",IF(ISNUMBER(SEARCH("Ratei Pass",'Statements (Raw)'!D980)),"ACCRUED INT",IF(ISNUMBER(SEARCH("Interessi Prest",'Statements (Raw)'!D980)),"SEC LENDING",IF(ISNUMBER(SEARCH("Rimborso",'Statements (Raw)'!D980)),"REDEMPTION",IF(ISNUMBER(SEARCH("Provento",'Statements (Raw)'!D980)),"DISTRIBUTION","OTHER")))))))))))))</f>
        <v/>
      </c>
      <c r="D982" s="6" t="str">
        <f>IF(A982="","",IF(C982="Saldo Iniziale","Balance",IF(C982="CASH DEPOSIT","Deposit",IF(C982="CASH WITHDRAWAL","Withdrawal",IF(C982="STAMP DUTY","Tax",IF(C982="TOBIN TAX","Tax",IF(C982="WITHHOLDING TAX","Tax",IF(C982="DIVIDEND","Dividend",IF(C982="COUPON","Coupon",IF(C982="ACCRUED INT","Accrued Int.",IF(C982="SEC LENDING","Sec. Lending",IF(C982="REDEMPTION","Redemption",IF(C982="DISTRIBUTION","Distribution",IF(ISNUMBER(SEARCH("Rimborso",'Statements (Raw)'!D980)),"Redemption",IF(ISNUMBER(SEARCH("Cedola",'Statements (Raw)'!D980)),"Coupon",IF(ISNUMBER(SEARCH("Incasso Dividendi",'Statements (Raw)'!D980)),"Dividend",IF(ISNUMBER(SEARCH("Provento Etf",'Statements (Raw)'!D980)),"Distribution",IF(ISNUMBER(SEARCH("Rit.provento",'Statements (Raw)'!D980)),"Tax",IF(ISNUMBER(SEARCH("Ratei Pass",'Statements (Raw)'!D980)),"Accrued Int.",IF(ISNUMBER(SEARCH("Interessi Prest",'Statements (Raw)'!D980)),"Sec. Lending",IF('Statements (Raw)'!G980="","Other",IF('Statements (Raw)'!G980&gt;0,"Buy","Sell"))))))))))))))))))))))</f>
        <v/>
      </c>
      <c r="E982" s="6" t="str">
        <f t="shared" si="30"/>
        <v/>
      </c>
      <c r="F982" s="8" t="str">
        <f>IF(A982="","",IF('Statements (Raw)'!E980="","",'Statements (Raw)'!E980))</f>
        <v/>
      </c>
      <c r="G982" s="6" t="str">
        <f>IF(A982="","",IF('Statements (Raw)'!F980="","",'Statements (Raw)'!F980))</f>
        <v/>
      </c>
      <c r="H982" s="9" t="str">
        <f>IF(A982="","",IF('Statements (Raw)'!G980="","",'Statements (Raw)'!G980))</f>
        <v/>
      </c>
      <c r="I982" s="10" t="str">
        <f>IF(A982="","",IF('Statements (Raw)'!H980="","",'Statements (Raw)'!H980))</f>
        <v/>
      </c>
      <c r="J982" s="10">
        <f>IF(A982="",0,IF('Statements (Raw)'!I980="",0,'Statements (Raw)'!I980))</f>
        <v>0</v>
      </c>
      <c r="K982" s="10" t="str">
        <f t="shared" si="31"/>
        <v/>
      </c>
    </row>
    <row r="983" spans="1:11" x14ac:dyDescent="0.3">
      <c r="A983" s="171" t="str">
        <f>IF(OR('Statements (Raw)'!A981="",'Statements (Raw)'!A981&gt;Holdings!$G$3),"",'Statements (Raw)'!A981)</f>
        <v/>
      </c>
      <c r="B983" s="7" t="str">
        <f>IF(A983="","",IF('Statements (Raw)'!B981="","",'Statements (Raw)'!B981))</f>
        <v/>
      </c>
      <c r="C983" s="6" t="str">
        <f>IF(A983="","",IF('Statements (Raw)'!C981&lt;&gt;"",'Statements (Raw)'!C981,IF(ISNUMBER(SEARCH("Conferimento",'Statements (Raw)'!D981)),"CASH DEPOSIT",IF(ISNUMBER(SEARCH("Prelievo",'Statements (Raw)'!D981)),"CASH WITHDRAWAL",IF(ISNUMBER(SEARCH("Bollo",'Statements (Raw)'!D981)),"STAMP DUTY",IF(ISNUMBER(SEARCH("Tobin Tax",'Statements (Raw)'!D981)),"TOBIN TAX",IF(ISNUMBER(SEARCH("Rit.provento",'Statements (Raw)'!D981)),"WITHHOLDING TAX",IF(ISNUMBER(SEARCH("Incasso Dividendi",'Statements (Raw)'!D981)),"DIVIDEND",IF(ISNUMBER(SEARCH("Cedola",'Statements (Raw)'!D981)),"COUPON",IF(ISNUMBER(SEARCH("Ratei Pass",'Statements (Raw)'!D981)),"ACCRUED INT",IF(ISNUMBER(SEARCH("Interessi Prest",'Statements (Raw)'!D981)),"SEC LENDING",IF(ISNUMBER(SEARCH("Rimborso",'Statements (Raw)'!D981)),"REDEMPTION",IF(ISNUMBER(SEARCH("Provento",'Statements (Raw)'!D981)),"DISTRIBUTION","OTHER")))))))))))))</f>
        <v/>
      </c>
      <c r="D983" s="6" t="str">
        <f>IF(A983="","",IF(C983="Saldo Iniziale","Balance",IF(C983="CASH DEPOSIT","Deposit",IF(C983="CASH WITHDRAWAL","Withdrawal",IF(C983="STAMP DUTY","Tax",IF(C983="TOBIN TAX","Tax",IF(C983="WITHHOLDING TAX","Tax",IF(C983="DIVIDEND","Dividend",IF(C983="COUPON","Coupon",IF(C983="ACCRUED INT","Accrued Int.",IF(C983="SEC LENDING","Sec. Lending",IF(C983="REDEMPTION","Redemption",IF(C983="DISTRIBUTION","Distribution",IF(ISNUMBER(SEARCH("Rimborso",'Statements (Raw)'!D981)),"Redemption",IF(ISNUMBER(SEARCH("Cedola",'Statements (Raw)'!D981)),"Coupon",IF(ISNUMBER(SEARCH("Incasso Dividendi",'Statements (Raw)'!D981)),"Dividend",IF(ISNUMBER(SEARCH("Provento Etf",'Statements (Raw)'!D981)),"Distribution",IF(ISNUMBER(SEARCH("Rit.provento",'Statements (Raw)'!D981)),"Tax",IF(ISNUMBER(SEARCH("Ratei Pass",'Statements (Raw)'!D981)),"Accrued Int.",IF(ISNUMBER(SEARCH("Interessi Prest",'Statements (Raw)'!D981)),"Sec. Lending",IF('Statements (Raw)'!G981="","Other",IF('Statements (Raw)'!G981&gt;0,"Buy","Sell"))))))))))))))))))))))</f>
        <v/>
      </c>
      <c r="E983" s="6" t="str">
        <f t="shared" si="30"/>
        <v/>
      </c>
      <c r="F983" s="8" t="str">
        <f>IF(A983="","",IF('Statements (Raw)'!E981="","",'Statements (Raw)'!E981))</f>
        <v/>
      </c>
      <c r="G983" s="6" t="str">
        <f>IF(A983="","",IF('Statements (Raw)'!F981="","",'Statements (Raw)'!F981))</f>
        <v/>
      </c>
      <c r="H983" s="9" t="str">
        <f>IF(A983="","",IF('Statements (Raw)'!G981="","",'Statements (Raw)'!G981))</f>
        <v/>
      </c>
      <c r="I983" s="10" t="str">
        <f>IF(A983="","",IF('Statements (Raw)'!H981="","",'Statements (Raw)'!H981))</f>
        <v/>
      </c>
      <c r="J983" s="10">
        <f>IF(A983="",0,IF('Statements (Raw)'!I981="",0,'Statements (Raw)'!I981))</f>
        <v>0</v>
      </c>
      <c r="K983" s="10" t="str">
        <f t="shared" si="31"/>
        <v/>
      </c>
    </row>
    <row r="984" spans="1:11" x14ac:dyDescent="0.3">
      <c r="A984" s="171" t="str">
        <f>IF(OR('Statements (Raw)'!A982="",'Statements (Raw)'!A982&gt;Holdings!$G$3),"",'Statements (Raw)'!A982)</f>
        <v/>
      </c>
      <c r="B984" s="7" t="str">
        <f>IF(A984="","",IF('Statements (Raw)'!B982="","",'Statements (Raw)'!B982))</f>
        <v/>
      </c>
      <c r="C984" s="6" t="str">
        <f>IF(A984="","",IF('Statements (Raw)'!C982&lt;&gt;"",'Statements (Raw)'!C982,IF(ISNUMBER(SEARCH("Conferimento",'Statements (Raw)'!D982)),"CASH DEPOSIT",IF(ISNUMBER(SEARCH("Prelievo",'Statements (Raw)'!D982)),"CASH WITHDRAWAL",IF(ISNUMBER(SEARCH("Bollo",'Statements (Raw)'!D982)),"STAMP DUTY",IF(ISNUMBER(SEARCH("Tobin Tax",'Statements (Raw)'!D982)),"TOBIN TAX",IF(ISNUMBER(SEARCH("Rit.provento",'Statements (Raw)'!D982)),"WITHHOLDING TAX",IF(ISNUMBER(SEARCH("Incasso Dividendi",'Statements (Raw)'!D982)),"DIVIDEND",IF(ISNUMBER(SEARCH("Cedola",'Statements (Raw)'!D982)),"COUPON",IF(ISNUMBER(SEARCH("Ratei Pass",'Statements (Raw)'!D982)),"ACCRUED INT",IF(ISNUMBER(SEARCH("Interessi Prest",'Statements (Raw)'!D982)),"SEC LENDING",IF(ISNUMBER(SEARCH("Rimborso",'Statements (Raw)'!D982)),"REDEMPTION",IF(ISNUMBER(SEARCH("Provento",'Statements (Raw)'!D982)),"DISTRIBUTION","OTHER")))))))))))))</f>
        <v/>
      </c>
      <c r="D984" s="6" t="str">
        <f>IF(A984="","",IF(C984="Saldo Iniziale","Balance",IF(C984="CASH DEPOSIT","Deposit",IF(C984="CASH WITHDRAWAL","Withdrawal",IF(C984="STAMP DUTY","Tax",IF(C984="TOBIN TAX","Tax",IF(C984="WITHHOLDING TAX","Tax",IF(C984="DIVIDEND","Dividend",IF(C984="COUPON","Coupon",IF(C984="ACCRUED INT","Accrued Int.",IF(C984="SEC LENDING","Sec. Lending",IF(C984="REDEMPTION","Redemption",IF(C984="DISTRIBUTION","Distribution",IF(ISNUMBER(SEARCH("Rimborso",'Statements (Raw)'!D982)),"Redemption",IF(ISNUMBER(SEARCH("Cedola",'Statements (Raw)'!D982)),"Coupon",IF(ISNUMBER(SEARCH("Incasso Dividendi",'Statements (Raw)'!D982)),"Dividend",IF(ISNUMBER(SEARCH("Provento Etf",'Statements (Raw)'!D982)),"Distribution",IF(ISNUMBER(SEARCH("Rit.provento",'Statements (Raw)'!D982)),"Tax",IF(ISNUMBER(SEARCH("Ratei Pass",'Statements (Raw)'!D982)),"Accrued Int.",IF(ISNUMBER(SEARCH("Interessi Prest",'Statements (Raw)'!D982)),"Sec. Lending",IF('Statements (Raw)'!G982="","Other",IF('Statements (Raw)'!G982&gt;0,"Buy","Sell"))))))))))))))))))))))</f>
        <v/>
      </c>
      <c r="E984" s="6" t="str">
        <f t="shared" si="30"/>
        <v/>
      </c>
      <c r="F984" s="8" t="str">
        <f>IF(A984="","",IF('Statements (Raw)'!E982="","",'Statements (Raw)'!E982))</f>
        <v/>
      </c>
      <c r="G984" s="6" t="str">
        <f>IF(A984="","",IF('Statements (Raw)'!F982="","",'Statements (Raw)'!F982))</f>
        <v/>
      </c>
      <c r="H984" s="9" t="str">
        <f>IF(A984="","",IF('Statements (Raw)'!G982="","",'Statements (Raw)'!G982))</f>
        <v/>
      </c>
      <c r="I984" s="10" t="str">
        <f>IF(A984="","",IF('Statements (Raw)'!H982="","",'Statements (Raw)'!H982))</f>
        <v/>
      </c>
      <c r="J984" s="10">
        <f>IF(A984="",0,IF('Statements (Raw)'!I982="",0,'Statements (Raw)'!I982))</f>
        <v>0</v>
      </c>
      <c r="K984" s="10" t="str">
        <f t="shared" si="31"/>
        <v/>
      </c>
    </row>
    <row r="985" spans="1:11" x14ac:dyDescent="0.3">
      <c r="A985" s="171" t="str">
        <f>IF(OR('Statements (Raw)'!A983="",'Statements (Raw)'!A983&gt;Holdings!$G$3),"",'Statements (Raw)'!A983)</f>
        <v/>
      </c>
      <c r="B985" s="7" t="str">
        <f>IF(A985="","",IF('Statements (Raw)'!B983="","",'Statements (Raw)'!B983))</f>
        <v/>
      </c>
      <c r="C985" s="6" t="str">
        <f>IF(A985="","",IF('Statements (Raw)'!C983&lt;&gt;"",'Statements (Raw)'!C983,IF(ISNUMBER(SEARCH("Conferimento",'Statements (Raw)'!D983)),"CASH DEPOSIT",IF(ISNUMBER(SEARCH("Prelievo",'Statements (Raw)'!D983)),"CASH WITHDRAWAL",IF(ISNUMBER(SEARCH("Bollo",'Statements (Raw)'!D983)),"STAMP DUTY",IF(ISNUMBER(SEARCH("Tobin Tax",'Statements (Raw)'!D983)),"TOBIN TAX",IF(ISNUMBER(SEARCH("Rit.provento",'Statements (Raw)'!D983)),"WITHHOLDING TAX",IF(ISNUMBER(SEARCH("Incasso Dividendi",'Statements (Raw)'!D983)),"DIVIDEND",IF(ISNUMBER(SEARCH("Cedola",'Statements (Raw)'!D983)),"COUPON",IF(ISNUMBER(SEARCH("Ratei Pass",'Statements (Raw)'!D983)),"ACCRUED INT",IF(ISNUMBER(SEARCH("Interessi Prest",'Statements (Raw)'!D983)),"SEC LENDING",IF(ISNUMBER(SEARCH("Rimborso",'Statements (Raw)'!D983)),"REDEMPTION",IF(ISNUMBER(SEARCH("Provento",'Statements (Raw)'!D983)),"DISTRIBUTION","OTHER")))))))))))))</f>
        <v/>
      </c>
      <c r="D985" s="6" t="str">
        <f>IF(A985="","",IF(C985="Saldo Iniziale","Balance",IF(C985="CASH DEPOSIT","Deposit",IF(C985="CASH WITHDRAWAL","Withdrawal",IF(C985="STAMP DUTY","Tax",IF(C985="TOBIN TAX","Tax",IF(C985="WITHHOLDING TAX","Tax",IF(C985="DIVIDEND","Dividend",IF(C985="COUPON","Coupon",IF(C985="ACCRUED INT","Accrued Int.",IF(C985="SEC LENDING","Sec. Lending",IF(C985="REDEMPTION","Redemption",IF(C985="DISTRIBUTION","Distribution",IF(ISNUMBER(SEARCH("Rimborso",'Statements (Raw)'!D983)),"Redemption",IF(ISNUMBER(SEARCH("Cedola",'Statements (Raw)'!D983)),"Coupon",IF(ISNUMBER(SEARCH("Incasso Dividendi",'Statements (Raw)'!D983)),"Dividend",IF(ISNUMBER(SEARCH("Provento Etf",'Statements (Raw)'!D983)),"Distribution",IF(ISNUMBER(SEARCH("Rit.provento",'Statements (Raw)'!D983)),"Tax",IF(ISNUMBER(SEARCH("Ratei Pass",'Statements (Raw)'!D983)),"Accrued Int.",IF(ISNUMBER(SEARCH("Interessi Prest",'Statements (Raw)'!D983)),"Sec. Lending",IF('Statements (Raw)'!G983="","Other",IF('Statements (Raw)'!G983&gt;0,"Buy","Sell"))))))))))))))))))))))</f>
        <v/>
      </c>
      <c r="E985" s="6" t="str">
        <f t="shared" si="30"/>
        <v/>
      </c>
      <c r="F985" s="8" t="str">
        <f>IF(A985="","",IF('Statements (Raw)'!E983="","",'Statements (Raw)'!E983))</f>
        <v/>
      </c>
      <c r="G985" s="6" t="str">
        <f>IF(A985="","",IF('Statements (Raw)'!F983="","",'Statements (Raw)'!F983))</f>
        <v/>
      </c>
      <c r="H985" s="9" t="str">
        <f>IF(A985="","",IF('Statements (Raw)'!G983="","",'Statements (Raw)'!G983))</f>
        <v/>
      </c>
      <c r="I985" s="10" t="str">
        <f>IF(A985="","",IF('Statements (Raw)'!H983="","",'Statements (Raw)'!H983))</f>
        <v/>
      </c>
      <c r="J985" s="10">
        <f>IF(A985="",0,IF('Statements (Raw)'!I983="",0,'Statements (Raw)'!I983))</f>
        <v>0</v>
      </c>
      <c r="K985" s="10" t="str">
        <f t="shared" si="31"/>
        <v/>
      </c>
    </row>
    <row r="986" spans="1:11" x14ac:dyDescent="0.3">
      <c r="A986" s="171" t="str">
        <f>IF(OR('Statements (Raw)'!A984="",'Statements (Raw)'!A984&gt;Holdings!$G$3),"",'Statements (Raw)'!A984)</f>
        <v/>
      </c>
      <c r="B986" s="7" t="str">
        <f>IF(A986="","",IF('Statements (Raw)'!B984="","",'Statements (Raw)'!B984))</f>
        <v/>
      </c>
      <c r="C986" s="6" t="str">
        <f>IF(A986="","",IF('Statements (Raw)'!C984&lt;&gt;"",'Statements (Raw)'!C984,IF(ISNUMBER(SEARCH("Conferimento",'Statements (Raw)'!D984)),"CASH DEPOSIT",IF(ISNUMBER(SEARCH("Prelievo",'Statements (Raw)'!D984)),"CASH WITHDRAWAL",IF(ISNUMBER(SEARCH("Bollo",'Statements (Raw)'!D984)),"STAMP DUTY",IF(ISNUMBER(SEARCH("Tobin Tax",'Statements (Raw)'!D984)),"TOBIN TAX",IF(ISNUMBER(SEARCH("Rit.provento",'Statements (Raw)'!D984)),"WITHHOLDING TAX",IF(ISNUMBER(SEARCH("Incasso Dividendi",'Statements (Raw)'!D984)),"DIVIDEND",IF(ISNUMBER(SEARCH("Cedola",'Statements (Raw)'!D984)),"COUPON",IF(ISNUMBER(SEARCH("Ratei Pass",'Statements (Raw)'!D984)),"ACCRUED INT",IF(ISNUMBER(SEARCH("Interessi Prest",'Statements (Raw)'!D984)),"SEC LENDING",IF(ISNUMBER(SEARCH("Rimborso",'Statements (Raw)'!D984)),"REDEMPTION",IF(ISNUMBER(SEARCH("Provento",'Statements (Raw)'!D984)),"DISTRIBUTION","OTHER")))))))))))))</f>
        <v/>
      </c>
      <c r="D986" s="6" t="str">
        <f>IF(A986="","",IF(C986="Saldo Iniziale","Balance",IF(C986="CASH DEPOSIT","Deposit",IF(C986="CASH WITHDRAWAL","Withdrawal",IF(C986="STAMP DUTY","Tax",IF(C986="TOBIN TAX","Tax",IF(C986="WITHHOLDING TAX","Tax",IF(C986="DIVIDEND","Dividend",IF(C986="COUPON","Coupon",IF(C986="ACCRUED INT","Accrued Int.",IF(C986="SEC LENDING","Sec. Lending",IF(C986="REDEMPTION","Redemption",IF(C986="DISTRIBUTION","Distribution",IF(ISNUMBER(SEARCH("Rimborso",'Statements (Raw)'!D984)),"Redemption",IF(ISNUMBER(SEARCH("Cedola",'Statements (Raw)'!D984)),"Coupon",IF(ISNUMBER(SEARCH("Incasso Dividendi",'Statements (Raw)'!D984)),"Dividend",IF(ISNUMBER(SEARCH("Provento Etf",'Statements (Raw)'!D984)),"Distribution",IF(ISNUMBER(SEARCH("Rit.provento",'Statements (Raw)'!D984)),"Tax",IF(ISNUMBER(SEARCH("Ratei Pass",'Statements (Raw)'!D984)),"Accrued Int.",IF(ISNUMBER(SEARCH("Interessi Prest",'Statements (Raw)'!D984)),"Sec. Lending",IF('Statements (Raw)'!G984="","Other",IF('Statements (Raw)'!G984&gt;0,"Buy","Sell"))))))))))))))))))))))</f>
        <v/>
      </c>
      <c r="E986" s="6" t="str">
        <f t="shared" si="30"/>
        <v/>
      </c>
      <c r="F986" s="8" t="str">
        <f>IF(A986="","",IF('Statements (Raw)'!E984="","",'Statements (Raw)'!E984))</f>
        <v/>
      </c>
      <c r="G986" s="6" t="str">
        <f>IF(A986="","",IF('Statements (Raw)'!F984="","",'Statements (Raw)'!F984))</f>
        <v/>
      </c>
      <c r="H986" s="9" t="str">
        <f>IF(A986="","",IF('Statements (Raw)'!G984="","",'Statements (Raw)'!G984))</f>
        <v/>
      </c>
      <c r="I986" s="10" t="str">
        <f>IF(A986="","",IF('Statements (Raw)'!H984="","",'Statements (Raw)'!H984))</f>
        <v/>
      </c>
      <c r="J986" s="10">
        <f>IF(A986="",0,IF('Statements (Raw)'!I984="",0,'Statements (Raw)'!I984))</f>
        <v>0</v>
      </c>
      <c r="K986" s="10" t="str">
        <f t="shared" si="31"/>
        <v/>
      </c>
    </row>
    <row r="987" spans="1:11" x14ac:dyDescent="0.3">
      <c r="A987" s="171" t="str">
        <f>IF(OR('Statements (Raw)'!A985="",'Statements (Raw)'!A985&gt;Holdings!$G$3),"",'Statements (Raw)'!A985)</f>
        <v/>
      </c>
      <c r="B987" s="7" t="str">
        <f>IF(A987="","",IF('Statements (Raw)'!B985="","",'Statements (Raw)'!B985))</f>
        <v/>
      </c>
      <c r="C987" s="6" t="str">
        <f>IF(A987="","",IF('Statements (Raw)'!C985&lt;&gt;"",'Statements (Raw)'!C985,IF(ISNUMBER(SEARCH("Conferimento",'Statements (Raw)'!D985)),"CASH DEPOSIT",IF(ISNUMBER(SEARCH("Prelievo",'Statements (Raw)'!D985)),"CASH WITHDRAWAL",IF(ISNUMBER(SEARCH("Bollo",'Statements (Raw)'!D985)),"STAMP DUTY",IF(ISNUMBER(SEARCH("Tobin Tax",'Statements (Raw)'!D985)),"TOBIN TAX",IF(ISNUMBER(SEARCH("Rit.provento",'Statements (Raw)'!D985)),"WITHHOLDING TAX",IF(ISNUMBER(SEARCH("Incasso Dividendi",'Statements (Raw)'!D985)),"DIVIDEND",IF(ISNUMBER(SEARCH("Cedola",'Statements (Raw)'!D985)),"COUPON",IF(ISNUMBER(SEARCH("Ratei Pass",'Statements (Raw)'!D985)),"ACCRUED INT",IF(ISNUMBER(SEARCH("Interessi Prest",'Statements (Raw)'!D985)),"SEC LENDING",IF(ISNUMBER(SEARCH("Rimborso",'Statements (Raw)'!D985)),"REDEMPTION",IF(ISNUMBER(SEARCH("Provento",'Statements (Raw)'!D985)),"DISTRIBUTION","OTHER")))))))))))))</f>
        <v/>
      </c>
      <c r="D987" s="6" t="str">
        <f>IF(A987="","",IF(C987="Saldo Iniziale","Balance",IF(C987="CASH DEPOSIT","Deposit",IF(C987="CASH WITHDRAWAL","Withdrawal",IF(C987="STAMP DUTY","Tax",IF(C987="TOBIN TAX","Tax",IF(C987="WITHHOLDING TAX","Tax",IF(C987="DIVIDEND","Dividend",IF(C987="COUPON","Coupon",IF(C987="ACCRUED INT","Accrued Int.",IF(C987="SEC LENDING","Sec. Lending",IF(C987="REDEMPTION","Redemption",IF(C987="DISTRIBUTION","Distribution",IF(ISNUMBER(SEARCH("Rimborso",'Statements (Raw)'!D985)),"Redemption",IF(ISNUMBER(SEARCH("Cedola",'Statements (Raw)'!D985)),"Coupon",IF(ISNUMBER(SEARCH("Incasso Dividendi",'Statements (Raw)'!D985)),"Dividend",IF(ISNUMBER(SEARCH("Provento Etf",'Statements (Raw)'!D985)),"Distribution",IF(ISNUMBER(SEARCH("Rit.provento",'Statements (Raw)'!D985)),"Tax",IF(ISNUMBER(SEARCH("Ratei Pass",'Statements (Raw)'!D985)),"Accrued Int.",IF(ISNUMBER(SEARCH("Interessi Prest",'Statements (Raw)'!D985)),"Sec. Lending",IF('Statements (Raw)'!G985="","Other",IF('Statements (Raw)'!G985&gt;0,"Buy","Sell"))))))))))))))))))))))</f>
        <v/>
      </c>
      <c r="E987" s="6" t="str">
        <f t="shared" si="30"/>
        <v/>
      </c>
      <c r="F987" s="8" t="str">
        <f>IF(A987="","",IF('Statements (Raw)'!E985="","",'Statements (Raw)'!E985))</f>
        <v/>
      </c>
      <c r="G987" s="6" t="str">
        <f>IF(A987="","",IF('Statements (Raw)'!F985="","",'Statements (Raw)'!F985))</f>
        <v/>
      </c>
      <c r="H987" s="9" t="str">
        <f>IF(A987="","",IF('Statements (Raw)'!G985="","",'Statements (Raw)'!G985))</f>
        <v/>
      </c>
      <c r="I987" s="10" t="str">
        <f>IF(A987="","",IF('Statements (Raw)'!H985="","",'Statements (Raw)'!H985))</f>
        <v/>
      </c>
      <c r="J987" s="10">
        <f>IF(A987="",0,IF('Statements (Raw)'!I985="",0,'Statements (Raw)'!I985))</f>
        <v>0</v>
      </c>
      <c r="K987" s="10" t="str">
        <f t="shared" si="31"/>
        <v/>
      </c>
    </row>
    <row r="988" spans="1:11" x14ac:dyDescent="0.3">
      <c r="A988" s="171" t="str">
        <f>IF(OR('Statements (Raw)'!A986="",'Statements (Raw)'!A986&gt;Holdings!$G$3),"",'Statements (Raw)'!A986)</f>
        <v/>
      </c>
      <c r="B988" s="7" t="str">
        <f>IF(A988="","",IF('Statements (Raw)'!B986="","",'Statements (Raw)'!B986))</f>
        <v/>
      </c>
      <c r="C988" s="6" t="str">
        <f>IF(A988="","",IF('Statements (Raw)'!C986&lt;&gt;"",'Statements (Raw)'!C986,IF(ISNUMBER(SEARCH("Conferimento",'Statements (Raw)'!D986)),"CASH DEPOSIT",IF(ISNUMBER(SEARCH("Prelievo",'Statements (Raw)'!D986)),"CASH WITHDRAWAL",IF(ISNUMBER(SEARCH("Bollo",'Statements (Raw)'!D986)),"STAMP DUTY",IF(ISNUMBER(SEARCH("Tobin Tax",'Statements (Raw)'!D986)),"TOBIN TAX",IF(ISNUMBER(SEARCH("Rit.provento",'Statements (Raw)'!D986)),"WITHHOLDING TAX",IF(ISNUMBER(SEARCH("Incasso Dividendi",'Statements (Raw)'!D986)),"DIVIDEND",IF(ISNUMBER(SEARCH("Cedola",'Statements (Raw)'!D986)),"COUPON",IF(ISNUMBER(SEARCH("Ratei Pass",'Statements (Raw)'!D986)),"ACCRUED INT",IF(ISNUMBER(SEARCH("Interessi Prest",'Statements (Raw)'!D986)),"SEC LENDING",IF(ISNUMBER(SEARCH("Rimborso",'Statements (Raw)'!D986)),"REDEMPTION",IF(ISNUMBER(SEARCH("Provento",'Statements (Raw)'!D986)),"DISTRIBUTION","OTHER")))))))))))))</f>
        <v/>
      </c>
      <c r="D988" s="6" t="str">
        <f>IF(A988="","",IF(C988="Saldo Iniziale","Balance",IF(C988="CASH DEPOSIT","Deposit",IF(C988="CASH WITHDRAWAL","Withdrawal",IF(C988="STAMP DUTY","Tax",IF(C988="TOBIN TAX","Tax",IF(C988="WITHHOLDING TAX","Tax",IF(C988="DIVIDEND","Dividend",IF(C988="COUPON","Coupon",IF(C988="ACCRUED INT","Accrued Int.",IF(C988="SEC LENDING","Sec. Lending",IF(C988="REDEMPTION","Redemption",IF(C988="DISTRIBUTION","Distribution",IF(ISNUMBER(SEARCH("Rimborso",'Statements (Raw)'!D986)),"Redemption",IF(ISNUMBER(SEARCH("Cedola",'Statements (Raw)'!D986)),"Coupon",IF(ISNUMBER(SEARCH("Incasso Dividendi",'Statements (Raw)'!D986)),"Dividend",IF(ISNUMBER(SEARCH("Provento Etf",'Statements (Raw)'!D986)),"Distribution",IF(ISNUMBER(SEARCH("Rit.provento",'Statements (Raw)'!D986)),"Tax",IF(ISNUMBER(SEARCH("Ratei Pass",'Statements (Raw)'!D986)),"Accrued Int.",IF(ISNUMBER(SEARCH("Interessi Prest",'Statements (Raw)'!D986)),"Sec. Lending",IF('Statements (Raw)'!G986="","Other",IF('Statements (Raw)'!G986&gt;0,"Buy","Sell"))))))))))))))))))))))</f>
        <v/>
      </c>
      <c r="E988" s="6" t="str">
        <f t="shared" si="30"/>
        <v/>
      </c>
      <c r="F988" s="8" t="str">
        <f>IF(A988="","",IF('Statements (Raw)'!E986="","",'Statements (Raw)'!E986))</f>
        <v/>
      </c>
      <c r="G988" s="6" t="str">
        <f>IF(A988="","",IF('Statements (Raw)'!F986="","",'Statements (Raw)'!F986))</f>
        <v/>
      </c>
      <c r="H988" s="9" t="str">
        <f>IF(A988="","",IF('Statements (Raw)'!G986="","",'Statements (Raw)'!G986))</f>
        <v/>
      </c>
      <c r="I988" s="10" t="str">
        <f>IF(A988="","",IF('Statements (Raw)'!H986="","",'Statements (Raw)'!H986))</f>
        <v/>
      </c>
      <c r="J988" s="10">
        <f>IF(A988="",0,IF('Statements (Raw)'!I986="",0,'Statements (Raw)'!I986))</f>
        <v>0</v>
      </c>
      <c r="K988" s="10" t="str">
        <f t="shared" si="31"/>
        <v/>
      </c>
    </row>
    <row r="989" spans="1:11" x14ac:dyDescent="0.3">
      <c r="A989" s="171" t="str">
        <f>IF(OR('Statements (Raw)'!A987="",'Statements (Raw)'!A987&gt;Holdings!$G$3),"",'Statements (Raw)'!A987)</f>
        <v/>
      </c>
      <c r="B989" s="7" t="str">
        <f>IF(A989="","",IF('Statements (Raw)'!B987="","",'Statements (Raw)'!B987))</f>
        <v/>
      </c>
      <c r="C989" s="6" t="str">
        <f>IF(A989="","",IF('Statements (Raw)'!C987&lt;&gt;"",'Statements (Raw)'!C987,IF(ISNUMBER(SEARCH("Conferimento",'Statements (Raw)'!D987)),"CASH DEPOSIT",IF(ISNUMBER(SEARCH("Prelievo",'Statements (Raw)'!D987)),"CASH WITHDRAWAL",IF(ISNUMBER(SEARCH("Bollo",'Statements (Raw)'!D987)),"STAMP DUTY",IF(ISNUMBER(SEARCH("Tobin Tax",'Statements (Raw)'!D987)),"TOBIN TAX",IF(ISNUMBER(SEARCH("Rit.provento",'Statements (Raw)'!D987)),"WITHHOLDING TAX",IF(ISNUMBER(SEARCH("Incasso Dividendi",'Statements (Raw)'!D987)),"DIVIDEND",IF(ISNUMBER(SEARCH("Cedola",'Statements (Raw)'!D987)),"COUPON",IF(ISNUMBER(SEARCH("Ratei Pass",'Statements (Raw)'!D987)),"ACCRUED INT",IF(ISNUMBER(SEARCH("Interessi Prest",'Statements (Raw)'!D987)),"SEC LENDING",IF(ISNUMBER(SEARCH("Rimborso",'Statements (Raw)'!D987)),"REDEMPTION",IF(ISNUMBER(SEARCH("Provento",'Statements (Raw)'!D987)),"DISTRIBUTION","OTHER")))))))))))))</f>
        <v/>
      </c>
      <c r="D989" s="6" t="str">
        <f>IF(A989="","",IF(C989="Saldo Iniziale","Balance",IF(C989="CASH DEPOSIT","Deposit",IF(C989="CASH WITHDRAWAL","Withdrawal",IF(C989="STAMP DUTY","Tax",IF(C989="TOBIN TAX","Tax",IF(C989="WITHHOLDING TAX","Tax",IF(C989="DIVIDEND","Dividend",IF(C989="COUPON","Coupon",IF(C989="ACCRUED INT","Accrued Int.",IF(C989="SEC LENDING","Sec. Lending",IF(C989="REDEMPTION","Redemption",IF(C989="DISTRIBUTION","Distribution",IF(ISNUMBER(SEARCH("Rimborso",'Statements (Raw)'!D987)),"Redemption",IF(ISNUMBER(SEARCH("Cedola",'Statements (Raw)'!D987)),"Coupon",IF(ISNUMBER(SEARCH("Incasso Dividendi",'Statements (Raw)'!D987)),"Dividend",IF(ISNUMBER(SEARCH("Provento Etf",'Statements (Raw)'!D987)),"Distribution",IF(ISNUMBER(SEARCH("Rit.provento",'Statements (Raw)'!D987)),"Tax",IF(ISNUMBER(SEARCH("Ratei Pass",'Statements (Raw)'!D987)),"Accrued Int.",IF(ISNUMBER(SEARCH("Interessi Prest",'Statements (Raw)'!D987)),"Sec. Lending",IF('Statements (Raw)'!G987="","Other",IF('Statements (Raw)'!G987&gt;0,"Buy","Sell"))))))))))))))))))))))</f>
        <v/>
      </c>
      <c r="E989" s="6" t="str">
        <f t="shared" si="30"/>
        <v/>
      </c>
      <c r="F989" s="8" t="str">
        <f>IF(A989="","",IF('Statements (Raw)'!E987="","",'Statements (Raw)'!E987))</f>
        <v/>
      </c>
      <c r="G989" s="6" t="str">
        <f>IF(A989="","",IF('Statements (Raw)'!F987="","",'Statements (Raw)'!F987))</f>
        <v/>
      </c>
      <c r="H989" s="9" t="str">
        <f>IF(A989="","",IF('Statements (Raw)'!G987="","",'Statements (Raw)'!G987))</f>
        <v/>
      </c>
      <c r="I989" s="10" t="str">
        <f>IF(A989="","",IF('Statements (Raw)'!H987="","",'Statements (Raw)'!H987))</f>
        <v/>
      </c>
      <c r="J989" s="10">
        <f>IF(A989="",0,IF('Statements (Raw)'!I987="",0,'Statements (Raw)'!I987))</f>
        <v>0</v>
      </c>
      <c r="K989" s="10" t="str">
        <f t="shared" si="31"/>
        <v/>
      </c>
    </row>
    <row r="990" spans="1:11" x14ac:dyDescent="0.3">
      <c r="A990" s="171" t="str">
        <f>IF(OR('Statements (Raw)'!A988="",'Statements (Raw)'!A988&gt;Holdings!$G$3),"",'Statements (Raw)'!A988)</f>
        <v/>
      </c>
      <c r="B990" s="7" t="str">
        <f>IF(A990="","",IF('Statements (Raw)'!B988="","",'Statements (Raw)'!B988))</f>
        <v/>
      </c>
      <c r="C990" s="6" t="str">
        <f>IF(A990="","",IF('Statements (Raw)'!C988&lt;&gt;"",'Statements (Raw)'!C988,IF(ISNUMBER(SEARCH("Conferimento",'Statements (Raw)'!D988)),"CASH DEPOSIT",IF(ISNUMBER(SEARCH("Prelievo",'Statements (Raw)'!D988)),"CASH WITHDRAWAL",IF(ISNUMBER(SEARCH("Bollo",'Statements (Raw)'!D988)),"STAMP DUTY",IF(ISNUMBER(SEARCH("Tobin Tax",'Statements (Raw)'!D988)),"TOBIN TAX",IF(ISNUMBER(SEARCH("Rit.provento",'Statements (Raw)'!D988)),"WITHHOLDING TAX",IF(ISNUMBER(SEARCH("Incasso Dividendi",'Statements (Raw)'!D988)),"DIVIDEND",IF(ISNUMBER(SEARCH("Cedola",'Statements (Raw)'!D988)),"COUPON",IF(ISNUMBER(SEARCH("Ratei Pass",'Statements (Raw)'!D988)),"ACCRUED INT",IF(ISNUMBER(SEARCH("Interessi Prest",'Statements (Raw)'!D988)),"SEC LENDING",IF(ISNUMBER(SEARCH("Rimborso",'Statements (Raw)'!D988)),"REDEMPTION",IF(ISNUMBER(SEARCH("Provento",'Statements (Raw)'!D988)),"DISTRIBUTION","OTHER")))))))))))))</f>
        <v/>
      </c>
      <c r="D990" s="6" t="str">
        <f>IF(A990="","",IF(C990="Saldo Iniziale","Balance",IF(C990="CASH DEPOSIT","Deposit",IF(C990="CASH WITHDRAWAL","Withdrawal",IF(C990="STAMP DUTY","Tax",IF(C990="TOBIN TAX","Tax",IF(C990="WITHHOLDING TAX","Tax",IF(C990="DIVIDEND","Dividend",IF(C990="COUPON","Coupon",IF(C990="ACCRUED INT","Accrued Int.",IF(C990="SEC LENDING","Sec. Lending",IF(C990="REDEMPTION","Redemption",IF(C990="DISTRIBUTION","Distribution",IF(ISNUMBER(SEARCH("Rimborso",'Statements (Raw)'!D988)),"Redemption",IF(ISNUMBER(SEARCH("Cedola",'Statements (Raw)'!D988)),"Coupon",IF(ISNUMBER(SEARCH("Incasso Dividendi",'Statements (Raw)'!D988)),"Dividend",IF(ISNUMBER(SEARCH("Provento Etf",'Statements (Raw)'!D988)),"Distribution",IF(ISNUMBER(SEARCH("Rit.provento",'Statements (Raw)'!D988)),"Tax",IF(ISNUMBER(SEARCH("Ratei Pass",'Statements (Raw)'!D988)),"Accrued Int.",IF(ISNUMBER(SEARCH("Interessi Prest",'Statements (Raw)'!D988)),"Sec. Lending",IF('Statements (Raw)'!G988="","Other",IF('Statements (Raw)'!G988&gt;0,"Buy","Sell"))))))))))))))))))))))</f>
        <v/>
      </c>
      <c r="E990" s="6" t="str">
        <f t="shared" si="30"/>
        <v/>
      </c>
      <c r="F990" s="8" t="str">
        <f>IF(A990="","",IF('Statements (Raw)'!E988="","",'Statements (Raw)'!E988))</f>
        <v/>
      </c>
      <c r="G990" s="6" t="str">
        <f>IF(A990="","",IF('Statements (Raw)'!F988="","",'Statements (Raw)'!F988))</f>
        <v/>
      </c>
      <c r="H990" s="9" t="str">
        <f>IF(A990="","",IF('Statements (Raw)'!G988="","",'Statements (Raw)'!G988))</f>
        <v/>
      </c>
      <c r="I990" s="10" t="str">
        <f>IF(A990="","",IF('Statements (Raw)'!H988="","",'Statements (Raw)'!H988))</f>
        <v/>
      </c>
      <c r="J990" s="10">
        <f>IF(A990="",0,IF('Statements (Raw)'!I988="",0,'Statements (Raw)'!I988))</f>
        <v>0</v>
      </c>
      <c r="K990" s="10" t="str">
        <f t="shared" si="31"/>
        <v/>
      </c>
    </row>
    <row r="991" spans="1:11" x14ac:dyDescent="0.3">
      <c r="A991" s="171" t="str">
        <f>IF(OR('Statements (Raw)'!A989="",'Statements (Raw)'!A989&gt;Holdings!$G$3),"",'Statements (Raw)'!A989)</f>
        <v/>
      </c>
      <c r="B991" s="7" t="str">
        <f>IF(A991="","",IF('Statements (Raw)'!B989="","",'Statements (Raw)'!B989))</f>
        <v/>
      </c>
      <c r="C991" s="6" t="str">
        <f>IF(A991="","",IF('Statements (Raw)'!C989&lt;&gt;"",'Statements (Raw)'!C989,IF(ISNUMBER(SEARCH("Conferimento",'Statements (Raw)'!D989)),"CASH DEPOSIT",IF(ISNUMBER(SEARCH("Prelievo",'Statements (Raw)'!D989)),"CASH WITHDRAWAL",IF(ISNUMBER(SEARCH("Bollo",'Statements (Raw)'!D989)),"STAMP DUTY",IF(ISNUMBER(SEARCH("Tobin Tax",'Statements (Raw)'!D989)),"TOBIN TAX",IF(ISNUMBER(SEARCH("Rit.provento",'Statements (Raw)'!D989)),"WITHHOLDING TAX",IF(ISNUMBER(SEARCH("Incasso Dividendi",'Statements (Raw)'!D989)),"DIVIDEND",IF(ISNUMBER(SEARCH("Cedola",'Statements (Raw)'!D989)),"COUPON",IF(ISNUMBER(SEARCH("Ratei Pass",'Statements (Raw)'!D989)),"ACCRUED INT",IF(ISNUMBER(SEARCH("Interessi Prest",'Statements (Raw)'!D989)),"SEC LENDING",IF(ISNUMBER(SEARCH("Rimborso",'Statements (Raw)'!D989)),"REDEMPTION",IF(ISNUMBER(SEARCH("Provento",'Statements (Raw)'!D989)),"DISTRIBUTION","OTHER")))))))))))))</f>
        <v/>
      </c>
      <c r="D991" s="6" t="str">
        <f>IF(A991="","",IF(C991="Saldo Iniziale","Balance",IF(C991="CASH DEPOSIT","Deposit",IF(C991="CASH WITHDRAWAL","Withdrawal",IF(C991="STAMP DUTY","Tax",IF(C991="TOBIN TAX","Tax",IF(C991="WITHHOLDING TAX","Tax",IF(C991="DIVIDEND","Dividend",IF(C991="COUPON","Coupon",IF(C991="ACCRUED INT","Accrued Int.",IF(C991="SEC LENDING","Sec. Lending",IF(C991="REDEMPTION","Redemption",IF(C991="DISTRIBUTION","Distribution",IF(ISNUMBER(SEARCH("Rimborso",'Statements (Raw)'!D989)),"Redemption",IF(ISNUMBER(SEARCH("Cedola",'Statements (Raw)'!D989)),"Coupon",IF(ISNUMBER(SEARCH("Incasso Dividendi",'Statements (Raw)'!D989)),"Dividend",IF(ISNUMBER(SEARCH("Provento Etf",'Statements (Raw)'!D989)),"Distribution",IF(ISNUMBER(SEARCH("Rit.provento",'Statements (Raw)'!D989)),"Tax",IF(ISNUMBER(SEARCH("Ratei Pass",'Statements (Raw)'!D989)),"Accrued Int.",IF(ISNUMBER(SEARCH("Interessi Prest",'Statements (Raw)'!D989)),"Sec. Lending",IF('Statements (Raw)'!G989="","Other",IF('Statements (Raw)'!G989&gt;0,"Buy","Sell"))))))))))))))))))))))</f>
        <v/>
      </c>
      <c r="E991" s="6" t="str">
        <f t="shared" si="30"/>
        <v/>
      </c>
      <c r="F991" s="8" t="str">
        <f>IF(A991="","",IF('Statements (Raw)'!E989="","",'Statements (Raw)'!E989))</f>
        <v/>
      </c>
      <c r="G991" s="6" t="str">
        <f>IF(A991="","",IF('Statements (Raw)'!F989="","",'Statements (Raw)'!F989))</f>
        <v/>
      </c>
      <c r="H991" s="9" t="str">
        <f>IF(A991="","",IF('Statements (Raw)'!G989="","",'Statements (Raw)'!G989))</f>
        <v/>
      </c>
      <c r="I991" s="10" t="str">
        <f>IF(A991="","",IF('Statements (Raw)'!H989="","",'Statements (Raw)'!H989))</f>
        <v/>
      </c>
      <c r="J991" s="10">
        <f>IF(A991="",0,IF('Statements (Raw)'!I989="",0,'Statements (Raw)'!I989))</f>
        <v>0</v>
      </c>
      <c r="K991" s="10" t="str">
        <f t="shared" si="31"/>
        <v/>
      </c>
    </row>
    <row r="992" spans="1:11" x14ac:dyDescent="0.3">
      <c r="A992" s="171" t="str">
        <f>IF(OR('Statements (Raw)'!A990="",'Statements (Raw)'!A990&gt;Holdings!$G$3),"",'Statements (Raw)'!A990)</f>
        <v/>
      </c>
      <c r="B992" s="7" t="str">
        <f>IF(A992="","",IF('Statements (Raw)'!B990="","",'Statements (Raw)'!B990))</f>
        <v/>
      </c>
      <c r="C992" s="6" t="str">
        <f>IF(A992="","",IF('Statements (Raw)'!C990&lt;&gt;"",'Statements (Raw)'!C990,IF(ISNUMBER(SEARCH("Conferimento",'Statements (Raw)'!D990)),"CASH DEPOSIT",IF(ISNUMBER(SEARCH("Prelievo",'Statements (Raw)'!D990)),"CASH WITHDRAWAL",IF(ISNUMBER(SEARCH("Bollo",'Statements (Raw)'!D990)),"STAMP DUTY",IF(ISNUMBER(SEARCH("Tobin Tax",'Statements (Raw)'!D990)),"TOBIN TAX",IF(ISNUMBER(SEARCH("Rit.provento",'Statements (Raw)'!D990)),"WITHHOLDING TAX",IF(ISNUMBER(SEARCH("Incasso Dividendi",'Statements (Raw)'!D990)),"DIVIDEND",IF(ISNUMBER(SEARCH("Cedola",'Statements (Raw)'!D990)),"COUPON",IF(ISNUMBER(SEARCH("Ratei Pass",'Statements (Raw)'!D990)),"ACCRUED INT",IF(ISNUMBER(SEARCH("Interessi Prest",'Statements (Raw)'!D990)),"SEC LENDING",IF(ISNUMBER(SEARCH("Rimborso",'Statements (Raw)'!D990)),"REDEMPTION",IF(ISNUMBER(SEARCH("Provento",'Statements (Raw)'!D990)),"DISTRIBUTION","OTHER")))))))))))))</f>
        <v/>
      </c>
      <c r="D992" s="6" t="str">
        <f>IF(A992="","",IF(C992="Saldo Iniziale","Balance",IF(C992="CASH DEPOSIT","Deposit",IF(C992="CASH WITHDRAWAL","Withdrawal",IF(C992="STAMP DUTY","Tax",IF(C992="TOBIN TAX","Tax",IF(C992="WITHHOLDING TAX","Tax",IF(C992="DIVIDEND","Dividend",IF(C992="COUPON","Coupon",IF(C992="ACCRUED INT","Accrued Int.",IF(C992="SEC LENDING","Sec. Lending",IF(C992="REDEMPTION","Redemption",IF(C992="DISTRIBUTION","Distribution",IF(ISNUMBER(SEARCH("Rimborso",'Statements (Raw)'!D990)),"Redemption",IF(ISNUMBER(SEARCH("Cedola",'Statements (Raw)'!D990)),"Coupon",IF(ISNUMBER(SEARCH("Incasso Dividendi",'Statements (Raw)'!D990)),"Dividend",IF(ISNUMBER(SEARCH("Provento Etf",'Statements (Raw)'!D990)),"Distribution",IF(ISNUMBER(SEARCH("Rit.provento",'Statements (Raw)'!D990)),"Tax",IF(ISNUMBER(SEARCH("Ratei Pass",'Statements (Raw)'!D990)),"Accrued Int.",IF(ISNUMBER(SEARCH("Interessi Prest",'Statements (Raw)'!D990)),"Sec. Lending",IF('Statements (Raw)'!G990="","Other",IF('Statements (Raw)'!G990&gt;0,"Buy","Sell"))))))))))))))))))))))</f>
        <v/>
      </c>
      <c r="E992" s="6" t="str">
        <f t="shared" si="30"/>
        <v/>
      </c>
      <c r="F992" s="8" t="str">
        <f>IF(A992="","",IF('Statements (Raw)'!E990="","",'Statements (Raw)'!E990))</f>
        <v/>
      </c>
      <c r="G992" s="6" t="str">
        <f>IF(A992="","",IF('Statements (Raw)'!F990="","",'Statements (Raw)'!F990))</f>
        <v/>
      </c>
      <c r="H992" s="9" t="str">
        <f>IF(A992="","",IF('Statements (Raw)'!G990="","",'Statements (Raw)'!G990))</f>
        <v/>
      </c>
      <c r="I992" s="10" t="str">
        <f>IF(A992="","",IF('Statements (Raw)'!H990="","",'Statements (Raw)'!H990))</f>
        <v/>
      </c>
      <c r="J992" s="10">
        <f>IF(A992="",0,IF('Statements (Raw)'!I990="",0,'Statements (Raw)'!I990))</f>
        <v>0</v>
      </c>
      <c r="K992" s="10" t="str">
        <f t="shared" si="31"/>
        <v/>
      </c>
    </row>
    <row r="993" spans="1:11" x14ac:dyDescent="0.3">
      <c r="A993" s="171" t="str">
        <f>IF(OR('Statements (Raw)'!A991="",'Statements (Raw)'!A991&gt;Holdings!$G$3),"",'Statements (Raw)'!A991)</f>
        <v/>
      </c>
      <c r="B993" s="7" t="str">
        <f>IF(A993="","",IF('Statements (Raw)'!B991="","",'Statements (Raw)'!B991))</f>
        <v/>
      </c>
      <c r="C993" s="6" t="str">
        <f>IF(A993="","",IF('Statements (Raw)'!C991&lt;&gt;"",'Statements (Raw)'!C991,IF(ISNUMBER(SEARCH("Conferimento",'Statements (Raw)'!D991)),"CASH DEPOSIT",IF(ISNUMBER(SEARCH("Prelievo",'Statements (Raw)'!D991)),"CASH WITHDRAWAL",IF(ISNUMBER(SEARCH("Bollo",'Statements (Raw)'!D991)),"STAMP DUTY",IF(ISNUMBER(SEARCH("Tobin Tax",'Statements (Raw)'!D991)),"TOBIN TAX",IF(ISNUMBER(SEARCH("Rit.provento",'Statements (Raw)'!D991)),"WITHHOLDING TAX",IF(ISNUMBER(SEARCH("Incasso Dividendi",'Statements (Raw)'!D991)),"DIVIDEND",IF(ISNUMBER(SEARCH("Cedola",'Statements (Raw)'!D991)),"COUPON",IF(ISNUMBER(SEARCH("Ratei Pass",'Statements (Raw)'!D991)),"ACCRUED INT",IF(ISNUMBER(SEARCH("Interessi Prest",'Statements (Raw)'!D991)),"SEC LENDING",IF(ISNUMBER(SEARCH("Rimborso",'Statements (Raw)'!D991)),"REDEMPTION",IF(ISNUMBER(SEARCH("Provento",'Statements (Raw)'!D991)),"DISTRIBUTION","OTHER")))))))))))))</f>
        <v/>
      </c>
      <c r="D993" s="6" t="str">
        <f>IF(A993="","",IF(C993="Saldo Iniziale","Balance",IF(C993="CASH DEPOSIT","Deposit",IF(C993="CASH WITHDRAWAL","Withdrawal",IF(C993="STAMP DUTY","Tax",IF(C993="TOBIN TAX","Tax",IF(C993="WITHHOLDING TAX","Tax",IF(C993="DIVIDEND","Dividend",IF(C993="COUPON","Coupon",IF(C993="ACCRUED INT","Accrued Int.",IF(C993="SEC LENDING","Sec. Lending",IF(C993="REDEMPTION","Redemption",IF(C993="DISTRIBUTION","Distribution",IF(ISNUMBER(SEARCH("Rimborso",'Statements (Raw)'!D991)),"Redemption",IF(ISNUMBER(SEARCH("Cedola",'Statements (Raw)'!D991)),"Coupon",IF(ISNUMBER(SEARCH("Incasso Dividendi",'Statements (Raw)'!D991)),"Dividend",IF(ISNUMBER(SEARCH("Provento Etf",'Statements (Raw)'!D991)),"Distribution",IF(ISNUMBER(SEARCH("Rit.provento",'Statements (Raw)'!D991)),"Tax",IF(ISNUMBER(SEARCH("Ratei Pass",'Statements (Raw)'!D991)),"Accrued Int.",IF(ISNUMBER(SEARCH("Interessi Prest",'Statements (Raw)'!D991)),"Sec. Lending",IF('Statements (Raw)'!G991="","Other",IF('Statements (Raw)'!G991&gt;0,"Buy","Sell"))))))))))))))))))))))</f>
        <v/>
      </c>
      <c r="E993" s="6" t="str">
        <f t="shared" si="30"/>
        <v/>
      </c>
      <c r="F993" s="8" t="str">
        <f>IF(A993="","",IF('Statements (Raw)'!E991="","",'Statements (Raw)'!E991))</f>
        <v/>
      </c>
      <c r="G993" s="6" t="str">
        <f>IF(A993="","",IF('Statements (Raw)'!F991="","",'Statements (Raw)'!F991))</f>
        <v/>
      </c>
      <c r="H993" s="9" t="str">
        <f>IF(A993="","",IF('Statements (Raw)'!G991="","",'Statements (Raw)'!G991))</f>
        <v/>
      </c>
      <c r="I993" s="10" t="str">
        <f>IF(A993="","",IF('Statements (Raw)'!H991="","",'Statements (Raw)'!H991))</f>
        <v/>
      </c>
      <c r="J993" s="10">
        <f>IF(A993="",0,IF('Statements (Raw)'!I991="",0,'Statements (Raw)'!I991))</f>
        <v>0</v>
      </c>
      <c r="K993" s="10" t="str">
        <f t="shared" si="31"/>
        <v/>
      </c>
    </row>
    <row r="994" spans="1:11" x14ac:dyDescent="0.3">
      <c r="A994" s="171" t="str">
        <f>IF(OR('Statements (Raw)'!A992="",'Statements (Raw)'!A992&gt;Holdings!$G$3),"",'Statements (Raw)'!A992)</f>
        <v/>
      </c>
      <c r="B994" s="7" t="str">
        <f>IF(A994="","",IF('Statements (Raw)'!B992="","",'Statements (Raw)'!B992))</f>
        <v/>
      </c>
      <c r="C994" s="6" t="str">
        <f>IF(A994="","",IF('Statements (Raw)'!C992&lt;&gt;"",'Statements (Raw)'!C992,IF(ISNUMBER(SEARCH("Conferimento",'Statements (Raw)'!D992)),"CASH DEPOSIT",IF(ISNUMBER(SEARCH("Prelievo",'Statements (Raw)'!D992)),"CASH WITHDRAWAL",IF(ISNUMBER(SEARCH("Bollo",'Statements (Raw)'!D992)),"STAMP DUTY",IF(ISNUMBER(SEARCH("Tobin Tax",'Statements (Raw)'!D992)),"TOBIN TAX",IF(ISNUMBER(SEARCH("Rit.provento",'Statements (Raw)'!D992)),"WITHHOLDING TAX",IF(ISNUMBER(SEARCH("Incasso Dividendi",'Statements (Raw)'!D992)),"DIVIDEND",IF(ISNUMBER(SEARCH("Cedola",'Statements (Raw)'!D992)),"COUPON",IF(ISNUMBER(SEARCH("Ratei Pass",'Statements (Raw)'!D992)),"ACCRUED INT",IF(ISNUMBER(SEARCH("Interessi Prest",'Statements (Raw)'!D992)),"SEC LENDING",IF(ISNUMBER(SEARCH("Rimborso",'Statements (Raw)'!D992)),"REDEMPTION",IF(ISNUMBER(SEARCH("Provento",'Statements (Raw)'!D992)),"DISTRIBUTION","OTHER")))))))))))))</f>
        <v/>
      </c>
      <c r="D994" s="6" t="str">
        <f>IF(A994="","",IF(C994="Saldo Iniziale","Balance",IF(C994="CASH DEPOSIT","Deposit",IF(C994="CASH WITHDRAWAL","Withdrawal",IF(C994="STAMP DUTY","Tax",IF(C994="TOBIN TAX","Tax",IF(C994="WITHHOLDING TAX","Tax",IF(C994="DIVIDEND","Dividend",IF(C994="COUPON","Coupon",IF(C994="ACCRUED INT","Accrued Int.",IF(C994="SEC LENDING","Sec. Lending",IF(C994="REDEMPTION","Redemption",IF(C994="DISTRIBUTION","Distribution",IF(ISNUMBER(SEARCH("Rimborso",'Statements (Raw)'!D992)),"Redemption",IF(ISNUMBER(SEARCH("Cedola",'Statements (Raw)'!D992)),"Coupon",IF(ISNUMBER(SEARCH("Incasso Dividendi",'Statements (Raw)'!D992)),"Dividend",IF(ISNUMBER(SEARCH("Provento Etf",'Statements (Raw)'!D992)),"Distribution",IF(ISNUMBER(SEARCH("Rit.provento",'Statements (Raw)'!D992)),"Tax",IF(ISNUMBER(SEARCH("Ratei Pass",'Statements (Raw)'!D992)),"Accrued Int.",IF(ISNUMBER(SEARCH("Interessi Prest",'Statements (Raw)'!D992)),"Sec. Lending",IF('Statements (Raw)'!G992="","Other",IF('Statements (Raw)'!G992&gt;0,"Buy","Sell"))))))))))))))))))))))</f>
        <v/>
      </c>
      <c r="E994" s="6" t="str">
        <f t="shared" si="30"/>
        <v/>
      </c>
      <c r="F994" s="8" t="str">
        <f>IF(A994="","",IF('Statements (Raw)'!E992="","",'Statements (Raw)'!E992))</f>
        <v/>
      </c>
      <c r="G994" s="6" t="str">
        <f>IF(A994="","",IF('Statements (Raw)'!F992="","",'Statements (Raw)'!F992))</f>
        <v/>
      </c>
      <c r="H994" s="9" t="str">
        <f>IF(A994="","",IF('Statements (Raw)'!G992="","",'Statements (Raw)'!G992))</f>
        <v/>
      </c>
      <c r="I994" s="10" t="str">
        <f>IF(A994="","",IF('Statements (Raw)'!H992="","",'Statements (Raw)'!H992))</f>
        <v/>
      </c>
      <c r="J994" s="10">
        <f>IF(A994="",0,IF('Statements (Raw)'!I992="",0,'Statements (Raw)'!I992))</f>
        <v>0</v>
      </c>
      <c r="K994" s="10" t="str">
        <f t="shared" si="31"/>
        <v/>
      </c>
    </row>
    <row r="995" spans="1:11" x14ac:dyDescent="0.3">
      <c r="A995" s="171" t="str">
        <f>IF(OR('Statements (Raw)'!A993="",'Statements (Raw)'!A993&gt;Holdings!$G$3),"",'Statements (Raw)'!A993)</f>
        <v/>
      </c>
      <c r="B995" s="7" t="str">
        <f>IF(A995="","",IF('Statements (Raw)'!B993="","",'Statements (Raw)'!B993))</f>
        <v/>
      </c>
      <c r="C995" s="6" t="str">
        <f>IF(A995="","",IF('Statements (Raw)'!C993&lt;&gt;"",'Statements (Raw)'!C993,IF(ISNUMBER(SEARCH("Conferimento",'Statements (Raw)'!D993)),"CASH DEPOSIT",IF(ISNUMBER(SEARCH("Prelievo",'Statements (Raw)'!D993)),"CASH WITHDRAWAL",IF(ISNUMBER(SEARCH("Bollo",'Statements (Raw)'!D993)),"STAMP DUTY",IF(ISNUMBER(SEARCH("Tobin Tax",'Statements (Raw)'!D993)),"TOBIN TAX",IF(ISNUMBER(SEARCH("Rit.provento",'Statements (Raw)'!D993)),"WITHHOLDING TAX",IF(ISNUMBER(SEARCH("Incasso Dividendi",'Statements (Raw)'!D993)),"DIVIDEND",IF(ISNUMBER(SEARCH("Cedola",'Statements (Raw)'!D993)),"COUPON",IF(ISNUMBER(SEARCH("Ratei Pass",'Statements (Raw)'!D993)),"ACCRUED INT",IF(ISNUMBER(SEARCH("Interessi Prest",'Statements (Raw)'!D993)),"SEC LENDING",IF(ISNUMBER(SEARCH("Rimborso",'Statements (Raw)'!D993)),"REDEMPTION",IF(ISNUMBER(SEARCH("Provento",'Statements (Raw)'!D993)),"DISTRIBUTION","OTHER")))))))))))))</f>
        <v/>
      </c>
      <c r="D995" s="6" t="str">
        <f>IF(A995="","",IF(C995="Saldo Iniziale","Balance",IF(C995="CASH DEPOSIT","Deposit",IF(C995="CASH WITHDRAWAL","Withdrawal",IF(C995="STAMP DUTY","Tax",IF(C995="TOBIN TAX","Tax",IF(C995="WITHHOLDING TAX","Tax",IF(C995="DIVIDEND","Dividend",IF(C995="COUPON","Coupon",IF(C995="ACCRUED INT","Accrued Int.",IF(C995="SEC LENDING","Sec. Lending",IF(C995="REDEMPTION","Redemption",IF(C995="DISTRIBUTION","Distribution",IF(ISNUMBER(SEARCH("Rimborso",'Statements (Raw)'!D993)),"Redemption",IF(ISNUMBER(SEARCH("Cedola",'Statements (Raw)'!D993)),"Coupon",IF(ISNUMBER(SEARCH("Incasso Dividendi",'Statements (Raw)'!D993)),"Dividend",IF(ISNUMBER(SEARCH("Provento Etf",'Statements (Raw)'!D993)),"Distribution",IF(ISNUMBER(SEARCH("Rit.provento",'Statements (Raw)'!D993)),"Tax",IF(ISNUMBER(SEARCH("Ratei Pass",'Statements (Raw)'!D993)),"Accrued Int.",IF(ISNUMBER(SEARCH("Interessi Prest",'Statements (Raw)'!D993)),"Sec. Lending",IF('Statements (Raw)'!G993="","Other",IF('Statements (Raw)'!G993&gt;0,"Buy","Sell"))))))))))))))))))))))</f>
        <v/>
      </c>
      <c r="E995" s="6" t="str">
        <f t="shared" si="30"/>
        <v/>
      </c>
      <c r="F995" s="8" t="str">
        <f>IF(A995="","",IF('Statements (Raw)'!E993="","",'Statements (Raw)'!E993))</f>
        <v/>
      </c>
      <c r="G995" s="6" t="str">
        <f>IF(A995="","",IF('Statements (Raw)'!F993="","",'Statements (Raw)'!F993))</f>
        <v/>
      </c>
      <c r="H995" s="9" t="str">
        <f>IF(A995="","",IF('Statements (Raw)'!G993="","",'Statements (Raw)'!G993))</f>
        <v/>
      </c>
      <c r="I995" s="10" t="str">
        <f>IF(A995="","",IF('Statements (Raw)'!H993="","",'Statements (Raw)'!H993))</f>
        <v/>
      </c>
      <c r="J995" s="10">
        <f>IF(A995="",0,IF('Statements (Raw)'!I993="",0,'Statements (Raw)'!I993))</f>
        <v>0</v>
      </c>
      <c r="K995" s="10" t="str">
        <f t="shared" si="31"/>
        <v/>
      </c>
    </row>
    <row r="996" spans="1:11" x14ac:dyDescent="0.3">
      <c r="A996" s="171" t="str">
        <f>IF(OR('Statements (Raw)'!A994="",'Statements (Raw)'!A994&gt;Holdings!$G$3),"",'Statements (Raw)'!A994)</f>
        <v/>
      </c>
      <c r="B996" s="7" t="str">
        <f>IF(A996="","",IF('Statements (Raw)'!B994="","",'Statements (Raw)'!B994))</f>
        <v/>
      </c>
      <c r="C996" s="6" t="str">
        <f>IF(A996="","",IF('Statements (Raw)'!C994&lt;&gt;"",'Statements (Raw)'!C994,IF(ISNUMBER(SEARCH("Conferimento",'Statements (Raw)'!D994)),"CASH DEPOSIT",IF(ISNUMBER(SEARCH("Prelievo",'Statements (Raw)'!D994)),"CASH WITHDRAWAL",IF(ISNUMBER(SEARCH("Bollo",'Statements (Raw)'!D994)),"STAMP DUTY",IF(ISNUMBER(SEARCH("Tobin Tax",'Statements (Raw)'!D994)),"TOBIN TAX",IF(ISNUMBER(SEARCH("Rit.provento",'Statements (Raw)'!D994)),"WITHHOLDING TAX",IF(ISNUMBER(SEARCH("Incasso Dividendi",'Statements (Raw)'!D994)),"DIVIDEND",IF(ISNUMBER(SEARCH("Cedola",'Statements (Raw)'!D994)),"COUPON",IF(ISNUMBER(SEARCH("Ratei Pass",'Statements (Raw)'!D994)),"ACCRUED INT",IF(ISNUMBER(SEARCH("Interessi Prest",'Statements (Raw)'!D994)),"SEC LENDING",IF(ISNUMBER(SEARCH("Rimborso",'Statements (Raw)'!D994)),"REDEMPTION",IF(ISNUMBER(SEARCH("Provento",'Statements (Raw)'!D994)),"DISTRIBUTION","OTHER")))))))))))))</f>
        <v/>
      </c>
      <c r="D996" s="6" t="str">
        <f>IF(A996="","",IF(C996="Saldo Iniziale","Balance",IF(C996="CASH DEPOSIT","Deposit",IF(C996="CASH WITHDRAWAL","Withdrawal",IF(C996="STAMP DUTY","Tax",IF(C996="TOBIN TAX","Tax",IF(C996="WITHHOLDING TAX","Tax",IF(C996="DIVIDEND","Dividend",IF(C996="COUPON","Coupon",IF(C996="ACCRUED INT","Accrued Int.",IF(C996="SEC LENDING","Sec. Lending",IF(C996="REDEMPTION","Redemption",IF(C996="DISTRIBUTION","Distribution",IF(ISNUMBER(SEARCH("Rimborso",'Statements (Raw)'!D994)),"Redemption",IF(ISNUMBER(SEARCH("Cedola",'Statements (Raw)'!D994)),"Coupon",IF(ISNUMBER(SEARCH("Incasso Dividendi",'Statements (Raw)'!D994)),"Dividend",IF(ISNUMBER(SEARCH("Provento Etf",'Statements (Raw)'!D994)),"Distribution",IF(ISNUMBER(SEARCH("Rit.provento",'Statements (Raw)'!D994)),"Tax",IF(ISNUMBER(SEARCH("Ratei Pass",'Statements (Raw)'!D994)),"Accrued Int.",IF(ISNUMBER(SEARCH("Interessi Prest",'Statements (Raw)'!D994)),"Sec. Lending",IF('Statements (Raw)'!G994="","Other",IF('Statements (Raw)'!G994&gt;0,"Buy","Sell"))))))))))))))))))))))</f>
        <v/>
      </c>
      <c r="E996" s="6" t="str">
        <f t="shared" si="30"/>
        <v/>
      </c>
      <c r="F996" s="8" t="str">
        <f>IF(A996="","",IF('Statements (Raw)'!E994="","",'Statements (Raw)'!E994))</f>
        <v/>
      </c>
      <c r="G996" s="6" t="str">
        <f>IF(A996="","",IF('Statements (Raw)'!F994="","",'Statements (Raw)'!F994))</f>
        <v/>
      </c>
      <c r="H996" s="9" t="str">
        <f>IF(A996="","",IF('Statements (Raw)'!G994="","",'Statements (Raw)'!G994))</f>
        <v/>
      </c>
      <c r="I996" s="10" t="str">
        <f>IF(A996="","",IF('Statements (Raw)'!H994="","",'Statements (Raw)'!H994))</f>
        <v/>
      </c>
      <c r="J996" s="10">
        <f>IF(A996="",0,IF('Statements (Raw)'!I994="",0,'Statements (Raw)'!I994))</f>
        <v>0</v>
      </c>
      <c r="K996" s="10" t="str">
        <f t="shared" si="31"/>
        <v/>
      </c>
    </row>
    <row r="997" spans="1:11" x14ac:dyDescent="0.3">
      <c r="A997" s="171" t="str">
        <f>IF(OR('Statements (Raw)'!A995="",'Statements (Raw)'!A995&gt;Holdings!$G$3),"",'Statements (Raw)'!A995)</f>
        <v/>
      </c>
      <c r="B997" s="7" t="str">
        <f>IF(A997="","",IF('Statements (Raw)'!B995="","",'Statements (Raw)'!B995))</f>
        <v/>
      </c>
      <c r="C997" s="6" t="str">
        <f>IF(A997="","",IF('Statements (Raw)'!C995&lt;&gt;"",'Statements (Raw)'!C995,IF(ISNUMBER(SEARCH("Conferimento",'Statements (Raw)'!D995)),"CASH DEPOSIT",IF(ISNUMBER(SEARCH("Prelievo",'Statements (Raw)'!D995)),"CASH WITHDRAWAL",IF(ISNUMBER(SEARCH("Bollo",'Statements (Raw)'!D995)),"STAMP DUTY",IF(ISNUMBER(SEARCH("Tobin Tax",'Statements (Raw)'!D995)),"TOBIN TAX",IF(ISNUMBER(SEARCH("Rit.provento",'Statements (Raw)'!D995)),"WITHHOLDING TAX",IF(ISNUMBER(SEARCH("Incasso Dividendi",'Statements (Raw)'!D995)),"DIVIDEND",IF(ISNUMBER(SEARCH("Cedola",'Statements (Raw)'!D995)),"COUPON",IF(ISNUMBER(SEARCH("Ratei Pass",'Statements (Raw)'!D995)),"ACCRUED INT",IF(ISNUMBER(SEARCH("Interessi Prest",'Statements (Raw)'!D995)),"SEC LENDING",IF(ISNUMBER(SEARCH("Rimborso",'Statements (Raw)'!D995)),"REDEMPTION",IF(ISNUMBER(SEARCH("Provento",'Statements (Raw)'!D995)),"DISTRIBUTION","OTHER")))))))))))))</f>
        <v/>
      </c>
      <c r="D997" s="6" t="str">
        <f>IF(A997="","",IF(C997="Saldo Iniziale","Balance",IF(C997="CASH DEPOSIT","Deposit",IF(C997="CASH WITHDRAWAL","Withdrawal",IF(C997="STAMP DUTY","Tax",IF(C997="TOBIN TAX","Tax",IF(C997="WITHHOLDING TAX","Tax",IF(C997="DIVIDEND","Dividend",IF(C997="COUPON","Coupon",IF(C997="ACCRUED INT","Accrued Int.",IF(C997="SEC LENDING","Sec. Lending",IF(C997="REDEMPTION","Redemption",IF(C997="DISTRIBUTION","Distribution",IF(ISNUMBER(SEARCH("Rimborso",'Statements (Raw)'!D995)),"Redemption",IF(ISNUMBER(SEARCH("Cedola",'Statements (Raw)'!D995)),"Coupon",IF(ISNUMBER(SEARCH("Incasso Dividendi",'Statements (Raw)'!D995)),"Dividend",IF(ISNUMBER(SEARCH("Provento Etf",'Statements (Raw)'!D995)),"Distribution",IF(ISNUMBER(SEARCH("Rit.provento",'Statements (Raw)'!D995)),"Tax",IF(ISNUMBER(SEARCH("Ratei Pass",'Statements (Raw)'!D995)),"Accrued Int.",IF(ISNUMBER(SEARCH("Interessi Prest",'Statements (Raw)'!D995)),"Sec. Lending",IF('Statements (Raw)'!G995="","Other",IF('Statements (Raw)'!G995&gt;0,"Buy","Sell"))))))))))))))))))))))</f>
        <v/>
      </c>
      <c r="E997" s="6" t="str">
        <f t="shared" si="30"/>
        <v/>
      </c>
      <c r="F997" s="8" t="str">
        <f>IF(A997="","",IF('Statements (Raw)'!E995="","",'Statements (Raw)'!E995))</f>
        <v/>
      </c>
      <c r="G997" s="6" t="str">
        <f>IF(A997="","",IF('Statements (Raw)'!F995="","",'Statements (Raw)'!F995))</f>
        <v/>
      </c>
      <c r="H997" s="9" t="str">
        <f>IF(A997="","",IF('Statements (Raw)'!G995="","",'Statements (Raw)'!G995))</f>
        <v/>
      </c>
      <c r="I997" s="10" t="str">
        <f>IF(A997="","",IF('Statements (Raw)'!H995="","",'Statements (Raw)'!H995))</f>
        <v/>
      </c>
      <c r="J997" s="10">
        <f>IF(A997="",0,IF('Statements (Raw)'!I995="",0,'Statements (Raw)'!I995))</f>
        <v>0</v>
      </c>
      <c r="K997" s="10" t="str">
        <f t="shared" si="31"/>
        <v/>
      </c>
    </row>
    <row r="998" spans="1:11" x14ac:dyDescent="0.3">
      <c r="A998" s="171" t="str">
        <f>IF(OR('Statements (Raw)'!A996="",'Statements (Raw)'!A996&gt;Holdings!$G$3),"",'Statements (Raw)'!A996)</f>
        <v/>
      </c>
      <c r="B998" s="7" t="str">
        <f>IF(A998="","",IF('Statements (Raw)'!B996="","",'Statements (Raw)'!B996))</f>
        <v/>
      </c>
      <c r="C998" s="6" t="str">
        <f>IF(A998="","",IF('Statements (Raw)'!C996&lt;&gt;"",'Statements (Raw)'!C996,IF(ISNUMBER(SEARCH("Conferimento",'Statements (Raw)'!D996)),"CASH DEPOSIT",IF(ISNUMBER(SEARCH("Prelievo",'Statements (Raw)'!D996)),"CASH WITHDRAWAL",IF(ISNUMBER(SEARCH("Bollo",'Statements (Raw)'!D996)),"STAMP DUTY",IF(ISNUMBER(SEARCH("Tobin Tax",'Statements (Raw)'!D996)),"TOBIN TAX",IF(ISNUMBER(SEARCH("Rit.provento",'Statements (Raw)'!D996)),"WITHHOLDING TAX",IF(ISNUMBER(SEARCH("Incasso Dividendi",'Statements (Raw)'!D996)),"DIVIDEND",IF(ISNUMBER(SEARCH("Cedola",'Statements (Raw)'!D996)),"COUPON",IF(ISNUMBER(SEARCH("Ratei Pass",'Statements (Raw)'!D996)),"ACCRUED INT",IF(ISNUMBER(SEARCH("Interessi Prest",'Statements (Raw)'!D996)),"SEC LENDING",IF(ISNUMBER(SEARCH("Rimborso",'Statements (Raw)'!D996)),"REDEMPTION",IF(ISNUMBER(SEARCH("Provento",'Statements (Raw)'!D996)),"DISTRIBUTION","OTHER")))))))))))))</f>
        <v/>
      </c>
      <c r="D998" s="6" t="str">
        <f>IF(A998="","",IF(C998="Saldo Iniziale","Balance",IF(C998="CASH DEPOSIT","Deposit",IF(C998="CASH WITHDRAWAL","Withdrawal",IF(C998="STAMP DUTY","Tax",IF(C998="TOBIN TAX","Tax",IF(C998="WITHHOLDING TAX","Tax",IF(C998="DIVIDEND","Dividend",IF(C998="COUPON","Coupon",IF(C998="ACCRUED INT","Accrued Int.",IF(C998="SEC LENDING","Sec. Lending",IF(C998="REDEMPTION","Redemption",IF(C998="DISTRIBUTION","Distribution",IF(ISNUMBER(SEARCH("Rimborso",'Statements (Raw)'!D996)),"Redemption",IF(ISNUMBER(SEARCH("Cedola",'Statements (Raw)'!D996)),"Coupon",IF(ISNUMBER(SEARCH("Incasso Dividendi",'Statements (Raw)'!D996)),"Dividend",IF(ISNUMBER(SEARCH("Provento Etf",'Statements (Raw)'!D996)),"Distribution",IF(ISNUMBER(SEARCH("Rit.provento",'Statements (Raw)'!D996)),"Tax",IF(ISNUMBER(SEARCH("Ratei Pass",'Statements (Raw)'!D996)),"Accrued Int.",IF(ISNUMBER(SEARCH("Interessi Prest",'Statements (Raw)'!D996)),"Sec. Lending",IF('Statements (Raw)'!G996="","Other",IF('Statements (Raw)'!G996&gt;0,"Buy","Sell"))))))))))))))))))))))</f>
        <v/>
      </c>
      <c r="E998" s="6" t="str">
        <f t="shared" si="30"/>
        <v/>
      </c>
      <c r="F998" s="8" t="str">
        <f>IF(A998="","",IF('Statements (Raw)'!E996="","",'Statements (Raw)'!E996))</f>
        <v/>
      </c>
      <c r="G998" s="6" t="str">
        <f>IF(A998="","",IF('Statements (Raw)'!F996="","",'Statements (Raw)'!F996))</f>
        <v/>
      </c>
      <c r="H998" s="9" t="str">
        <f>IF(A998="","",IF('Statements (Raw)'!G996="","",'Statements (Raw)'!G996))</f>
        <v/>
      </c>
      <c r="I998" s="10" t="str">
        <f>IF(A998="","",IF('Statements (Raw)'!H996="","",'Statements (Raw)'!H996))</f>
        <v/>
      </c>
      <c r="J998" s="10">
        <f>IF(A998="",0,IF('Statements (Raw)'!I996="",0,'Statements (Raw)'!I996))</f>
        <v>0</v>
      </c>
      <c r="K998" s="10" t="str">
        <f t="shared" si="31"/>
        <v/>
      </c>
    </row>
    <row r="999" spans="1:11" x14ac:dyDescent="0.3">
      <c r="A999" s="171" t="str">
        <f>IF(OR('Statements (Raw)'!A997="",'Statements (Raw)'!A997&gt;Holdings!$G$3),"",'Statements (Raw)'!A997)</f>
        <v/>
      </c>
      <c r="B999" s="7" t="str">
        <f>IF(A999="","",IF('Statements (Raw)'!B997="","",'Statements (Raw)'!B997))</f>
        <v/>
      </c>
      <c r="C999" s="6" t="str">
        <f>IF(A999="","",IF('Statements (Raw)'!C997&lt;&gt;"",'Statements (Raw)'!C997,IF(ISNUMBER(SEARCH("Conferimento",'Statements (Raw)'!D997)),"CASH DEPOSIT",IF(ISNUMBER(SEARCH("Prelievo",'Statements (Raw)'!D997)),"CASH WITHDRAWAL",IF(ISNUMBER(SEARCH("Bollo",'Statements (Raw)'!D997)),"STAMP DUTY",IF(ISNUMBER(SEARCH("Tobin Tax",'Statements (Raw)'!D997)),"TOBIN TAX",IF(ISNUMBER(SEARCH("Rit.provento",'Statements (Raw)'!D997)),"WITHHOLDING TAX",IF(ISNUMBER(SEARCH("Incasso Dividendi",'Statements (Raw)'!D997)),"DIVIDEND",IF(ISNUMBER(SEARCH("Cedola",'Statements (Raw)'!D997)),"COUPON",IF(ISNUMBER(SEARCH("Ratei Pass",'Statements (Raw)'!D997)),"ACCRUED INT",IF(ISNUMBER(SEARCH("Interessi Prest",'Statements (Raw)'!D997)),"SEC LENDING",IF(ISNUMBER(SEARCH("Rimborso",'Statements (Raw)'!D997)),"REDEMPTION",IF(ISNUMBER(SEARCH("Provento",'Statements (Raw)'!D997)),"DISTRIBUTION","OTHER")))))))))))))</f>
        <v/>
      </c>
      <c r="D999" s="6" t="str">
        <f>IF(A999="","",IF(C999="Saldo Iniziale","Balance",IF(C999="CASH DEPOSIT","Deposit",IF(C999="CASH WITHDRAWAL","Withdrawal",IF(C999="STAMP DUTY","Tax",IF(C999="TOBIN TAX","Tax",IF(C999="WITHHOLDING TAX","Tax",IF(C999="DIVIDEND","Dividend",IF(C999="COUPON","Coupon",IF(C999="ACCRUED INT","Accrued Int.",IF(C999="SEC LENDING","Sec. Lending",IF(C999="REDEMPTION","Redemption",IF(C999="DISTRIBUTION","Distribution",IF(ISNUMBER(SEARCH("Rimborso",'Statements (Raw)'!D997)),"Redemption",IF(ISNUMBER(SEARCH("Cedola",'Statements (Raw)'!D997)),"Coupon",IF(ISNUMBER(SEARCH("Incasso Dividendi",'Statements (Raw)'!D997)),"Dividend",IF(ISNUMBER(SEARCH("Provento Etf",'Statements (Raw)'!D997)),"Distribution",IF(ISNUMBER(SEARCH("Rit.provento",'Statements (Raw)'!D997)),"Tax",IF(ISNUMBER(SEARCH("Ratei Pass",'Statements (Raw)'!D997)),"Accrued Int.",IF(ISNUMBER(SEARCH("Interessi Prest",'Statements (Raw)'!D997)),"Sec. Lending",IF('Statements (Raw)'!G997="","Other",IF('Statements (Raw)'!G997&gt;0,"Buy","Sell"))))))))))))))))))))))</f>
        <v/>
      </c>
      <c r="E999" s="6" t="str">
        <f t="shared" si="30"/>
        <v/>
      </c>
      <c r="F999" s="8" t="str">
        <f>IF(A999="","",IF('Statements (Raw)'!E997="","",'Statements (Raw)'!E997))</f>
        <v/>
      </c>
      <c r="G999" s="6" t="str">
        <f>IF(A999="","",IF('Statements (Raw)'!F997="","",'Statements (Raw)'!F997))</f>
        <v/>
      </c>
      <c r="H999" s="9" t="str">
        <f>IF(A999="","",IF('Statements (Raw)'!G997="","",'Statements (Raw)'!G997))</f>
        <v/>
      </c>
      <c r="I999" s="10" t="str">
        <f>IF(A999="","",IF('Statements (Raw)'!H997="","",'Statements (Raw)'!H997))</f>
        <v/>
      </c>
      <c r="J999" s="10">
        <f>IF(A999="",0,IF('Statements (Raw)'!I997="",0,'Statements (Raw)'!I997))</f>
        <v>0</v>
      </c>
      <c r="K999" s="10" t="str">
        <f t="shared" si="31"/>
        <v/>
      </c>
    </row>
    <row r="1000" spans="1:11" x14ac:dyDescent="0.3">
      <c r="A1000" s="171" t="str">
        <f>IF(OR('Statements (Raw)'!A998="",'Statements (Raw)'!A998&gt;Holdings!$G$3),"",'Statements (Raw)'!A998)</f>
        <v/>
      </c>
      <c r="B1000" s="7" t="str">
        <f>IF(A1000="","",IF('Statements (Raw)'!B998="","",'Statements (Raw)'!B998))</f>
        <v/>
      </c>
      <c r="C1000" s="6" t="str">
        <f>IF(A1000="","",IF('Statements (Raw)'!C998&lt;&gt;"",'Statements (Raw)'!C998,IF(ISNUMBER(SEARCH("Conferimento",'Statements (Raw)'!D998)),"CASH DEPOSIT",IF(ISNUMBER(SEARCH("Prelievo",'Statements (Raw)'!D998)),"CASH WITHDRAWAL",IF(ISNUMBER(SEARCH("Bollo",'Statements (Raw)'!D998)),"STAMP DUTY",IF(ISNUMBER(SEARCH("Tobin Tax",'Statements (Raw)'!D998)),"TOBIN TAX",IF(ISNUMBER(SEARCH("Rit.provento",'Statements (Raw)'!D998)),"WITHHOLDING TAX",IF(ISNUMBER(SEARCH("Incasso Dividendi",'Statements (Raw)'!D998)),"DIVIDEND",IF(ISNUMBER(SEARCH("Cedola",'Statements (Raw)'!D998)),"COUPON",IF(ISNUMBER(SEARCH("Ratei Pass",'Statements (Raw)'!D998)),"ACCRUED INT",IF(ISNUMBER(SEARCH("Interessi Prest",'Statements (Raw)'!D998)),"SEC LENDING",IF(ISNUMBER(SEARCH("Rimborso",'Statements (Raw)'!D998)),"REDEMPTION",IF(ISNUMBER(SEARCH("Provento",'Statements (Raw)'!D998)),"DISTRIBUTION","OTHER")))))))))))))</f>
        <v/>
      </c>
      <c r="D1000" s="6" t="str">
        <f>IF(A1000="","",IF(C1000="Saldo Iniziale","Balance",IF(C1000="CASH DEPOSIT","Deposit",IF(C1000="CASH WITHDRAWAL","Withdrawal",IF(C1000="STAMP DUTY","Tax",IF(C1000="TOBIN TAX","Tax",IF(C1000="WITHHOLDING TAX","Tax",IF(C1000="DIVIDEND","Dividend",IF(C1000="COUPON","Coupon",IF(C1000="ACCRUED INT","Accrued Int.",IF(C1000="SEC LENDING","Sec. Lending",IF(C1000="REDEMPTION","Redemption",IF(C1000="DISTRIBUTION","Distribution",IF(ISNUMBER(SEARCH("Rimborso",'Statements (Raw)'!D998)),"Redemption",IF(ISNUMBER(SEARCH("Cedola",'Statements (Raw)'!D998)),"Coupon",IF(ISNUMBER(SEARCH("Incasso Dividendi",'Statements (Raw)'!D998)),"Dividend",IF(ISNUMBER(SEARCH("Provento Etf",'Statements (Raw)'!D998)),"Distribution",IF(ISNUMBER(SEARCH("Rit.provento",'Statements (Raw)'!D998)),"Tax",IF(ISNUMBER(SEARCH("Ratei Pass",'Statements (Raw)'!D998)),"Accrued Int.",IF(ISNUMBER(SEARCH("Interessi Prest",'Statements (Raw)'!D998)),"Sec. Lending",IF('Statements (Raw)'!G998="","Other",IF('Statements (Raw)'!G998&gt;0,"Buy","Sell"))))))))))))))))))))))</f>
        <v/>
      </c>
      <c r="E1000" s="6" t="str">
        <f t="shared" si="30"/>
        <v/>
      </c>
      <c r="F1000" s="8" t="str">
        <f>IF(A1000="","",IF('Statements (Raw)'!E998="","",'Statements (Raw)'!E998))</f>
        <v/>
      </c>
      <c r="G1000" s="6" t="str">
        <f>IF(A1000="","",IF('Statements (Raw)'!F998="","",'Statements (Raw)'!F998))</f>
        <v/>
      </c>
      <c r="H1000" s="9" t="str">
        <f>IF(A1000="","",IF('Statements (Raw)'!G998="","",'Statements (Raw)'!G998))</f>
        <v/>
      </c>
      <c r="I1000" s="10" t="str">
        <f>IF(A1000="","",IF('Statements (Raw)'!H998="","",'Statements (Raw)'!H998))</f>
        <v/>
      </c>
      <c r="J1000" s="10">
        <f>IF(A1000="",0,IF('Statements (Raw)'!I998="",0,'Statements (Raw)'!I998))</f>
        <v>0</v>
      </c>
      <c r="K1000" s="10" t="str">
        <f t="shared" si="31"/>
        <v/>
      </c>
    </row>
    <row r="1001" spans="1:11" x14ac:dyDescent="0.3">
      <c r="A1001" s="171" t="str">
        <f>IF(OR('Statements (Raw)'!A999="",'Statements (Raw)'!A999&gt;Holdings!$G$3),"",'Statements (Raw)'!A999)</f>
        <v/>
      </c>
      <c r="B1001" s="7" t="str">
        <f>IF(A1001="","",IF('Statements (Raw)'!B999="","",'Statements (Raw)'!B999))</f>
        <v/>
      </c>
      <c r="C1001" s="6" t="str">
        <f>IF(A1001="","",IF('Statements (Raw)'!C999&lt;&gt;"",'Statements (Raw)'!C999,IF(ISNUMBER(SEARCH("Conferimento",'Statements (Raw)'!D999)),"CASH DEPOSIT",IF(ISNUMBER(SEARCH("Prelievo",'Statements (Raw)'!D999)),"CASH WITHDRAWAL",IF(ISNUMBER(SEARCH("Bollo",'Statements (Raw)'!D999)),"STAMP DUTY",IF(ISNUMBER(SEARCH("Tobin Tax",'Statements (Raw)'!D999)),"TOBIN TAX",IF(ISNUMBER(SEARCH("Rit.provento",'Statements (Raw)'!D999)),"WITHHOLDING TAX",IF(ISNUMBER(SEARCH("Incasso Dividendi",'Statements (Raw)'!D999)),"DIVIDEND",IF(ISNUMBER(SEARCH("Cedola",'Statements (Raw)'!D999)),"COUPON",IF(ISNUMBER(SEARCH("Ratei Pass",'Statements (Raw)'!D999)),"ACCRUED INT",IF(ISNUMBER(SEARCH("Interessi Prest",'Statements (Raw)'!D999)),"SEC LENDING",IF(ISNUMBER(SEARCH("Rimborso",'Statements (Raw)'!D999)),"REDEMPTION",IF(ISNUMBER(SEARCH("Provento",'Statements (Raw)'!D999)),"DISTRIBUTION","OTHER")))))))))))))</f>
        <v/>
      </c>
      <c r="D1001" s="6" t="str">
        <f>IF(A1001="","",IF(C1001="Saldo Iniziale","Balance",IF(C1001="CASH DEPOSIT","Deposit",IF(C1001="CASH WITHDRAWAL","Withdrawal",IF(C1001="STAMP DUTY","Tax",IF(C1001="TOBIN TAX","Tax",IF(C1001="WITHHOLDING TAX","Tax",IF(C1001="DIVIDEND","Dividend",IF(C1001="COUPON","Coupon",IF(C1001="ACCRUED INT","Accrued Int.",IF(C1001="SEC LENDING","Sec. Lending",IF(C1001="REDEMPTION","Redemption",IF(C1001="DISTRIBUTION","Distribution",IF(ISNUMBER(SEARCH("Rimborso",'Statements (Raw)'!D999)),"Redemption",IF(ISNUMBER(SEARCH("Cedola",'Statements (Raw)'!D999)),"Coupon",IF(ISNUMBER(SEARCH("Incasso Dividendi",'Statements (Raw)'!D999)),"Dividend",IF(ISNUMBER(SEARCH("Provento Etf",'Statements (Raw)'!D999)),"Distribution",IF(ISNUMBER(SEARCH("Rit.provento",'Statements (Raw)'!D999)),"Tax",IF(ISNUMBER(SEARCH("Ratei Pass",'Statements (Raw)'!D999)),"Accrued Int.",IF(ISNUMBER(SEARCH("Interessi Prest",'Statements (Raw)'!D999)),"Sec. Lending",IF('Statements (Raw)'!G999="","Other",IF('Statements (Raw)'!G999&gt;0,"Buy","Sell"))))))))))))))))))))))</f>
        <v/>
      </c>
      <c r="E1001" s="6" t="str">
        <f t="shared" si="30"/>
        <v/>
      </c>
      <c r="F1001" s="8" t="str">
        <f>IF(A1001="","",IF('Statements (Raw)'!E999="","",'Statements (Raw)'!E999))</f>
        <v/>
      </c>
      <c r="G1001" s="6" t="str">
        <f>IF(A1001="","",IF('Statements (Raw)'!F999="","",'Statements (Raw)'!F999))</f>
        <v/>
      </c>
      <c r="H1001" s="9" t="str">
        <f>IF(A1001="","",IF('Statements (Raw)'!G999="","",'Statements (Raw)'!G999))</f>
        <v/>
      </c>
      <c r="I1001" s="10" t="str">
        <f>IF(A1001="","",IF('Statements (Raw)'!H999="","",'Statements (Raw)'!H999))</f>
        <v/>
      </c>
      <c r="J1001" s="10">
        <f>IF(A1001="",0,IF('Statements (Raw)'!I999="",0,'Statements (Raw)'!I999))</f>
        <v>0</v>
      </c>
      <c r="K1001" s="10" t="str">
        <f t="shared" si="31"/>
        <v/>
      </c>
    </row>
    <row r="1002" spans="1:11" x14ac:dyDescent="0.3">
      <c r="A1002" s="171" t="str">
        <f>IF(OR('Statements (Raw)'!A1000="",'Statements (Raw)'!A1000&gt;Holdings!$G$3),"",'Statements (Raw)'!A1000)</f>
        <v/>
      </c>
      <c r="B1002" s="7" t="str">
        <f>IF(A1002="","",IF('Statements (Raw)'!B1000="","",'Statements (Raw)'!B1000))</f>
        <v/>
      </c>
      <c r="C1002" s="6" t="str">
        <f>IF(A1002="","",IF('Statements (Raw)'!C1000&lt;&gt;"",'Statements (Raw)'!C1000,IF(ISNUMBER(SEARCH("Conferimento",'Statements (Raw)'!D1000)),"CASH DEPOSIT",IF(ISNUMBER(SEARCH("Prelievo",'Statements (Raw)'!D1000)),"CASH WITHDRAWAL",IF(ISNUMBER(SEARCH("Bollo",'Statements (Raw)'!D1000)),"STAMP DUTY",IF(ISNUMBER(SEARCH("Tobin Tax",'Statements (Raw)'!D1000)),"TOBIN TAX",IF(ISNUMBER(SEARCH("Rit.provento",'Statements (Raw)'!D1000)),"WITHHOLDING TAX",IF(ISNUMBER(SEARCH("Incasso Dividendi",'Statements (Raw)'!D1000)),"DIVIDEND",IF(ISNUMBER(SEARCH("Cedola",'Statements (Raw)'!D1000)),"COUPON",IF(ISNUMBER(SEARCH("Ratei Pass",'Statements (Raw)'!D1000)),"ACCRUED INT",IF(ISNUMBER(SEARCH("Interessi Prest",'Statements (Raw)'!D1000)),"SEC LENDING",IF(ISNUMBER(SEARCH("Rimborso",'Statements (Raw)'!D1000)),"REDEMPTION",IF(ISNUMBER(SEARCH("Provento",'Statements (Raw)'!D1000)),"DISTRIBUTION","OTHER")))))))))))))</f>
        <v/>
      </c>
      <c r="D1002" s="6" t="str">
        <f>IF(A1002="","",IF(C1002="Saldo Iniziale","Balance",IF(C1002="CASH DEPOSIT","Deposit",IF(C1002="CASH WITHDRAWAL","Withdrawal",IF(C1002="STAMP DUTY","Tax",IF(C1002="TOBIN TAX","Tax",IF(C1002="WITHHOLDING TAX","Tax",IF(C1002="DIVIDEND","Dividend",IF(C1002="COUPON","Coupon",IF(C1002="ACCRUED INT","Accrued Int.",IF(C1002="SEC LENDING","Sec. Lending",IF(C1002="REDEMPTION","Redemption",IF(C1002="DISTRIBUTION","Distribution",IF(ISNUMBER(SEARCH("Rimborso",'Statements (Raw)'!D1000)),"Redemption",IF(ISNUMBER(SEARCH("Cedola",'Statements (Raw)'!D1000)),"Coupon",IF(ISNUMBER(SEARCH("Incasso Dividendi",'Statements (Raw)'!D1000)),"Dividend",IF(ISNUMBER(SEARCH("Provento Etf",'Statements (Raw)'!D1000)),"Distribution",IF(ISNUMBER(SEARCH("Rit.provento",'Statements (Raw)'!D1000)),"Tax",IF(ISNUMBER(SEARCH("Ratei Pass",'Statements (Raw)'!D1000)),"Accrued Int.",IF(ISNUMBER(SEARCH("Interessi Prest",'Statements (Raw)'!D1000)),"Sec. Lending",IF('Statements (Raw)'!G1000="","Other",IF('Statements (Raw)'!G1000&gt;0,"Buy","Sell"))))))))))))))))))))))</f>
        <v/>
      </c>
      <c r="E1002" s="6" t="str">
        <f t="shared" si="30"/>
        <v/>
      </c>
      <c r="F1002" s="8" t="str">
        <f>IF(A1002="","",IF('Statements (Raw)'!E1000="","",'Statements (Raw)'!E1000))</f>
        <v/>
      </c>
      <c r="G1002" s="6" t="str">
        <f>IF(A1002="","",IF('Statements (Raw)'!F1000="","",'Statements (Raw)'!F1000))</f>
        <v/>
      </c>
      <c r="H1002" s="9" t="str">
        <f>IF(A1002="","",IF('Statements (Raw)'!G1000="","",'Statements (Raw)'!G1000))</f>
        <v/>
      </c>
      <c r="I1002" s="10" t="str">
        <f>IF(A1002="","",IF('Statements (Raw)'!H1000="","",'Statements (Raw)'!H1000))</f>
        <v/>
      </c>
      <c r="J1002" s="10">
        <f>IF(A1002="",0,IF('Statements (Raw)'!I1000="",0,'Statements (Raw)'!I1000))</f>
        <v>0</v>
      </c>
      <c r="K1002" s="10" t="str">
        <f t="shared" si="31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2BC09-3391-46B6-B0BB-2C16E28D1F64}">
  <dimension ref="A1:XET104"/>
  <sheetViews>
    <sheetView showGridLines="0" zoomScaleNormal="100" workbookViewId="0">
      <pane ySplit="5" topLeftCell="A6" activePane="bottomLeft" state="frozen"/>
      <selection pane="bottomLeft" activeCell="K9" sqref="K9"/>
    </sheetView>
  </sheetViews>
  <sheetFormatPr defaultColWidth="0" defaultRowHeight="13" x14ac:dyDescent="0.3"/>
  <cols>
    <col min="1" max="1" width="40" style="6" customWidth="1"/>
    <col min="2" max="2" width="15.453125" style="6" customWidth="1"/>
    <col min="3" max="3" width="11.81640625" style="6" customWidth="1"/>
    <col min="4" max="5" width="15.453125" style="6" customWidth="1"/>
    <col min="6" max="6" width="20" style="6" customWidth="1"/>
    <col min="7" max="7" width="18.1796875" style="6" customWidth="1"/>
    <col min="8" max="9" width="20" style="6" customWidth="1"/>
    <col min="10" max="11" width="13.6328125" style="6" customWidth="1"/>
    <col min="12" max="12" width="1.1796875" style="6" customWidth="1"/>
    <col min="13" max="16374" width="8.7265625" style="6" hidden="1"/>
    <col min="16375" max="16384" width="0" style="6" hidden="1"/>
  </cols>
  <sheetData>
    <row r="1" spans="1:11" ht="30" customHeight="1" x14ac:dyDescent="0.3">
      <c r="A1" s="101" t="s">
        <v>322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</row>
    <row r="3" spans="1:11" x14ac:dyDescent="0.3">
      <c r="A3" s="11"/>
      <c r="F3" s="12" t="s">
        <v>386</v>
      </c>
      <c r="G3" s="96">
        <v>46112</v>
      </c>
    </row>
    <row r="5" spans="1:11" s="97" customFormat="1" ht="15" customHeight="1" x14ac:dyDescent="0.35">
      <c r="A5" s="103" t="s">
        <v>313</v>
      </c>
      <c r="B5" s="103" t="s">
        <v>323</v>
      </c>
      <c r="C5" s="103" t="s">
        <v>317</v>
      </c>
      <c r="D5" s="103" t="s">
        <v>324</v>
      </c>
      <c r="E5" s="103" t="s">
        <v>325</v>
      </c>
      <c r="F5" s="103" t="s">
        <v>326</v>
      </c>
      <c r="G5" s="103" t="s">
        <v>327</v>
      </c>
      <c r="H5" s="103" t="s">
        <v>328</v>
      </c>
      <c r="I5" s="103" t="s">
        <v>329</v>
      </c>
      <c r="J5" s="103" t="s">
        <v>330</v>
      </c>
      <c r="K5" s="103" t="s">
        <v>331</v>
      </c>
    </row>
    <row r="6" spans="1:11" x14ac:dyDescent="0.3">
      <c r="A6" s="13" t="str" cm="1">
        <f t="array" ref="A6:A51">_xlfn._xlws.SORT(_xlfn.UNIQUE(_xlfn._xlws.FILTER('Trade Log'!C$4:C$1002,('Trade Log'!D$4:D$1002="Buy")+('Trade Log'!D$4:D$1002="Sell"),"")))</f>
        <v>ASML HOLDING NV</v>
      </c>
      <c r="B6" s="6" t="str">
        <f>IF(A6="","",IF(OR(ISNUMBER(SEARCH("BOT ",A6)),ISNUMBER(SEARCH("BTP ",A6)),ISNUMBER(SEARCH("CARRARO",A6))),"Bond",IF(OR(ISNUMBER(SEARCH("isdom",A6)),ISNUMBER(SEARCH("ISHARES",A6)),ISNUMBER(SEARCH("iShares",A6)),ISNUMBER(SEARCH("WISDOMTREE",A6))),"ETF/ETC",IF(OR(ISNUMBER(SEARCH("Bitwise",A6)),ISNUMBER(SEARCH("BITWISE",A6))),"Crypto ETP","Stock"))))</f>
        <v>Stock</v>
      </c>
      <c r="C6" s="6" t="str">
        <f>IF(A6="","",IFERROR(INDEX('Trade Log'!G$4:G$1002,MATCH(A6,'Trade Log'!C$4:C$1002,0)),"EUR"))</f>
        <v>EUR</v>
      </c>
      <c r="D6" s="9">
        <f>IF(A6="","",SUMIFS('Trade Log'!H:H,'Trade Log'!C:C,A6,'Trade Log'!D:D,"Buy")+SUMIFS('Trade Log'!H:H,'Trade Log'!C:C,A6,'Trade Log'!D:D,"Sell")-IF(ISNUMBER(SEARCH("Bond",B6)),SUMIFS('Trade Log'!I:I,'Trade Log'!C:C,A6,'Trade Log'!D:D,"Redemption"),0))</f>
        <v>0</v>
      </c>
      <c r="E6" s="8">
        <f>IF(OR(A6="",D6=0),0,ABS(SUMIFS('Trade Log'!K:K,'Trade Log'!C:C,A6,'Trade Log'!D:D,"Buy"))/SUMIFS('Trade Log'!H:H,'Trade Log'!C:C,A6,'Trade Log'!D:D,"Buy"))</f>
        <v>0</v>
      </c>
      <c r="F6" s="10">
        <f>IF(OR(A6="",D6=0),0,-D6*E6)</f>
        <v>0</v>
      </c>
      <c r="G6" s="15">
        <v>921.5</v>
      </c>
      <c r="H6" s="10">
        <f>IF(OR(A6="",D6=0),0,D6*G6)</f>
        <v>0</v>
      </c>
      <c r="I6" s="10">
        <f>IF(OR(A6="",D6=0),0,H6+F6)</f>
        <v>0</v>
      </c>
      <c r="J6" s="14">
        <f>IF(OR(A6="",D6=0,F6=0),0,I6/ABS(F6))</f>
        <v>0</v>
      </c>
      <c r="K6" s="14" cm="1">
        <f t="array" ref="K6">IF(OR(A6="",H6=0),0,H6/SUMPRODUCT(ISNUMBER(D$6:D$102)*(D$6:D$102&lt;&gt;0)*(H$6:H$102)))</f>
        <v>0</v>
      </c>
    </row>
    <row r="7" spans="1:11" x14ac:dyDescent="0.3">
      <c r="A7" s="6" t="str">
        <v>AZIMUT</v>
      </c>
      <c r="B7" s="6" t="str">
        <f t="shared" ref="B7:B70" si="0">IF(A7="","",IF(OR(ISNUMBER(SEARCH("BOT ",A7)),ISNUMBER(SEARCH("BTP ",A7)),ISNUMBER(SEARCH("CARRARO",A7))),"Bond",IF(OR(ISNUMBER(SEARCH("isdom",A7)),ISNUMBER(SEARCH("ISHARES",A7)),ISNUMBER(SEARCH("iShares",A7)),ISNUMBER(SEARCH("WISDOMTREE",A7))),"ETF/ETC",IF(OR(ISNUMBER(SEARCH("Bitwise",A7)),ISNUMBER(SEARCH("BITWISE",A7))),"Crypto ETP","Stock"))))</f>
        <v>Stock</v>
      </c>
      <c r="C7" s="6" t="str">
        <f>IF(A7="","",IFERROR(INDEX('Trade Log'!G$4:G$1002,MATCH(A7,'Trade Log'!C$4:C$1002,0)),"EUR"))</f>
        <v>EUR</v>
      </c>
      <c r="D7" s="9">
        <f>IF(A7="","",SUMIFS('Trade Log'!H:H,'Trade Log'!C:C,A7,'Trade Log'!D:D,"Buy")+SUMIFS('Trade Log'!H:H,'Trade Log'!C:C,A7,'Trade Log'!D:D,"Sell")-IF(ISNUMBER(SEARCH("Bond",B7)),SUMIFS('Trade Log'!I:I,'Trade Log'!C:C,A7,'Trade Log'!D:D,"Redemption"),0))</f>
        <v>500</v>
      </c>
      <c r="E7" s="8">
        <f>IF(OR(A7="",D7=0),0,ABS(SUMIFS('Trade Log'!K:K,'Trade Log'!C:C,A7,'Trade Log'!D:D,"Buy"))/SUMIFS('Trade Log'!H:H,'Trade Log'!C:C,A7,'Trade Log'!D:D,"Buy"))</f>
        <v>31.53</v>
      </c>
      <c r="F7" s="10">
        <f t="shared" ref="F7:F70" si="1">IF(OR(A7="",D7=0),0,-D7*E7)</f>
        <v>-15765</v>
      </c>
      <c r="G7" s="15">
        <v>32.35</v>
      </c>
      <c r="H7" s="10">
        <f t="shared" ref="H7:H70" si="2">IF(OR(A7="",D7=0),0,D7*G7)</f>
        <v>16175</v>
      </c>
      <c r="I7" s="10">
        <f t="shared" ref="I7:I70" si="3">IF(OR(A7="",D7=0),0,H7+F7)</f>
        <v>410</v>
      </c>
      <c r="J7" s="14">
        <f t="shared" ref="J7:J70" si="4">IF(OR(A7="",D7=0,F7=0),0,I7/ABS(F7))</f>
        <v>2.6006977481763401E-2</v>
      </c>
      <c r="K7" s="14" cm="1">
        <f t="array" ref="K7">IF(OR(A7="",H7=0),0,H7/SUMPRODUCT(ISNUMBER(D$6:D$102)*(D$6:D$102&lt;&gt;0)*(H$6:H$102)))</f>
        <v>1.5112529652301436E-2</v>
      </c>
    </row>
    <row r="8" spans="1:11" x14ac:dyDescent="0.3">
      <c r="A8" s="6" t="str">
        <v>BeC SPEAKERS</v>
      </c>
      <c r="B8" s="6" t="str">
        <f t="shared" si="0"/>
        <v>Stock</v>
      </c>
      <c r="C8" s="6" t="str">
        <f>IF(A8="","",IFERROR(INDEX('Trade Log'!G$4:G$1002,MATCH(A8,'Trade Log'!C$4:C$1002,0)),"EUR"))</f>
        <v>EUR</v>
      </c>
      <c r="D8" s="9">
        <f>IF(A8="","",SUMIFS('Trade Log'!H:H,'Trade Log'!C:C,A8,'Trade Log'!D:D,"Buy")+SUMIFS('Trade Log'!H:H,'Trade Log'!C:C,A8,'Trade Log'!D:D,"Sell")-IF(ISNUMBER(SEARCH("Bond",B8)),SUMIFS('Trade Log'!I:I,'Trade Log'!C:C,A8,'Trade Log'!D:D,"Redemption"),0))</f>
        <v>936</v>
      </c>
      <c r="E8" s="8">
        <f>IF(OR(A8="",D8=0),0,ABS(SUMIFS('Trade Log'!K:K,'Trade Log'!C:C,A8,'Trade Log'!D:D,"Buy"))/SUMIFS('Trade Log'!H:H,'Trade Log'!C:C,A8,'Trade Log'!D:D,"Buy"))</f>
        <v>16.010448717948716</v>
      </c>
      <c r="F8" s="10">
        <f t="shared" si="1"/>
        <v>-14985.779999999999</v>
      </c>
      <c r="G8" s="15">
        <v>11.7</v>
      </c>
      <c r="H8" s="10">
        <f t="shared" si="2"/>
        <v>10951.199999999999</v>
      </c>
      <c r="I8" s="10">
        <f t="shared" si="3"/>
        <v>-4034.58</v>
      </c>
      <c r="J8" s="14">
        <f t="shared" si="4"/>
        <v>-0.26922722741158622</v>
      </c>
      <c r="K8" s="14" cm="1">
        <f t="array" ref="K8">IF(OR(A8="",H8=0),0,H8/SUMPRODUCT(ISNUMBER(D$6:D$102)*(D$6:D$102&lt;&gt;0)*(H$6:H$102)))</f>
        <v>1.023185995228955E-2</v>
      </c>
    </row>
    <row r="9" spans="1:11" x14ac:dyDescent="0.3">
      <c r="A9" s="6" t="str">
        <v>Bitwise Ethereum Staking ETP</v>
      </c>
      <c r="B9" s="6" t="str">
        <f t="shared" si="0"/>
        <v>Crypto ETP</v>
      </c>
      <c r="C9" s="6" t="str">
        <f>IF(A9="","",IFERROR(INDEX('Trade Log'!G$4:G$1002,MATCH(A9,'Trade Log'!C$4:C$1002,0)),"EUR"))</f>
        <v>EUR</v>
      </c>
      <c r="D9" s="9">
        <f>IF(A9="","",SUMIFS('Trade Log'!H:H,'Trade Log'!C:C,A9,'Trade Log'!D:D,"Buy")+SUMIFS('Trade Log'!H:H,'Trade Log'!C:C,A9,'Trade Log'!D:D,"Sell")-IF(ISNUMBER(SEARCH("Bond",B9)),SUMIFS('Trade Log'!I:I,'Trade Log'!C:C,A9,'Trade Log'!D:D,"Redemption"),0))</f>
        <v>2680</v>
      </c>
      <c r="E9" s="8">
        <f>IF(OR(A9="",D9=0),0,ABS(SUMIFS('Trade Log'!K:K,'Trade Log'!C:C,A9,'Trade Log'!D:D,"Buy"))/SUMIFS('Trade Log'!H:H,'Trade Log'!C:C,A9,'Trade Log'!D:D,"Buy"))</f>
        <v>5.3666529850746265</v>
      </c>
      <c r="F9" s="10">
        <f t="shared" si="1"/>
        <v>-14382.63</v>
      </c>
      <c r="G9" s="15">
        <v>3.6787999999999998</v>
      </c>
      <c r="H9" s="10">
        <f t="shared" si="2"/>
        <v>9859.1839999999993</v>
      </c>
      <c r="I9" s="10">
        <f t="shared" si="3"/>
        <v>-4523.4459999999999</v>
      </c>
      <c r="J9" s="14">
        <f>IF(OR(A9="",D9=0,F9=0),0,I9/ABS(F9))</f>
        <v>-0.31450756919979173</v>
      </c>
      <c r="K9" s="14" cm="1">
        <f t="array" ref="K9">IF(OR(A9="",H9=0),0,H9/SUMPRODUCT(ISNUMBER(D$6:D$102)*(D$6:D$102&lt;&gt;0)*(H$6:H$102)))</f>
        <v>9.2115740678513688E-3</v>
      </c>
    </row>
    <row r="10" spans="1:11" x14ac:dyDescent="0.3">
      <c r="A10" s="6" t="str">
        <v>Bitwise Physical Bitcoin ETP</v>
      </c>
      <c r="B10" s="6" t="str">
        <f t="shared" si="0"/>
        <v>Crypto ETP</v>
      </c>
      <c r="C10" s="6" t="str">
        <f>IF(A10="","",IFERROR(INDEX('Trade Log'!G$4:G$1002,MATCH(A10,'Trade Log'!C$4:C$1002,0)),"EUR"))</f>
        <v>EUR</v>
      </c>
      <c r="D10" s="9">
        <f>IF(A10="","",SUMIFS('Trade Log'!H:H,'Trade Log'!C:C,A10,'Trade Log'!D:D,"Buy")+SUMIFS('Trade Log'!H:H,'Trade Log'!C:C,A10,'Trade Log'!D:D,"Sell")-IF(ISNUMBER(SEARCH("Bond",B10)),SUMIFS('Trade Log'!I:I,'Trade Log'!C:C,A10,'Trade Log'!D:D,"Redemption"),0))</f>
        <v>534</v>
      </c>
      <c r="E10" s="8">
        <f>IF(OR(A10="",D10=0),0,ABS(SUMIFS('Trade Log'!K:K,'Trade Log'!C:C,A10,'Trade Log'!D:D,"Buy"))/SUMIFS('Trade Log'!H:H,'Trade Log'!C:C,A10,'Trade Log'!D:D,"Buy"))</f>
        <v>62.822734082396998</v>
      </c>
      <c r="F10" s="10">
        <f t="shared" si="1"/>
        <v>-33547.339999999997</v>
      </c>
      <c r="G10" s="15">
        <v>51.704999999999998</v>
      </c>
      <c r="H10" s="10">
        <f t="shared" si="2"/>
        <v>27610.469999999998</v>
      </c>
      <c r="I10" s="10">
        <f t="shared" si="3"/>
        <v>-5936.869999999999</v>
      </c>
      <c r="J10" s="14">
        <f>IF(OR(A10="",D10=0,F10=0),0,I10/ABS(F10))</f>
        <v>-0.17696991773416312</v>
      </c>
      <c r="K10" s="14" cm="1">
        <f t="array" ref="K10">IF(OR(A10="",H10=0),0,H10/SUMPRODUCT(ISNUMBER(D$6:D$102)*(D$6:D$102&lt;&gt;0)*(H$6:H$102)))</f>
        <v>2.5796849866397478E-2</v>
      </c>
    </row>
    <row r="11" spans="1:11" x14ac:dyDescent="0.3">
      <c r="A11" s="6" t="str">
        <v>Bitwise Physical Ethereum ETP</v>
      </c>
      <c r="B11" s="6" t="str">
        <f t="shared" si="0"/>
        <v>Crypto ETP</v>
      </c>
      <c r="C11" s="6" t="str">
        <f>IF(A11="","",IFERROR(INDEX('Trade Log'!G$4:G$1002,MATCH(A11,'Trade Log'!C$4:C$1002,0)),"EUR"))</f>
        <v>EUR</v>
      </c>
      <c r="D11" s="9">
        <f>IF(A11="","",SUMIFS('Trade Log'!H:H,'Trade Log'!C:C,A11,'Trade Log'!D:D,"Buy")+SUMIFS('Trade Log'!H:H,'Trade Log'!C:C,A11,'Trade Log'!D:D,"Sell")-IF(ISNUMBER(SEARCH("Bond",B11)),SUMIFS('Trade Log'!I:I,'Trade Log'!C:C,A11,'Trade Log'!D:D,"Redemption"),0))</f>
        <v>225</v>
      </c>
      <c r="E11" s="8">
        <f>IF(OR(A11="",D11=0),0,ABS(SUMIFS('Trade Log'!K:K,'Trade Log'!C:C,A11,'Trade Log'!D:D,"Buy"))/SUMIFS('Trade Log'!H:H,'Trade Log'!C:C,A11,'Trade Log'!D:D,"Buy"))</f>
        <v>34.504488888888886</v>
      </c>
      <c r="F11" s="10">
        <f t="shared" si="1"/>
        <v>-7763.5099999999993</v>
      </c>
      <c r="G11" s="15">
        <v>16.568000000000001</v>
      </c>
      <c r="H11" s="10">
        <f t="shared" si="2"/>
        <v>3727.8</v>
      </c>
      <c r="I11" s="10">
        <f t="shared" si="3"/>
        <v>-4035.7099999999991</v>
      </c>
      <c r="J11" s="14">
        <f t="shared" si="4"/>
        <v>-0.51983059209043325</v>
      </c>
      <c r="K11" s="14" cm="1">
        <f t="array" ref="K11">IF(OR(A11="",H11=0),0,H11/SUMPRODUCT(ISNUMBER(D$6:D$102)*(D$6:D$102&lt;&gt;0)*(H$6:H$102)))</f>
        <v>3.4829358910571438E-3</v>
      </c>
    </row>
    <row r="12" spans="1:11" x14ac:dyDescent="0.3">
      <c r="A12" s="6" t="str">
        <v>BITWISE solana staking ETP</v>
      </c>
      <c r="B12" s="6" t="str">
        <f t="shared" si="0"/>
        <v>Crypto ETP</v>
      </c>
      <c r="C12" s="6" t="str">
        <f>IF(A12="","",IFERROR(INDEX('Trade Log'!G$4:G$1002,MATCH(A12,'Trade Log'!C$4:C$1002,0)),"EUR"))</f>
        <v>EUR</v>
      </c>
      <c r="D12" s="9">
        <f>IF(A12="","",SUMIFS('Trade Log'!H:H,'Trade Log'!C:C,A12,'Trade Log'!D:D,"Buy")+SUMIFS('Trade Log'!H:H,'Trade Log'!C:C,A12,'Trade Log'!D:D,"Sell")-IF(ISNUMBER(SEARCH("Bond",B12)),SUMIFS('Trade Log'!I:I,'Trade Log'!C:C,A12,'Trade Log'!D:D,"Redemption"),0))</f>
        <v>1600</v>
      </c>
      <c r="E12" s="8">
        <f>IF(OR(A12="",D12=0),0,ABS(SUMIFS('Trade Log'!K:K,'Trade Log'!C:C,A12,'Trade Log'!D:D,"Buy"))/SUMIFS('Trade Log'!H:H,'Trade Log'!C:C,A12,'Trade Log'!D:D,"Buy"))</f>
        <v>4.785825</v>
      </c>
      <c r="F12" s="10">
        <f t="shared" si="1"/>
        <v>-7657.32</v>
      </c>
      <c r="G12" s="15">
        <v>3.6859999999999999</v>
      </c>
      <c r="H12" s="10">
        <f t="shared" si="2"/>
        <v>5897.6</v>
      </c>
      <c r="I12" s="10">
        <f t="shared" si="3"/>
        <v>-1759.7199999999993</v>
      </c>
      <c r="J12" s="14">
        <f t="shared" si="4"/>
        <v>-0.22980886263078981</v>
      </c>
      <c r="K12" s="14" cm="1">
        <f t="array" ref="K12">IF(OR(A12="",H12=0),0,H12/SUMPRODUCT(ISNUMBER(D$6:D$102)*(D$6:D$102&lt;&gt;0)*(H$6:H$102)))</f>
        <v>5.5102105024675708E-3</v>
      </c>
    </row>
    <row r="13" spans="1:11" x14ac:dyDescent="0.3">
      <c r="A13" s="6" t="str">
        <v>BOT ZC APR26 A EUR</v>
      </c>
      <c r="B13" s="6" t="str">
        <f t="shared" si="0"/>
        <v>Bond</v>
      </c>
      <c r="C13" s="6" t="str">
        <f>IF(A13="","",IFERROR(INDEX('Trade Log'!G$4:G$1002,MATCH(A13,'Trade Log'!C$4:C$1002,0)),"EUR"))</f>
        <v>EUR</v>
      </c>
      <c r="D13" s="9">
        <f>IF(A13="","",SUMIFS('Trade Log'!H:H,'Trade Log'!C:C,A13,'Trade Log'!D:D,"Buy")+SUMIFS('Trade Log'!H:H,'Trade Log'!C:C,A13,'Trade Log'!D:D,"Sell")-IF(ISNUMBER(SEARCH("Bond",B13)),SUMIFS('Trade Log'!I:I,'Trade Log'!C:C,A13,'Trade Log'!D:D,"Redemption"),0))</f>
        <v>100000</v>
      </c>
      <c r="E13" s="8">
        <f>IF(OR(A13="",D13=0),0,ABS(SUMIFS('Trade Log'!K:K,'Trade Log'!C:C,A13,'Trade Log'!D:D,"Buy"))/SUMIFS('Trade Log'!H:H,'Trade Log'!C:C,A13,'Trade Log'!D:D,"Buy"))</f>
        <v>0.99661999999999995</v>
      </c>
      <c r="F13" s="10">
        <f t="shared" si="1"/>
        <v>-99662</v>
      </c>
      <c r="G13" s="15">
        <v>0.99933000000000005</v>
      </c>
      <c r="H13" s="10">
        <f t="shared" si="2"/>
        <v>99933</v>
      </c>
      <c r="I13" s="10">
        <f t="shared" si="3"/>
        <v>271</v>
      </c>
      <c r="J13" s="14">
        <f t="shared" si="4"/>
        <v>2.7191908651241197E-3</v>
      </c>
      <c r="K13" s="14" cm="1">
        <f t="array" ref="K13">IF(OR(A13="",H13=0),0,H13/SUMPRODUCT(ISNUMBER(D$6:D$102)*(D$6:D$102&lt;&gt;0)*(H$6:H$102)))</f>
        <v>9.3368805300985444E-2</v>
      </c>
    </row>
    <row r="14" spans="1:11" x14ac:dyDescent="0.3">
      <c r="A14" s="6" t="str">
        <v>BOT ZC DEC25 A EUR</v>
      </c>
      <c r="B14" s="6" t="str">
        <f t="shared" si="0"/>
        <v>Bond</v>
      </c>
      <c r="C14" s="6" t="str">
        <f>IF(A14="","",IFERROR(INDEX('Trade Log'!G$4:G$1002,MATCH(A14,'Trade Log'!C$4:C$1002,0)),"EUR"))</f>
        <v>EUR</v>
      </c>
      <c r="D14" s="9">
        <f>IF(A14="","",SUMIFS('Trade Log'!H:H,'Trade Log'!C:C,A14,'Trade Log'!D:D,"Buy")+SUMIFS('Trade Log'!H:H,'Trade Log'!C:C,A14,'Trade Log'!D:D,"Sell")-IF(ISNUMBER(SEARCH("Bond",B14)),SUMIFS('Trade Log'!I:I,'Trade Log'!C:C,A14,'Trade Log'!D:D,"Redemption"),0))</f>
        <v>0</v>
      </c>
      <c r="E14" s="8">
        <f>IF(OR(A14="",D14=0),0,ABS(SUMIFS('Trade Log'!K:K,'Trade Log'!C:C,A14,'Trade Log'!D:D,"Buy"))/SUMIFS('Trade Log'!H:H,'Trade Log'!C:C,A14,'Trade Log'!D:D,"Buy"))</f>
        <v>0</v>
      </c>
      <c r="F14" s="10">
        <f t="shared" si="1"/>
        <v>0</v>
      </c>
      <c r="G14" s="15">
        <v>0.99950000000000006</v>
      </c>
      <c r="H14" s="10">
        <f t="shared" si="2"/>
        <v>0</v>
      </c>
      <c r="I14" s="10">
        <f t="shared" si="3"/>
        <v>0</v>
      </c>
      <c r="J14" s="14">
        <f t="shared" si="4"/>
        <v>0</v>
      </c>
      <c r="K14" s="14" cm="1">
        <f t="array" ref="K14">IF(OR(A14="",H14=0),0,H14/SUMPRODUCT(ISNUMBER(D$6:D$102)*(D$6:D$102&lt;&gt;0)*(H$6:H$102)))</f>
        <v>0</v>
      </c>
    </row>
    <row r="15" spans="1:11" x14ac:dyDescent="0.3">
      <c r="A15" s="6" t="str">
        <v>BOT ZC JAN26 A EUR</v>
      </c>
      <c r="B15" s="6" t="str">
        <f t="shared" si="0"/>
        <v>Bond</v>
      </c>
      <c r="C15" s="6" t="str">
        <f>IF(A15="","",IFERROR(INDEX('Trade Log'!G$4:G$1002,MATCH(A15,'Trade Log'!C$4:C$1002,0)),"EUR"))</f>
        <v>EUR</v>
      </c>
      <c r="D15" s="9">
        <f>IF(A15="","",SUMIFS('Trade Log'!H:H,'Trade Log'!C:C,A15,'Trade Log'!D:D,"Buy")+SUMIFS('Trade Log'!H:H,'Trade Log'!C:C,A15,'Trade Log'!D:D,"Sell")-IF(ISNUMBER(SEARCH("Bond",B15)),SUMIFS('Trade Log'!I:I,'Trade Log'!C:C,A15,'Trade Log'!D:D,"Redemption"),0))</f>
        <v>0</v>
      </c>
      <c r="E15" s="8">
        <f>IF(OR(A15="",D15=0),0,ABS(SUMIFS('Trade Log'!K:K,'Trade Log'!C:C,A15,'Trade Log'!D:D,"Buy"))/SUMIFS('Trade Log'!H:H,'Trade Log'!C:C,A15,'Trade Log'!D:D,"Buy"))</f>
        <v>0</v>
      </c>
      <c r="F15" s="10">
        <f t="shared" si="1"/>
        <v>0</v>
      </c>
      <c r="G15" s="15"/>
      <c r="H15" s="10">
        <f t="shared" si="2"/>
        <v>0</v>
      </c>
      <c r="I15" s="10">
        <f t="shared" si="3"/>
        <v>0</v>
      </c>
      <c r="J15" s="14">
        <f t="shared" si="4"/>
        <v>0</v>
      </c>
      <c r="K15" s="14" cm="1">
        <f t="array" ref="K15">IF(OR(A15="",H15=0),0,H15/SUMPRODUCT(ISNUMBER(D$6:D$102)*(D$6:D$102&lt;&gt;0)*(H$6:H$102)))</f>
        <v>0</v>
      </c>
    </row>
    <row r="16" spans="1:11" x14ac:dyDescent="0.3">
      <c r="A16" s="6" t="str">
        <v>BOT ZC MAR26 A EUR</v>
      </c>
      <c r="B16" s="6" t="str">
        <f t="shared" si="0"/>
        <v>Bond</v>
      </c>
      <c r="C16" s="6" t="str">
        <f>IF(A16="","",IFERROR(INDEX('Trade Log'!G$4:G$1002,MATCH(A16,'Trade Log'!C$4:C$1002,0)),"EUR"))</f>
        <v>EUR</v>
      </c>
      <c r="D16" s="9">
        <f>IF(A16="","",SUMIFS('Trade Log'!H:H,'Trade Log'!C:C,A16,'Trade Log'!D:D,"Buy")+SUMIFS('Trade Log'!H:H,'Trade Log'!C:C,A16,'Trade Log'!D:D,"Sell")-IF(ISNUMBER(SEARCH("Bond",B16)),SUMIFS('Trade Log'!I:I,'Trade Log'!C:C,A16,'Trade Log'!D:D,"Redemption"),0))</f>
        <v>0</v>
      </c>
      <c r="E16" s="8">
        <f>IF(OR(A16="",D16=0),0,ABS(SUMIFS('Trade Log'!K:K,'Trade Log'!C:C,A16,'Trade Log'!D:D,"Buy"))/SUMIFS('Trade Log'!H:H,'Trade Log'!C:C,A16,'Trade Log'!D:D,"Buy"))</f>
        <v>0</v>
      </c>
      <c r="F16" s="10">
        <f t="shared" si="1"/>
        <v>0</v>
      </c>
      <c r="G16" s="15"/>
      <c r="H16" s="10">
        <f t="shared" si="2"/>
        <v>0</v>
      </c>
      <c r="I16" s="10">
        <f t="shared" si="3"/>
        <v>0</v>
      </c>
      <c r="J16" s="14">
        <f t="shared" si="4"/>
        <v>0</v>
      </c>
      <c r="K16" s="14" cm="1">
        <f t="array" ref="K16">IF(OR(A16="",H16=0),0,H16/SUMPRODUCT(ISNUMBER(D$6:D$102)*(D$6:D$102&lt;&gt;0)*(H$6:H$102)))</f>
        <v>0</v>
      </c>
    </row>
    <row r="17" spans="1:11" x14ac:dyDescent="0.3">
      <c r="A17" s="6" t="str">
        <v>BOT ZC NOV25 S EUR</v>
      </c>
      <c r="B17" s="6" t="str">
        <f>IF(A17="","",IF(OR(ISNUMBER(SEARCH("BOT ",A17)),ISNUMBER(SEARCH("BTP ",A17)),ISNUMBER(SEARCH("CARRARO",A17))),"Bond",IF(OR(ISNUMBER(SEARCH("isdom",A17)),ISNUMBER(SEARCH("ISHARES",A17)),ISNUMBER(SEARCH("iShares",A17)),ISNUMBER(SEARCH("WISDOMTREE",A17))),"ETF/ETC",IF(OR(ISNUMBER(SEARCH("Bitwise",A17)),ISNUMBER(SEARCH("BITWISE",A17))),"Crypto ETP","Stock"))))</f>
        <v>Bond</v>
      </c>
      <c r="C17" s="6" t="str">
        <f>IF(A17="","",IFERROR(INDEX('Trade Log'!G$4:G$1002,MATCH(A17,'Trade Log'!C$4:C$1002,0)),"EUR"))</f>
        <v>EUR</v>
      </c>
      <c r="D17" s="9">
        <f>IF(A17="","",SUMIFS('Trade Log'!H:H,'Trade Log'!C:C,A17,'Trade Log'!D:D,"Buy")+SUMIFS('Trade Log'!H:H,'Trade Log'!C:C,A17,'Trade Log'!D:D,"Sell")-IF(ISNUMBER(SEARCH("Bond",B17)),SUMIFS('Trade Log'!I:I,'Trade Log'!C:C,A17,'Trade Log'!D:D,"Redemption"),0))</f>
        <v>0</v>
      </c>
      <c r="E17" s="8">
        <f>IF(OR(A17="",D17=0),0,ABS(SUMIFS('Trade Log'!K:K,'Trade Log'!C:C,A17,'Trade Log'!D:D,"Buy"))/SUMIFS('Trade Log'!H:H,'Trade Log'!C:C,A17,'Trade Log'!D:D,"Buy"))</f>
        <v>0</v>
      </c>
      <c r="F17" s="10">
        <f t="shared" si="1"/>
        <v>0</v>
      </c>
      <c r="G17" s="15"/>
      <c r="H17" s="10">
        <f t="shared" si="2"/>
        <v>0</v>
      </c>
      <c r="I17" s="10">
        <f t="shared" si="3"/>
        <v>0</v>
      </c>
      <c r="J17" s="14">
        <f t="shared" si="4"/>
        <v>0</v>
      </c>
      <c r="K17" s="14" cm="1">
        <f t="array" ref="K17">IF(OR(A17="",H17=0),0,H17/SUMPRODUCT(ISNUMBER(D$6:D$102)*(D$6:D$102&lt;&gt;0)*(H$6:H$102)))</f>
        <v>0</v>
      </c>
    </row>
    <row r="18" spans="1:11" x14ac:dyDescent="0.3">
      <c r="A18" s="6" t="str">
        <v>BOT ZC OCT25 A EUR</v>
      </c>
      <c r="B18" s="6" t="str">
        <f t="shared" si="0"/>
        <v>Bond</v>
      </c>
      <c r="C18" s="6" t="str">
        <f>IF(A18="","",IFERROR(INDEX('Trade Log'!G$4:G$1002,MATCH(A18,'Trade Log'!C$4:C$1002,0)),"EUR"))</f>
        <v>EUR</v>
      </c>
      <c r="D18" s="9">
        <f>IF(A18="","",SUMIFS('Trade Log'!H:H,'Trade Log'!C:C,A18,'Trade Log'!D:D,"Buy")+SUMIFS('Trade Log'!H:H,'Trade Log'!C:C,A18,'Trade Log'!D:D,"Sell")-IF(ISNUMBER(SEARCH("Bond",B18)),SUMIFS('Trade Log'!I:I,'Trade Log'!C:C,A18,'Trade Log'!D:D,"Redemption"),0))</f>
        <v>0</v>
      </c>
      <c r="E18" s="8">
        <f>IF(OR(A18="",D18=0),0,ABS(SUMIFS('Trade Log'!K:K,'Trade Log'!C:C,A18,'Trade Log'!D:D,"Buy"))/SUMIFS('Trade Log'!H:H,'Trade Log'!C:C,A18,'Trade Log'!D:D,"Buy"))</f>
        <v>0</v>
      </c>
      <c r="F18" s="10">
        <f t="shared" si="1"/>
        <v>0</v>
      </c>
      <c r="G18" s="15"/>
      <c r="H18" s="10">
        <f t="shared" si="2"/>
        <v>0</v>
      </c>
      <c r="I18" s="10">
        <f t="shared" si="3"/>
        <v>0</v>
      </c>
      <c r="J18" s="14">
        <f t="shared" si="4"/>
        <v>0</v>
      </c>
      <c r="K18" s="14" cm="1">
        <f t="array" ref="K18">IF(OR(A18="",H18=0),0,H18/SUMPRODUCT(ISNUMBER(D$6:D$102)*(D$6:D$102&lt;&gt;0)*(H$6:H$102)))</f>
        <v>0</v>
      </c>
    </row>
    <row r="19" spans="1:11" x14ac:dyDescent="0.3">
      <c r="A19" s="6" t="str">
        <v>BREMBO</v>
      </c>
      <c r="B19" s="6" t="str">
        <f t="shared" si="0"/>
        <v>Stock</v>
      </c>
      <c r="C19" s="6" t="str">
        <f>IF(A19="","",IFERROR(INDEX('Trade Log'!G$4:G$1002,MATCH(A19,'Trade Log'!C$4:C$1002,0)),"EUR"))</f>
        <v>EUR</v>
      </c>
      <c r="D19" s="9">
        <f>IF(A19="","",SUMIFS('Trade Log'!H:H,'Trade Log'!C:C,A19,'Trade Log'!D:D,"Buy")+SUMIFS('Trade Log'!H:H,'Trade Log'!C:C,A19,'Trade Log'!D:D,"Sell")-IF(ISNUMBER(SEARCH("Bond",B19)),SUMIFS('Trade Log'!I:I,'Trade Log'!C:C,A19,'Trade Log'!D:D,"Redemption"),0))</f>
        <v>1000</v>
      </c>
      <c r="E19" s="8">
        <f>IF(OR(A19="",D19=0),0,ABS(SUMIFS('Trade Log'!K:K,'Trade Log'!C:C,A19,'Trade Log'!D:D,"Buy"))/SUMIFS('Trade Log'!H:H,'Trade Log'!C:C,A19,'Trade Log'!D:D,"Buy"))</f>
        <v>9.3550000000000004</v>
      </c>
      <c r="F19" s="10">
        <f t="shared" si="1"/>
        <v>-9355</v>
      </c>
      <c r="G19" s="15">
        <v>8.1150000000000002</v>
      </c>
      <c r="H19" s="10">
        <f t="shared" si="2"/>
        <v>8115</v>
      </c>
      <c r="I19" s="10">
        <f t="shared" si="3"/>
        <v>-1240</v>
      </c>
      <c r="J19" s="14">
        <f t="shared" si="4"/>
        <v>-0.13254943880277925</v>
      </c>
      <c r="K19" s="14" cm="1">
        <f t="array" ref="K19">IF(OR(A19="",H19=0),0,H19/SUMPRODUCT(ISNUMBER(D$6:D$102)*(D$6:D$102&lt;&gt;0)*(H$6:H$102)))</f>
        <v>7.5819584623447395E-3</v>
      </c>
    </row>
    <row r="20" spans="1:11" x14ac:dyDescent="0.3">
      <c r="A20" s="6" t="str">
        <v>BRUNELLO CUCINELLI</v>
      </c>
      <c r="B20" s="6" t="str">
        <f t="shared" si="0"/>
        <v>Stock</v>
      </c>
      <c r="C20" s="6" t="str">
        <f>IF(A20="","",IFERROR(INDEX('Trade Log'!G$4:G$1002,MATCH(A20,'Trade Log'!C$4:C$1002,0)),"EUR"))</f>
        <v>EUR</v>
      </c>
      <c r="D20" s="9">
        <f>IF(A20="","",SUMIFS('Trade Log'!H:H,'Trade Log'!C:C,A20,'Trade Log'!D:D,"Buy")+SUMIFS('Trade Log'!H:H,'Trade Log'!C:C,A20,'Trade Log'!D:D,"Sell")-IF(ISNUMBER(SEARCH("Bond",B20)),SUMIFS('Trade Log'!I:I,'Trade Log'!C:C,A20,'Trade Log'!D:D,"Redemption"),0))</f>
        <v>200</v>
      </c>
      <c r="E20" s="8">
        <f>IF(OR(A20="",D20=0),0,ABS(SUMIFS('Trade Log'!K:K,'Trade Log'!C:C,A20,'Trade Log'!D:D,"Buy"))/SUMIFS('Trade Log'!H:H,'Trade Log'!C:C,A20,'Trade Log'!D:D,"Buy"))</f>
        <v>91.208600000000004</v>
      </c>
      <c r="F20" s="10">
        <f t="shared" si="1"/>
        <v>-18241.72</v>
      </c>
      <c r="G20" s="15">
        <v>74.58</v>
      </c>
      <c r="H20" s="10">
        <f t="shared" si="2"/>
        <v>14916</v>
      </c>
      <c r="I20" s="10">
        <f t="shared" si="3"/>
        <v>-3325.7200000000012</v>
      </c>
      <c r="J20" s="14">
        <f t="shared" si="4"/>
        <v>-0.18231394846538598</v>
      </c>
      <c r="K20" s="14" cm="1">
        <f t="array" ref="K20">IF(OR(A20="",H20=0),0,H20/SUMPRODUCT(ISNUMBER(D$6:D$102)*(D$6:D$102&lt;&gt;0)*(H$6:H$102)))</f>
        <v>1.3936228271636986E-2</v>
      </c>
    </row>
    <row r="21" spans="1:11" x14ac:dyDescent="0.3">
      <c r="A21" s="6" t="str">
        <v>BTP FX 3.1% AUG26 EUR</v>
      </c>
      <c r="B21" s="6" t="str">
        <f t="shared" si="0"/>
        <v>Bond</v>
      </c>
      <c r="C21" s="6" t="str">
        <f>IF(A21="","",IFERROR(INDEX('Trade Log'!G$4:G$1002,MATCH(A21,'Trade Log'!C$4:C$1002,0)),"EUR"))</f>
        <v>EUR</v>
      </c>
      <c r="D21" s="9">
        <f>IF(A21="","",SUMIFS('Trade Log'!H:H,'Trade Log'!C:C,A21,'Trade Log'!D:D,"Buy")+SUMIFS('Trade Log'!H:H,'Trade Log'!C:C,A21,'Trade Log'!D:D,"Sell")-IF(ISNUMBER(SEARCH("Bond",B21)),SUMIFS('Trade Log'!I:I,'Trade Log'!C:C,A21,'Trade Log'!D:D,"Redemption"),0))</f>
        <v>100000</v>
      </c>
      <c r="E21" s="8">
        <f>IF(OR(A21="",D21=0),0,ABS(SUMIFS('Trade Log'!K:K,'Trade Log'!C:C,A21,'Trade Log'!D:D,"Buy"))/SUMIFS('Trade Log'!H:H,'Trade Log'!C:C,A21,'Trade Log'!D:D,"Buy"))</f>
        <v>1.0059400000000001</v>
      </c>
      <c r="F21" s="10">
        <f t="shared" si="1"/>
        <v>-100594</v>
      </c>
      <c r="G21" s="15">
        <v>1.0030300000000001</v>
      </c>
      <c r="H21" s="10">
        <f t="shared" si="2"/>
        <v>100303.00000000001</v>
      </c>
      <c r="I21" s="10">
        <f t="shared" si="3"/>
        <v>-290.99999999998545</v>
      </c>
      <c r="J21" s="14">
        <f t="shared" si="4"/>
        <v>-2.8928166689860773E-3</v>
      </c>
      <c r="K21" s="14" cm="1">
        <f t="array" ref="K21">IF(OR(A21="",H21=0),0,H21/SUMPRODUCT(ISNUMBER(D$6:D$102)*(D$6:D$102&lt;&gt;0)*(H$6:H$102)))</f>
        <v>9.3714501497050462E-2</v>
      </c>
    </row>
    <row r="22" spans="1:11" x14ac:dyDescent="0.3">
      <c r="A22" s="6" t="str">
        <v>BTP FX 3.2% JAN26 EUR</v>
      </c>
      <c r="B22" s="6" t="str">
        <f t="shared" si="0"/>
        <v>Bond</v>
      </c>
      <c r="C22" s="6" t="str">
        <f>IF(A22="","",IFERROR(INDEX('Trade Log'!G$4:G$1002,MATCH(A22,'Trade Log'!C$4:C$1002,0)),"EUR"))</f>
        <v>EUR</v>
      </c>
      <c r="D22" s="9">
        <f>IF(A22="","",SUMIFS('Trade Log'!H:H,'Trade Log'!C:C,A22,'Trade Log'!D:D,"Buy")+SUMIFS('Trade Log'!H:H,'Trade Log'!C:C,A22,'Trade Log'!D:D,"Sell")-IF(ISNUMBER(SEARCH("Bond",B22)),SUMIFS('Trade Log'!I:I,'Trade Log'!C:C,A22,'Trade Log'!D:D,"Redemption"),0))</f>
        <v>0</v>
      </c>
      <c r="E22" s="8">
        <f>IF(OR(A22="",D22=0),0,ABS(SUMIFS('Trade Log'!K:K,'Trade Log'!C:C,A22,'Trade Log'!D:D,"Buy"))/SUMIFS('Trade Log'!H:H,'Trade Log'!C:C,A22,'Trade Log'!D:D,"Buy"))</f>
        <v>0</v>
      </c>
      <c r="F22" s="10">
        <f t="shared" si="1"/>
        <v>0</v>
      </c>
      <c r="G22" s="15"/>
      <c r="H22" s="10">
        <f t="shared" si="2"/>
        <v>0</v>
      </c>
      <c r="I22" s="10">
        <f t="shared" si="3"/>
        <v>0</v>
      </c>
      <c r="J22" s="14">
        <f t="shared" si="4"/>
        <v>0</v>
      </c>
      <c r="K22" s="14" cm="1">
        <f t="array" ref="K22">IF(OR(A22="",H22=0),0,H22/SUMPRODUCT(ISNUMBER(D$6:D$102)*(D$6:D$102&lt;&gt;0)*(H$6:H$102)))</f>
        <v>0</v>
      </c>
    </row>
    <row r="23" spans="1:11" x14ac:dyDescent="0.3">
      <c r="A23" s="6" t="str">
        <v>CARRARO FINANCE FX 5.25% APR30</v>
      </c>
      <c r="B23" s="6" t="str">
        <f t="shared" si="0"/>
        <v>Bond</v>
      </c>
      <c r="C23" s="6" t="str">
        <f>IF(A23="","",IFERROR(INDEX('Trade Log'!G$4:G$1002,MATCH(A23,'Trade Log'!C$4:C$1002,0)),"EUR"))</f>
        <v>EUR</v>
      </c>
      <c r="D23" s="9">
        <f>IF(A23="","",SUMIFS('Trade Log'!H:H,'Trade Log'!C:C,A23,'Trade Log'!D:D,"Buy")+SUMIFS('Trade Log'!H:H,'Trade Log'!C:C,A23,'Trade Log'!D:D,"Sell")-IF(ISNUMBER(SEARCH("Bond",B23)),SUMIFS('Trade Log'!I:I,'Trade Log'!C:C,A23,'Trade Log'!D:D,"Redemption"),0))</f>
        <v>20000</v>
      </c>
      <c r="E23" s="8">
        <f>IF(OR(A23="",D23=0),0,ABS(SUMIFS('Trade Log'!K:K,'Trade Log'!C:C,A23,'Trade Log'!D:D,"Buy"))/SUMIFS('Trade Log'!H:H,'Trade Log'!C:C,A23,'Trade Log'!D:D,"Buy"))</f>
        <v>1.0176499999999999</v>
      </c>
      <c r="F23" s="10">
        <f t="shared" si="1"/>
        <v>-20353</v>
      </c>
      <c r="G23" s="15">
        <v>1.0137</v>
      </c>
      <c r="H23" s="10">
        <f t="shared" si="2"/>
        <v>20274</v>
      </c>
      <c r="I23" s="10">
        <f t="shared" si="3"/>
        <v>-79</v>
      </c>
      <c r="J23" s="14">
        <f t="shared" si="4"/>
        <v>-3.8814916719893872E-3</v>
      </c>
      <c r="K23" s="14" cm="1">
        <f t="array" ref="K23">IF(OR(A23="",H23=0),0,H23/SUMPRODUCT(ISNUMBER(D$6:D$102)*(D$6:D$102&lt;&gt;0)*(H$6:H$102)))</f>
        <v>1.8942282916275692E-2</v>
      </c>
    </row>
    <row r="24" spans="1:11" x14ac:dyDescent="0.3">
      <c r="A24" s="6" t="str">
        <v>CY4GATE</v>
      </c>
      <c r="B24" s="6" t="str">
        <f t="shared" si="0"/>
        <v>Stock</v>
      </c>
      <c r="C24" s="6" t="str">
        <f>IF(A24="","",IFERROR(INDEX('Trade Log'!G$4:G$1002,MATCH(A24,'Trade Log'!C$4:C$1002,0)),"EUR"))</f>
        <v>EUR</v>
      </c>
      <c r="D24" s="9">
        <f>IF(A24="","",SUMIFS('Trade Log'!H:H,'Trade Log'!C:C,A24,'Trade Log'!D:D,"Buy")+SUMIFS('Trade Log'!H:H,'Trade Log'!C:C,A24,'Trade Log'!D:D,"Sell")-IF(ISNUMBER(SEARCH("Bond",B24)),SUMIFS('Trade Log'!I:I,'Trade Log'!C:C,A24,'Trade Log'!D:D,"Redemption"),0))</f>
        <v>1500</v>
      </c>
      <c r="E24" s="8">
        <f>IF(OR(A24="",D24=0),0,ABS(SUMIFS('Trade Log'!K:K,'Trade Log'!C:C,A24,'Trade Log'!D:D,"Buy"))/SUMIFS('Trade Log'!H:H,'Trade Log'!C:C,A24,'Trade Log'!D:D,"Buy"))</f>
        <v>5.4733333333333336</v>
      </c>
      <c r="F24" s="10">
        <f t="shared" si="1"/>
        <v>-8210</v>
      </c>
      <c r="G24" s="15">
        <v>6.8</v>
      </c>
      <c r="H24" s="10">
        <f t="shared" si="2"/>
        <v>10200</v>
      </c>
      <c r="I24" s="10">
        <f t="shared" si="3"/>
        <v>1990</v>
      </c>
      <c r="J24" s="14">
        <f t="shared" si="4"/>
        <v>0.24238733252131547</v>
      </c>
      <c r="K24" s="14" cm="1">
        <f t="array" ref="K24">IF(OR(A24="",H24=0),0,H24/SUMPRODUCT(ISNUMBER(D$6:D$102)*(D$6:D$102&lt;&gt;0)*(H$6:H$102)))</f>
        <v>9.5300032428732393E-3</v>
      </c>
    </row>
    <row r="25" spans="1:11" x14ac:dyDescent="0.3">
      <c r="A25" s="6" t="str">
        <v>D AMICO</v>
      </c>
      <c r="B25" s="6" t="str">
        <f t="shared" si="0"/>
        <v>Stock</v>
      </c>
      <c r="C25" s="6" t="str">
        <f>IF(A25="","",IFERROR(INDEX('Trade Log'!G$4:G$1002,MATCH(A25,'Trade Log'!C$4:C$1002,0)),"EUR"))</f>
        <v>EUR</v>
      </c>
      <c r="D25" s="9">
        <f>IF(A25="","",SUMIFS('Trade Log'!H:H,'Trade Log'!C:C,A25,'Trade Log'!D:D,"Buy")+SUMIFS('Trade Log'!H:H,'Trade Log'!C:C,A25,'Trade Log'!D:D,"Sell")-IF(ISNUMBER(SEARCH("Bond",B25)),SUMIFS('Trade Log'!I:I,'Trade Log'!C:C,A25,'Trade Log'!D:D,"Redemption"),0))</f>
        <v>3000</v>
      </c>
      <c r="E25" s="8">
        <f>IF(OR(A25="",D25=0),0,ABS(SUMIFS('Trade Log'!K:K,'Trade Log'!C:C,A25,'Trade Log'!D:D,"Buy"))/SUMIFS('Trade Log'!H:H,'Trade Log'!C:C,A25,'Trade Log'!D:D,"Buy"))</f>
        <v>4.3249933333333335</v>
      </c>
      <c r="F25" s="10">
        <f t="shared" si="1"/>
        <v>-12974.98</v>
      </c>
      <c r="G25" s="15">
        <v>7.48</v>
      </c>
      <c r="H25" s="10">
        <f t="shared" si="2"/>
        <v>22440</v>
      </c>
      <c r="I25" s="10">
        <f t="shared" si="3"/>
        <v>9465.02</v>
      </c>
      <c r="J25" s="14">
        <f t="shared" si="4"/>
        <v>0.72948243465500529</v>
      </c>
      <c r="K25" s="14" cm="1">
        <f t="array" ref="K25">IF(OR(A25="",H25=0),0,H25/SUMPRODUCT(ISNUMBER(D$6:D$102)*(D$6:D$102&lt;&gt;0)*(H$6:H$102)))</f>
        <v>2.0966007134321129E-2</v>
      </c>
    </row>
    <row r="26" spans="1:11" x14ac:dyDescent="0.3">
      <c r="A26" s="6" t="str">
        <v>DE LONGHI</v>
      </c>
      <c r="B26" s="6" t="str">
        <f t="shared" si="0"/>
        <v>Stock</v>
      </c>
      <c r="C26" s="6" t="str">
        <f>IF(A26="","",IFERROR(INDEX('Trade Log'!G$4:G$1002,MATCH(A26,'Trade Log'!C$4:C$1002,0)),"EUR"))</f>
        <v>EUR</v>
      </c>
      <c r="D26" s="9">
        <f>IF(A26="","",SUMIFS('Trade Log'!H:H,'Trade Log'!C:C,A26,'Trade Log'!D:D,"Buy")+SUMIFS('Trade Log'!H:H,'Trade Log'!C:C,A26,'Trade Log'!D:D,"Sell")-IF(ISNUMBER(SEARCH("Bond",B26)),SUMIFS('Trade Log'!I:I,'Trade Log'!C:C,A26,'Trade Log'!D:D,"Redemption"),0))</f>
        <v>1000</v>
      </c>
      <c r="E26" s="8">
        <f>IF(OR(A26="",D26=0),0,ABS(SUMIFS('Trade Log'!K:K,'Trade Log'!C:C,A26,'Trade Log'!D:D,"Buy"))/SUMIFS('Trade Log'!H:H,'Trade Log'!C:C,A26,'Trade Log'!D:D,"Buy"))</f>
        <v>36.064999999999998</v>
      </c>
      <c r="F26" s="10">
        <f t="shared" si="1"/>
        <v>-36065</v>
      </c>
      <c r="G26" s="15">
        <v>29.98</v>
      </c>
      <c r="H26" s="10">
        <f t="shared" si="2"/>
        <v>29980</v>
      </c>
      <c r="I26" s="10">
        <f t="shared" si="3"/>
        <v>-6085</v>
      </c>
      <c r="J26" s="14">
        <f t="shared" si="4"/>
        <v>-0.16872313877720782</v>
      </c>
      <c r="K26" s="14" cm="1">
        <f t="array" ref="K26">IF(OR(A26="",H26=0),0,H26/SUMPRODUCT(ISNUMBER(D$6:D$102)*(D$6:D$102&lt;&gt;0)*(H$6:H$102)))</f>
        <v>2.8010735021699974E-2</v>
      </c>
    </row>
    <row r="27" spans="1:11" x14ac:dyDescent="0.3">
      <c r="A27" s="6" t="str">
        <v>ENEL</v>
      </c>
      <c r="B27" s="6" t="str">
        <f t="shared" si="0"/>
        <v>Stock</v>
      </c>
      <c r="C27" s="6" t="str">
        <f>IF(A27="","",IFERROR(INDEX('Trade Log'!G$4:G$1002,MATCH(A27,'Trade Log'!C$4:C$1002,0)),"EUR"))</f>
        <v>EUR</v>
      </c>
      <c r="D27" s="9">
        <f>IF(A27="","",SUMIFS('Trade Log'!H:H,'Trade Log'!C:C,A27,'Trade Log'!D:D,"Buy")+SUMIFS('Trade Log'!H:H,'Trade Log'!C:C,A27,'Trade Log'!D:D,"Sell")-IF(ISNUMBER(SEARCH("Bond",B27)),SUMIFS('Trade Log'!I:I,'Trade Log'!C:C,A27,'Trade Log'!D:D,"Redemption"),0))</f>
        <v>1000</v>
      </c>
      <c r="E27" s="8">
        <f>IF(OR(A27="",D27=0),0,ABS(SUMIFS('Trade Log'!K:K,'Trade Log'!C:C,A27,'Trade Log'!D:D,"Buy"))/SUMIFS('Trade Log'!H:H,'Trade Log'!C:C,A27,'Trade Log'!D:D,"Buy"))</f>
        <v>8.8480000000000008</v>
      </c>
      <c r="F27" s="10">
        <f t="shared" si="1"/>
        <v>-8848</v>
      </c>
      <c r="G27" s="15">
        <v>9.375</v>
      </c>
      <c r="H27" s="10">
        <f t="shared" si="2"/>
        <v>9375</v>
      </c>
      <c r="I27" s="10">
        <f t="shared" si="3"/>
        <v>527</v>
      </c>
      <c r="J27" s="14">
        <f t="shared" si="4"/>
        <v>5.9561482820976494E-2</v>
      </c>
      <c r="K27" s="14" cm="1">
        <f t="array" ref="K27">IF(OR(A27="",H27=0),0,H27/SUMPRODUCT(ISNUMBER(D$6:D$102)*(D$6:D$102&lt;&gt;0)*(H$6:H$102)))</f>
        <v>8.7591941570526102E-3</v>
      </c>
    </row>
    <row r="28" spans="1:11" x14ac:dyDescent="0.3">
      <c r="A28" s="6" t="str">
        <v>ENI S.P.A.</v>
      </c>
      <c r="B28" s="6" t="str">
        <f t="shared" si="0"/>
        <v>Stock</v>
      </c>
      <c r="C28" s="6" t="str">
        <f>IF(A28="","",IFERROR(INDEX('Trade Log'!G$4:G$1002,MATCH(A28,'Trade Log'!C$4:C$1002,0)),"EUR"))</f>
        <v>EUR</v>
      </c>
      <c r="D28" s="9">
        <f>IF(A28="","",SUMIFS('Trade Log'!H:H,'Trade Log'!C:C,A28,'Trade Log'!D:D,"Buy")+SUMIFS('Trade Log'!H:H,'Trade Log'!C:C,A28,'Trade Log'!D:D,"Sell")-IF(ISNUMBER(SEARCH("Bond",B28)),SUMIFS('Trade Log'!I:I,'Trade Log'!C:C,A28,'Trade Log'!D:D,"Redemption"),0))</f>
        <v>300</v>
      </c>
      <c r="E28" s="8">
        <f>IF(OR(A28="",D28=0),0,ABS(SUMIFS('Trade Log'!K:K,'Trade Log'!C:C,A28,'Trade Log'!D:D,"Buy"))/SUMIFS('Trade Log'!H:H,'Trade Log'!C:C,A28,'Trade Log'!D:D,"Buy"))</f>
        <v>20.616666666666667</v>
      </c>
      <c r="F28" s="10">
        <f t="shared" si="1"/>
        <v>-6185</v>
      </c>
      <c r="G28" s="15">
        <v>24.85</v>
      </c>
      <c r="H28" s="10">
        <f t="shared" si="2"/>
        <v>7455</v>
      </c>
      <c r="I28" s="10">
        <f t="shared" si="3"/>
        <v>1270</v>
      </c>
      <c r="J28" s="14">
        <f t="shared" si="4"/>
        <v>0.2053354890864996</v>
      </c>
      <c r="K28" s="14" cm="1">
        <f t="array" ref="K28">IF(OR(A28="",H28=0),0,H28/SUMPRODUCT(ISNUMBER(D$6:D$102)*(D$6:D$102&lt;&gt;0)*(H$6:H$102)))</f>
        <v>6.9653111936882357E-3</v>
      </c>
    </row>
    <row r="29" spans="1:11" x14ac:dyDescent="0.3">
      <c r="A29" s="6" t="str">
        <v>EXOR NV</v>
      </c>
      <c r="B29" s="6" t="str">
        <f t="shared" si="0"/>
        <v>Stock</v>
      </c>
      <c r="C29" s="6" t="str">
        <f>IF(A29="","",IFERROR(INDEX('Trade Log'!G$4:G$1002,MATCH(A29,'Trade Log'!C$4:C$1002,0)),"EUR"))</f>
        <v>EUR</v>
      </c>
      <c r="D29" s="9">
        <f>IF(A29="","",SUMIFS('Trade Log'!H:H,'Trade Log'!C:C,A29,'Trade Log'!D:D,"Buy")+SUMIFS('Trade Log'!H:H,'Trade Log'!C:C,A29,'Trade Log'!D:D,"Sell")-IF(ISNUMBER(SEARCH("Bond",B29)),SUMIFS('Trade Log'!I:I,'Trade Log'!C:C,A29,'Trade Log'!D:D,"Redemption"),0))</f>
        <v>520</v>
      </c>
      <c r="E29" s="8">
        <f>IF(OR(A29="",D29=0),0,ABS(SUMIFS('Trade Log'!K:K,'Trade Log'!C:C,A29,'Trade Log'!D:D,"Buy"))/SUMIFS('Trade Log'!H:H,'Trade Log'!C:C,A29,'Trade Log'!D:D,"Buy"))</f>
        <v>81.633557692307704</v>
      </c>
      <c r="F29" s="10">
        <f t="shared" si="1"/>
        <v>-42449.450000000004</v>
      </c>
      <c r="G29" s="15">
        <v>65.55</v>
      </c>
      <c r="H29" s="10">
        <f t="shared" si="2"/>
        <v>34086</v>
      </c>
      <c r="I29" s="10">
        <f t="shared" si="3"/>
        <v>-8363.4500000000044</v>
      </c>
      <c r="J29" s="14">
        <f t="shared" si="4"/>
        <v>-0.19702139839267654</v>
      </c>
      <c r="K29" s="14" cm="1">
        <f t="array" ref="K29">IF(OR(A29="",H29=0),0,H29/SUMPRODUCT(ISNUMBER(D$6:D$102)*(D$6:D$102&lt;&gt;0)*(H$6:H$102)))</f>
        <v>3.1847028483978163E-2</v>
      </c>
    </row>
    <row r="30" spans="1:11" x14ac:dyDescent="0.3">
      <c r="A30" s="6" t="str">
        <v>FERRARI</v>
      </c>
      <c r="B30" s="6" t="str">
        <f t="shared" si="0"/>
        <v>Stock</v>
      </c>
      <c r="C30" s="6" t="str">
        <f>IF(A30="","",IFERROR(INDEX('Trade Log'!G$4:G$1002,MATCH(A30,'Trade Log'!C$4:C$1002,0)),"EUR"))</f>
        <v>EUR</v>
      </c>
      <c r="D30" s="9">
        <f>IF(A30="","",SUMIFS('Trade Log'!H:H,'Trade Log'!C:C,A30,'Trade Log'!D:D,"Buy")+SUMIFS('Trade Log'!H:H,'Trade Log'!C:C,A30,'Trade Log'!D:D,"Sell")-IF(ISNUMBER(SEARCH("Bond",B30)),SUMIFS('Trade Log'!I:I,'Trade Log'!C:C,A30,'Trade Log'!D:D,"Redemption"),0))</f>
        <v>300</v>
      </c>
      <c r="E30" s="8">
        <f>IF(OR(A30="",D30=0),0,ABS(SUMIFS('Trade Log'!K:K,'Trade Log'!C:C,A30,'Trade Log'!D:D,"Buy"))/SUMIFS('Trade Log'!H:H,'Trade Log'!C:C,A30,'Trade Log'!D:D,"Buy"))</f>
        <v>389.29099999999994</v>
      </c>
      <c r="F30" s="10">
        <f t="shared" si="1"/>
        <v>-116787.29999999999</v>
      </c>
      <c r="G30" s="15">
        <v>289</v>
      </c>
      <c r="H30" s="10">
        <f t="shared" si="2"/>
        <v>86700</v>
      </c>
      <c r="I30" s="10">
        <f t="shared" si="3"/>
        <v>-30087.299999999988</v>
      </c>
      <c r="J30" s="14">
        <f t="shared" si="4"/>
        <v>-0.25762475885648517</v>
      </c>
      <c r="K30" s="14" cm="1">
        <f t="array" ref="K30">IF(OR(A30="",H30=0),0,H30/SUMPRODUCT(ISNUMBER(D$6:D$102)*(D$6:D$102&lt;&gt;0)*(H$6:H$102)))</f>
        <v>8.1005027564422544E-2</v>
      </c>
    </row>
    <row r="31" spans="1:11" x14ac:dyDescent="0.3">
      <c r="A31" s="6" t="str">
        <v>IGD</v>
      </c>
      <c r="B31" s="6" t="str">
        <f t="shared" si="0"/>
        <v>Stock</v>
      </c>
      <c r="C31" s="6" t="str">
        <f>IF(A31="","",IFERROR(INDEX('Trade Log'!G$4:G$1002,MATCH(A31,'Trade Log'!C$4:C$1002,0)),"EUR"))</f>
        <v>EUR</v>
      </c>
      <c r="D31" s="9">
        <f>IF(A31="","",SUMIFS('Trade Log'!H:H,'Trade Log'!C:C,A31,'Trade Log'!D:D,"Buy")+SUMIFS('Trade Log'!H:H,'Trade Log'!C:C,A31,'Trade Log'!D:D,"Sell")-IF(ISNUMBER(SEARCH("Bond",B31)),SUMIFS('Trade Log'!I:I,'Trade Log'!C:C,A31,'Trade Log'!D:D,"Redemption"),0))</f>
        <v>3000</v>
      </c>
      <c r="E31" s="8">
        <f>IF(OR(A31="",D31=0),0,ABS(SUMIFS('Trade Log'!K:K,'Trade Log'!C:C,A31,'Trade Log'!D:D,"Buy"))/SUMIFS('Trade Log'!H:H,'Trade Log'!C:C,A31,'Trade Log'!D:D,"Buy"))</f>
        <v>3.3397299999999994</v>
      </c>
      <c r="F31" s="10">
        <f t="shared" si="1"/>
        <v>-10019.189999999999</v>
      </c>
      <c r="G31" s="15">
        <v>3.9550000000000001</v>
      </c>
      <c r="H31" s="10">
        <f t="shared" si="2"/>
        <v>11865</v>
      </c>
      <c r="I31" s="10">
        <f t="shared" si="3"/>
        <v>1845.8100000000013</v>
      </c>
      <c r="J31" s="14">
        <f t="shared" si="4"/>
        <v>0.18422746748988705</v>
      </c>
      <c r="K31" s="14" cm="1">
        <f t="array" ref="K31">IF(OR(A31="",H31=0),0,H31/SUMPRODUCT(ISNUMBER(D$6:D$102)*(D$6:D$102&lt;&gt;0)*(H$6:H$102)))</f>
        <v>1.1085636125165783E-2</v>
      </c>
    </row>
    <row r="32" spans="1:11" x14ac:dyDescent="0.3">
      <c r="A32" s="6" t="str">
        <v>INTERPUMP GROUP</v>
      </c>
      <c r="B32" s="6" t="str">
        <f t="shared" si="0"/>
        <v>Stock</v>
      </c>
      <c r="C32" s="6" t="str">
        <f>IF(A32="","",IFERROR(INDEX('Trade Log'!G$4:G$1002,MATCH(A32,'Trade Log'!C$4:C$1002,0)),"EUR"))</f>
        <v>EUR</v>
      </c>
      <c r="D32" s="9">
        <f>IF(A32="","",SUMIFS('Trade Log'!H:H,'Trade Log'!C:C,A32,'Trade Log'!D:D,"Buy")+SUMIFS('Trade Log'!H:H,'Trade Log'!C:C,A32,'Trade Log'!D:D,"Sell")-IF(ISNUMBER(SEARCH("Bond",B32)),SUMIFS('Trade Log'!I:I,'Trade Log'!C:C,A32,'Trade Log'!D:D,"Redemption"),0))</f>
        <v>1300</v>
      </c>
      <c r="E32" s="8">
        <f>IF(OR(A32="",D32=0),0,ABS(SUMIFS('Trade Log'!K:K,'Trade Log'!C:C,A32,'Trade Log'!D:D,"Buy"))/SUMIFS('Trade Log'!H:H,'Trade Log'!C:C,A32,'Trade Log'!D:D,"Buy"))</f>
        <v>39.010769230769228</v>
      </c>
      <c r="F32" s="10">
        <f t="shared" si="1"/>
        <v>-50713.999999999993</v>
      </c>
      <c r="G32" s="15">
        <v>32.4</v>
      </c>
      <c r="H32" s="10">
        <f t="shared" si="2"/>
        <v>42120</v>
      </c>
      <c r="I32" s="10">
        <f t="shared" si="3"/>
        <v>-8593.9999999999927</v>
      </c>
      <c r="J32" s="14">
        <f t="shared" si="4"/>
        <v>-0.16946010963442035</v>
      </c>
      <c r="K32" s="14" cm="1">
        <f t="array" ref="K32">IF(OR(A32="",H32=0),0,H32/SUMPRODUCT(ISNUMBER(D$6:D$102)*(D$6:D$102&lt;&gt;0)*(H$6:H$102)))</f>
        <v>3.9353307508805967E-2</v>
      </c>
    </row>
    <row r="33" spans="1:11" x14ac:dyDescent="0.3">
      <c r="A33" s="6" t="str">
        <v>INTESA SANPAOLO</v>
      </c>
      <c r="B33" s="6" t="str">
        <f t="shared" si="0"/>
        <v>Stock</v>
      </c>
      <c r="C33" s="6" t="str">
        <f>IF(A33="","",IFERROR(INDEX('Trade Log'!G$4:G$1002,MATCH(A33,'Trade Log'!C$4:C$1002,0)),"EUR"))</f>
        <v>EUR</v>
      </c>
      <c r="D33" s="9">
        <f>IF(A33="","",SUMIFS('Trade Log'!H:H,'Trade Log'!C:C,A33,'Trade Log'!D:D,"Buy")+SUMIFS('Trade Log'!H:H,'Trade Log'!C:C,A33,'Trade Log'!D:D,"Sell")-IF(ISNUMBER(SEARCH("Bond",B33)),SUMIFS('Trade Log'!I:I,'Trade Log'!C:C,A33,'Trade Log'!D:D,"Redemption"),0))</f>
        <v>10000</v>
      </c>
      <c r="E33" s="8">
        <f>IF(OR(A33="",D33=0),0,ABS(SUMIFS('Trade Log'!K:K,'Trade Log'!C:C,A33,'Trade Log'!D:D,"Buy"))/SUMIFS('Trade Log'!H:H,'Trade Log'!C:C,A33,'Trade Log'!D:D,"Buy"))</f>
        <v>5.6094990000000005</v>
      </c>
      <c r="F33" s="10">
        <f t="shared" si="1"/>
        <v>-56094.990000000005</v>
      </c>
      <c r="G33" s="15">
        <v>5.1609999999999996</v>
      </c>
      <c r="H33" s="10">
        <f t="shared" si="2"/>
        <v>51609.999999999993</v>
      </c>
      <c r="I33" s="10">
        <f t="shared" si="3"/>
        <v>-4484.9900000000125</v>
      </c>
      <c r="J33" s="14">
        <f t="shared" si="4"/>
        <v>-7.995348604215835E-2</v>
      </c>
      <c r="K33" s="14" cm="1">
        <f t="array" ref="K33">IF(OR(A33="",H33=0),0,H33/SUMPRODUCT(ISNUMBER(D$6:D$102)*(D$6:D$102&lt;&gt;0)*(H$6:H$102)))</f>
        <v>4.821994778085175E-2</v>
      </c>
    </row>
    <row r="34" spans="1:11" x14ac:dyDescent="0.3">
      <c r="A34" s="6" t="str">
        <v>iShares   High Yield Corp Bond</v>
      </c>
      <c r="B34" s="6" t="str">
        <f t="shared" si="0"/>
        <v>ETF/ETC</v>
      </c>
      <c r="C34" s="6" t="str">
        <f>IF(A34="","",IFERROR(INDEX('Trade Log'!G$4:G$1002,MATCH(A34,'Trade Log'!C$4:C$1002,0)),"EUR"))</f>
        <v>EUR</v>
      </c>
      <c r="D34" s="9">
        <f>IF(A34="","",SUMIFS('Trade Log'!H:H,'Trade Log'!C:C,A34,'Trade Log'!D:D,"Buy")+SUMIFS('Trade Log'!H:H,'Trade Log'!C:C,A34,'Trade Log'!D:D,"Sell")-IF(ISNUMBER(SEARCH("Bond",B34)),SUMIFS('Trade Log'!I:I,'Trade Log'!C:C,A34,'Trade Log'!D:D,"Redemption"),0))</f>
        <v>1000</v>
      </c>
      <c r="E34" s="8">
        <f>IF(OR(A34="",D34=0),0,ABS(SUMIFS('Trade Log'!K:K,'Trade Log'!C:C,A34,'Trade Log'!D:D,"Buy"))/SUMIFS('Trade Log'!H:H,'Trade Log'!C:C,A34,'Trade Log'!D:D,"Buy"))</f>
        <v>5.8209999999999997</v>
      </c>
      <c r="F34" s="10">
        <f t="shared" si="1"/>
        <v>-5821</v>
      </c>
      <c r="G34" s="15">
        <v>5.7149999999999999</v>
      </c>
      <c r="H34" s="10">
        <f t="shared" si="2"/>
        <v>5715</v>
      </c>
      <c r="I34" s="10">
        <f t="shared" si="3"/>
        <v>-106</v>
      </c>
      <c r="J34" s="14">
        <f t="shared" si="4"/>
        <v>-1.8209929565366774E-2</v>
      </c>
      <c r="K34" s="14" cm="1">
        <f t="array" ref="K34">IF(OR(A34="",H34=0),0,H34/SUMPRODUCT(ISNUMBER(D$6:D$102)*(D$6:D$102&lt;&gt;0)*(H$6:H$102)))</f>
        <v>5.3396047581392714E-3</v>
      </c>
    </row>
    <row r="35" spans="1:11" x14ac:dyDescent="0.3">
      <c r="A35" s="6" t="str">
        <v>ISHARES FTSE MIB UCITS ETF EUR</v>
      </c>
      <c r="B35" s="6" t="str">
        <f t="shared" si="0"/>
        <v>ETF/ETC</v>
      </c>
      <c r="C35" s="6" t="str">
        <f>IF(A35="","",IFERROR(INDEX('Trade Log'!G$4:G$1002,MATCH(A35,'Trade Log'!C$4:C$1002,0)),"EUR"))</f>
        <v>EUR</v>
      </c>
      <c r="D35" s="9">
        <f>IF(A35="","",SUMIFS('Trade Log'!H:H,'Trade Log'!C:C,A35,'Trade Log'!D:D,"Buy")+SUMIFS('Trade Log'!H:H,'Trade Log'!C:C,A35,'Trade Log'!D:D,"Sell")-IF(ISNUMBER(SEARCH("Bond",B35)),SUMIFS('Trade Log'!I:I,'Trade Log'!C:C,A35,'Trade Log'!D:D,"Redemption"),0))</f>
        <v>378</v>
      </c>
      <c r="E35" s="8">
        <f>IF(OR(A35="",D35=0),0,ABS(SUMIFS('Trade Log'!K:K,'Trade Log'!C:C,A35,'Trade Log'!D:D,"Buy"))/SUMIFS('Trade Log'!H:H,'Trade Log'!C:C,A35,'Trade Log'!D:D,"Buy"))</f>
        <v>209.53523809523807</v>
      </c>
      <c r="F35" s="10">
        <f t="shared" si="1"/>
        <v>-79204.319999999992</v>
      </c>
      <c r="G35" s="15">
        <v>215.05</v>
      </c>
      <c r="H35" s="10">
        <f t="shared" si="2"/>
        <v>81288.900000000009</v>
      </c>
      <c r="I35" s="10">
        <f t="shared" si="3"/>
        <v>2084.5800000000163</v>
      </c>
      <c r="J35" s="14">
        <f t="shared" si="4"/>
        <v>2.6319018962602247E-2</v>
      </c>
      <c r="K35" s="14" cm="1">
        <f t="array" ref="K35">IF(OR(A35="",H35=0),0,H35/SUMPRODUCT(ISNUMBER(D$6:D$102)*(D$6:D$102&lt;&gt;0)*(H$6:H$102)))</f>
        <v>7.5949360844078301E-2</v>
      </c>
    </row>
    <row r="36" spans="1:11" x14ac:dyDescent="0.3">
      <c r="A36" s="6" t="str">
        <v>iShares Glob Aerospc &amp; Defence</v>
      </c>
      <c r="B36" s="6" t="str">
        <f t="shared" si="0"/>
        <v>ETF/ETC</v>
      </c>
      <c r="C36" s="6" t="str">
        <f>IF(A36="","",IFERROR(INDEX('Trade Log'!G$4:G$1002,MATCH(A36,'Trade Log'!C$4:C$1002,0)),"EUR"))</f>
        <v>EUR</v>
      </c>
      <c r="D36" s="9">
        <f>IF(A36="","",SUMIFS('Trade Log'!H:H,'Trade Log'!C:C,A36,'Trade Log'!D:D,"Buy")+SUMIFS('Trade Log'!H:H,'Trade Log'!C:C,A36,'Trade Log'!D:D,"Sell")-IF(ISNUMBER(SEARCH("Bond",B36)),SUMIFS('Trade Log'!I:I,'Trade Log'!C:C,A36,'Trade Log'!D:D,"Redemption"),0))</f>
        <v>500</v>
      </c>
      <c r="E36" s="8">
        <f>IF(OR(A36="",D36=0),0,ABS(SUMIFS('Trade Log'!K:K,'Trade Log'!C:C,A36,'Trade Log'!D:D,"Buy"))/SUMIFS('Trade Log'!H:H,'Trade Log'!C:C,A36,'Trade Log'!D:D,"Buy"))</f>
        <v>9.0370000000000008</v>
      </c>
      <c r="F36" s="10">
        <f t="shared" si="1"/>
        <v>-4518.5</v>
      </c>
      <c r="G36" s="15">
        <v>7.9859999999999998</v>
      </c>
      <c r="H36" s="10">
        <f t="shared" si="2"/>
        <v>3993</v>
      </c>
      <c r="I36" s="10">
        <f t="shared" si="3"/>
        <v>-525.5</v>
      </c>
      <c r="J36" s="14">
        <f t="shared" si="4"/>
        <v>-0.11629965696580724</v>
      </c>
      <c r="K36" s="14" cm="1">
        <f t="array" ref="K36">IF(OR(A36="",H36=0),0,H36/SUMPRODUCT(ISNUMBER(D$6:D$102)*(D$6:D$102&lt;&gt;0)*(H$6:H$102)))</f>
        <v>3.7307159753718479E-3</v>
      </c>
    </row>
    <row r="37" spans="1:11" x14ac:dyDescent="0.3">
      <c r="A37" s="6" t="str">
        <v>ISHARES HIGH YLD CORP UCITS ET</v>
      </c>
      <c r="B37" s="6" t="str">
        <f t="shared" si="0"/>
        <v>ETF/ETC</v>
      </c>
      <c r="C37" s="6" t="str">
        <f>IF(A37="","",IFERROR(INDEX('Trade Log'!G$4:G$1002,MATCH(A37,'Trade Log'!C$4:C$1002,0)),"EUR"))</f>
        <v>EUR</v>
      </c>
      <c r="D37" s="9">
        <f>IF(A37="","",SUMIFS('Trade Log'!H:H,'Trade Log'!C:C,A37,'Trade Log'!D:D,"Buy")+SUMIFS('Trade Log'!H:H,'Trade Log'!C:C,A37,'Trade Log'!D:D,"Sell")-IF(ISNUMBER(SEARCH("Bond",B37)),SUMIFS('Trade Log'!I:I,'Trade Log'!C:C,A37,'Trade Log'!D:D,"Redemption"),0))</f>
        <v>350</v>
      </c>
      <c r="E37" s="8">
        <f>IF(OR(A37="",D37=0),0,ABS(SUMIFS('Trade Log'!K:K,'Trade Log'!C:C,A37,'Trade Log'!D:D,"Buy"))/SUMIFS('Trade Log'!H:H,'Trade Log'!C:C,A37,'Trade Log'!D:D,"Buy"))</f>
        <v>93.73571428571428</v>
      </c>
      <c r="F37" s="10">
        <f t="shared" si="1"/>
        <v>-32807.5</v>
      </c>
      <c r="G37" s="15">
        <v>89.08</v>
      </c>
      <c r="H37" s="10">
        <f t="shared" si="2"/>
        <v>31178</v>
      </c>
      <c r="I37" s="10">
        <f t="shared" si="3"/>
        <v>-1629.5</v>
      </c>
      <c r="J37" s="14">
        <f t="shared" si="4"/>
        <v>-4.966852091747314E-2</v>
      </c>
      <c r="K37" s="14" cm="1">
        <f t="array" ref="K37">IF(OR(A37="",H37=0),0,H37/SUMPRODUCT(ISNUMBER(D$6:D$102)*(D$6:D$102&lt;&gt;0)*(H$6:H$102)))</f>
        <v>2.9130043245715869E-2</v>
      </c>
    </row>
    <row r="38" spans="1:11" x14ac:dyDescent="0.3">
      <c r="A38" s="6" t="str">
        <v>ITALGAS</v>
      </c>
      <c r="B38" s="6" t="str">
        <f t="shared" si="0"/>
        <v>Stock</v>
      </c>
      <c r="C38" s="6" t="str">
        <f>IF(A38="","",IFERROR(INDEX('Trade Log'!G$4:G$1002,MATCH(A38,'Trade Log'!C$4:C$1002,0)),"EUR"))</f>
        <v>EUR</v>
      </c>
      <c r="D38" s="9">
        <f>IF(A38="","",SUMIFS('Trade Log'!H:H,'Trade Log'!C:C,A38,'Trade Log'!D:D,"Buy")+SUMIFS('Trade Log'!H:H,'Trade Log'!C:C,A38,'Trade Log'!D:D,"Sell")-IF(ISNUMBER(SEARCH("Bond",B38)),SUMIFS('Trade Log'!I:I,'Trade Log'!C:C,A38,'Trade Log'!D:D,"Redemption"),0))</f>
        <v>1000</v>
      </c>
      <c r="E38" s="8">
        <f>IF(OR(A38="",D38=0),0,ABS(SUMIFS('Trade Log'!K:K,'Trade Log'!C:C,A38,'Trade Log'!D:D,"Buy"))/SUMIFS('Trade Log'!H:H,'Trade Log'!C:C,A38,'Trade Log'!D:D,"Buy"))</f>
        <v>7.22</v>
      </c>
      <c r="F38" s="10">
        <f t="shared" si="1"/>
        <v>-7220</v>
      </c>
      <c r="G38" s="15">
        <v>10.029999999999999</v>
      </c>
      <c r="H38" s="10">
        <f t="shared" si="2"/>
        <v>10030</v>
      </c>
      <c r="I38" s="10">
        <f t="shared" si="3"/>
        <v>2810</v>
      </c>
      <c r="J38" s="14">
        <f t="shared" si="4"/>
        <v>0.38919667590027701</v>
      </c>
      <c r="K38" s="14" cm="1">
        <f t="array" ref="K38">IF(OR(A38="",H38=0),0,H38/SUMPRODUCT(ISNUMBER(D$6:D$102)*(D$6:D$102&lt;&gt;0)*(H$6:H$102)))</f>
        <v>9.3711698554920196E-3</v>
      </c>
    </row>
    <row r="39" spans="1:11" x14ac:dyDescent="0.3">
      <c r="A39" s="6" t="str">
        <v>MEDIOBANCA</v>
      </c>
      <c r="B39" s="6" t="str">
        <f t="shared" si="0"/>
        <v>Stock</v>
      </c>
      <c r="C39" s="6" t="str">
        <f>IF(A39="","",IFERROR(INDEX('Trade Log'!G$4:G$1002,MATCH(A39,'Trade Log'!C$4:C$1002,0)),"EUR"))</f>
        <v>EUR</v>
      </c>
      <c r="D39" s="9">
        <f>IF(A39="","",SUMIFS('Trade Log'!H:H,'Trade Log'!C:C,A39,'Trade Log'!D:D,"Buy")+SUMIFS('Trade Log'!H:H,'Trade Log'!C:C,A39,'Trade Log'!D:D,"Sell")-IF(ISNUMBER(SEARCH("Bond",B39)),SUMIFS('Trade Log'!I:I,'Trade Log'!C:C,A39,'Trade Log'!D:D,"Redemption"),0))</f>
        <v>0</v>
      </c>
      <c r="E39" s="8">
        <f>IF(OR(A39="",D39=0),0,ABS(SUMIFS('Trade Log'!K:K,'Trade Log'!C:C,A39,'Trade Log'!D:D,"Buy"))/SUMIFS('Trade Log'!H:H,'Trade Log'!C:C,A39,'Trade Log'!D:D,"Buy"))</f>
        <v>0</v>
      </c>
      <c r="F39" s="10">
        <f t="shared" si="1"/>
        <v>0</v>
      </c>
      <c r="G39" s="15"/>
      <c r="H39" s="10">
        <f t="shared" si="2"/>
        <v>0</v>
      </c>
      <c r="I39" s="10">
        <f t="shared" si="3"/>
        <v>0</v>
      </c>
      <c r="J39" s="14">
        <f t="shared" si="4"/>
        <v>0</v>
      </c>
      <c r="K39" s="14" cm="1">
        <f t="array" ref="K39">IF(OR(A39="",H39=0),0,H39/SUMPRODUCT(ISNUMBER(D$6:D$102)*(D$6:D$102&lt;&gt;0)*(H$6:H$102)))</f>
        <v>0</v>
      </c>
    </row>
    <row r="40" spans="1:11" x14ac:dyDescent="0.3">
      <c r="A40" s="6" t="str">
        <v>MONCLER</v>
      </c>
      <c r="B40" s="6" t="str">
        <f t="shared" si="0"/>
        <v>Stock</v>
      </c>
      <c r="C40" s="6" t="str">
        <f>IF(A40="","",IFERROR(INDEX('Trade Log'!G$4:G$1002,MATCH(A40,'Trade Log'!C$4:C$1002,0)),"EUR"))</f>
        <v>EUR</v>
      </c>
      <c r="D40" s="9">
        <f>IF(A40="","",SUMIFS('Trade Log'!H:H,'Trade Log'!C:C,A40,'Trade Log'!D:D,"Buy")+SUMIFS('Trade Log'!H:H,'Trade Log'!C:C,A40,'Trade Log'!D:D,"Sell")-IF(ISNUMBER(SEARCH("Bond",B40)),SUMIFS('Trade Log'!I:I,'Trade Log'!C:C,A40,'Trade Log'!D:D,"Redemption"),0))</f>
        <v>3000</v>
      </c>
      <c r="E40" s="8">
        <f>IF(OR(A40="",D40=0),0,ABS(SUMIFS('Trade Log'!K:K,'Trade Log'!C:C,A40,'Trade Log'!D:D,"Buy"))/SUMIFS('Trade Log'!H:H,'Trade Log'!C:C,A40,'Trade Log'!D:D,"Buy"))</f>
        <v>49.218910000000001</v>
      </c>
      <c r="F40" s="10">
        <f t="shared" si="1"/>
        <v>-147656.73000000001</v>
      </c>
      <c r="G40" s="15">
        <v>51.4</v>
      </c>
      <c r="H40" s="10">
        <f t="shared" si="2"/>
        <v>154200</v>
      </c>
      <c r="I40" s="10">
        <f t="shared" si="3"/>
        <v>6543.2699999999895</v>
      </c>
      <c r="J40" s="14">
        <f t="shared" si="4"/>
        <v>4.4314065467926787E-2</v>
      </c>
      <c r="K40" s="14" cm="1">
        <f t="array" ref="K40">IF(OR(A40="",H40=0),0,H40/SUMPRODUCT(ISNUMBER(D$6:D$102)*(D$6:D$102&lt;&gt;0)*(H$6:H$102)))</f>
        <v>0.14407122549520132</v>
      </c>
    </row>
    <row r="41" spans="1:11" x14ac:dyDescent="0.3">
      <c r="A41" s="6" t="str">
        <v>NEXI</v>
      </c>
      <c r="B41" s="6" t="str">
        <f t="shared" si="0"/>
        <v>Stock</v>
      </c>
      <c r="C41" s="6" t="str">
        <f>IF(A41="","",IFERROR(INDEX('Trade Log'!G$4:G$1002,MATCH(A41,'Trade Log'!C$4:C$1002,0)),"EUR"))</f>
        <v>EUR</v>
      </c>
      <c r="D41" s="9">
        <f>IF(A41="","",SUMIFS('Trade Log'!H:H,'Trade Log'!C:C,A41,'Trade Log'!D:D,"Buy")+SUMIFS('Trade Log'!H:H,'Trade Log'!C:C,A41,'Trade Log'!D:D,"Sell")-IF(ISNUMBER(SEARCH("Bond",B41)),SUMIFS('Trade Log'!I:I,'Trade Log'!C:C,A41,'Trade Log'!D:D,"Redemption"),0))</f>
        <v>3500</v>
      </c>
      <c r="E41" s="8">
        <f>IF(OR(A41="",D41=0),0,ABS(SUMIFS('Trade Log'!K:K,'Trade Log'!C:C,A41,'Trade Log'!D:D,"Buy"))/SUMIFS('Trade Log'!H:H,'Trade Log'!C:C,A41,'Trade Log'!D:D,"Buy"))</f>
        <v>4.8218571428571426</v>
      </c>
      <c r="F41" s="10">
        <f t="shared" si="1"/>
        <v>-16876.5</v>
      </c>
      <c r="G41" s="15">
        <v>3.18</v>
      </c>
      <c r="H41" s="10">
        <f t="shared" si="2"/>
        <v>11130</v>
      </c>
      <c r="I41" s="10">
        <f t="shared" si="3"/>
        <v>-5746.5</v>
      </c>
      <c r="J41" s="14">
        <f t="shared" si="4"/>
        <v>-0.34050306639409827</v>
      </c>
      <c r="K41" s="14" cm="1">
        <f t="array" ref="K41">IF(OR(A41="",H41=0),0,H41/SUMPRODUCT(ISNUMBER(D$6:D$102)*(D$6:D$102&lt;&gt;0)*(H$6:H$102)))</f>
        <v>1.0398915303252858E-2</v>
      </c>
    </row>
    <row r="42" spans="1:11" x14ac:dyDescent="0.3">
      <c r="A42" s="6" t="str">
        <v>ORACLE CORP</v>
      </c>
      <c r="B42" s="6" t="str">
        <f t="shared" si="0"/>
        <v>Stock</v>
      </c>
      <c r="C42" s="6" t="str">
        <f>IF(A42="","",IFERROR(INDEX('Trade Log'!G$4:G$1002,MATCH(A42,'Trade Log'!C$4:C$1002,0)),"EUR"))</f>
        <v>USD</v>
      </c>
      <c r="D42" s="9">
        <f>IF(A42="","",SUMIFS('Trade Log'!H:H,'Trade Log'!C:C,A42,'Trade Log'!D:D,"Buy")+SUMIFS('Trade Log'!H:H,'Trade Log'!C:C,A42,'Trade Log'!D:D,"Sell")-IF(ISNUMBER(SEARCH("Bond",B42)),SUMIFS('Trade Log'!I:I,'Trade Log'!C:C,A42,'Trade Log'!D:D,"Redemption"),0))</f>
        <v>55</v>
      </c>
      <c r="E42" s="8">
        <f>IF(OR(A42="",D42=0),0,ABS(SUMIFS('Trade Log'!K:K,'Trade Log'!C:C,A42,'Trade Log'!D:D,"Buy"))/SUMIFS('Trade Log'!H:H,'Trade Log'!C:C,A42,'Trade Log'!D:D,"Buy"))</f>
        <v>257.96200000000005</v>
      </c>
      <c r="F42" s="10">
        <f t="shared" si="1"/>
        <v>-14187.910000000002</v>
      </c>
      <c r="G42" s="15">
        <v>127.2908</v>
      </c>
      <c r="H42" s="10">
        <f t="shared" si="2"/>
        <v>7000.9940000000006</v>
      </c>
      <c r="I42" s="10">
        <f t="shared" si="3"/>
        <v>-7186.9160000000011</v>
      </c>
      <c r="J42" s="14">
        <f t="shared" si="4"/>
        <v>-0.50655212783278158</v>
      </c>
      <c r="K42" s="14" cm="1">
        <f t="array" ref="K42">IF(OR(A42="",H42=0),0,H42/SUMPRODUCT(ISNUMBER(D$6:D$102)*(D$6:D$102&lt;&gt;0)*(H$6:H$102)))</f>
        <v>6.5411270120917745E-3</v>
      </c>
    </row>
    <row r="43" spans="1:11" x14ac:dyDescent="0.3">
      <c r="A43" s="6" t="str">
        <v>PIAGGIO</v>
      </c>
      <c r="B43" s="6" t="str">
        <f t="shared" si="0"/>
        <v>Stock</v>
      </c>
      <c r="C43" s="6" t="str">
        <f>IF(A43="","",IFERROR(INDEX('Trade Log'!G$4:G$1002,MATCH(A43,'Trade Log'!C$4:C$1002,0)),"EUR"))</f>
        <v>EUR</v>
      </c>
      <c r="D43" s="9">
        <f>IF(A43="","",SUMIFS('Trade Log'!H:H,'Trade Log'!C:C,A43,'Trade Log'!D:D,"Buy")+SUMIFS('Trade Log'!H:H,'Trade Log'!C:C,A43,'Trade Log'!D:D,"Sell")-IF(ISNUMBER(SEARCH("Bond",B43)),SUMIFS('Trade Log'!I:I,'Trade Log'!C:C,A43,'Trade Log'!D:D,"Redemption"),0))</f>
        <v>5000</v>
      </c>
      <c r="E43" s="8">
        <f>IF(OR(A43="",D43=0),0,ABS(SUMIFS('Trade Log'!K:K,'Trade Log'!C:C,A43,'Trade Log'!D:D,"Buy"))/SUMIFS('Trade Log'!H:H,'Trade Log'!C:C,A43,'Trade Log'!D:D,"Buy"))</f>
        <v>1.9358</v>
      </c>
      <c r="F43" s="10">
        <f t="shared" si="1"/>
        <v>-9679</v>
      </c>
      <c r="G43" s="15">
        <v>1.5329999999999999</v>
      </c>
      <c r="H43" s="10">
        <f t="shared" si="2"/>
        <v>7665</v>
      </c>
      <c r="I43" s="10">
        <f t="shared" si="3"/>
        <v>-2014</v>
      </c>
      <c r="J43" s="14">
        <f t="shared" si="4"/>
        <v>-0.20807934703998346</v>
      </c>
      <c r="K43" s="14" cm="1">
        <f t="array" ref="K43">IF(OR(A43="",H43=0),0,H43/SUMPRODUCT(ISNUMBER(D$6:D$102)*(D$6:D$102&lt;&gt;0)*(H$6:H$102)))</f>
        <v>7.161517142806214E-3</v>
      </c>
    </row>
    <row r="44" spans="1:11" x14ac:dyDescent="0.3">
      <c r="A44" s="6" t="str">
        <v>RAI WAY</v>
      </c>
      <c r="B44" s="6" t="str">
        <f t="shared" si="0"/>
        <v>Stock</v>
      </c>
      <c r="C44" s="6" t="str">
        <f>IF(A44="","",IFERROR(INDEX('Trade Log'!G$4:G$1002,MATCH(A44,'Trade Log'!C$4:C$1002,0)),"EUR"))</f>
        <v>EUR</v>
      </c>
      <c r="D44" s="9">
        <f>IF(A44="","",SUMIFS('Trade Log'!H:H,'Trade Log'!C:C,A44,'Trade Log'!D:D,"Buy")+SUMIFS('Trade Log'!H:H,'Trade Log'!C:C,A44,'Trade Log'!D:D,"Sell")-IF(ISNUMBER(SEARCH("Bond",B44)),SUMIFS('Trade Log'!I:I,'Trade Log'!C:C,A44,'Trade Log'!D:D,"Redemption"),0))</f>
        <v>0</v>
      </c>
      <c r="E44" s="8">
        <f>IF(OR(A44="",D44=0),0,ABS(SUMIFS('Trade Log'!K:K,'Trade Log'!C:C,A44,'Trade Log'!D:D,"Buy"))/SUMIFS('Trade Log'!H:H,'Trade Log'!C:C,A44,'Trade Log'!D:D,"Buy"))</f>
        <v>0</v>
      </c>
      <c r="F44" s="10">
        <f t="shared" si="1"/>
        <v>0</v>
      </c>
      <c r="G44" s="15"/>
      <c r="H44" s="10">
        <f t="shared" si="2"/>
        <v>0</v>
      </c>
      <c r="I44" s="10">
        <f t="shared" si="3"/>
        <v>0</v>
      </c>
      <c r="J44" s="14">
        <f t="shared" si="4"/>
        <v>0</v>
      </c>
      <c r="K44" s="14" cm="1">
        <f t="array" ref="K44">IF(OR(A44="",H44=0),0,H44/SUMPRODUCT(ISNUMBER(D$6:D$102)*(D$6:D$102&lt;&gt;0)*(H$6:H$102)))</f>
        <v>0</v>
      </c>
    </row>
    <row r="45" spans="1:11" x14ac:dyDescent="0.3">
      <c r="A45" s="6" t="str">
        <v>SANLORENZO</v>
      </c>
      <c r="B45" s="6" t="str">
        <f t="shared" si="0"/>
        <v>Stock</v>
      </c>
      <c r="C45" s="6" t="str">
        <f>IF(A45="","",IFERROR(INDEX('Trade Log'!G$4:G$1002,MATCH(A45,'Trade Log'!C$4:C$1002,0)),"EUR"))</f>
        <v>EUR</v>
      </c>
      <c r="D45" s="9">
        <f>IF(A45="","",SUMIFS('Trade Log'!H:H,'Trade Log'!C:C,A45,'Trade Log'!D:D,"Buy")+SUMIFS('Trade Log'!H:H,'Trade Log'!C:C,A45,'Trade Log'!D:D,"Sell")-IF(ISNUMBER(SEARCH("Bond",B45)),SUMIFS('Trade Log'!I:I,'Trade Log'!C:C,A45,'Trade Log'!D:D,"Redemption"),0))</f>
        <v>1100</v>
      </c>
      <c r="E45" s="8">
        <f>IF(OR(A45="",D45=0),0,ABS(SUMIFS('Trade Log'!K:K,'Trade Log'!C:C,A45,'Trade Log'!D:D,"Buy"))/SUMIFS('Trade Log'!H:H,'Trade Log'!C:C,A45,'Trade Log'!D:D,"Buy"))</f>
        <v>30.890909090909091</v>
      </c>
      <c r="F45" s="10">
        <f t="shared" si="1"/>
        <v>-33980</v>
      </c>
      <c r="G45" s="15">
        <v>30.8</v>
      </c>
      <c r="H45" s="10">
        <f t="shared" si="2"/>
        <v>33880</v>
      </c>
      <c r="I45" s="10">
        <f t="shared" si="3"/>
        <v>-100</v>
      </c>
      <c r="J45" s="14">
        <f t="shared" si="4"/>
        <v>-2.942907592701589E-3</v>
      </c>
      <c r="K45" s="14" cm="1">
        <f t="array" ref="K45">IF(OR(A45="",H45=0),0,H45/SUMPRODUCT(ISNUMBER(D$6:D$102)*(D$6:D$102&lt;&gt;0)*(H$6:H$102)))</f>
        <v>3.1654559791033862E-2</v>
      </c>
    </row>
    <row r="46" spans="1:11" x14ac:dyDescent="0.3">
      <c r="A46" s="6" t="str">
        <v>TAMBURI</v>
      </c>
      <c r="B46" s="6" t="str">
        <f t="shared" si="0"/>
        <v>Stock</v>
      </c>
      <c r="C46" s="6" t="str">
        <f>IF(A46="","",IFERROR(INDEX('Trade Log'!G$4:G$1002,MATCH(A46,'Trade Log'!C$4:C$1002,0)),"EUR"))</f>
        <v>EUR</v>
      </c>
      <c r="D46" s="9">
        <f>IF(A46="","",SUMIFS('Trade Log'!H:H,'Trade Log'!C:C,A46,'Trade Log'!D:D,"Buy")+SUMIFS('Trade Log'!H:H,'Trade Log'!C:C,A46,'Trade Log'!D:D,"Sell")-IF(ISNUMBER(SEARCH("Bond",B46)),SUMIFS('Trade Log'!I:I,'Trade Log'!C:C,A46,'Trade Log'!D:D,"Redemption"),0))</f>
        <v>3500</v>
      </c>
      <c r="E46" s="8">
        <f>IF(OR(A46="",D46=0),0,ABS(SUMIFS('Trade Log'!K:K,'Trade Log'!C:C,A46,'Trade Log'!D:D,"Buy"))/SUMIFS('Trade Log'!H:H,'Trade Log'!C:C,A46,'Trade Log'!D:D,"Buy"))</f>
        <v>8.2858942857142868</v>
      </c>
      <c r="F46" s="10">
        <f t="shared" si="1"/>
        <v>-29000.630000000005</v>
      </c>
      <c r="G46" s="15">
        <v>7.76</v>
      </c>
      <c r="H46" s="10">
        <f t="shared" si="2"/>
        <v>27160</v>
      </c>
      <c r="I46" s="10">
        <f t="shared" si="3"/>
        <v>-1840.6300000000047</v>
      </c>
      <c r="J46" s="14">
        <f t="shared" si="4"/>
        <v>-6.3468621198918926E-2</v>
      </c>
      <c r="K46" s="14" cm="1">
        <f t="array" ref="K46">IF(OR(A46="",H46=0),0,H46/SUMPRODUCT(ISNUMBER(D$6:D$102)*(D$6:D$102&lt;&gt;0)*(H$6:H$102)))</f>
        <v>2.537596941925855E-2</v>
      </c>
    </row>
    <row r="47" spans="1:11" x14ac:dyDescent="0.3">
      <c r="A47" s="6" t="str">
        <v>TRIGANO SA</v>
      </c>
      <c r="B47" s="6" t="str">
        <f t="shared" si="0"/>
        <v>Stock</v>
      </c>
      <c r="C47" s="6" t="str">
        <f>IF(A47="","",IFERROR(INDEX('Trade Log'!G$4:G$1002,MATCH(A47,'Trade Log'!C$4:C$1002,0)),"EUR"))</f>
        <v>EUR</v>
      </c>
      <c r="D47" s="9">
        <f>IF(A47="","",SUMIFS('Trade Log'!H:H,'Trade Log'!C:C,A47,'Trade Log'!D:D,"Buy")+SUMIFS('Trade Log'!H:H,'Trade Log'!C:C,A47,'Trade Log'!D:D,"Sell")-IF(ISNUMBER(SEARCH("Bond",B47)),SUMIFS('Trade Log'!I:I,'Trade Log'!C:C,A47,'Trade Log'!D:D,"Redemption"),0))</f>
        <v>100</v>
      </c>
      <c r="E47" s="8">
        <f>IF(OR(A47="",D47=0),0,ABS(SUMIFS('Trade Log'!K:K,'Trade Log'!C:C,A47,'Trade Log'!D:D,"Buy"))/SUMIFS('Trade Log'!H:H,'Trade Log'!C:C,A47,'Trade Log'!D:D,"Buy"))</f>
        <v>170.69499999999999</v>
      </c>
      <c r="F47" s="10">
        <f t="shared" si="1"/>
        <v>-17069.5</v>
      </c>
      <c r="G47" s="15">
        <v>139.4</v>
      </c>
      <c r="H47" s="10">
        <f t="shared" si="2"/>
        <v>13940</v>
      </c>
      <c r="I47" s="10">
        <f t="shared" si="3"/>
        <v>-3129.5</v>
      </c>
      <c r="J47" s="14">
        <f t="shared" si="4"/>
        <v>-0.18333870353554585</v>
      </c>
      <c r="K47" s="14" cm="1">
        <f t="array" ref="K47">IF(OR(A47="",H47=0),0,H47/SUMPRODUCT(ISNUMBER(D$6:D$102)*(D$6:D$102&lt;&gt;0)*(H$6:H$102)))</f>
        <v>1.3024337765260095E-2</v>
      </c>
    </row>
    <row r="48" spans="1:11" x14ac:dyDescent="0.3">
      <c r="A48" s="6" t="str">
        <v>WISDOMTREE CORE PHYSICAL GOLD</v>
      </c>
      <c r="B48" s="6" t="str">
        <f t="shared" si="0"/>
        <v>ETF/ETC</v>
      </c>
      <c r="C48" s="6" t="str">
        <f>IF(A48="","",IFERROR(INDEX('Trade Log'!G$4:G$1002,MATCH(A48,'Trade Log'!C$4:C$1002,0)),"EUR"))</f>
        <v>EUR</v>
      </c>
      <c r="D48" s="9">
        <f>IF(A48="","",SUMIFS('Trade Log'!H:H,'Trade Log'!C:C,A48,'Trade Log'!D:D,"Buy")+SUMIFS('Trade Log'!H:H,'Trade Log'!C:C,A48,'Trade Log'!D:D,"Sell")-IF(ISNUMBER(SEARCH("Bond",B48)),SUMIFS('Trade Log'!I:I,'Trade Log'!C:C,A48,'Trade Log'!D:D,"Redemption"),0))</f>
        <v>0</v>
      </c>
      <c r="E48" s="8">
        <f>IF(OR(A48="",D48=0),0,ABS(SUMIFS('Trade Log'!K:K,'Trade Log'!C:C,A48,'Trade Log'!D:D,"Buy"))/SUMIFS('Trade Log'!H:H,'Trade Log'!C:C,A48,'Trade Log'!D:D,"Buy"))</f>
        <v>0</v>
      </c>
      <c r="F48" s="10">
        <f t="shared" si="1"/>
        <v>0</v>
      </c>
      <c r="G48" s="15"/>
      <c r="H48" s="10">
        <f t="shared" si="2"/>
        <v>0</v>
      </c>
      <c r="I48" s="10">
        <f t="shared" si="3"/>
        <v>0</v>
      </c>
      <c r="J48" s="14">
        <f t="shared" si="4"/>
        <v>0</v>
      </c>
      <c r="K48" s="14" cm="1">
        <f t="array" ref="K48">IF(OR(A48="",H48=0),0,H48/SUMPRODUCT(ISNUMBER(D$6:D$102)*(D$6:D$102&lt;&gt;0)*(H$6:H$102)))</f>
        <v>0</v>
      </c>
    </row>
    <row r="49" spans="1:11" x14ac:dyDescent="0.3">
      <c r="A49" s="6" t="str">
        <v>WisdomTree Europe Defence UCIT</v>
      </c>
      <c r="B49" s="6" t="str">
        <f t="shared" si="0"/>
        <v>ETF/ETC</v>
      </c>
      <c r="C49" s="6" t="str">
        <f>IF(A49="","",IFERROR(INDEX('Trade Log'!G$4:G$1002,MATCH(A49,'Trade Log'!C$4:C$1002,0)),"EUR"))</f>
        <v>EUR</v>
      </c>
      <c r="D49" s="9">
        <f>IF(A49="","",SUMIFS('Trade Log'!H:H,'Trade Log'!C:C,A49,'Trade Log'!D:D,"Buy")+SUMIFS('Trade Log'!H:H,'Trade Log'!C:C,A49,'Trade Log'!D:D,"Sell")-IF(ISNUMBER(SEARCH("Bond",B49)),SUMIFS('Trade Log'!I:I,'Trade Log'!C:C,A49,'Trade Log'!D:D,"Redemption"),0))</f>
        <v>1118</v>
      </c>
      <c r="E49" s="8">
        <f>IF(OR(A49="",D49=0),0,ABS(SUMIFS('Trade Log'!K:K,'Trade Log'!C:C,A49,'Trade Log'!D:D,"Buy"))/SUMIFS('Trade Log'!H:H,'Trade Log'!C:C,A49,'Trade Log'!D:D,"Buy"))</f>
        <v>31.462790697674414</v>
      </c>
      <c r="F49" s="10">
        <f t="shared" si="1"/>
        <v>-35175.399999999994</v>
      </c>
      <c r="G49" s="15">
        <v>31.905000000000001</v>
      </c>
      <c r="H49" s="10">
        <f t="shared" si="2"/>
        <v>35669.79</v>
      </c>
      <c r="I49" s="10">
        <f t="shared" si="3"/>
        <v>494.39000000000669</v>
      </c>
      <c r="J49" s="14">
        <f t="shared" si="4"/>
        <v>1.405499297804735E-2</v>
      </c>
      <c r="K49" s="14" cm="1">
        <f t="array" ref="K49">IF(OR(A49="",H49=0),0,H49/SUMPRODUCT(ISNUMBER(D$6:D$102)*(D$6:D$102&lt;&gt;0)*(H$6:H$102)))</f>
        <v>3.3326785722804654E-2</v>
      </c>
    </row>
    <row r="50" spans="1:11" x14ac:dyDescent="0.3">
      <c r="A50" s="6" t="str">
        <v>WISDOMTREE NEW ECON REAL EST U</v>
      </c>
      <c r="B50" s="6" t="str">
        <f t="shared" si="0"/>
        <v>ETF/ETC</v>
      </c>
      <c r="C50" s="6" t="str">
        <f>IF(A50="","",IFERROR(INDEX('Trade Log'!G$4:G$1002,MATCH(A50,'Trade Log'!C$4:C$1002,0)),"EUR"))</f>
        <v>EUR</v>
      </c>
      <c r="D50" s="9">
        <f>IF(A50="","",SUMIFS('Trade Log'!H:H,'Trade Log'!C:C,A50,'Trade Log'!D:D,"Buy")+SUMIFS('Trade Log'!H:H,'Trade Log'!C:C,A50,'Trade Log'!D:D,"Sell")-IF(ISNUMBER(SEARCH("Bond",B50)),SUMIFS('Trade Log'!I:I,'Trade Log'!C:C,A50,'Trade Log'!D:D,"Redemption"),0))</f>
        <v>1000</v>
      </c>
      <c r="E50" s="8">
        <f>IF(OR(A50="",D50=0),0,ABS(SUMIFS('Trade Log'!K:K,'Trade Log'!C:C,A50,'Trade Log'!D:D,"Buy"))/SUMIFS('Trade Log'!H:H,'Trade Log'!C:C,A50,'Trade Log'!D:D,"Buy"))</f>
        <v>23.45</v>
      </c>
      <c r="F50" s="10">
        <f t="shared" si="1"/>
        <v>-23450</v>
      </c>
      <c r="G50" s="15">
        <v>23.86</v>
      </c>
      <c r="H50" s="10">
        <f t="shared" si="2"/>
        <v>23860</v>
      </c>
      <c r="I50" s="10">
        <f t="shared" si="3"/>
        <v>410</v>
      </c>
      <c r="J50" s="14">
        <f t="shared" si="4"/>
        <v>1.7484008528784647E-2</v>
      </c>
      <c r="K50" s="14" cm="1">
        <f t="array" ref="K50">IF(OR(A50="",H50=0),0,H50/SUMPRODUCT(ISNUMBER(D$6:D$102)*(D$6:D$102&lt;&gt;0)*(H$6:H$102)))</f>
        <v>2.229273307597603E-2</v>
      </c>
    </row>
    <row r="51" spans="1:11" x14ac:dyDescent="0.3">
      <c r="A51" s="6" t="str">
        <v>WISDOMTREE PHYSICAL SILVER</v>
      </c>
      <c r="B51" s="6" t="str">
        <f t="shared" si="0"/>
        <v>ETF/ETC</v>
      </c>
      <c r="C51" s="6" t="str">
        <f>IF(A51="","",IFERROR(INDEX('Trade Log'!G$4:G$1002,MATCH(A51,'Trade Log'!C$4:C$1002,0)),"EUR"))</f>
        <v>EUR</v>
      </c>
      <c r="D51" s="9">
        <f>IF(A51="","",SUMIFS('Trade Log'!H:H,'Trade Log'!C:C,A51,'Trade Log'!D:D,"Buy")+SUMIFS('Trade Log'!H:H,'Trade Log'!C:C,A51,'Trade Log'!D:D,"Sell")-IF(ISNUMBER(SEARCH("Bond",B51)),SUMIFS('Trade Log'!I:I,'Trade Log'!C:C,A51,'Trade Log'!D:D,"Redemption"),0))</f>
        <v>0</v>
      </c>
      <c r="E51" s="8">
        <f>IF(OR(A51="",D51=0),0,ABS(SUMIFS('Trade Log'!K:K,'Trade Log'!C:C,A51,'Trade Log'!D:D,"Buy"))/SUMIFS('Trade Log'!H:H,'Trade Log'!C:C,A51,'Trade Log'!D:D,"Buy"))</f>
        <v>0</v>
      </c>
      <c r="F51" s="10">
        <f t="shared" si="1"/>
        <v>0</v>
      </c>
      <c r="G51" s="15"/>
      <c r="H51" s="10">
        <f t="shared" si="2"/>
        <v>0</v>
      </c>
      <c r="I51" s="10">
        <f t="shared" si="3"/>
        <v>0</v>
      </c>
      <c r="J51" s="14">
        <f t="shared" si="4"/>
        <v>0</v>
      </c>
      <c r="K51" s="14" cm="1">
        <f t="array" ref="K51">IF(OR(A51="",H51=0),0,H51/SUMPRODUCT(ISNUMBER(D$6:D$102)*(D$6:D$102&lt;&gt;0)*(H$6:H$102)))</f>
        <v>0</v>
      </c>
    </row>
    <row r="52" spans="1:11" x14ac:dyDescent="0.3">
      <c r="B52" s="6" t="str">
        <f t="shared" si="0"/>
        <v/>
      </c>
      <c r="C52" s="6" t="str">
        <f>IF(A52="","",IFERROR(INDEX('Trade Log'!G$4:G$1002,MATCH(A52,'Trade Log'!C$4:C$1002,0)),"EUR"))</f>
        <v/>
      </c>
      <c r="D52" s="9" t="str">
        <f>IF(A52="","",SUMIFS('Trade Log'!H:H,'Trade Log'!C:C,A52,'Trade Log'!D:D,"Buy")+SUMIFS('Trade Log'!H:H,'Trade Log'!C:C,A52,'Trade Log'!D:D,"Sell")-IF(ISNUMBER(SEARCH("Bond",B52)),SUMIFS('Trade Log'!I:I,'Trade Log'!C:C,A52,'Trade Log'!D:D,"Redemption"),0))</f>
        <v/>
      </c>
      <c r="E52" s="8">
        <f>IF(OR(A52="",D52=0),0,ABS(SUMIFS('Trade Log'!K:K,'Trade Log'!C:C,A52,'Trade Log'!D:D,"Buy"))/SUMIFS('Trade Log'!H:H,'Trade Log'!C:C,A52,'Trade Log'!D:D,"Buy"))</f>
        <v>0</v>
      </c>
      <c r="F52" s="10">
        <f t="shared" si="1"/>
        <v>0</v>
      </c>
      <c r="G52" s="15"/>
      <c r="H52" s="10">
        <f t="shared" si="2"/>
        <v>0</v>
      </c>
      <c r="I52" s="10">
        <f t="shared" si="3"/>
        <v>0</v>
      </c>
      <c r="J52" s="14">
        <f t="shared" si="4"/>
        <v>0</v>
      </c>
      <c r="K52" s="14" cm="1">
        <f t="array" ref="K52">IF(OR(A52="",H52=0),0,H52/SUMPRODUCT(ISNUMBER(D$6:D$102)*(D$6:D$102&lt;&gt;0)*(H$6:H$102)))</f>
        <v>0</v>
      </c>
    </row>
    <row r="53" spans="1:11" x14ac:dyDescent="0.3">
      <c r="B53" s="6" t="str">
        <f t="shared" si="0"/>
        <v/>
      </c>
      <c r="C53" s="6" t="str">
        <f>IF(A53="","",IFERROR(INDEX('Trade Log'!G$4:G$1002,MATCH(A53,'Trade Log'!C$4:C$1002,0)),"EUR"))</f>
        <v/>
      </c>
      <c r="D53" s="9" t="str">
        <f>IF(A53="","",SUMIFS('Trade Log'!H:H,'Trade Log'!C:C,A53,'Trade Log'!D:D,"Buy")+SUMIFS('Trade Log'!H:H,'Trade Log'!C:C,A53,'Trade Log'!D:D,"Sell")-IF(ISNUMBER(SEARCH("Bond",B53)),SUMIFS('Trade Log'!I:I,'Trade Log'!C:C,A53,'Trade Log'!D:D,"Redemption"),0))</f>
        <v/>
      </c>
      <c r="E53" s="8">
        <f>IF(OR(A53="",D53=0),0,ABS(SUMIFS('Trade Log'!K:K,'Trade Log'!C:C,A53,'Trade Log'!D:D,"Buy"))/SUMIFS('Trade Log'!H:H,'Trade Log'!C:C,A53,'Trade Log'!D:D,"Buy"))</f>
        <v>0</v>
      </c>
      <c r="F53" s="10">
        <f t="shared" si="1"/>
        <v>0</v>
      </c>
      <c r="G53" s="15"/>
      <c r="H53" s="10">
        <f t="shared" si="2"/>
        <v>0</v>
      </c>
      <c r="I53" s="10">
        <f t="shared" si="3"/>
        <v>0</v>
      </c>
      <c r="J53" s="14">
        <f t="shared" si="4"/>
        <v>0</v>
      </c>
      <c r="K53" s="14" cm="1">
        <f t="array" ref="K53">IF(OR(A53="",H53=0),0,H53/SUMPRODUCT(ISNUMBER(D$6:D$102)*(D$6:D$102&lt;&gt;0)*(H$6:H$102)))</f>
        <v>0</v>
      </c>
    </row>
    <row r="54" spans="1:11" x14ac:dyDescent="0.3">
      <c r="B54" s="6" t="str">
        <f t="shared" si="0"/>
        <v/>
      </c>
      <c r="C54" s="6" t="str">
        <f>IF(A54="","",IFERROR(INDEX('Trade Log'!G$4:G$1002,MATCH(A54,'Trade Log'!C$4:C$1002,0)),"EUR"))</f>
        <v/>
      </c>
      <c r="D54" s="9" t="str">
        <f>IF(A54="","",SUMIFS('Trade Log'!H:H,'Trade Log'!C:C,A54,'Trade Log'!D:D,"Buy")+SUMIFS('Trade Log'!H:H,'Trade Log'!C:C,A54,'Trade Log'!D:D,"Sell")-IF(ISNUMBER(SEARCH("Bond",B54)),SUMIFS('Trade Log'!I:I,'Trade Log'!C:C,A54,'Trade Log'!D:D,"Redemption"),0))</f>
        <v/>
      </c>
      <c r="E54" s="8">
        <f>IF(OR(A54="",D54=0),0,ABS(SUMIFS('Trade Log'!K:K,'Trade Log'!C:C,A54,'Trade Log'!D:D,"Buy"))/SUMIFS('Trade Log'!H:H,'Trade Log'!C:C,A54,'Trade Log'!D:D,"Buy"))</f>
        <v>0</v>
      </c>
      <c r="F54" s="10">
        <f t="shared" si="1"/>
        <v>0</v>
      </c>
      <c r="G54" s="15"/>
      <c r="H54" s="10">
        <f t="shared" si="2"/>
        <v>0</v>
      </c>
      <c r="I54" s="10">
        <f t="shared" si="3"/>
        <v>0</v>
      </c>
      <c r="J54" s="14">
        <f t="shared" si="4"/>
        <v>0</v>
      </c>
      <c r="K54" s="14" cm="1">
        <f t="array" ref="K54">IF(OR(A54="",H54=0),0,H54/SUMPRODUCT(ISNUMBER(D$6:D$102)*(D$6:D$102&lt;&gt;0)*(H$6:H$102)))</f>
        <v>0</v>
      </c>
    </row>
    <row r="55" spans="1:11" x14ac:dyDescent="0.3">
      <c r="B55" s="6" t="str">
        <f t="shared" si="0"/>
        <v/>
      </c>
      <c r="C55" s="6" t="str">
        <f>IF(A55="","",IFERROR(INDEX('Trade Log'!G$4:G$1002,MATCH(A55,'Trade Log'!C$4:C$1002,0)),"EUR"))</f>
        <v/>
      </c>
      <c r="D55" s="9" t="str">
        <f>IF(A55="","",SUMIFS('Trade Log'!H:H,'Trade Log'!C:C,A55,'Trade Log'!D:D,"Buy")+SUMIFS('Trade Log'!H:H,'Trade Log'!C:C,A55,'Trade Log'!D:D,"Sell")-IF(ISNUMBER(SEARCH("Bond",B55)),SUMIFS('Trade Log'!I:I,'Trade Log'!C:C,A55,'Trade Log'!D:D,"Redemption"),0))</f>
        <v/>
      </c>
      <c r="E55" s="8">
        <f>IF(OR(A55="",D55=0),0,ABS(SUMIFS('Trade Log'!K:K,'Trade Log'!C:C,A55,'Trade Log'!D:D,"Buy"))/SUMIFS('Trade Log'!H:H,'Trade Log'!C:C,A55,'Trade Log'!D:D,"Buy"))</f>
        <v>0</v>
      </c>
      <c r="F55" s="10">
        <f t="shared" si="1"/>
        <v>0</v>
      </c>
      <c r="G55" s="15"/>
      <c r="H55" s="10">
        <f t="shared" si="2"/>
        <v>0</v>
      </c>
      <c r="I55" s="10">
        <f t="shared" si="3"/>
        <v>0</v>
      </c>
      <c r="J55" s="14">
        <f t="shared" si="4"/>
        <v>0</v>
      </c>
      <c r="K55" s="14" cm="1">
        <f t="array" ref="K55">IF(OR(A55="",H55=0),0,H55/SUMPRODUCT(ISNUMBER(D$6:D$102)*(D$6:D$102&lt;&gt;0)*(H$6:H$102)))</f>
        <v>0</v>
      </c>
    </row>
    <row r="56" spans="1:11" x14ac:dyDescent="0.3">
      <c r="B56" s="6" t="str">
        <f t="shared" si="0"/>
        <v/>
      </c>
      <c r="C56" s="6" t="str">
        <f>IF(A56="","",IFERROR(INDEX('Trade Log'!G$4:G$1002,MATCH(A56,'Trade Log'!C$4:C$1002,0)),"EUR"))</f>
        <v/>
      </c>
      <c r="D56" s="9" t="str">
        <f>IF(A56="","",SUMIFS('Trade Log'!H:H,'Trade Log'!C:C,A56,'Trade Log'!D:D,"Buy")+SUMIFS('Trade Log'!H:H,'Trade Log'!C:C,A56,'Trade Log'!D:D,"Sell")-IF(ISNUMBER(SEARCH("Bond",B56)),SUMIFS('Trade Log'!I:I,'Trade Log'!C:C,A56,'Trade Log'!D:D,"Redemption"),0))</f>
        <v/>
      </c>
      <c r="E56" s="8">
        <f>IF(OR(A56="",D56=0),0,ABS(SUMIFS('Trade Log'!K:K,'Trade Log'!C:C,A56,'Trade Log'!D:D,"Buy"))/SUMIFS('Trade Log'!H:H,'Trade Log'!C:C,A56,'Trade Log'!D:D,"Buy"))</f>
        <v>0</v>
      </c>
      <c r="F56" s="10">
        <f t="shared" si="1"/>
        <v>0</v>
      </c>
      <c r="G56" s="15"/>
      <c r="H56" s="10">
        <f t="shared" si="2"/>
        <v>0</v>
      </c>
      <c r="I56" s="10">
        <f t="shared" si="3"/>
        <v>0</v>
      </c>
      <c r="J56" s="14">
        <f t="shared" si="4"/>
        <v>0</v>
      </c>
      <c r="K56" s="14" cm="1">
        <f t="array" ref="K56">IF(OR(A56="",H56=0),0,H56/SUMPRODUCT(ISNUMBER(D$6:D$102)*(D$6:D$102&lt;&gt;0)*(H$6:H$102)))</f>
        <v>0</v>
      </c>
    </row>
    <row r="57" spans="1:11" x14ac:dyDescent="0.3">
      <c r="B57" s="6" t="str">
        <f t="shared" si="0"/>
        <v/>
      </c>
      <c r="C57" s="6" t="str">
        <f>IF(A57="","",IFERROR(INDEX('Trade Log'!G$4:G$1002,MATCH(A57,'Trade Log'!C$4:C$1002,0)),"EUR"))</f>
        <v/>
      </c>
      <c r="D57" s="9" t="str">
        <f>IF(A57="","",SUMIFS('Trade Log'!H:H,'Trade Log'!C:C,A57,'Trade Log'!D:D,"Buy")+SUMIFS('Trade Log'!H:H,'Trade Log'!C:C,A57,'Trade Log'!D:D,"Sell")-IF(ISNUMBER(SEARCH("Bond",B57)),SUMIFS('Trade Log'!I:I,'Trade Log'!C:C,A57,'Trade Log'!D:D,"Redemption"),0))</f>
        <v/>
      </c>
      <c r="E57" s="8">
        <f>IF(OR(A57="",D57=0),0,ABS(SUMIFS('Trade Log'!K:K,'Trade Log'!C:C,A57,'Trade Log'!D:D,"Buy"))/SUMIFS('Trade Log'!H:H,'Trade Log'!C:C,A57,'Trade Log'!D:D,"Buy"))</f>
        <v>0</v>
      </c>
      <c r="F57" s="10">
        <f t="shared" si="1"/>
        <v>0</v>
      </c>
      <c r="G57" s="15"/>
      <c r="H57" s="10">
        <f t="shared" si="2"/>
        <v>0</v>
      </c>
      <c r="I57" s="10">
        <f t="shared" si="3"/>
        <v>0</v>
      </c>
      <c r="J57" s="14">
        <f t="shared" si="4"/>
        <v>0</v>
      </c>
      <c r="K57" s="14" cm="1">
        <f t="array" ref="K57">IF(OR(A57="",H57=0),0,H57/SUMPRODUCT(ISNUMBER(D$6:D$102)*(D$6:D$102&lt;&gt;0)*(H$6:H$102)))</f>
        <v>0</v>
      </c>
    </row>
    <row r="58" spans="1:11" x14ac:dyDescent="0.3">
      <c r="B58" s="6" t="str">
        <f t="shared" si="0"/>
        <v/>
      </c>
      <c r="C58" s="6" t="str">
        <f>IF(A58="","",IFERROR(INDEX('Trade Log'!G$4:G$1002,MATCH(A58,'Trade Log'!C$4:C$1002,0)),"EUR"))</f>
        <v/>
      </c>
      <c r="D58" s="9" t="str">
        <f>IF(A58="","",SUMIFS('Trade Log'!H:H,'Trade Log'!C:C,A58,'Trade Log'!D:D,"Buy")+SUMIFS('Trade Log'!H:H,'Trade Log'!C:C,A58,'Trade Log'!D:D,"Sell")-IF(ISNUMBER(SEARCH("Bond",B58)),SUMIFS('Trade Log'!I:I,'Trade Log'!C:C,A58,'Trade Log'!D:D,"Redemption"),0))</f>
        <v/>
      </c>
      <c r="E58" s="8">
        <f>IF(OR(A58="",D58=0),0,ABS(SUMIFS('Trade Log'!K:K,'Trade Log'!C:C,A58,'Trade Log'!D:D,"Buy"))/SUMIFS('Trade Log'!H:H,'Trade Log'!C:C,A58,'Trade Log'!D:D,"Buy"))</f>
        <v>0</v>
      </c>
      <c r="F58" s="10">
        <f t="shared" si="1"/>
        <v>0</v>
      </c>
      <c r="G58" s="15"/>
      <c r="H58" s="10">
        <f t="shared" si="2"/>
        <v>0</v>
      </c>
      <c r="I58" s="10">
        <f t="shared" si="3"/>
        <v>0</v>
      </c>
      <c r="J58" s="14">
        <f t="shared" si="4"/>
        <v>0</v>
      </c>
      <c r="K58" s="14" cm="1">
        <f t="array" ref="K58">IF(OR(A58="",H58=0),0,H58/SUMPRODUCT(ISNUMBER(D$6:D$102)*(D$6:D$102&lt;&gt;0)*(H$6:H$102)))</f>
        <v>0</v>
      </c>
    </row>
    <row r="59" spans="1:11" x14ac:dyDescent="0.3">
      <c r="B59" s="6" t="str">
        <f t="shared" si="0"/>
        <v/>
      </c>
      <c r="C59" s="6" t="str">
        <f>IF(A59="","",IFERROR(INDEX('Trade Log'!G$4:G$1002,MATCH(A59,'Trade Log'!C$4:C$1002,0)),"EUR"))</f>
        <v/>
      </c>
      <c r="D59" s="9" t="str">
        <f>IF(A59="","",SUMIFS('Trade Log'!H:H,'Trade Log'!C:C,A59,'Trade Log'!D:D,"Buy")+SUMIFS('Trade Log'!H:H,'Trade Log'!C:C,A59,'Trade Log'!D:D,"Sell")-IF(ISNUMBER(SEARCH("Bond",B59)),SUMIFS('Trade Log'!I:I,'Trade Log'!C:C,A59,'Trade Log'!D:D,"Redemption"),0))</f>
        <v/>
      </c>
      <c r="E59" s="8">
        <f>IF(OR(A59="",D59=0),0,ABS(SUMIFS('Trade Log'!K:K,'Trade Log'!C:C,A59,'Trade Log'!D:D,"Buy"))/SUMIFS('Trade Log'!H:H,'Trade Log'!C:C,A59,'Trade Log'!D:D,"Buy"))</f>
        <v>0</v>
      </c>
      <c r="F59" s="10">
        <f t="shared" si="1"/>
        <v>0</v>
      </c>
      <c r="G59" s="15"/>
      <c r="H59" s="10">
        <f t="shared" si="2"/>
        <v>0</v>
      </c>
      <c r="I59" s="10">
        <f t="shared" si="3"/>
        <v>0</v>
      </c>
      <c r="J59" s="14">
        <f t="shared" si="4"/>
        <v>0</v>
      </c>
      <c r="K59" s="14" cm="1">
        <f t="array" ref="K59">IF(OR(A59="",H59=0),0,H59/SUMPRODUCT(ISNUMBER(D$6:D$102)*(D$6:D$102&lt;&gt;0)*(H$6:H$102)))</f>
        <v>0</v>
      </c>
    </row>
    <row r="60" spans="1:11" x14ac:dyDescent="0.3">
      <c r="B60" s="6" t="str">
        <f t="shared" si="0"/>
        <v/>
      </c>
      <c r="C60" s="6" t="str">
        <f>IF(A60="","",IFERROR(INDEX('Trade Log'!G$4:G$1002,MATCH(A60,'Trade Log'!C$4:C$1002,0)),"EUR"))</f>
        <v/>
      </c>
      <c r="D60" s="9" t="str">
        <f>IF(A60="","",SUMIFS('Trade Log'!H:H,'Trade Log'!C:C,A60,'Trade Log'!D:D,"Buy")+SUMIFS('Trade Log'!H:H,'Trade Log'!C:C,A60,'Trade Log'!D:D,"Sell")-IF(ISNUMBER(SEARCH("Bond",B60)),SUMIFS('Trade Log'!I:I,'Trade Log'!C:C,A60,'Trade Log'!D:D,"Redemption"),0))</f>
        <v/>
      </c>
      <c r="E60" s="8">
        <f>IF(OR(A60="",D60=0),0,ABS(SUMIFS('Trade Log'!K:K,'Trade Log'!C:C,A60,'Trade Log'!D:D,"Buy"))/SUMIFS('Trade Log'!H:H,'Trade Log'!C:C,A60,'Trade Log'!D:D,"Buy"))</f>
        <v>0</v>
      </c>
      <c r="F60" s="10">
        <f t="shared" si="1"/>
        <v>0</v>
      </c>
      <c r="G60" s="15"/>
      <c r="H60" s="10">
        <f t="shared" si="2"/>
        <v>0</v>
      </c>
      <c r="I60" s="10">
        <f t="shared" si="3"/>
        <v>0</v>
      </c>
      <c r="J60" s="14">
        <f t="shared" si="4"/>
        <v>0</v>
      </c>
      <c r="K60" s="14" cm="1">
        <f t="array" ref="K60">IF(OR(A60="",H60=0),0,H60/SUMPRODUCT(ISNUMBER(D$6:D$102)*(D$6:D$102&lt;&gt;0)*(H$6:H$102)))</f>
        <v>0</v>
      </c>
    </row>
    <row r="61" spans="1:11" x14ac:dyDescent="0.3">
      <c r="B61" s="6" t="str">
        <f t="shared" si="0"/>
        <v/>
      </c>
      <c r="C61" s="6" t="str">
        <f>IF(A61="","",IFERROR(INDEX('Trade Log'!G$4:G$1002,MATCH(A61,'Trade Log'!C$4:C$1002,0)),"EUR"))</f>
        <v/>
      </c>
      <c r="D61" s="9" t="str">
        <f>IF(A61="","",SUMIFS('Trade Log'!H:H,'Trade Log'!C:C,A61,'Trade Log'!D:D,"Buy")+SUMIFS('Trade Log'!H:H,'Trade Log'!C:C,A61,'Trade Log'!D:D,"Sell")-IF(ISNUMBER(SEARCH("Bond",B61)),SUMIFS('Trade Log'!I:I,'Trade Log'!C:C,A61,'Trade Log'!D:D,"Redemption"),0))</f>
        <v/>
      </c>
      <c r="E61" s="8">
        <f>IF(OR(A61="",D61=0),0,ABS(SUMIFS('Trade Log'!K:K,'Trade Log'!C:C,A61,'Trade Log'!D:D,"Buy"))/SUMIFS('Trade Log'!H:H,'Trade Log'!C:C,A61,'Trade Log'!D:D,"Buy"))</f>
        <v>0</v>
      </c>
      <c r="F61" s="10">
        <f t="shared" si="1"/>
        <v>0</v>
      </c>
      <c r="G61" s="15"/>
      <c r="H61" s="10">
        <f t="shared" si="2"/>
        <v>0</v>
      </c>
      <c r="I61" s="10">
        <f t="shared" si="3"/>
        <v>0</v>
      </c>
      <c r="J61" s="14">
        <f t="shared" si="4"/>
        <v>0</v>
      </c>
      <c r="K61" s="14" cm="1">
        <f t="array" ref="K61">IF(OR(A61="",H61=0),0,H61/SUMPRODUCT(ISNUMBER(D$6:D$102)*(D$6:D$102&lt;&gt;0)*(H$6:H$102)))</f>
        <v>0</v>
      </c>
    </row>
    <row r="62" spans="1:11" x14ac:dyDescent="0.3">
      <c r="B62" s="6" t="str">
        <f t="shared" si="0"/>
        <v/>
      </c>
      <c r="C62" s="6" t="str">
        <f>IF(A62="","",IFERROR(INDEX('Trade Log'!G$4:G$1002,MATCH(A62,'Trade Log'!C$4:C$1002,0)),"EUR"))</f>
        <v/>
      </c>
      <c r="D62" s="9" t="str">
        <f>IF(A62="","",SUMIFS('Trade Log'!H:H,'Trade Log'!C:C,A62,'Trade Log'!D:D,"Buy")+SUMIFS('Trade Log'!H:H,'Trade Log'!C:C,A62,'Trade Log'!D:D,"Sell")-IF(ISNUMBER(SEARCH("Bond",B62)),SUMIFS('Trade Log'!I:I,'Trade Log'!C:C,A62,'Trade Log'!D:D,"Redemption"),0))</f>
        <v/>
      </c>
      <c r="E62" s="8">
        <f>IF(OR(A62="",D62=0),0,ABS(SUMIFS('Trade Log'!K:K,'Trade Log'!C:C,A62,'Trade Log'!D:D,"Buy"))/SUMIFS('Trade Log'!H:H,'Trade Log'!C:C,A62,'Trade Log'!D:D,"Buy"))</f>
        <v>0</v>
      </c>
      <c r="F62" s="10">
        <f t="shared" si="1"/>
        <v>0</v>
      </c>
      <c r="G62" s="15"/>
      <c r="H62" s="10">
        <f t="shared" si="2"/>
        <v>0</v>
      </c>
      <c r="I62" s="10">
        <f t="shared" si="3"/>
        <v>0</v>
      </c>
      <c r="J62" s="14">
        <f t="shared" si="4"/>
        <v>0</v>
      </c>
      <c r="K62" s="14" cm="1">
        <f t="array" ref="K62">IF(OR(A62="",H62=0),0,H62/SUMPRODUCT(ISNUMBER(D$6:D$102)*(D$6:D$102&lt;&gt;0)*(H$6:H$102)))</f>
        <v>0</v>
      </c>
    </row>
    <row r="63" spans="1:11" x14ac:dyDescent="0.3">
      <c r="B63" s="6" t="str">
        <f t="shared" si="0"/>
        <v/>
      </c>
      <c r="C63" s="6" t="str">
        <f>IF(A63="","",IFERROR(INDEX('Trade Log'!G$4:G$1002,MATCH(A63,'Trade Log'!C$4:C$1002,0)),"EUR"))</f>
        <v/>
      </c>
      <c r="D63" s="9" t="str">
        <f>IF(A63="","",SUMIFS('Trade Log'!H:H,'Trade Log'!C:C,A63,'Trade Log'!D:D,"Buy")+SUMIFS('Trade Log'!H:H,'Trade Log'!C:C,A63,'Trade Log'!D:D,"Sell")-IF(ISNUMBER(SEARCH("Bond",B63)),SUMIFS('Trade Log'!I:I,'Trade Log'!C:C,A63,'Trade Log'!D:D,"Redemption"),0))</f>
        <v/>
      </c>
      <c r="E63" s="8">
        <f>IF(OR(A63="",D63=0),0,ABS(SUMIFS('Trade Log'!K:K,'Trade Log'!C:C,A63,'Trade Log'!D:D,"Buy"))/SUMIFS('Trade Log'!H:H,'Trade Log'!C:C,A63,'Trade Log'!D:D,"Buy"))</f>
        <v>0</v>
      </c>
      <c r="F63" s="10">
        <f t="shared" si="1"/>
        <v>0</v>
      </c>
      <c r="G63" s="15"/>
      <c r="H63" s="10">
        <f t="shared" si="2"/>
        <v>0</v>
      </c>
      <c r="I63" s="10">
        <f t="shared" si="3"/>
        <v>0</v>
      </c>
      <c r="J63" s="14">
        <f t="shared" si="4"/>
        <v>0</v>
      </c>
      <c r="K63" s="14" cm="1">
        <f t="array" ref="K63">IF(OR(A63="",H63=0),0,H63/SUMPRODUCT(ISNUMBER(D$6:D$102)*(D$6:D$102&lt;&gt;0)*(H$6:H$102)))</f>
        <v>0</v>
      </c>
    </row>
    <row r="64" spans="1:11" x14ac:dyDescent="0.3">
      <c r="B64" s="6" t="str">
        <f t="shared" si="0"/>
        <v/>
      </c>
      <c r="C64" s="6" t="str">
        <f>IF(A64="","",IFERROR(INDEX('Trade Log'!G$4:G$1002,MATCH(A64,'Trade Log'!C$4:C$1002,0)),"EUR"))</f>
        <v/>
      </c>
      <c r="D64" s="9" t="str">
        <f>IF(A64="","",SUMIFS('Trade Log'!H:H,'Trade Log'!C:C,A64,'Trade Log'!D:D,"Buy")+SUMIFS('Trade Log'!H:H,'Trade Log'!C:C,A64,'Trade Log'!D:D,"Sell")-IF(ISNUMBER(SEARCH("Bond",B64)),SUMIFS('Trade Log'!I:I,'Trade Log'!C:C,A64,'Trade Log'!D:D,"Redemption"),0))</f>
        <v/>
      </c>
      <c r="E64" s="8">
        <f>IF(OR(A64="",D64=0),0,ABS(SUMIFS('Trade Log'!K:K,'Trade Log'!C:C,A64,'Trade Log'!D:D,"Buy"))/SUMIFS('Trade Log'!H:H,'Trade Log'!C:C,A64,'Trade Log'!D:D,"Buy"))</f>
        <v>0</v>
      </c>
      <c r="F64" s="10">
        <f t="shared" si="1"/>
        <v>0</v>
      </c>
      <c r="G64" s="15"/>
      <c r="H64" s="10">
        <f t="shared" si="2"/>
        <v>0</v>
      </c>
      <c r="I64" s="10">
        <f t="shared" si="3"/>
        <v>0</v>
      </c>
      <c r="J64" s="14">
        <f t="shared" si="4"/>
        <v>0</v>
      </c>
      <c r="K64" s="14" cm="1">
        <f t="array" ref="K64">IF(OR(A64="",H64=0),0,H64/SUMPRODUCT(ISNUMBER(D$6:D$102)*(D$6:D$102&lt;&gt;0)*(H$6:H$102)))</f>
        <v>0</v>
      </c>
    </row>
    <row r="65" spans="2:11" x14ac:dyDescent="0.3">
      <c r="B65" s="6" t="str">
        <f t="shared" si="0"/>
        <v/>
      </c>
      <c r="C65" s="6" t="str">
        <f>IF(A65="","",IFERROR(INDEX('Trade Log'!G$4:G$1002,MATCH(A65,'Trade Log'!C$4:C$1002,0)),"EUR"))</f>
        <v/>
      </c>
      <c r="D65" s="9" t="str">
        <f>IF(A65="","",SUMIFS('Trade Log'!H:H,'Trade Log'!C:C,A65,'Trade Log'!D:D,"Buy")+SUMIFS('Trade Log'!H:H,'Trade Log'!C:C,A65,'Trade Log'!D:D,"Sell")-IF(ISNUMBER(SEARCH("Bond",B65)),SUMIFS('Trade Log'!I:I,'Trade Log'!C:C,A65,'Trade Log'!D:D,"Redemption"),0))</f>
        <v/>
      </c>
      <c r="E65" s="8">
        <f>IF(OR(A65="",D65=0),0,ABS(SUMIFS('Trade Log'!K:K,'Trade Log'!C:C,A65,'Trade Log'!D:D,"Buy"))/SUMIFS('Trade Log'!H:H,'Trade Log'!C:C,A65,'Trade Log'!D:D,"Buy"))</f>
        <v>0</v>
      </c>
      <c r="F65" s="10">
        <f t="shared" si="1"/>
        <v>0</v>
      </c>
      <c r="G65" s="15"/>
      <c r="H65" s="10">
        <f t="shared" si="2"/>
        <v>0</v>
      </c>
      <c r="I65" s="10">
        <f t="shared" si="3"/>
        <v>0</v>
      </c>
      <c r="J65" s="14">
        <f t="shared" si="4"/>
        <v>0</v>
      </c>
      <c r="K65" s="14" cm="1">
        <f t="array" ref="K65">IF(OR(A65="",H65=0),0,H65/SUMPRODUCT(ISNUMBER(D$6:D$102)*(D$6:D$102&lt;&gt;0)*(H$6:H$102)))</f>
        <v>0</v>
      </c>
    </row>
    <row r="66" spans="2:11" x14ac:dyDescent="0.3">
      <c r="B66" s="6" t="str">
        <f t="shared" si="0"/>
        <v/>
      </c>
      <c r="C66" s="6" t="str">
        <f>IF(A66="","",IFERROR(INDEX('Trade Log'!G$4:G$1002,MATCH(A66,'Trade Log'!C$4:C$1002,0)),"EUR"))</f>
        <v/>
      </c>
      <c r="D66" s="9" t="str">
        <f>IF(A66="","",SUMIFS('Trade Log'!H:H,'Trade Log'!C:C,A66,'Trade Log'!D:D,"Buy")+SUMIFS('Trade Log'!H:H,'Trade Log'!C:C,A66,'Trade Log'!D:D,"Sell")-IF(ISNUMBER(SEARCH("Bond",B66)),SUMIFS('Trade Log'!I:I,'Trade Log'!C:C,A66,'Trade Log'!D:D,"Redemption"),0))</f>
        <v/>
      </c>
      <c r="E66" s="8">
        <f>IF(OR(A66="",D66=0),0,ABS(SUMIFS('Trade Log'!K:K,'Trade Log'!C:C,A66,'Trade Log'!D:D,"Buy"))/SUMIFS('Trade Log'!H:H,'Trade Log'!C:C,A66,'Trade Log'!D:D,"Buy"))</f>
        <v>0</v>
      </c>
      <c r="F66" s="10">
        <f t="shared" si="1"/>
        <v>0</v>
      </c>
      <c r="G66" s="15"/>
      <c r="H66" s="10">
        <f t="shared" si="2"/>
        <v>0</v>
      </c>
      <c r="I66" s="10">
        <f t="shared" si="3"/>
        <v>0</v>
      </c>
      <c r="J66" s="14">
        <f t="shared" si="4"/>
        <v>0</v>
      </c>
      <c r="K66" s="14" cm="1">
        <f t="array" ref="K66">IF(OR(A66="",H66=0),0,H66/SUMPRODUCT(ISNUMBER(D$6:D$102)*(D$6:D$102&lt;&gt;0)*(H$6:H$102)))</f>
        <v>0</v>
      </c>
    </row>
    <row r="67" spans="2:11" x14ac:dyDescent="0.3">
      <c r="B67" s="6" t="str">
        <f t="shared" si="0"/>
        <v/>
      </c>
      <c r="C67" s="6" t="str">
        <f>IF(A67="","",IFERROR(INDEX('Trade Log'!G$4:G$1002,MATCH(A67,'Trade Log'!C$4:C$1002,0)),"EUR"))</f>
        <v/>
      </c>
      <c r="D67" s="9" t="str">
        <f>IF(A67="","",SUMIFS('Trade Log'!H:H,'Trade Log'!C:C,A67,'Trade Log'!D:D,"Buy")+SUMIFS('Trade Log'!H:H,'Trade Log'!C:C,A67,'Trade Log'!D:D,"Sell")-IF(ISNUMBER(SEARCH("Bond",B67)),SUMIFS('Trade Log'!I:I,'Trade Log'!C:C,A67,'Trade Log'!D:D,"Redemption"),0))</f>
        <v/>
      </c>
      <c r="E67" s="8">
        <f>IF(OR(A67="",D67=0),0,ABS(SUMIFS('Trade Log'!K:K,'Trade Log'!C:C,A67,'Trade Log'!D:D,"Buy"))/SUMIFS('Trade Log'!H:H,'Trade Log'!C:C,A67,'Trade Log'!D:D,"Buy"))</f>
        <v>0</v>
      </c>
      <c r="F67" s="10">
        <f t="shared" si="1"/>
        <v>0</v>
      </c>
      <c r="G67" s="15"/>
      <c r="H67" s="10">
        <f t="shared" si="2"/>
        <v>0</v>
      </c>
      <c r="I67" s="10">
        <f t="shared" si="3"/>
        <v>0</v>
      </c>
      <c r="J67" s="14">
        <f t="shared" si="4"/>
        <v>0</v>
      </c>
      <c r="K67" s="14" cm="1">
        <f t="array" ref="K67">IF(OR(A67="",H67=0),0,H67/SUMPRODUCT(ISNUMBER(D$6:D$102)*(D$6:D$102&lt;&gt;0)*(H$6:H$102)))</f>
        <v>0</v>
      </c>
    </row>
    <row r="68" spans="2:11" x14ac:dyDescent="0.3">
      <c r="B68" s="6" t="str">
        <f t="shared" si="0"/>
        <v/>
      </c>
      <c r="C68" s="6" t="str">
        <f>IF(A68="","",IFERROR(INDEX('Trade Log'!G$4:G$1002,MATCH(A68,'Trade Log'!C$4:C$1002,0)),"EUR"))</f>
        <v/>
      </c>
      <c r="D68" s="9" t="str">
        <f>IF(A68="","",SUMIFS('Trade Log'!H:H,'Trade Log'!C:C,A68,'Trade Log'!D:D,"Buy")+SUMIFS('Trade Log'!H:H,'Trade Log'!C:C,A68,'Trade Log'!D:D,"Sell")-IF(ISNUMBER(SEARCH("Bond",B68)),SUMIFS('Trade Log'!I:I,'Trade Log'!C:C,A68,'Trade Log'!D:D,"Redemption"),0))</f>
        <v/>
      </c>
      <c r="E68" s="8">
        <f>IF(OR(A68="",D68=0),0,ABS(SUMIFS('Trade Log'!K:K,'Trade Log'!C:C,A68,'Trade Log'!D:D,"Buy"))/SUMIFS('Trade Log'!H:H,'Trade Log'!C:C,A68,'Trade Log'!D:D,"Buy"))</f>
        <v>0</v>
      </c>
      <c r="F68" s="10">
        <f t="shared" si="1"/>
        <v>0</v>
      </c>
      <c r="G68" s="15"/>
      <c r="H68" s="10">
        <f t="shared" si="2"/>
        <v>0</v>
      </c>
      <c r="I68" s="10">
        <f t="shared" si="3"/>
        <v>0</v>
      </c>
      <c r="J68" s="14">
        <f t="shared" si="4"/>
        <v>0</v>
      </c>
      <c r="K68" s="14" cm="1">
        <f t="array" ref="K68">IF(OR(A68="",H68=0),0,H68/SUMPRODUCT(ISNUMBER(D$6:D$102)*(D$6:D$102&lt;&gt;0)*(H$6:H$102)))</f>
        <v>0</v>
      </c>
    </row>
    <row r="69" spans="2:11" x14ac:dyDescent="0.3">
      <c r="B69" s="6" t="str">
        <f t="shared" si="0"/>
        <v/>
      </c>
      <c r="C69" s="6" t="str">
        <f>IF(A69="","",IFERROR(INDEX('Trade Log'!G$4:G$1002,MATCH(A69,'Trade Log'!C$4:C$1002,0)),"EUR"))</f>
        <v/>
      </c>
      <c r="D69" s="9" t="str">
        <f>IF(A69="","",SUMIFS('Trade Log'!H:H,'Trade Log'!C:C,A69,'Trade Log'!D:D,"Buy")+SUMIFS('Trade Log'!H:H,'Trade Log'!C:C,A69,'Trade Log'!D:D,"Sell")-IF(ISNUMBER(SEARCH("Bond",B69)),SUMIFS('Trade Log'!I:I,'Trade Log'!C:C,A69,'Trade Log'!D:D,"Redemption"),0))</f>
        <v/>
      </c>
      <c r="E69" s="8">
        <f>IF(OR(A69="",D69=0),0,ABS(SUMIFS('Trade Log'!K:K,'Trade Log'!C:C,A69,'Trade Log'!D:D,"Buy"))/SUMIFS('Trade Log'!H:H,'Trade Log'!C:C,A69,'Trade Log'!D:D,"Buy"))</f>
        <v>0</v>
      </c>
      <c r="F69" s="10">
        <f t="shared" si="1"/>
        <v>0</v>
      </c>
      <c r="G69" s="15"/>
      <c r="H69" s="10">
        <f t="shared" si="2"/>
        <v>0</v>
      </c>
      <c r="I69" s="10">
        <f t="shared" si="3"/>
        <v>0</v>
      </c>
      <c r="J69" s="14">
        <f t="shared" si="4"/>
        <v>0</v>
      </c>
      <c r="K69" s="14" cm="1">
        <f t="array" ref="K69">IF(OR(A69="",H69=0),0,H69/SUMPRODUCT(ISNUMBER(D$6:D$102)*(D$6:D$102&lt;&gt;0)*(H$6:H$102)))</f>
        <v>0</v>
      </c>
    </row>
    <row r="70" spans="2:11" x14ac:dyDescent="0.3">
      <c r="B70" s="6" t="str">
        <f t="shared" si="0"/>
        <v/>
      </c>
      <c r="C70" s="6" t="str">
        <f>IF(A70="","",IFERROR(INDEX('Trade Log'!G$4:G$1002,MATCH(A70,'Trade Log'!C$4:C$1002,0)),"EUR"))</f>
        <v/>
      </c>
      <c r="D70" s="9" t="str">
        <f>IF(A70="","",SUMIFS('Trade Log'!H:H,'Trade Log'!C:C,A70,'Trade Log'!D:D,"Buy")+SUMIFS('Trade Log'!H:H,'Trade Log'!C:C,A70,'Trade Log'!D:D,"Sell")-IF(ISNUMBER(SEARCH("Bond",B70)),SUMIFS('Trade Log'!I:I,'Trade Log'!C:C,A70,'Trade Log'!D:D,"Redemption"),0))</f>
        <v/>
      </c>
      <c r="E70" s="8">
        <f>IF(OR(A70="",D70=0),0,ABS(SUMIFS('Trade Log'!K:K,'Trade Log'!C:C,A70,'Trade Log'!D:D,"Buy"))/SUMIFS('Trade Log'!H:H,'Trade Log'!C:C,A70,'Trade Log'!D:D,"Buy"))</f>
        <v>0</v>
      </c>
      <c r="F70" s="10">
        <f t="shared" si="1"/>
        <v>0</v>
      </c>
      <c r="G70" s="15"/>
      <c r="H70" s="10">
        <f t="shared" si="2"/>
        <v>0</v>
      </c>
      <c r="I70" s="10">
        <f t="shared" si="3"/>
        <v>0</v>
      </c>
      <c r="J70" s="14">
        <f t="shared" si="4"/>
        <v>0</v>
      </c>
      <c r="K70" s="14" cm="1">
        <f t="array" ref="K70">IF(OR(A70="",H70=0),0,H70/SUMPRODUCT(ISNUMBER(D$6:D$102)*(D$6:D$102&lt;&gt;0)*(H$6:H$102)))</f>
        <v>0</v>
      </c>
    </row>
    <row r="71" spans="2:11" x14ac:dyDescent="0.3">
      <c r="B71" s="6" t="str">
        <f t="shared" ref="B71:B102" si="5">IF(A71="","",IF(OR(ISNUMBER(SEARCH("BOT ",A71)),ISNUMBER(SEARCH("BTP ",A71)),ISNUMBER(SEARCH("CARRARO",A71))),"Bond",IF(OR(ISNUMBER(SEARCH("isdom",A71)),ISNUMBER(SEARCH("ISHARES",A71)),ISNUMBER(SEARCH("iShares",A71)),ISNUMBER(SEARCH("WISDOMTREE",A71))),"ETF/ETC",IF(OR(ISNUMBER(SEARCH("Bitwise",A71)),ISNUMBER(SEARCH("BITWISE",A71))),"Crypto ETP","Stock"))))</f>
        <v/>
      </c>
      <c r="C71" s="6" t="str">
        <f>IF(A71="","",IFERROR(INDEX('Trade Log'!G$4:G$1002,MATCH(A71,'Trade Log'!C$4:C$1002,0)),"EUR"))</f>
        <v/>
      </c>
      <c r="D71" s="9" t="str">
        <f>IF(A71="","",SUMIFS('Trade Log'!H:H,'Trade Log'!C:C,A71,'Trade Log'!D:D,"Buy")+SUMIFS('Trade Log'!H:H,'Trade Log'!C:C,A71,'Trade Log'!D:D,"Sell")-IF(ISNUMBER(SEARCH("Bond",B71)),SUMIFS('Trade Log'!I:I,'Trade Log'!C:C,A71,'Trade Log'!D:D,"Redemption"),0))</f>
        <v/>
      </c>
      <c r="E71" s="8">
        <f>IF(OR(A71="",D71=0),0,ABS(SUMIFS('Trade Log'!K:K,'Trade Log'!C:C,A71,'Trade Log'!D:D,"Buy"))/SUMIFS('Trade Log'!H:H,'Trade Log'!C:C,A71,'Trade Log'!D:D,"Buy"))</f>
        <v>0</v>
      </c>
      <c r="F71" s="10">
        <f t="shared" ref="F71:F102" si="6">IF(OR(A71="",D71=0),0,-D71*E71)</f>
        <v>0</v>
      </c>
      <c r="G71" s="15"/>
      <c r="H71" s="10">
        <f t="shared" ref="H71:H102" si="7">IF(OR(A71="",D71=0),0,D71*G71)</f>
        <v>0</v>
      </c>
      <c r="I71" s="10">
        <f t="shared" ref="I71:I102" si="8">IF(OR(A71="",D71=0),0,H71+F71)</f>
        <v>0</v>
      </c>
      <c r="J71" s="14">
        <f t="shared" ref="J71:J102" si="9">IF(OR(A71="",D71=0,F71=0),0,I71/ABS(F71))</f>
        <v>0</v>
      </c>
      <c r="K71" s="14" cm="1">
        <f t="array" ref="K71">IF(OR(A71="",H71=0),0,H71/SUMPRODUCT(ISNUMBER(D$6:D$102)*(D$6:D$102&lt;&gt;0)*(H$6:H$102)))</f>
        <v>0</v>
      </c>
    </row>
    <row r="72" spans="2:11" x14ac:dyDescent="0.3">
      <c r="B72" s="6" t="str">
        <f t="shared" si="5"/>
        <v/>
      </c>
      <c r="C72" s="6" t="str">
        <f>IF(A72="","",IFERROR(INDEX('Trade Log'!G$4:G$1002,MATCH(A72,'Trade Log'!C$4:C$1002,0)),"EUR"))</f>
        <v/>
      </c>
      <c r="D72" s="9" t="str">
        <f>IF(A72="","",SUMIFS('Trade Log'!H:H,'Trade Log'!C:C,A72,'Trade Log'!D:D,"Buy")+SUMIFS('Trade Log'!H:H,'Trade Log'!C:C,A72,'Trade Log'!D:D,"Sell")-IF(ISNUMBER(SEARCH("Bond",B72)),SUMIFS('Trade Log'!I:I,'Trade Log'!C:C,A72,'Trade Log'!D:D,"Redemption"),0))</f>
        <v/>
      </c>
      <c r="E72" s="8">
        <f>IF(OR(A72="",D72=0),0,ABS(SUMIFS('Trade Log'!K:K,'Trade Log'!C:C,A72,'Trade Log'!D:D,"Buy"))/SUMIFS('Trade Log'!H:H,'Trade Log'!C:C,A72,'Trade Log'!D:D,"Buy"))</f>
        <v>0</v>
      </c>
      <c r="F72" s="10">
        <f t="shared" si="6"/>
        <v>0</v>
      </c>
      <c r="G72" s="15"/>
      <c r="H72" s="10">
        <f t="shared" si="7"/>
        <v>0</v>
      </c>
      <c r="I72" s="10">
        <f t="shared" si="8"/>
        <v>0</v>
      </c>
      <c r="J72" s="14">
        <f t="shared" si="9"/>
        <v>0</v>
      </c>
      <c r="K72" s="14" cm="1">
        <f t="array" ref="K72">IF(OR(A72="",H72=0),0,H72/SUMPRODUCT(ISNUMBER(D$6:D$102)*(D$6:D$102&lt;&gt;0)*(H$6:H$102)))</f>
        <v>0</v>
      </c>
    </row>
    <row r="73" spans="2:11" x14ac:dyDescent="0.3">
      <c r="B73" s="6" t="str">
        <f t="shared" si="5"/>
        <v/>
      </c>
      <c r="C73" s="6" t="str">
        <f>IF(A73="","",IFERROR(INDEX('Trade Log'!G$4:G$1002,MATCH(A73,'Trade Log'!C$4:C$1002,0)),"EUR"))</f>
        <v/>
      </c>
      <c r="D73" s="9" t="str">
        <f>IF(A73="","",SUMIFS('Trade Log'!H:H,'Trade Log'!C:C,A73,'Trade Log'!D:D,"Buy")+SUMIFS('Trade Log'!H:H,'Trade Log'!C:C,A73,'Trade Log'!D:D,"Sell")-IF(ISNUMBER(SEARCH("Bond",B73)),SUMIFS('Trade Log'!I:I,'Trade Log'!C:C,A73,'Trade Log'!D:D,"Redemption"),0))</f>
        <v/>
      </c>
      <c r="E73" s="8">
        <f>IF(OR(A73="",D73=0),0,ABS(SUMIFS('Trade Log'!K:K,'Trade Log'!C:C,A73,'Trade Log'!D:D,"Buy"))/SUMIFS('Trade Log'!H:H,'Trade Log'!C:C,A73,'Trade Log'!D:D,"Buy"))</f>
        <v>0</v>
      </c>
      <c r="F73" s="10">
        <f t="shared" si="6"/>
        <v>0</v>
      </c>
      <c r="G73" s="15"/>
      <c r="H73" s="10">
        <f t="shared" si="7"/>
        <v>0</v>
      </c>
      <c r="I73" s="10">
        <f t="shared" si="8"/>
        <v>0</v>
      </c>
      <c r="J73" s="14">
        <f t="shared" si="9"/>
        <v>0</v>
      </c>
      <c r="K73" s="14" cm="1">
        <f t="array" ref="K73">IF(OR(A73="",H73=0),0,H73/SUMPRODUCT(ISNUMBER(D$6:D$102)*(D$6:D$102&lt;&gt;0)*(H$6:H$102)))</f>
        <v>0</v>
      </c>
    </row>
    <row r="74" spans="2:11" x14ac:dyDescent="0.3">
      <c r="B74" s="6" t="str">
        <f t="shared" si="5"/>
        <v/>
      </c>
      <c r="C74" s="6" t="str">
        <f>IF(A74="","",IFERROR(INDEX('Trade Log'!G$4:G$1002,MATCH(A74,'Trade Log'!C$4:C$1002,0)),"EUR"))</f>
        <v/>
      </c>
      <c r="D74" s="9" t="str">
        <f>IF(A74="","",SUMIFS('Trade Log'!H:H,'Trade Log'!C:C,A74,'Trade Log'!D:D,"Buy")+SUMIFS('Trade Log'!H:H,'Trade Log'!C:C,A74,'Trade Log'!D:D,"Sell")-IF(ISNUMBER(SEARCH("Bond",B74)),SUMIFS('Trade Log'!I:I,'Trade Log'!C:C,A74,'Trade Log'!D:D,"Redemption"),0))</f>
        <v/>
      </c>
      <c r="E74" s="8">
        <f>IF(OR(A74="",D74=0),0,ABS(SUMIFS('Trade Log'!K:K,'Trade Log'!C:C,A74,'Trade Log'!D:D,"Buy"))/SUMIFS('Trade Log'!H:H,'Trade Log'!C:C,A74,'Trade Log'!D:D,"Buy"))</f>
        <v>0</v>
      </c>
      <c r="F74" s="10">
        <f t="shared" si="6"/>
        <v>0</v>
      </c>
      <c r="G74" s="15"/>
      <c r="H74" s="10">
        <f t="shared" si="7"/>
        <v>0</v>
      </c>
      <c r="I74" s="10">
        <f t="shared" si="8"/>
        <v>0</v>
      </c>
      <c r="J74" s="14">
        <f t="shared" si="9"/>
        <v>0</v>
      </c>
      <c r="K74" s="14" cm="1">
        <f t="array" ref="K74">IF(OR(A74="",H74=0),0,H74/SUMPRODUCT(ISNUMBER(D$6:D$102)*(D$6:D$102&lt;&gt;0)*(H$6:H$102)))</f>
        <v>0</v>
      </c>
    </row>
    <row r="75" spans="2:11" x14ac:dyDescent="0.3">
      <c r="B75" s="6" t="str">
        <f t="shared" si="5"/>
        <v/>
      </c>
      <c r="C75" s="6" t="str">
        <f>IF(A75="","",IFERROR(INDEX('Trade Log'!G$4:G$1002,MATCH(A75,'Trade Log'!C$4:C$1002,0)),"EUR"))</f>
        <v/>
      </c>
      <c r="D75" s="9" t="str">
        <f>IF(A75="","",SUMIFS('Trade Log'!H:H,'Trade Log'!C:C,A75,'Trade Log'!D:D,"Buy")+SUMIFS('Trade Log'!H:H,'Trade Log'!C:C,A75,'Trade Log'!D:D,"Sell")-IF(ISNUMBER(SEARCH("Bond",B75)),SUMIFS('Trade Log'!I:I,'Trade Log'!C:C,A75,'Trade Log'!D:D,"Redemption"),0))</f>
        <v/>
      </c>
      <c r="E75" s="8">
        <f>IF(OR(A75="",D75=0),0,ABS(SUMIFS('Trade Log'!K:K,'Trade Log'!C:C,A75,'Trade Log'!D:D,"Buy"))/SUMIFS('Trade Log'!H:H,'Trade Log'!C:C,A75,'Trade Log'!D:D,"Buy"))</f>
        <v>0</v>
      </c>
      <c r="F75" s="10">
        <f t="shared" si="6"/>
        <v>0</v>
      </c>
      <c r="G75" s="15"/>
      <c r="H75" s="10">
        <f t="shared" si="7"/>
        <v>0</v>
      </c>
      <c r="I75" s="10">
        <f t="shared" si="8"/>
        <v>0</v>
      </c>
      <c r="J75" s="14">
        <f t="shared" si="9"/>
        <v>0</v>
      </c>
      <c r="K75" s="14" cm="1">
        <f t="array" ref="K75">IF(OR(A75="",H75=0),0,H75/SUMPRODUCT(ISNUMBER(D$6:D$102)*(D$6:D$102&lt;&gt;0)*(H$6:H$102)))</f>
        <v>0</v>
      </c>
    </row>
    <row r="76" spans="2:11" x14ac:dyDescent="0.3">
      <c r="B76" s="6" t="str">
        <f t="shared" si="5"/>
        <v/>
      </c>
      <c r="C76" s="6" t="str">
        <f>IF(A76="","",IFERROR(INDEX('Trade Log'!G$4:G$1002,MATCH(A76,'Trade Log'!C$4:C$1002,0)),"EUR"))</f>
        <v/>
      </c>
      <c r="D76" s="9" t="str">
        <f>IF(A76="","",SUMIFS('Trade Log'!H:H,'Trade Log'!C:C,A76,'Trade Log'!D:D,"Buy")+SUMIFS('Trade Log'!H:H,'Trade Log'!C:C,A76,'Trade Log'!D:D,"Sell")-IF(ISNUMBER(SEARCH("Bond",B76)),SUMIFS('Trade Log'!I:I,'Trade Log'!C:C,A76,'Trade Log'!D:D,"Redemption"),0))</f>
        <v/>
      </c>
      <c r="E76" s="8">
        <f>IF(OR(A76="",D76=0),0,ABS(SUMIFS('Trade Log'!K:K,'Trade Log'!C:C,A76,'Trade Log'!D:D,"Buy"))/SUMIFS('Trade Log'!H:H,'Trade Log'!C:C,A76,'Trade Log'!D:D,"Buy"))</f>
        <v>0</v>
      </c>
      <c r="F76" s="10">
        <f t="shared" si="6"/>
        <v>0</v>
      </c>
      <c r="G76" s="15"/>
      <c r="H76" s="10">
        <f t="shared" si="7"/>
        <v>0</v>
      </c>
      <c r="I76" s="10">
        <f t="shared" si="8"/>
        <v>0</v>
      </c>
      <c r="J76" s="14">
        <f t="shared" si="9"/>
        <v>0</v>
      </c>
      <c r="K76" s="14" cm="1">
        <f t="array" ref="K76">IF(OR(A76="",H76=0),0,H76/SUMPRODUCT(ISNUMBER(D$6:D$102)*(D$6:D$102&lt;&gt;0)*(H$6:H$102)))</f>
        <v>0</v>
      </c>
    </row>
    <row r="77" spans="2:11" x14ac:dyDescent="0.3">
      <c r="B77" s="6" t="str">
        <f t="shared" si="5"/>
        <v/>
      </c>
      <c r="C77" s="6" t="str">
        <f>IF(A77="","",IFERROR(INDEX('Trade Log'!G$4:G$1002,MATCH(A77,'Trade Log'!C$4:C$1002,0)),"EUR"))</f>
        <v/>
      </c>
      <c r="D77" s="9" t="str">
        <f>IF(A77="","",SUMIFS('Trade Log'!H:H,'Trade Log'!C:C,A77,'Trade Log'!D:D,"Buy")+SUMIFS('Trade Log'!H:H,'Trade Log'!C:C,A77,'Trade Log'!D:D,"Sell")-IF(ISNUMBER(SEARCH("Bond",B77)),SUMIFS('Trade Log'!I:I,'Trade Log'!C:C,A77,'Trade Log'!D:D,"Redemption"),0))</f>
        <v/>
      </c>
      <c r="E77" s="8">
        <f>IF(OR(A77="",D77=0),0,ABS(SUMIFS('Trade Log'!K:K,'Trade Log'!C:C,A77,'Trade Log'!D:D,"Buy"))/SUMIFS('Trade Log'!H:H,'Trade Log'!C:C,A77,'Trade Log'!D:D,"Buy"))</f>
        <v>0</v>
      </c>
      <c r="F77" s="10">
        <f t="shared" si="6"/>
        <v>0</v>
      </c>
      <c r="G77" s="15"/>
      <c r="H77" s="10">
        <f t="shared" si="7"/>
        <v>0</v>
      </c>
      <c r="I77" s="10">
        <f t="shared" si="8"/>
        <v>0</v>
      </c>
      <c r="J77" s="14">
        <f t="shared" si="9"/>
        <v>0</v>
      </c>
      <c r="K77" s="14" cm="1">
        <f t="array" ref="K77">IF(OR(A77="",H77=0),0,H77/SUMPRODUCT(ISNUMBER(D$6:D$102)*(D$6:D$102&lt;&gt;0)*(H$6:H$102)))</f>
        <v>0</v>
      </c>
    </row>
    <row r="78" spans="2:11" x14ac:dyDescent="0.3">
      <c r="B78" s="6" t="str">
        <f t="shared" si="5"/>
        <v/>
      </c>
      <c r="C78" s="6" t="str">
        <f>IF(A78="","",IFERROR(INDEX('Trade Log'!G$4:G$1002,MATCH(A78,'Trade Log'!C$4:C$1002,0)),"EUR"))</f>
        <v/>
      </c>
      <c r="D78" s="9" t="str">
        <f>IF(A78="","",SUMIFS('Trade Log'!H:H,'Trade Log'!C:C,A78,'Trade Log'!D:D,"Buy")+SUMIFS('Trade Log'!H:H,'Trade Log'!C:C,A78,'Trade Log'!D:D,"Sell")-IF(ISNUMBER(SEARCH("Bond",B78)),SUMIFS('Trade Log'!I:I,'Trade Log'!C:C,A78,'Trade Log'!D:D,"Redemption"),0))</f>
        <v/>
      </c>
      <c r="E78" s="8">
        <f>IF(OR(A78="",D78=0),0,ABS(SUMIFS('Trade Log'!K:K,'Trade Log'!C:C,A78,'Trade Log'!D:D,"Buy"))/SUMIFS('Trade Log'!H:H,'Trade Log'!C:C,A78,'Trade Log'!D:D,"Buy"))</f>
        <v>0</v>
      </c>
      <c r="F78" s="10">
        <f t="shared" si="6"/>
        <v>0</v>
      </c>
      <c r="G78" s="15"/>
      <c r="H78" s="10">
        <f t="shared" si="7"/>
        <v>0</v>
      </c>
      <c r="I78" s="10">
        <f t="shared" si="8"/>
        <v>0</v>
      </c>
      <c r="J78" s="14">
        <f t="shared" si="9"/>
        <v>0</v>
      </c>
      <c r="K78" s="14" cm="1">
        <f t="array" ref="K78">IF(OR(A78="",H78=0),0,H78/SUMPRODUCT(ISNUMBER(D$6:D$102)*(D$6:D$102&lt;&gt;0)*(H$6:H$102)))</f>
        <v>0</v>
      </c>
    </row>
    <row r="79" spans="2:11" x14ac:dyDescent="0.3">
      <c r="B79" s="6" t="str">
        <f t="shared" si="5"/>
        <v/>
      </c>
      <c r="C79" s="6" t="str">
        <f>IF(A79="","",IFERROR(INDEX('Trade Log'!G$4:G$1002,MATCH(A79,'Trade Log'!C$4:C$1002,0)),"EUR"))</f>
        <v/>
      </c>
      <c r="D79" s="9" t="str">
        <f>IF(A79="","",SUMIFS('Trade Log'!H:H,'Trade Log'!C:C,A79,'Trade Log'!D:D,"Buy")+SUMIFS('Trade Log'!H:H,'Trade Log'!C:C,A79,'Trade Log'!D:D,"Sell")-IF(ISNUMBER(SEARCH("Bond",B79)),SUMIFS('Trade Log'!I:I,'Trade Log'!C:C,A79,'Trade Log'!D:D,"Redemption"),0))</f>
        <v/>
      </c>
      <c r="E79" s="8">
        <f>IF(OR(A79="",D79=0),0,ABS(SUMIFS('Trade Log'!K:K,'Trade Log'!C:C,A79,'Trade Log'!D:D,"Buy"))/SUMIFS('Trade Log'!H:H,'Trade Log'!C:C,A79,'Trade Log'!D:D,"Buy"))</f>
        <v>0</v>
      </c>
      <c r="F79" s="10">
        <f t="shared" si="6"/>
        <v>0</v>
      </c>
      <c r="G79" s="15"/>
      <c r="H79" s="10">
        <f t="shared" si="7"/>
        <v>0</v>
      </c>
      <c r="I79" s="10">
        <f t="shared" si="8"/>
        <v>0</v>
      </c>
      <c r="J79" s="14">
        <f t="shared" si="9"/>
        <v>0</v>
      </c>
      <c r="K79" s="14" cm="1">
        <f t="array" ref="K79">IF(OR(A79="",H79=0),0,H79/SUMPRODUCT(ISNUMBER(D$6:D$102)*(D$6:D$102&lt;&gt;0)*(H$6:H$102)))</f>
        <v>0</v>
      </c>
    </row>
    <row r="80" spans="2:11" x14ac:dyDescent="0.3">
      <c r="B80" s="6" t="str">
        <f t="shared" si="5"/>
        <v/>
      </c>
      <c r="C80" s="6" t="str">
        <f>IF(A80="","",IFERROR(INDEX('Trade Log'!G$4:G$1002,MATCH(A80,'Trade Log'!C$4:C$1002,0)),"EUR"))</f>
        <v/>
      </c>
      <c r="D80" s="9" t="str">
        <f>IF(A80="","",SUMIFS('Trade Log'!H:H,'Trade Log'!C:C,A80,'Trade Log'!D:D,"Buy")+SUMIFS('Trade Log'!H:H,'Trade Log'!C:C,A80,'Trade Log'!D:D,"Sell")-IF(ISNUMBER(SEARCH("Bond",B80)),SUMIFS('Trade Log'!I:I,'Trade Log'!C:C,A80,'Trade Log'!D:D,"Redemption"),0))</f>
        <v/>
      </c>
      <c r="E80" s="8">
        <f>IF(OR(A80="",D80=0),0,ABS(SUMIFS('Trade Log'!K:K,'Trade Log'!C:C,A80,'Trade Log'!D:D,"Buy"))/SUMIFS('Trade Log'!H:H,'Trade Log'!C:C,A80,'Trade Log'!D:D,"Buy"))</f>
        <v>0</v>
      </c>
      <c r="F80" s="10">
        <f t="shared" si="6"/>
        <v>0</v>
      </c>
      <c r="G80" s="15"/>
      <c r="H80" s="10">
        <f t="shared" si="7"/>
        <v>0</v>
      </c>
      <c r="I80" s="10">
        <f t="shared" si="8"/>
        <v>0</v>
      </c>
      <c r="J80" s="14">
        <f t="shared" si="9"/>
        <v>0</v>
      </c>
      <c r="K80" s="14" cm="1">
        <f t="array" ref="K80">IF(OR(A80="",H80=0),0,H80/SUMPRODUCT(ISNUMBER(D$6:D$102)*(D$6:D$102&lt;&gt;0)*(H$6:H$102)))</f>
        <v>0</v>
      </c>
    </row>
    <row r="81" spans="2:11" x14ac:dyDescent="0.3">
      <c r="B81" s="6" t="str">
        <f t="shared" si="5"/>
        <v/>
      </c>
      <c r="C81" s="6" t="str">
        <f>IF(A81="","",IFERROR(INDEX('Trade Log'!G$4:G$1002,MATCH(A81,'Trade Log'!C$4:C$1002,0)),"EUR"))</f>
        <v/>
      </c>
      <c r="D81" s="9" t="str">
        <f>IF(A81="","",SUMIFS('Trade Log'!H:H,'Trade Log'!C:C,A81,'Trade Log'!D:D,"Buy")+SUMIFS('Trade Log'!H:H,'Trade Log'!C:C,A81,'Trade Log'!D:D,"Sell")-IF(ISNUMBER(SEARCH("Bond",B81)),SUMIFS('Trade Log'!I:I,'Trade Log'!C:C,A81,'Trade Log'!D:D,"Redemption"),0))</f>
        <v/>
      </c>
      <c r="E81" s="8">
        <f>IF(OR(A81="",D81=0),0,ABS(SUMIFS('Trade Log'!K:K,'Trade Log'!C:C,A81,'Trade Log'!D:D,"Buy"))/SUMIFS('Trade Log'!H:H,'Trade Log'!C:C,A81,'Trade Log'!D:D,"Buy"))</f>
        <v>0</v>
      </c>
      <c r="F81" s="10">
        <f t="shared" si="6"/>
        <v>0</v>
      </c>
      <c r="G81" s="15"/>
      <c r="H81" s="10">
        <f t="shared" si="7"/>
        <v>0</v>
      </c>
      <c r="I81" s="10">
        <f t="shared" si="8"/>
        <v>0</v>
      </c>
      <c r="J81" s="14">
        <f t="shared" si="9"/>
        <v>0</v>
      </c>
      <c r="K81" s="14" cm="1">
        <f t="array" ref="K81">IF(OR(A81="",H81=0),0,H81/SUMPRODUCT(ISNUMBER(D$6:D$102)*(D$6:D$102&lt;&gt;0)*(H$6:H$102)))</f>
        <v>0</v>
      </c>
    </row>
    <row r="82" spans="2:11" x14ac:dyDescent="0.3">
      <c r="B82" s="6" t="str">
        <f t="shared" si="5"/>
        <v/>
      </c>
      <c r="C82" s="6" t="str">
        <f>IF(A82="","",IFERROR(INDEX('Trade Log'!G$4:G$1002,MATCH(A82,'Trade Log'!C$4:C$1002,0)),"EUR"))</f>
        <v/>
      </c>
      <c r="D82" s="9" t="str">
        <f>IF(A82="","",SUMIFS('Trade Log'!H:H,'Trade Log'!C:C,A82,'Trade Log'!D:D,"Buy")+SUMIFS('Trade Log'!H:H,'Trade Log'!C:C,A82,'Trade Log'!D:D,"Sell")-IF(ISNUMBER(SEARCH("Bond",B82)),SUMIFS('Trade Log'!I:I,'Trade Log'!C:C,A82,'Trade Log'!D:D,"Redemption"),0))</f>
        <v/>
      </c>
      <c r="E82" s="8">
        <f>IF(OR(A82="",D82=0),0,ABS(SUMIFS('Trade Log'!K:K,'Trade Log'!C:C,A82,'Trade Log'!D:D,"Buy"))/SUMIFS('Trade Log'!H:H,'Trade Log'!C:C,A82,'Trade Log'!D:D,"Buy"))</f>
        <v>0</v>
      </c>
      <c r="F82" s="10">
        <f t="shared" si="6"/>
        <v>0</v>
      </c>
      <c r="G82" s="15"/>
      <c r="H82" s="10">
        <f t="shared" si="7"/>
        <v>0</v>
      </c>
      <c r="I82" s="10">
        <f t="shared" si="8"/>
        <v>0</v>
      </c>
      <c r="J82" s="14">
        <f t="shared" si="9"/>
        <v>0</v>
      </c>
      <c r="K82" s="14" cm="1">
        <f t="array" ref="K82">IF(OR(A82="",H82=0),0,H82/SUMPRODUCT(ISNUMBER(D$6:D$102)*(D$6:D$102&lt;&gt;0)*(H$6:H$102)))</f>
        <v>0</v>
      </c>
    </row>
    <row r="83" spans="2:11" x14ac:dyDescent="0.3">
      <c r="B83" s="6" t="str">
        <f t="shared" si="5"/>
        <v/>
      </c>
      <c r="C83" s="6" t="str">
        <f>IF(A83="","",IFERROR(INDEX('Trade Log'!G$4:G$1002,MATCH(A83,'Trade Log'!C$4:C$1002,0)),"EUR"))</f>
        <v/>
      </c>
      <c r="D83" s="9" t="str">
        <f>IF(A83="","",SUMIFS('Trade Log'!H:H,'Trade Log'!C:C,A83,'Trade Log'!D:D,"Buy")+SUMIFS('Trade Log'!H:H,'Trade Log'!C:C,A83,'Trade Log'!D:D,"Sell")-IF(ISNUMBER(SEARCH("Bond",B83)),SUMIFS('Trade Log'!I:I,'Trade Log'!C:C,A83,'Trade Log'!D:D,"Redemption"),0))</f>
        <v/>
      </c>
      <c r="E83" s="8">
        <f>IF(OR(A83="",D83=0),0,ABS(SUMIFS('Trade Log'!K:K,'Trade Log'!C:C,A83,'Trade Log'!D:D,"Buy"))/SUMIFS('Trade Log'!H:H,'Trade Log'!C:C,A83,'Trade Log'!D:D,"Buy"))</f>
        <v>0</v>
      </c>
      <c r="F83" s="10">
        <f t="shared" si="6"/>
        <v>0</v>
      </c>
      <c r="G83" s="15"/>
      <c r="H83" s="10">
        <f t="shared" si="7"/>
        <v>0</v>
      </c>
      <c r="I83" s="10">
        <f t="shared" si="8"/>
        <v>0</v>
      </c>
      <c r="J83" s="14">
        <f t="shared" si="9"/>
        <v>0</v>
      </c>
      <c r="K83" s="14" cm="1">
        <f t="array" ref="K83">IF(OR(A83="",H83=0),0,H83/SUMPRODUCT(ISNUMBER(D$6:D$102)*(D$6:D$102&lt;&gt;0)*(H$6:H$102)))</f>
        <v>0</v>
      </c>
    </row>
    <row r="84" spans="2:11" x14ac:dyDescent="0.3">
      <c r="B84" s="6" t="str">
        <f t="shared" si="5"/>
        <v/>
      </c>
      <c r="C84" s="6" t="str">
        <f>IF(A84="","",IFERROR(INDEX('Trade Log'!G$4:G$1002,MATCH(A84,'Trade Log'!C$4:C$1002,0)),"EUR"))</f>
        <v/>
      </c>
      <c r="D84" s="9" t="str">
        <f>IF(A84="","",SUMIFS('Trade Log'!H:H,'Trade Log'!C:C,A84,'Trade Log'!D:D,"Buy")+SUMIFS('Trade Log'!H:H,'Trade Log'!C:C,A84,'Trade Log'!D:D,"Sell")-IF(ISNUMBER(SEARCH("Bond",B84)),SUMIFS('Trade Log'!I:I,'Trade Log'!C:C,A84,'Trade Log'!D:D,"Redemption"),0))</f>
        <v/>
      </c>
      <c r="E84" s="8">
        <f>IF(OR(A84="",D84=0),0,ABS(SUMIFS('Trade Log'!K:K,'Trade Log'!C:C,A84,'Trade Log'!D:D,"Buy"))/SUMIFS('Trade Log'!H:H,'Trade Log'!C:C,A84,'Trade Log'!D:D,"Buy"))</f>
        <v>0</v>
      </c>
      <c r="F84" s="10">
        <f t="shared" si="6"/>
        <v>0</v>
      </c>
      <c r="G84" s="15"/>
      <c r="H84" s="10">
        <f t="shared" si="7"/>
        <v>0</v>
      </c>
      <c r="I84" s="10">
        <f t="shared" si="8"/>
        <v>0</v>
      </c>
      <c r="J84" s="14">
        <f t="shared" si="9"/>
        <v>0</v>
      </c>
      <c r="K84" s="14" cm="1">
        <f t="array" ref="K84">IF(OR(A84="",H84=0),0,H84/SUMPRODUCT(ISNUMBER(D$6:D$102)*(D$6:D$102&lt;&gt;0)*(H$6:H$102)))</f>
        <v>0</v>
      </c>
    </row>
    <row r="85" spans="2:11" x14ac:dyDescent="0.3">
      <c r="B85" s="6" t="str">
        <f t="shared" si="5"/>
        <v/>
      </c>
      <c r="C85" s="6" t="str">
        <f>IF(A85="","",IFERROR(INDEX('Trade Log'!G$4:G$1002,MATCH(A85,'Trade Log'!C$4:C$1002,0)),"EUR"))</f>
        <v/>
      </c>
      <c r="D85" s="9" t="str">
        <f>IF(A85="","",SUMIFS('Trade Log'!H:H,'Trade Log'!C:C,A85,'Trade Log'!D:D,"Buy")+SUMIFS('Trade Log'!H:H,'Trade Log'!C:C,A85,'Trade Log'!D:D,"Sell")-IF(ISNUMBER(SEARCH("Bond",B85)),SUMIFS('Trade Log'!I:I,'Trade Log'!C:C,A85,'Trade Log'!D:D,"Redemption"),0))</f>
        <v/>
      </c>
      <c r="E85" s="8">
        <f>IF(OR(A85="",D85=0),0,ABS(SUMIFS('Trade Log'!K:K,'Trade Log'!C:C,A85,'Trade Log'!D:D,"Buy"))/SUMIFS('Trade Log'!H:H,'Trade Log'!C:C,A85,'Trade Log'!D:D,"Buy"))</f>
        <v>0</v>
      </c>
      <c r="F85" s="10">
        <f t="shared" si="6"/>
        <v>0</v>
      </c>
      <c r="G85" s="15"/>
      <c r="H85" s="10">
        <f t="shared" si="7"/>
        <v>0</v>
      </c>
      <c r="I85" s="10">
        <f t="shared" si="8"/>
        <v>0</v>
      </c>
      <c r="J85" s="14">
        <f t="shared" si="9"/>
        <v>0</v>
      </c>
      <c r="K85" s="14" cm="1">
        <f t="array" ref="K85">IF(OR(A85="",H85=0),0,H85/SUMPRODUCT(ISNUMBER(D$6:D$102)*(D$6:D$102&lt;&gt;0)*(H$6:H$102)))</f>
        <v>0</v>
      </c>
    </row>
    <row r="86" spans="2:11" x14ac:dyDescent="0.3">
      <c r="B86" s="6" t="str">
        <f t="shared" si="5"/>
        <v/>
      </c>
      <c r="C86" s="6" t="str">
        <f>IF(A86="","",IFERROR(INDEX('Trade Log'!G$4:G$1002,MATCH(A86,'Trade Log'!C$4:C$1002,0)),"EUR"))</f>
        <v/>
      </c>
      <c r="D86" s="9" t="str">
        <f>IF(A86="","",SUMIFS('Trade Log'!H:H,'Trade Log'!C:C,A86,'Trade Log'!D:D,"Buy")+SUMIFS('Trade Log'!H:H,'Trade Log'!C:C,A86,'Trade Log'!D:D,"Sell")-IF(ISNUMBER(SEARCH("Bond",B86)),SUMIFS('Trade Log'!I:I,'Trade Log'!C:C,A86,'Trade Log'!D:D,"Redemption"),0))</f>
        <v/>
      </c>
      <c r="E86" s="8">
        <f>IF(OR(A86="",D86=0),0,ABS(SUMIFS('Trade Log'!K:K,'Trade Log'!C:C,A86,'Trade Log'!D:D,"Buy"))/SUMIFS('Trade Log'!H:H,'Trade Log'!C:C,A86,'Trade Log'!D:D,"Buy"))</f>
        <v>0</v>
      </c>
      <c r="F86" s="10">
        <f t="shared" si="6"/>
        <v>0</v>
      </c>
      <c r="G86" s="15"/>
      <c r="H86" s="10">
        <f t="shared" si="7"/>
        <v>0</v>
      </c>
      <c r="I86" s="10">
        <f t="shared" si="8"/>
        <v>0</v>
      </c>
      <c r="J86" s="14">
        <f t="shared" si="9"/>
        <v>0</v>
      </c>
      <c r="K86" s="14" cm="1">
        <f t="array" ref="K86">IF(OR(A86="",H86=0),0,H86/SUMPRODUCT(ISNUMBER(D$6:D$102)*(D$6:D$102&lt;&gt;0)*(H$6:H$102)))</f>
        <v>0</v>
      </c>
    </row>
    <row r="87" spans="2:11" x14ac:dyDescent="0.3">
      <c r="B87" s="6" t="str">
        <f t="shared" si="5"/>
        <v/>
      </c>
      <c r="C87" s="6" t="str">
        <f>IF(A87="","",IFERROR(INDEX('Trade Log'!G$4:G$1002,MATCH(A87,'Trade Log'!C$4:C$1002,0)),"EUR"))</f>
        <v/>
      </c>
      <c r="D87" s="9" t="str">
        <f>IF(A87="","",SUMIFS('Trade Log'!H:H,'Trade Log'!C:C,A87,'Trade Log'!D:D,"Buy")+SUMIFS('Trade Log'!H:H,'Trade Log'!C:C,A87,'Trade Log'!D:D,"Sell")-IF(ISNUMBER(SEARCH("Bond",B87)),SUMIFS('Trade Log'!I:I,'Trade Log'!C:C,A87,'Trade Log'!D:D,"Redemption"),0))</f>
        <v/>
      </c>
      <c r="E87" s="8">
        <f>IF(OR(A87="",D87=0),0,ABS(SUMIFS('Trade Log'!K:K,'Trade Log'!C:C,A87,'Trade Log'!D:D,"Buy"))/SUMIFS('Trade Log'!H:H,'Trade Log'!C:C,A87,'Trade Log'!D:D,"Buy"))</f>
        <v>0</v>
      </c>
      <c r="F87" s="10">
        <f t="shared" si="6"/>
        <v>0</v>
      </c>
      <c r="G87" s="15"/>
      <c r="H87" s="10">
        <f t="shared" si="7"/>
        <v>0</v>
      </c>
      <c r="I87" s="10">
        <f t="shared" si="8"/>
        <v>0</v>
      </c>
      <c r="J87" s="14">
        <f t="shared" si="9"/>
        <v>0</v>
      </c>
      <c r="K87" s="14" cm="1">
        <f t="array" ref="K87">IF(OR(A87="",H87=0),0,H87/SUMPRODUCT(ISNUMBER(D$6:D$102)*(D$6:D$102&lt;&gt;0)*(H$6:H$102)))</f>
        <v>0</v>
      </c>
    </row>
    <row r="88" spans="2:11" x14ac:dyDescent="0.3">
      <c r="B88" s="6" t="str">
        <f t="shared" si="5"/>
        <v/>
      </c>
      <c r="C88" s="6" t="str">
        <f>IF(A88="","",IFERROR(INDEX('Trade Log'!G$4:G$1002,MATCH(A88,'Trade Log'!C$4:C$1002,0)),"EUR"))</f>
        <v/>
      </c>
      <c r="D88" s="9" t="str">
        <f>IF(A88="","",SUMIFS('Trade Log'!H:H,'Trade Log'!C:C,A88,'Trade Log'!D:D,"Buy")+SUMIFS('Trade Log'!H:H,'Trade Log'!C:C,A88,'Trade Log'!D:D,"Sell")-IF(ISNUMBER(SEARCH("Bond",B88)),SUMIFS('Trade Log'!I:I,'Trade Log'!C:C,A88,'Trade Log'!D:D,"Redemption"),0))</f>
        <v/>
      </c>
      <c r="E88" s="8">
        <f>IF(OR(A88="",D88=0),0,ABS(SUMIFS('Trade Log'!K:K,'Trade Log'!C:C,A88,'Trade Log'!D:D,"Buy"))/SUMIFS('Trade Log'!H:H,'Trade Log'!C:C,A88,'Trade Log'!D:D,"Buy"))</f>
        <v>0</v>
      </c>
      <c r="F88" s="10">
        <f t="shared" si="6"/>
        <v>0</v>
      </c>
      <c r="G88" s="15"/>
      <c r="H88" s="10">
        <f t="shared" si="7"/>
        <v>0</v>
      </c>
      <c r="I88" s="10">
        <f t="shared" si="8"/>
        <v>0</v>
      </c>
      <c r="J88" s="14">
        <f t="shared" si="9"/>
        <v>0</v>
      </c>
      <c r="K88" s="14" cm="1">
        <f t="array" ref="K88">IF(OR(A88="",H88=0),0,H88/SUMPRODUCT(ISNUMBER(D$6:D$102)*(D$6:D$102&lt;&gt;0)*(H$6:H$102)))</f>
        <v>0</v>
      </c>
    </row>
    <row r="89" spans="2:11" x14ac:dyDescent="0.3">
      <c r="B89" s="6" t="str">
        <f t="shared" si="5"/>
        <v/>
      </c>
      <c r="C89" s="6" t="str">
        <f>IF(A89="","",IFERROR(INDEX('Trade Log'!G$4:G$1002,MATCH(A89,'Trade Log'!C$4:C$1002,0)),"EUR"))</f>
        <v/>
      </c>
      <c r="D89" s="9" t="str">
        <f>IF(A89="","",SUMIFS('Trade Log'!H:H,'Trade Log'!C:C,A89,'Trade Log'!D:D,"Buy")+SUMIFS('Trade Log'!H:H,'Trade Log'!C:C,A89,'Trade Log'!D:D,"Sell")-IF(ISNUMBER(SEARCH("Bond",B89)),SUMIFS('Trade Log'!I:I,'Trade Log'!C:C,A89,'Trade Log'!D:D,"Redemption"),0))</f>
        <v/>
      </c>
      <c r="E89" s="8">
        <f>IF(OR(A89="",D89=0),0,ABS(SUMIFS('Trade Log'!K:K,'Trade Log'!C:C,A89,'Trade Log'!D:D,"Buy"))/SUMIFS('Trade Log'!H:H,'Trade Log'!C:C,A89,'Trade Log'!D:D,"Buy"))</f>
        <v>0</v>
      </c>
      <c r="F89" s="10">
        <f t="shared" si="6"/>
        <v>0</v>
      </c>
      <c r="G89" s="15"/>
      <c r="H89" s="10">
        <f t="shared" si="7"/>
        <v>0</v>
      </c>
      <c r="I89" s="10">
        <f t="shared" si="8"/>
        <v>0</v>
      </c>
      <c r="J89" s="14">
        <f t="shared" si="9"/>
        <v>0</v>
      </c>
      <c r="K89" s="14" cm="1">
        <f t="array" ref="K89">IF(OR(A89="",H89=0),0,H89/SUMPRODUCT(ISNUMBER(D$6:D$102)*(D$6:D$102&lt;&gt;0)*(H$6:H$102)))</f>
        <v>0</v>
      </c>
    </row>
    <row r="90" spans="2:11" x14ac:dyDescent="0.3">
      <c r="B90" s="6" t="str">
        <f t="shared" si="5"/>
        <v/>
      </c>
      <c r="C90" s="6" t="str">
        <f>IF(A90="","",IFERROR(INDEX('Trade Log'!G$4:G$1002,MATCH(A90,'Trade Log'!C$4:C$1002,0)),"EUR"))</f>
        <v/>
      </c>
      <c r="D90" s="9" t="str">
        <f>IF(A90="","",SUMIFS('Trade Log'!H:H,'Trade Log'!C:C,A90,'Trade Log'!D:D,"Buy")+SUMIFS('Trade Log'!H:H,'Trade Log'!C:C,A90,'Trade Log'!D:D,"Sell")-IF(ISNUMBER(SEARCH("Bond",B90)),SUMIFS('Trade Log'!I:I,'Trade Log'!C:C,A90,'Trade Log'!D:D,"Redemption"),0))</f>
        <v/>
      </c>
      <c r="E90" s="8">
        <f>IF(OR(A90="",D90=0),0,ABS(SUMIFS('Trade Log'!K:K,'Trade Log'!C:C,A90,'Trade Log'!D:D,"Buy"))/SUMIFS('Trade Log'!H:H,'Trade Log'!C:C,A90,'Trade Log'!D:D,"Buy"))</f>
        <v>0</v>
      </c>
      <c r="F90" s="10">
        <f t="shared" si="6"/>
        <v>0</v>
      </c>
      <c r="G90" s="15"/>
      <c r="H90" s="10">
        <f t="shared" si="7"/>
        <v>0</v>
      </c>
      <c r="I90" s="10">
        <f t="shared" si="8"/>
        <v>0</v>
      </c>
      <c r="J90" s="14">
        <f t="shared" si="9"/>
        <v>0</v>
      </c>
      <c r="K90" s="14" cm="1">
        <f t="array" ref="K90">IF(OR(A90="",H90=0),0,H90/SUMPRODUCT(ISNUMBER(D$6:D$102)*(D$6:D$102&lt;&gt;0)*(H$6:H$102)))</f>
        <v>0</v>
      </c>
    </row>
    <row r="91" spans="2:11" x14ac:dyDescent="0.3">
      <c r="B91" s="6" t="str">
        <f t="shared" si="5"/>
        <v/>
      </c>
      <c r="C91" s="6" t="str">
        <f>IF(A91="","",IFERROR(INDEX('Trade Log'!G$4:G$1002,MATCH(A91,'Trade Log'!C$4:C$1002,0)),"EUR"))</f>
        <v/>
      </c>
      <c r="D91" s="9" t="str">
        <f>IF(A91="","",SUMIFS('Trade Log'!H:H,'Trade Log'!C:C,A91,'Trade Log'!D:D,"Buy")+SUMIFS('Trade Log'!H:H,'Trade Log'!C:C,A91,'Trade Log'!D:D,"Sell")-IF(ISNUMBER(SEARCH("Bond",B91)),SUMIFS('Trade Log'!I:I,'Trade Log'!C:C,A91,'Trade Log'!D:D,"Redemption"),0))</f>
        <v/>
      </c>
      <c r="E91" s="8">
        <f>IF(OR(A91="",D91=0),0,ABS(SUMIFS('Trade Log'!K:K,'Trade Log'!C:C,A91,'Trade Log'!D:D,"Buy"))/SUMIFS('Trade Log'!H:H,'Trade Log'!C:C,A91,'Trade Log'!D:D,"Buy"))</f>
        <v>0</v>
      </c>
      <c r="F91" s="10">
        <f t="shared" si="6"/>
        <v>0</v>
      </c>
      <c r="G91" s="15"/>
      <c r="H91" s="10">
        <f t="shared" si="7"/>
        <v>0</v>
      </c>
      <c r="I91" s="10">
        <f t="shared" si="8"/>
        <v>0</v>
      </c>
      <c r="J91" s="14">
        <f t="shared" si="9"/>
        <v>0</v>
      </c>
      <c r="K91" s="14" cm="1">
        <f t="array" ref="K91">IF(OR(A91="",H91=0),0,H91/SUMPRODUCT(ISNUMBER(D$6:D$102)*(D$6:D$102&lt;&gt;0)*(H$6:H$102)))</f>
        <v>0</v>
      </c>
    </row>
    <row r="92" spans="2:11" x14ac:dyDescent="0.3">
      <c r="B92" s="6" t="str">
        <f t="shared" si="5"/>
        <v/>
      </c>
      <c r="C92" s="6" t="str">
        <f>IF(A92="","",IFERROR(INDEX('Trade Log'!G$4:G$1002,MATCH(A92,'Trade Log'!C$4:C$1002,0)),"EUR"))</f>
        <v/>
      </c>
      <c r="D92" s="9" t="str">
        <f>IF(A92="","",SUMIFS('Trade Log'!H:H,'Trade Log'!C:C,A92,'Trade Log'!D:D,"Buy")+SUMIFS('Trade Log'!H:H,'Trade Log'!C:C,A92,'Trade Log'!D:D,"Sell")-IF(ISNUMBER(SEARCH("Bond",B92)),SUMIFS('Trade Log'!I:I,'Trade Log'!C:C,A92,'Trade Log'!D:D,"Redemption"),0))</f>
        <v/>
      </c>
      <c r="E92" s="8">
        <f>IF(OR(A92="",D92=0),0,ABS(SUMIFS('Trade Log'!K:K,'Trade Log'!C:C,A92,'Trade Log'!D:D,"Buy"))/SUMIFS('Trade Log'!H:H,'Trade Log'!C:C,A92,'Trade Log'!D:D,"Buy"))</f>
        <v>0</v>
      </c>
      <c r="F92" s="10">
        <f t="shared" si="6"/>
        <v>0</v>
      </c>
      <c r="G92" s="15"/>
      <c r="H92" s="10">
        <f t="shared" si="7"/>
        <v>0</v>
      </c>
      <c r="I92" s="10">
        <f t="shared" si="8"/>
        <v>0</v>
      </c>
      <c r="J92" s="14">
        <f t="shared" si="9"/>
        <v>0</v>
      </c>
      <c r="K92" s="14" cm="1">
        <f t="array" ref="K92">IF(OR(A92="",H92=0),0,H92/SUMPRODUCT(ISNUMBER(D$6:D$102)*(D$6:D$102&lt;&gt;0)*(H$6:H$102)))</f>
        <v>0</v>
      </c>
    </row>
    <row r="93" spans="2:11" x14ac:dyDescent="0.3">
      <c r="B93" s="6" t="str">
        <f t="shared" si="5"/>
        <v/>
      </c>
      <c r="C93" s="6" t="str">
        <f>IF(A93="","",IFERROR(INDEX('Trade Log'!G$4:G$1002,MATCH(A93,'Trade Log'!C$4:C$1002,0)),"EUR"))</f>
        <v/>
      </c>
      <c r="D93" s="9" t="str">
        <f>IF(A93="","",SUMIFS('Trade Log'!H:H,'Trade Log'!C:C,A93,'Trade Log'!D:D,"Buy")+SUMIFS('Trade Log'!H:H,'Trade Log'!C:C,A93,'Trade Log'!D:D,"Sell")-IF(ISNUMBER(SEARCH("Bond",B93)),SUMIFS('Trade Log'!I:I,'Trade Log'!C:C,A93,'Trade Log'!D:D,"Redemption"),0))</f>
        <v/>
      </c>
      <c r="E93" s="8">
        <f>IF(OR(A93="",D93=0),0,ABS(SUMIFS('Trade Log'!K:K,'Trade Log'!C:C,A93,'Trade Log'!D:D,"Buy"))/SUMIFS('Trade Log'!H:H,'Trade Log'!C:C,A93,'Trade Log'!D:D,"Buy"))</f>
        <v>0</v>
      </c>
      <c r="F93" s="10">
        <f t="shared" si="6"/>
        <v>0</v>
      </c>
      <c r="G93" s="15"/>
      <c r="H93" s="10">
        <f t="shared" si="7"/>
        <v>0</v>
      </c>
      <c r="I93" s="10">
        <f t="shared" si="8"/>
        <v>0</v>
      </c>
      <c r="J93" s="14">
        <f t="shared" si="9"/>
        <v>0</v>
      </c>
      <c r="K93" s="14" cm="1">
        <f t="array" ref="K93">IF(OR(A93="",H93=0),0,H93/SUMPRODUCT(ISNUMBER(D$6:D$102)*(D$6:D$102&lt;&gt;0)*(H$6:H$102)))</f>
        <v>0</v>
      </c>
    </row>
    <row r="94" spans="2:11" x14ac:dyDescent="0.3">
      <c r="B94" s="6" t="str">
        <f t="shared" si="5"/>
        <v/>
      </c>
      <c r="C94" s="6" t="str">
        <f>IF(A94="","",IFERROR(INDEX('Trade Log'!G$4:G$1002,MATCH(A94,'Trade Log'!C$4:C$1002,0)),"EUR"))</f>
        <v/>
      </c>
      <c r="D94" s="9" t="str">
        <f>IF(A94="","",SUMIFS('Trade Log'!H:H,'Trade Log'!C:C,A94,'Trade Log'!D:D,"Buy")+SUMIFS('Trade Log'!H:H,'Trade Log'!C:C,A94,'Trade Log'!D:D,"Sell")-IF(ISNUMBER(SEARCH("Bond",B94)),SUMIFS('Trade Log'!I:I,'Trade Log'!C:C,A94,'Trade Log'!D:D,"Redemption"),0))</f>
        <v/>
      </c>
      <c r="E94" s="8">
        <f>IF(OR(A94="",D94=0),0,ABS(SUMIFS('Trade Log'!K:K,'Trade Log'!C:C,A94,'Trade Log'!D:D,"Buy"))/SUMIFS('Trade Log'!H:H,'Trade Log'!C:C,A94,'Trade Log'!D:D,"Buy"))</f>
        <v>0</v>
      </c>
      <c r="F94" s="10">
        <f t="shared" si="6"/>
        <v>0</v>
      </c>
      <c r="G94" s="15"/>
      <c r="H94" s="10">
        <f t="shared" si="7"/>
        <v>0</v>
      </c>
      <c r="I94" s="10">
        <f t="shared" si="8"/>
        <v>0</v>
      </c>
      <c r="J94" s="14">
        <f t="shared" si="9"/>
        <v>0</v>
      </c>
      <c r="K94" s="14" cm="1">
        <f t="array" ref="K94">IF(OR(A94="",H94=0),0,H94/SUMPRODUCT(ISNUMBER(D$6:D$102)*(D$6:D$102&lt;&gt;0)*(H$6:H$102)))</f>
        <v>0</v>
      </c>
    </row>
    <row r="95" spans="2:11" x14ac:dyDescent="0.3">
      <c r="B95" s="6" t="str">
        <f t="shared" si="5"/>
        <v/>
      </c>
      <c r="C95" s="6" t="str">
        <f>IF(A95="","",IFERROR(INDEX('Trade Log'!G$4:G$1002,MATCH(A95,'Trade Log'!C$4:C$1002,0)),"EUR"))</f>
        <v/>
      </c>
      <c r="D95" s="9" t="str">
        <f>IF(A95="","",SUMIFS('Trade Log'!H:H,'Trade Log'!C:C,A95,'Trade Log'!D:D,"Buy")+SUMIFS('Trade Log'!H:H,'Trade Log'!C:C,A95,'Trade Log'!D:D,"Sell")-IF(ISNUMBER(SEARCH("Bond",B95)),SUMIFS('Trade Log'!I:I,'Trade Log'!C:C,A95,'Trade Log'!D:D,"Redemption"),0))</f>
        <v/>
      </c>
      <c r="E95" s="8">
        <f>IF(OR(A95="",D95=0),0,ABS(SUMIFS('Trade Log'!K:K,'Trade Log'!C:C,A95,'Trade Log'!D:D,"Buy"))/SUMIFS('Trade Log'!H:H,'Trade Log'!C:C,A95,'Trade Log'!D:D,"Buy"))</f>
        <v>0</v>
      </c>
      <c r="F95" s="10">
        <f t="shared" si="6"/>
        <v>0</v>
      </c>
      <c r="G95" s="15"/>
      <c r="H95" s="10">
        <f t="shared" si="7"/>
        <v>0</v>
      </c>
      <c r="I95" s="10">
        <f t="shared" si="8"/>
        <v>0</v>
      </c>
      <c r="J95" s="14">
        <f t="shared" si="9"/>
        <v>0</v>
      </c>
      <c r="K95" s="14" cm="1">
        <f t="array" ref="K95">IF(OR(A95="",H95=0),0,H95/SUMPRODUCT(ISNUMBER(D$6:D$102)*(D$6:D$102&lt;&gt;0)*(H$6:H$102)))</f>
        <v>0</v>
      </c>
    </row>
    <row r="96" spans="2:11" x14ac:dyDescent="0.3">
      <c r="B96" s="6" t="str">
        <f t="shared" si="5"/>
        <v/>
      </c>
      <c r="C96" s="6" t="str">
        <f>IF(A96="","",IFERROR(INDEX('Trade Log'!G$4:G$1002,MATCH(A96,'Trade Log'!C$4:C$1002,0)),"EUR"))</f>
        <v/>
      </c>
      <c r="D96" s="9" t="str">
        <f>IF(A96="","",SUMIFS('Trade Log'!H:H,'Trade Log'!C:C,A96,'Trade Log'!D:D,"Buy")+SUMIFS('Trade Log'!H:H,'Trade Log'!C:C,A96,'Trade Log'!D:D,"Sell")-IF(ISNUMBER(SEARCH("Bond",B96)),SUMIFS('Trade Log'!I:I,'Trade Log'!C:C,A96,'Trade Log'!D:D,"Redemption"),0))</f>
        <v/>
      </c>
      <c r="E96" s="8">
        <f>IF(OR(A96="",D96=0),0,ABS(SUMIFS('Trade Log'!K:K,'Trade Log'!C:C,A96,'Trade Log'!D:D,"Buy"))/SUMIFS('Trade Log'!H:H,'Trade Log'!C:C,A96,'Trade Log'!D:D,"Buy"))</f>
        <v>0</v>
      </c>
      <c r="F96" s="10">
        <f t="shared" si="6"/>
        <v>0</v>
      </c>
      <c r="G96" s="15"/>
      <c r="H96" s="10">
        <f t="shared" si="7"/>
        <v>0</v>
      </c>
      <c r="I96" s="10">
        <f t="shared" si="8"/>
        <v>0</v>
      </c>
      <c r="J96" s="14">
        <f t="shared" si="9"/>
        <v>0</v>
      </c>
      <c r="K96" s="14" cm="1">
        <f t="array" ref="K96">IF(OR(A96="",H96=0),0,H96/SUMPRODUCT(ISNUMBER(D$6:D$102)*(D$6:D$102&lt;&gt;0)*(H$6:H$102)))</f>
        <v>0</v>
      </c>
    </row>
    <row r="97" spans="1:11" x14ac:dyDescent="0.3">
      <c r="B97" s="6" t="str">
        <f t="shared" si="5"/>
        <v/>
      </c>
      <c r="C97" s="6" t="str">
        <f>IF(A97="","",IFERROR(INDEX('Trade Log'!G$4:G$1002,MATCH(A97,'Trade Log'!C$4:C$1002,0)),"EUR"))</f>
        <v/>
      </c>
      <c r="D97" s="9" t="str">
        <f>IF(A97="","",SUMIFS('Trade Log'!H:H,'Trade Log'!C:C,A97,'Trade Log'!D:D,"Buy")+SUMIFS('Trade Log'!H:H,'Trade Log'!C:C,A97,'Trade Log'!D:D,"Sell")-IF(ISNUMBER(SEARCH("Bond",B97)),SUMIFS('Trade Log'!I:I,'Trade Log'!C:C,A97,'Trade Log'!D:D,"Redemption"),0))</f>
        <v/>
      </c>
      <c r="E97" s="8">
        <f>IF(OR(A97="",D97=0),0,ABS(SUMIFS('Trade Log'!K:K,'Trade Log'!C:C,A97,'Trade Log'!D:D,"Buy"))/SUMIFS('Trade Log'!H:H,'Trade Log'!C:C,A97,'Trade Log'!D:D,"Buy"))</f>
        <v>0</v>
      </c>
      <c r="F97" s="10">
        <f t="shared" si="6"/>
        <v>0</v>
      </c>
      <c r="G97" s="15"/>
      <c r="H97" s="10">
        <f t="shared" si="7"/>
        <v>0</v>
      </c>
      <c r="I97" s="10">
        <f t="shared" si="8"/>
        <v>0</v>
      </c>
      <c r="J97" s="14">
        <f t="shared" si="9"/>
        <v>0</v>
      </c>
      <c r="K97" s="14" cm="1">
        <f t="array" ref="K97">IF(OR(A97="",H97=0),0,H97/SUMPRODUCT(ISNUMBER(D$6:D$102)*(D$6:D$102&lt;&gt;0)*(H$6:H$102)))</f>
        <v>0</v>
      </c>
    </row>
    <row r="98" spans="1:11" x14ac:dyDescent="0.3">
      <c r="B98" s="6" t="str">
        <f t="shared" si="5"/>
        <v/>
      </c>
      <c r="C98" s="6" t="str">
        <f>IF(A98="","",IFERROR(INDEX('Trade Log'!G$4:G$1002,MATCH(A98,'Trade Log'!C$4:C$1002,0)),"EUR"))</f>
        <v/>
      </c>
      <c r="D98" s="9" t="str">
        <f>IF(A98="","",SUMIFS('Trade Log'!H:H,'Trade Log'!C:C,A98,'Trade Log'!D:D,"Buy")+SUMIFS('Trade Log'!H:H,'Trade Log'!C:C,A98,'Trade Log'!D:D,"Sell")-IF(ISNUMBER(SEARCH("Bond",B98)),SUMIFS('Trade Log'!I:I,'Trade Log'!C:C,A98,'Trade Log'!D:D,"Redemption"),0))</f>
        <v/>
      </c>
      <c r="E98" s="8">
        <f>IF(OR(A98="",D98=0),0,ABS(SUMIFS('Trade Log'!K:K,'Trade Log'!C:C,A98,'Trade Log'!D:D,"Buy"))/SUMIFS('Trade Log'!H:H,'Trade Log'!C:C,A98,'Trade Log'!D:D,"Buy"))</f>
        <v>0</v>
      </c>
      <c r="F98" s="10">
        <f t="shared" si="6"/>
        <v>0</v>
      </c>
      <c r="G98" s="15"/>
      <c r="H98" s="10">
        <f t="shared" si="7"/>
        <v>0</v>
      </c>
      <c r="I98" s="10">
        <f t="shared" si="8"/>
        <v>0</v>
      </c>
      <c r="J98" s="14">
        <f t="shared" si="9"/>
        <v>0</v>
      </c>
      <c r="K98" s="14" cm="1">
        <f t="array" ref="K98">IF(OR(A98="",H98=0),0,H98/SUMPRODUCT(ISNUMBER(D$6:D$102)*(D$6:D$102&lt;&gt;0)*(H$6:H$102)))</f>
        <v>0</v>
      </c>
    </row>
    <row r="99" spans="1:11" x14ac:dyDescent="0.3">
      <c r="B99" s="6" t="str">
        <f t="shared" si="5"/>
        <v/>
      </c>
      <c r="C99" s="6" t="str">
        <f>IF(A99="","",IFERROR(INDEX('Trade Log'!G$4:G$1002,MATCH(A99,'Trade Log'!C$4:C$1002,0)),"EUR"))</f>
        <v/>
      </c>
      <c r="D99" s="9" t="str">
        <f>IF(A99="","",SUMIFS('Trade Log'!H:H,'Trade Log'!C:C,A99,'Trade Log'!D:D,"Buy")+SUMIFS('Trade Log'!H:H,'Trade Log'!C:C,A99,'Trade Log'!D:D,"Sell")-IF(ISNUMBER(SEARCH("Bond",B99)),SUMIFS('Trade Log'!I:I,'Trade Log'!C:C,A99,'Trade Log'!D:D,"Redemption"),0))</f>
        <v/>
      </c>
      <c r="E99" s="8">
        <f>IF(OR(A99="",D99=0),0,ABS(SUMIFS('Trade Log'!K:K,'Trade Log'!C:C,A99,'Trade Log'!D:D,"Buy"))/SUMIFS('Trade Log'!H:H,'Trade Log'!C:C,A99,'Trade Log'!D:D,"Buy"))</f>
        <v>0</v>
      </c>
      <c r="F99" s="10">
        <f t="shared" si="6"/>
        <v>0</v>
      </c>
      <c r="G99" s="15"/>
      <c r="H99" s="10">
        <f t="shared" si="7"/>
        <v>0</v>
      </c>
      <c r="I99" s="10">
        <f t="shared" si="8"/>
        <v>0</v>
      </c>
      <c r="J99" s="14">
        <f t="shared" si="9"/>
        <v>0</v>
      </c>
      <c r="K99" s="14" cm="1">
        <f t="array" ref="K99">IF(OR(A99="",H99=0),0,H99/SUMPRODUCT(ISNUMBER(D$6:D$102)*(D$6:D$102&lt;&gt;0)*(H$6:H$102)))</f>
        <v>0</v>
      </c>
    </row>
    <row r="100" spans="1:11" x14ac:dyDescent="0.3">
      <c r="B100" s="6" t="str">
        <f t="shared" si="5"/>
        <v/>
      </c>
      <c r="C100" s="6" t="str">
        <f>IF(A100="","",IFERROR(INDEX('Trade Log'!G$4:G$1002,MATCH(A100,'Trade Log'!C$4:C$1002,0)),"EUR"))</f>
        <v/>
      </c>
      <c r="D100" s="9" t="str">
        <f>IF(A100="","",SUMIFS('Trade Log'!H:H,'Trade Log'!C:C,A100,'Trade Log'!D:D,"Buy")+SUMIFS('Trade Log'!H:H,'Trade Log'!C:C,A100,'Trade Log'!D:D,"Sell")-IF(ISNUMBER(SEARCH("Bond",B100)),SUMIFS('Trade Log'!I:I,'Trade Log'!C:C,A100,'Trade Log'!D:D,"Redemption"),0))</f>
        <v/>
      </c>
      <c r="E100" s="8">
        <f>IF(OR(A100="",D100=0),0,ABS(SUMIFS('Trade Log'!K:K,'Trade Log'!C:C,A100,'Trade Log'!D:D,"Buy"))/SUMIFS('Trade Log'!H:H,'Trade Log'!C:C,A100,'Trade Log'!D:D,"Buy"))</f>
        <v>0</v>
      </c>
      <c r="F100" s="10">
        <f t="shared" si="6"/>
        <v>0</v>
      </c>
      <c r="G100" s="15"/>
      <c r="H100" s="10">
        <f t="shared" si="7"/>
        <v>0</v>
      </c>
      <c r="I100" s="10">
        <f t="shared" si="8"/>
        <v>0</v>
      </c>
      <c r="J100" s="14">
        <f t="shared" si="9"/>
        <v>0</v>
      </c>
      <c r="K100" s="14" cm="1">
        <f t="array" ref="K100">IF(OR(A100="",H100=0),0,H100/SUMPRODUCT(ISNUMBER(D$6:D$102)*(D$6:D$102&lt;&gt;0)*(H$6:H$102)))</f>
        <v>0</v>
      </c>
    </row>
    <row r="101" spans="1:11" x14ac:dyDescent="0.3">
      <c r="B101" s="6" t="str">
        <f t="shared" si="5"/>
        <v/>
      </c>
      <c r="C101" s="6" t="str">
        <f>IF(A101="","",IFERROR(INDEX('Trade Log'!G$4:G$1002,MATCH(A101,'Trade Log'!C$4:C$1002,0)),"EUR"))</f>
        <v/>
      </c>
      <c r="D101" s="9" t="str">
        <f>IF(A101="","",SUMIFS('Trade Log'!H:H,'Trade Log'!C:C,A101,'Trade Log'!D:D,"Buy")+SUMIFS('Trade Log'!H:H,'Trade Log'!C:C,A101,'Trade Log'!D:D,"Sell")-IF(ISNUMBER(SEARCH("Bond",B101)),SUMIFS('Trade Log'!I:I,'Trade Log'!C:C,A101,'Trade Log'!D:D,"Redemption"),0))</f>
        <v/>
      </c>
      <c r="E101" s="8">
        <f>IF(OR(A101="",D101=0),0,ABS(SUMIFS('Trade Log'!K:K,'Trade Log'!C:C,A101,'Trade Log'!D:D,"Buy"))/SUMIFS('Trade Log'!H:H,'Trade Log'!C:C,A101,'Trade Log'!D:D,"Buy"))</f>
        <v>0</v>
      </c>
      <c r="F101" s="10">
        <f t="shared" si="6"/>
        <v>0</v>
      </c>
      <c r="G101" s="15"/>
      <c r="H101" s="10">
        <f t="shared" si="7"/>
        <v>0</v>
      </c>
      <c r="I101" s="10">
        <f t="shared" si="8"/>
        <v>0</v>
      </c>
      <c r="J101" s="14">
        <f t="shared" si="9"/>
        <v>0</v>
      </c>
      <c r="K101" s="14" cm="1">
        <f t="array" ref="K101">IF(OR(A101="",H101=0),0,H101/SUMPRODUCT(ISNUMBER(D$6:D$102)*(D$6:D$102&lt;&gt;0)*(H$6:H$102)))</f>
        <v>0</v>
      </c>
    </row>
    <row r="102" spans="1:11" x14ac:dyDescent="0.3">
      <c r="B102" s="6" t="str">
        <f t="shared" si="5"/>
        <v/>
      </c>
      <c r="C102" s="6" t="str">
        <f>IF(A102="","",IFERROR(INDEX('Trade Log'!G$4:G$1002,MATCH(A102,'Trade Log'!C$4:C$1002,0)),"EUR"))</f>
        <v/>
      </c>
      <c r="D102" s="9" t="str">
        <f>IF(A102="","",SUMIFS('Trade Log'!H:H,'Trade Log'!C:C,A102,'Trade Log'!D:D,"Buy")+SUMIFS('Trade Log'!H:H,'Trade Log'!C:C,A102,'Trade Log'!D:D,"Sell")-IF(ISNUMBER(SEARCH("Bond",B102)),SUMIFS('Trade Log'!I:I,'Trade Log'!C:C,A102,'Trade Log'!D:D,"Redemption"),0))</f>
        <v/>
      </c>
      <c r="E102" s="8">
        <f>IF(OR(A102="",D102=0),0,ABS(SUMIFS('Trade Log'!K:K,'Trade Log'!C:C,A102,'Trade Log'!D:D,"Buy"))/SUMIFS('Trade Log'!H:H,'Trade Log'!C:C,A102,'Trade Log'!D:D,"Buy"))</f>
        <v>0</v>
      </c>
      <c r="F102" s="10">
        <f t="shared" si="6"/>
        <v>0</v>
      </c>
      <c r="G102" s="15"/>
      <c r="H102" s="10">
        <f t="shared" si="7"/>
        <v>0</v>
      </c>
      <c r="I102" s="10">
        <f t="shared" si="8"/>
        <v>0</v>
      </c>
      <c r="J102" s="14">
        <f t="shared" si="9"/>
        <v>0</v>
      </c>
      <c r="K102" s="14" cm="1">
        <f t="array" ref="K102">IF(OR(A102="",H102=0),0,H102/SUMPRODUCT(ISNUMBER(D$6:D$102)*(D$6:D$102&lt;&gt;0)*(H$6:H$102)))</f>
        <v>0</v>
      </c>
    </row>
    <row r="103" spans="1:11" ht="13.5" thickBot="1" x14ac:dyDescent="0.35"/>
    <row r="104" spans="1:11" x14ac:dyDescent="0.3">
      <c r="A104" s="16" t="s">
        <v>335</v>
      </c>
      <c r="B104" s="16"/>
      <c r="C104" s="16"/>
      <c r="D104" s="16"/>
      <c r="E104" s="16"/>
      <c r="F104" s="17" cm="1">
        <f t="array" ref="F104">SUMPRODUCT((A6:A102&lt;&gt;"")*(D6:D102&lt;&gt;0)*(F6:F102))</f>
        <v>-1147302.1999999997</v>
      </c>
      <c r="G104" s="17"/>
      <c r="H104" s="17" cm="1">
        <f t="array" ref="H104">SUMPRODUCT((A6:A102&lt;&gt;"")*(D6:D102&lt;&gt;0)*(H6:H102))</f>
        <v>1070303.9380000001</v>
      </c>
      <c r="I104" s="17" cm="1">
        <f t="array" ref="I104">SUMPRODUCT((A6:A102&lt;&gt;"")*(D6:D102&lt;&gt;0)*(I6:I102))</f>
        <v>-76998.261999999988</v>
      </c>
      <c r="J104" s="18">
        <f>IF(F104=0,0,I104/ABS(F104))</f>
        <v>-6.7112450407573535E-2</v>
      </c>
      <c r="K104" s="18" cm="1">
        <f t="array" ref="K104">SUMPRODUCT((A6:A102&lt;&gt;"")*(D6:D102&lt;&gt;0)*(K6:K102))</f>
        <v>1</v>
      </c>
    </row>
  </sheetData>
  <conditionalFormatting sqref="A6:K102">
    <cfRule type="expression" dxfId="0" priority="1">
      <formula>AND($D6=0,$A6&lt;&gt;"")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0B3A-3B3E-422C-81EF-037E22B50156}">
  <dimension ref="A1:G57"/>
  <sheetViews>
    <sheetView showGridLines="0" tabSelected="1" workbookViewId="0">
      <selection activeCell="F32" sqref="F32"/>
    </sheetView>
  </sheetViews>
  <sheetFormatPr defaultColWidth="0" defaultRowHeight="14.5" x14ac:dyDescent="0.35"/>
  <cols>
    <col min="1" max="1" width="41.81640625" style="105" customWidth="1"/>
    <col min="2" max="2" width="13.36328125" style="105" bestFit="1" customWidth="1"/>
    <col min="3" max="3" width="2.7265625" style="105" customWidth="1"/>
    <col min="4" max="4" width="32" style="105" customWidth="1"/>
    <col min="5" max="5" width="23.6328125" style="105" customWidth="1"/>
    <col min="6" max="6" width="15.453125" style="105" customWidth="1"/>
    <col min="7" max="7" width="2.1796875" style="105" customWidth="1"/>
    <col min="8" max="16384" width="8.7265625" style="105" hidden="1"/>
  </cols>
  <sheetData>
    <row r="1" spans="1:6" ht="30" customHeight="1" x14ac:dyDescent="0.35">
      <c r="A1" s="101" t="s">
        <v>433</v>
      </c>
      <c r="B1" s="104"/>
      <c r="C1" s="104"/>
      <c r="D1" s="104"/>
      <c r="E1" s="104"/>
      <c r="F1" s="104"/>
    </row>
    <row r="3" spans="1:6" ht="20" customHeight="1" x14ac:dyDescent="0.35">
      <c r="A3" s="108" t="s">
        <v>425</v>
      </c>
      <c r="B3" s="107"/>
      <c r="C3" s="110"/>
      <c r="D3" s="108" t="s">
        <v>427</v>
      </c>
      <c r="E3" s="107"/>
    </row>
    <row r="4" spans="1:6" x14ac:dyDescent="0.35">
      <c r="A4" s="131" t="s">
        <v>336</v>
      </c>
      <c r="B4" s="125">
        <f>SUMIFS('Trade Log'!I:I,'Trade Log'!D:D,"Deposit")</f>
        <v>1250000</v>
      </c>
      <c r="C4" s="125"/>
      <c r="D4" s="131" t="s">
        <v>352</v>
      </c>
      <c r="E4" s="125">
        <f>SUMIFS('Trade Log'!I:I,'Trade Log'!D:D,"Dividend")</f>
        <v>834.27</v>
      </c>
    </row>
    <row r="5" spans="1:6" x14ac:dyDescent="0.35">
      <c r="A5" s="131" t="s">
        <v>337</v>
      </c>
      <c r="B5" s="125">
        <f>SUMIFS('Trade Log'!I:I,'Trade Log'!D:D,"Withdrawal")</f>
        <v>-30000</v>
      </c>
      <c r="C5" s="125"/>
      <c r="D5" s="131" t="s">
        <v>353</v>
      </c>
      <c r="E5" s="125">
        <f>SUMIFS('Trade Log'!I:I,'Trade Log'!D:D,"Coupon")</f>
        <v>2715</v>
      </c>
    </row>
    <row r="6" spans="1:6" ht="15" thickBot="1" x14ac:dyDescent="0.4">
      <c r="A6" s="139" t="s">
        <v>338</v>
      </c>
      <c r="B6" s="140">
        <f>B4+B5</f>
        <v>1220000</v>
      </c>
      <c r="C6" s="125"/>
      <c r="D6" s="131" t="s">
        <v>354</v>
      </c>
      <c r="E6" s="125">
        <f>SUMIFS('Trade Log'!I:I,'Trade Log'!D:D,"Distribution")</f>
        <v>1051.69</v>
      </c>
    </row>
    <row r="7" spans="1:6" x14ac:dyDescent="0.35">
      <c r="A7" s="131"/>
      <c r="B7" s="6"/>
      <c r="C7" s="6"/>
      <c r="D7" s="131" t="s">
        <v>355</v>
      </c>
      <c r="E7" s="125">
        <f>SUMIFS('Trade Log'!I:I,'Trade Log'!D:D,"Sec. Lending")</f>
        <v>73.75</v>
      </c>
    </row>
    <row r="8" spans="1:6" x14ac:dyDescent="0.35">
      <c r="A8" s="131" t="s">
        <v>339</v>
      </c>
      <c r="B8" s="125">
        <f>Holdings!H104</f>
        <v>1070303.9380000001</v>
      </c>
      <c r="C8" s="125"/>
      <c r="D8" s="141" t="s">
        <v>356</v>
      </c>
      <c r="E8" s="142">
        <f>SUM(E4:E7)</f>
        <v>4674.71</v>
      </c>
    </row>
    <row r="9" spans="1:6" x14ac:dyDescent="0.35">
      <c r="A9" s="131" t="s">
        <v>340</v>
      </c>
      <c r="B9" s="125">
        <f>SUMIFS('Trade Log'!I:I,'Trade Log'!D:D,"Deposit")+SUMIFS('Trade Log'!I:I,'Trade Log'!D:D,"Withdrawal")+SUMIFS('Trade Log'!K:K,'Trade Log'!D:D,"Buy")+SUMIFS('Trade Log'!K:K,'Trade Log'!D:D,"Sell")+SUMIFS('Trade Log'!I:I,'Trade Log'!D:D,"Dividend")+SUMIFS('Trade Log'!I:I,'Trade Log'!D:D,"Coupon")+SUMIFS('Trade Log'!I:I,'Trade Log'!D:D,"Distribution")+SUMIFS('Trade Log'!I:I,'Trade Log'!D:D,"Tax")+SUMIFS('Trade Log'!I:I,'Trade Log'!D:D,"Redemption")+SUMIFS('Trade Log'!I:I,'Trade Log'!D:D,"Accrued Int.")+SUMIFS('Trade Log'!I:I,'Trade Log'!D:D,"Sec. Lending")</f>
        <v>97547.740000000049</v>
      </c>
      <c r="C9" s="125"/>
      <c r="D9" s="131" t="s">
        <v>357</v>
      </c>
      <c r="E9" s="125">
        <f>SUMIFS('Trade Log'!I:I,'Trade Log'!D:D,"Tax")</f>
        <v>-1466.06</v>
      </c>
    </row>
    <row r="10" spans="1:6" ht="15" thickBot="1" x14ac:dyDescent="0.4">
      <c r="A10" s="139" t="s">
        <v>341</v>
      </c>
      <c r="B10" s="140">
        <f>B8+B9</f>
        <v>1167851.6780000001</v>
      </c>
      <c r="C10" s="143"/>
      <c r="D10" s="131" t="s">
        <v>358</v>
      </c>
      <c r="E10" s="125">
        <f>SUMIFS('Trade Log'!I:I,'Trade Log'!D:D,"Accrued Int.")</f>
        <v>-1852.3799999999999</v>
      </c>
    </row>
    <row r="11" spans="1:6" x14ac:dyDescent="0.35">
      <c r="A11" s="131"/>
      <c r="B11" s="6"/>
      <c r="C11" s="6"/>
      <c r="D11" s="141" t="s">
        <v>359</v>
      </c>
      <c r="E11" s="142">
        <f>SUM(E9:E10)</f>
        <v>-3318.4399999999996</v>
      </c>
    </row>
    <row r="12" spans="1:6" x14ac:dyDescent="0.35">
      <c r="A12" s="131" t="s">
        <v>342</v>
      </c>
      <c r="B12" s="125">
        <f>Holdings!I104</f>
        <v>-76998.261999999988</v>
      </c>
      <c r="C12" s="125"/>
      <c r="D12" s="6"/>
      <c r="E12" s="6"/>
    </row>
    <row r="13" spans="1:6" x14ac:dyDescent="0.35">
      <c r="A13" s="131" t="s">
        <v>343</v>
      </c>
      <c r="B13" s="125">
        <f>B16-B12-B14-B15</f>
        <v>23493.67000000006</v>
      </c>
      <c r="C13" s="125"/>
      <c r="D13" s="6"/>
      <c r="E13" s="6"/>
    </row>
    <row r="14" spans="1:6" x14ac:dyDescent="0.35">
      <c r="A14" s="131" t="s">
        <v>344</v>
      </c>
      <c r="B14" s="125">
        <f>SUMIFS('Trade Log'!I:I,'Trade Log'!D:D,"Dividend")+SUMIFS('Trade Log'!I:I,'Trade Log'!D:D,"Coupon")+SUMIFS('Trade Log'!I:I,'Trade Log'!D:D,"Distribution")+SUMIFS('Trade Log'!I:I,'Trade Log'!D:D,"Sec. Lending")</f>
        <v>4674.71</v>
      </c>
      <c r="C14" s="125"/>
      <c r="D14" s="6"/>
      <c r="E14" s="6"/>
    </row>
    <row r="15" spans="1:6" x14ac:dyDescent="0.35">
      <c r="A15" s="131" t="s">
        <v>345</v>
      </c>
      <c r="B15" s="125">
        <f>SUMIFS('Trade Log'!I:I,'Trade Log'!D:D,"Tax")+SUMIFS('Trade Log'!I:I,'Trade Log'!D:D,"Accrued Int.")</f>
        <v>-3318.4399999999996</v>
      </c>
      <c r="C15" s="125"/>
      <c r="D15" s="6"/>
      <c r="E15" s="6"/>
    </row>
    <row r="16" spans="1:6" ht="15" thickBot="1" x14ac:dyDescent="0.4">
      <c r="A16" s="139" t="s">
        <v>346</v>
      </c>
      <c r="B16" s="140">
        <f>B10-B6</f>
        <v>-52148.321999999927</v>
      </c>
      <c r="C16" s="143"/>
      <c r="D16" s="6"/>
      <c r="E16" s="6"/>
    </row>
    <row r="17" spans="1:6" x14ac:dyDescent="0.35">
      <c r="A17" s="6"/>
      <c r="B17" s="6"/>
      <c r="C17" s="6"/>
      <c r="D17" s="6"/>
      <c r="E17" s="6"/>
    </row>
    <row r="18" spans="1:6" x14ac:dyDescent="0.35">
      <c r="A18" s="141" t="s">
        <v>347</v>
      </c>
      <c r="B18" s="144">
        <f>IF(B6=0,0,B10/B6)</f>
        <v>0.95725547377049192</v>
      </c>
      <c r="C18" s="145"/>
      <c r="D18" s="6"/>
      <c r="E18" s="6"/>
    </row>
    <row r="19" spans="1:6" x14ac:dyDescent="0.35">
      <c r="A19" s="131"/>
      <c r="B19" s="6"/>
      <c r="C19" s="6"/>
      <c r="D19" s="6"/>
      <c r="E19" s="6"/>
    </row>
    <row r="20" spans="1:6" x14ac:dyDescent="0.35">
      <c r="A20" s="106"/>
      <c r="B20" s="109"/>
      <c r="C20" s="109"/>
    </row>
    <row r="21" spans="1:6" ht="20" customHeight="1" x14ac:dyDescent="0.35">
      <c r="A21" s="108" t="s">
        <v>426</v>
      </c>
      <c r="B21" s="108"/>
      <c r="C21" s="108"/>
      <c r="D21" s="108"/>
      <c r="E21" s="108"/>
      <c r="F21" s="108"/>
    </row>
    <row r="22" spans="1:6" x14ac:dyDescent="0.35">
      <c r="A22" s="120" t="s">
        <v>323</v>
      </c>
      <c r="B22" s="147" t="s">
        <v>348</v>
      </c>
      <c r="C22" s="121"/>
      <c r="D22" s="147" t="s">
        <v>328</v>
      </c>
      <c r="E22" s="147" t="s">
        <v>349</v>
      </c>
      <c r="F22" s="147" t="s">
        <v>331</v>
      </c>
    </row>
    <row r="23" spans="1:6" x14ac:dyDescent="0.35">
      <c r="A23" s="131" t="s">
        <v>332</v>
      </c>
      <c r="B23" s="6">
        <f>COUNTIFS(Holdings!B$6:B$102,"Stock",Holdings!D$6:D$102,"&lt;&gt;0")</f>
        <v>22</v>
      </c>
      <c r="C23" s="6"/>
      <c r="D23" s="125" cm="1">
        <f t="array" ref="D23">SUMPRODUCT((Holdings!B$6:B$102="Stock")*(Holdings!D$6:D$102&lt;&gt;0)*(Holdings!H$6:H$102))</f>
        <v>620994.1939999999</v>
      </c>
      <c r="E23" s="125" cm="1">
        <f t="array" ref="E23">SUMPRODUCT((Holdings!B$6:B$102="Stock")*(Holdings!D$6:D$102&lt;&gt;0)*(Holdings!F$6:F$102))</f>
        <v>-682365.68</v>
      </c>
      <c r="F23" s="14">
        <f>IF(D28=0,0,D23/D28)</f>
        <v>0.53174063598853694</v>
      </c>
    </row>
    <row r="24" spans="1:6" x14ac:dyDescent="0.35">
      <c r="A24" s="131" t="s">
        <v>333</v>
      </c>
      <c r="B24" s="6">
        <f>COUNTIFS(Holdings!B$6:B$102,"Bond",Holdings!D$6:D$102,"&lt;&gt;0")</f>
        <v>3</v>
      </c>
      <c r="C24" s="6"/>
      <c r="D24" s="125" cm="1">
        <f t="array" ref="D24">SUMPRODUCT((Holdings!B$6:B$102="Bond")*(Holdings!D$6:D$102&lt;&gt;0)*(Holdings!H$6:H$102))</f>
        <v>220510</v>
      </c>
      <c r="E24" s="125" cm="1">
        <f t="array" ref="E24">SUMPRODUCT((Holdings!B$6:B$102="Bond")*(Holdings!D$6:D$102&lt;&gt;0)*(Holdings!F$6:F$102))</f>
        <v>-220609</v>
      </c>
      <c r="F24" s="14">
        <f>IF(D28=0,0,D24/D28)</f>
        <v>0.18881678568774554</v>
      </c>
    </row>
    <row r="25" spans="1:6" x14ac:dyDescent="0.35">
      <c r="A25" s="131" t="s">
        <v>373</v>
      </c>
      <c r="B25" s="6">
        <f>COUNTIFS(Holdings!B$6:B$102,"ETF/ETC",Holdings!D$6:D$102,"&lt;&gt;0")</f>
        <v>6</v>
      </c>
      <c r="C25" s="6"/>
      <c r="D25" s="125" cm="1">
        <f t="array" ref="D25">SUMPRODUCT((Holdings!B$6:B$102="ETF/ETC")*(Holdings!D$6:D$102&lt;&gt;0)*(Holdings!H$6:H$102))</f>
        <v>181704.69</v>
      </c>
      <c r="E25" s="125" cm="1">
        <f t="array" ref="E25">SUMPRODUCT((Holdings!B$6:B$102="ETF/ETC")*(Holdings!D$6:D$102&lt;&gt;0)*(Holdings!F$6:F$102))</f>
        <v>-180976.71999999997</v>
      </c>
      <c r="F25" s="14">
        <f>IF(D28=0,0,D25/D28)</f>
        <v>0.15558884182208627</v>
      </c>
    </row>
    <row r="26" spans="1:6" x14ac:dyDescent="0.35">
      <c r="A26" s="131" t="s">
        <v>334</v>
      </c>
      <c r="B26" s="6">
        <f>COUNTIFS(Holdings!B$6:B$102,"Crypto ETP",Holdings!D$6:D$102,"&lt;&gt;0")</f>
        <v>4</v>
      </c>
      <c r="C26" s="6"/>
      <c r="D26" s="125" cm="1">
        <f t="array" ref="D26">SUMPRODUCT((Holdings!B$6:B$102="Crypto ETP")*(Holdings!D$6:D$102&lt;&gt;0)*(Holdings!H$6:H$102))</f>
        <v>47095.053999999996</v>
      </c>
      <c r="E26" s="125" cm="1">
        <f t="array" ref="E26">SUMPRODUCT((Holdings!B$6:B$102="Crypto ETP")*(Holdings!D$6:D$102&lt;&gt;0)*(Holdings!F$6:F$102))</f>
        <v>-63350.799999999996</v>
      </c>
      <c r="F26" s="14">
        <f>IF(D28=0,0,D26/D28)</f>
        <v>4.0326228824410698E-2</v>
      </c>
    </row>
    <row r="27" spans="1:6" x14ac:dyDescent="0.35">
      <c r="A27" s="131" t="s">
        <v>350</v>
      </c>
      <c r="B27" s="148" t="s">
        <v>351</v>
      </c>
      <c r="C27" s="148"/>
      <c r="D27" s="125">
        <f>B9</f>
        <v>97547.740000000049</v>
      </c>
      <c r="E27" s="125">
        <f>D27</f>
        <v>97547.740000000049</v>
      </c>
      <c r="F27" s="14">
        <f>IF(D28=0,0,D27/D28)</f>
        <v>8.3527507677220683E-2</v>
      </c>
    </row>
    <row r="28" spans="1:6" x14ac:dyDescent="0.35">
      <c r="A28" s="149" t="s">
        <v>397</v>
      </c>
      <c r="B28" s="150">
        <f>+SUM(B23:B27)</f>
        <v>35</v>
      </c>
      <c r="C28" s="150"/>
      <c r="D28" s="151">
        <f>SUM(D23:D27)</f>
        <v>1167851.6779999998</v>
      </c>
      <c r="E28" s="151">
        <f>SUM(E23:E27)</f>
        <v>-1049754.46</v>
      </c>
      <c r="F28" s="152">
        <f>SUM(F23:F27)</f>
        <v>1.0000000000000002</v>
      </c>
    </row>
    <row r="30" spans="1:6" ht="20" customHeight="1" x14ac:dyDescent="0.35">
      <c r="A30" s="108" t="s">
        <v>432</v>
      </c>
      <c r="B30" s="108"/>
      <c r="C30" s="108"/>
      <c r="D30" s="108"/>
      <c r="E30" s="108"/>
      <c r="F30" s="108"/>
    </row>
    <row r="31" spans="1:6" x14ac:dyDescent="0.35">
      <c r="A31" s="111" t="s">
        <v>434</v>
      </c>
      <c r="B31" s="113" t="s">
        <v>381</v>
      </c>
      <c r="C31" s="162"/>
      <c r="D31" s="162"/>
      <c r="E31" s="112" t="s">
        <v>435</v>
      </c>
      <c r="F31" s="112"/>
    </row>
    <row r="32" spans="1:6" x14ac:dyDescent="0.35">
      <c r="A32" s="131" t="s">
        <v>382</v>
      </c>
      <c r="B32" s="127">
        <f>'IRR Analysis'!B5</f>
        <v>-6.1552175879478449E-2</v>
      </c>
      <c r="D32" s="173" t="s">
        <v>383</v>
      </c>
      <c r="E32" s="177">
        <f>+B33-B32</f>
        <v>-2.5843012332916263E-2</v>
      </c>
      <c r="F32" s="164"/>
    </row>
    <row r="33" spans="1:6" x14ac:dyDescent="0.35">
      <c r="A33" s="163" t="s">
        <v>384</v>
      </c>
      <c r="B33" s="146">
        <f>'IRR Analysis'!F5</f>
        <v>-8.7395188212394712E-2</v>
      </c>
      <c r="C33" s="119"/>
      <c r="D33" s="174" t="s">
        <v>385</v>
      </c>
      <c r="E33" s="178"/>
      <c r="F33" s="165"/>
    </row>
    <row r="35" spans="1:6" ht="20" customHeight="1" x14ac:dyDescent="0.35">
      <c r="A35" s="108" t="s">
        <v>436</v>
      </c>
      <c r="B35" s="108"/>
      <c r="C35" s="108"/>
      <c r="D35" s="108"/>
      <c r="E35" s="108"/>
      <c r="F35" s="108"/>
    </row>
    <row r="36" spans="1:6" x14ac:dyDescent="0.35">
      <c r="A36" s="111" t="s">
        <v>380</v>
      </c>
      <c r="B36" s="113" t="s">
        <v>381</v>
      </c>
      <c r="C36" s="162"/>
      <c r="D36" s="112"/>
      <c r="E36" s="162"/>
      <c r="F36" s="162"/>
    </row>
    <row r="37" spans="1:6" x14ac:dyDescent="0.35">
      <c r="A37" s="131" t="s">
        <v>369</v>
      </c>
      <c r="B37" s="167">
        <f>+'Monthly Returns'!B23</f>
        <v>1.0103518663853395E-2</v>
      </c>
    </row>
    <row r="38" spans="1:6" x14ac:dyDescent="0.35">
      <c r="A38" s="131" t="s">
        <v>370</v>
      </c>
      <c r="B38" s="167">
        <f>+'Monthly Returns'!B24</f>
        <v>2.7455328876202709E-2</v>
      </c>
    </row>
    <row r="39" spans="1:6" x14ac:dyDescent="0.35">
      <c r="A39" s="131" t="s">
        <v>371</v>
      </c>
      <c r="B39" s="167">
        <f>+'Monthly Returns'!B25</f>
        <v>3.5000000000000003E-2</v>
      </c>
    </row>
    <row r="40" spans="1:6" x14ac:dyDescent="0.35">
      <c r="A40" s="131" t="s">
        <v>372</v>
      </c>
      <c r="B40" s="166">
        <f>+'Monthly Returns'!B26</f>
        <v>-0.26177049756190679</v>
      </c>
    </row>
    <row r="41" spans="1:6" x14ac:dyDescent="0.35">
      <c r="A41" s="168" t="s">
        <v>431</v>
      </c>
      <c r="B41" s="169">
        <f>+'Monthly Returns'!B28</f>
        <v>-8.9026336377953874E-2</v>
      </c>
      <c r="C41" s="119"/>
      <c r="D41" s="119"/>
      <c r="E41" s="119"/>
      <c r="F41" s="119"/>
    </row>
    <row r="49" s="105" customFormat="1" x14ac:dyDescent="0.35"/>
    <row r="50" s="105" customFormat="1" x14ac:dyDescent="0.35"/>
    <row r="51" s="105" customFormat="1" x14ac:dyDescent="0.35"/>
    <row r="52" s="105" customFormat="1" x14ac:dyDescent="0.35"/>
    <row r="53" s="105" customFormat="1" x14ac:dyDescent="0.35"/>
    <row r="54" s="105" customFormat="1" x14ac:dyDescent="0.35"/>
    <row r="55" s="105" customFormat="1" x14ac:dyDescent="0.35"/>
    <row r="56" s="105" customFormat="1" x14ac:dyDescent="0.35"/>
    <row r="57" s="105" customFormat="1" x14ac:dyDescent="0.35"/>
  </sheetData>
  <mergeCells count="1">
    <mergeCell ref="E32:E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6E2C-66BB-4A1A-BED4-213636FBFA5D}">
  <dimension ref="A1:I304"/>
  <sheetViews>
    <sheetView showGridLines="0" zoomScale="115" zoomScaleNormal="115" workbookViewId="0">
      <pane ySplit="9" topLeftCell="A10" activePane="bottomLeft" state="frozen"/>
      <selection pane="bottomLeft" activeCell="C53" sqref="C53"/>
    </sheetView>
  </sheetViews>
  <sheetFormatPr defaultColWidth="0" defaultRowHeight="14.5" x14ac:dyDescent="0.35"/>
  <cols>
    <col min="1" max="1" width="23.6328125" style="105" customWidth="1"/>
    <col min="2" max="2" width="25.453125" style="105" customWidth="1"/>
    <col min="3" max="3" width="40" style="105" customWidth="1"/>
    <col min="4" max="4" width="3.6328125" style="105" customWidth="1"/>
    <col min="5" max="5" width="18.1796875" style="105" customWidth="1"/>
    <col min="6" max="6" width="25.453125" style="105" customWidth="1"/>
    <col min="7" max="7" width="29.08984375" style="105" customWidth="1"/>
    <col min="8" max="8" width="25.453125" style="105" customWidth="1"/>
    <col min="9" max="9" width="1.453125" style="105" customWidth="1"/>
    <col min="10" max="16384" width="8.7265625" style="105" hidden="1"/>
  </cols>
  <sheetData>
    <row r="1" spans="1:8" ht="30" customHeight="1" x14ac:dyDescent="0.35">
      <c r="A1" s="101" t="s">
        <v>432</v>
      </c>
      <c r="B1" s="114"/>
      <c r="C1" s="114"/>
      <c r="D1" s="114"/>
      <c r="E1" s="114"/>
      <c r="F1" s="114"/>
      <c r="G1" s="114"/>
      <c r="H1" s="114"/>
    </row>
    <row r="3" spans="1:8" x14ac:dyDescent="0.35">
      <c r="A3" s="157" t="s">
        <v>361</v>
      </c>
      <c r="B3" s="158">
        <f>Holdings!$G$3</f>
        <v>46112</v>
      </c>
      <c r="C3" s="6"/>
      <c r="D3" s="6"/>
      <c r="E3" s="157" t="s">
        <v>361</v>
      </c>
      <c r="F3" s="158">
        <f>Holdings!$G$3</f>
        <v>46112</v>
      </c>
      <c r="G3" s="6"/>
    </row>
    <row r="4" spans="1:8" x14ac:dyDescent="0.35">
      <c r="A4" s="157" t="s">
        <v>362</v>
      </c>
      <c r="B4" s="159">
        <f>'Portfolio Metrics'!B10</f>
        <v>1167851.6780000001</v>
      </c>
      <c r="C4" s="153" t="s">
        <v>376</v>
      </c>
      <c r="D4" s="6"/>
      <c r="E4" s="157" t="s">
        <v>362</v>
      </c>
      <c r="F4" s="159">
        <f>Holdings!H104</f>
        <v>1070303.9380000001</v>
      </c>
      <c r="G4" s="153" t="s">
        <v>379</v>
      </c>
    </row>
    <row r="5" spans="1:8" x14ac:dyDescent="0.35">
      <c r="A5" s="160" t="s">
        <v>382</v>
      </c>
      <c r="B5" s="161" cm="1">
        <f t="array" ref="B5">IFERROR(XIRR(_xlfn.VSTACK(_xlfn._xlws.FILTER(B10:B39,A10:A39&lt;&gt;""),B4),_xlfn.VSTACK(_xlfn._xlws.FILTER(A10:A39,A10:A39&lt;&gt;""),B3)),"Enter current prices first")</f>
        <v>-6.1552175879478449E-2</v>
      </c>
      <c r="C5" s="6"/>
      <c r="D5" s="6"/>
      <c r="E5" s="160" t="s">
        <v>384</v>
      </c>
      <c r="F5" s="161" cm="1">
        <f t="array" ref="F5">IFERROR(XIRR(_xlfn.VSTACK(_xlfn._xlws.FILTER(F10:F304,E10:E304&lt;&gt;""),F4),_xlfn.VSTACK(_xlfn._xlws.FILTER(E10:E304,E10:E304&lt;&gt;""),F3)),"Enter current prices first")</f>
        <v>-8.7395188212394712E-2</v>
      </c>
      <c r="G5" s="6"/>
    </row>
    <row r="7" spans="1:8" ht="20" customHeight="1" x14ac:dyDescent="0.35">
      <c r="A7" s="175" t="s">
        <v>382</v>
      </c>
      <c r="B7" s="175"/>
      <c r="C7" s="175"/>
      <c r="E7" s="175" t="s">
        <v>428</v>
      </c>
      <c r="F7" s="175"/>
      <c r="G7" s="175"/>
      <c r="H7" s="175"/>
    </row>
    <row r="8" spans="1:8" x14ac:dyDescent="0.35">
      <c r="A8" s="115" t="s">
        <v>374</v>
      </c>
      <c r="E8" s="115" t="s">
        <v>377</v>
      </c>
    </row>
    <row r="9" spans="1:8" x14ac:dyDescent="0.35">
      <c r="A9" s="113" t="s">
        <v>311</v>
      </c>
      <c r="B9" s="113" t="s">
        <v>375</v>
      </c>
      <c r="C9" s="113" t="s">
        <v>360</v>
      </c>
      <c r="E9" s="113" t="s">
        <v>311</v>
      </c>
      <c r="F9" s="113" t="s">
        <v>375</v>
      </c>
      <c r="G9" s="113" t="s">
        <v>360</v>
      </c>
      <c r="H9" s="113" t="s">
        <v>378</v>
      </c>
    </row>
    <row r="10" spans="1:8" x14ac:dyDescent="0.35">
      <c r="A10" s="170" cm="1">
        <f t="array" ref="A10">IFERROR(_xlfn.AGGREGATE(15,6,('Statements (Raw)'!A$2:A$1000)/(('Statements (Raw)'!A$2:A$1000&lt;=Holdings!$G$3)*((ISNUMBER(SEARCH("Conferimento",'Statements (Raw)'!D$2:D$1000)))+(ISNUMBER(SEARCH("Prelievo",'Statements (Raw)'!D$2:D$1000))))&gt;0),1),"")</f>
        <v>45742</v>
      </c>
      <c r="B10" s="155" cm="1">
        <f t="array" ref="B10">IF(A10="","",-(SUMPRODUCT(('Statements (Raw)'!A$2:A$1000=A10)*('Statements (Raw)'!A$2:A$1000&lt;=Holdings!$G$3)*(ISNUMBER(SEARCH("Conferimento",'Statements (Raw)'!D$2:D$1000)))*('Statements (Raw)'!H$2:H$1000))+SUMPRODUCT(('Statements (Raw)'!A$2:A$1000=A10)*('Statements (Raw)'!A$2:A$1000&lt;=Holdings!$G$3)*(ISNUMBER(SEARCH("Prelievo",'Statements (Raw)'!D$2:D$1000)))*('Statements (Raw)'!H$2:H$1000))))</f>
        <v>-350000</v>
      </c>
      <c r="C10" s="156" t="str">
        <f>IF(A10="","",IF(B10&lt;0,"Deposit - Investor outflow","Withdrawal - Investor inflow"))</f>
        <v>Deposit - Investor outflow</v>
      </c>
      <c r="E10" s="170" cm="1">
        <f t="array" ref="E10:E85">_xlfn._xlws.SORT(_xlfn.UNIQUE(_xlfn._xlws.FILTER('Trade Log'!A$4:A$1002,(('Trade Log'!D$4:D$1002="Buy")+('Trade Log'!D$4:D$1002="Sell")+('Trade Log'!D$4:D$1002="Dividend")+('Trade Log'!D$4:D$1002="Coupon")+('Trade Log'!D$4:D$1002="Distribution")+('Trade Log'!D$4:D$1002="Redemption")+('Trade Log'!D$4:D$1002="Sec. Lending"))&gt;0,"")))</f>
        <v>45807</v>
      </c>
      <c r="F10" s="155">
        <f>IF(E10="","",SUMIFS('Trade Log'!K:K,'Trade Log'!A:A,E10,'Trade Log'!D:D,"Buy")+SUMIFS('Trade Log'!K:K,'Trade Log'!A:A,E10,'Trade Log'!D:D,"Sell")+SUMIFS('Trade Log'!I:I,'Trade Log'!A:A,E10,'Trade Log'!D:D,"Dividend")+SUMIFS('Trade Log'!I:I,'Trade Log'!A:A,E10,'Trade Log'!D:D,"Coupon")+SUMIFS('Trade Log'!I:I,'Trade Log'!A:A,E10,'Trade Log'!D:D,"Distribution")+SUMIFS('Trade Log'!I:I,'Trade Log'!A:A,E10,'Trade Log'!D:D,"Redemption")+SUMIFS('Trade Log'!I:I,'Trade Log'!A:A,E10,'Trade Log'!D:D,"Sec. Lending"))</f>
        <v>-30555.000000000004</v>
      </c>
      <c r="G10" s="156" t="str">
        <f>IF(E10="","",IF(F10&lt;0,"Investment (Buy)","Proceeds / Income"))</f>
        <v>Investment (Buy)</v>
      </c>
      <c r="H10" s="155">
        <f>IF(E10="","",F10)</f>
        <v>-30555.000000000004</v>
      </c>
    </row>
    <row r="11" spans="1:8" x14ac:dyDescent="0.35">
      <c r="A11" s="171" cm="1">
        <f t="array" ref="A11">IFERROR(_xlfn.AGGREGATE(15,6,('Statements (Raw)'!A$2:A$1000)/(('Statements (Raw)'!A$2:A$1000&lt;=Holdings!$G$3)*((ISNUMBER(SEARCH("Conferimento",'Statements (Raw)'!D$2:D$1000)))+(ISNUMBER(SEARCH("Prelievo",'Statements (Raw)'!D$2:D$1000))))&gt;0),2),"")</f>
        <v>45825</v>
      </c>
      <c r="B11" s="125" cm="1">
        <f t="array" ref="B11">IF(A11="","",-(SUMPRODUCT(('Statements (Raw)'!A$2:A$1000=A11)*('Statements (Raw)'!A$2:A$1000&lt;=Holdings!$G$3)*(ISNUMBER(SEARCH("Conferimento",'Statements (Raw)'!D$2:D$1000)))*('Statements (Raw)'!H$2:H$1000))+SUMPRODUCT(('Statements (Raw)'!A$2:A$1000=A11)*('Statements (Raw)'!A$2:A$1000&lt;=Holdings!$G$3)*(ISNUMBER(SEARCH("Prelievo",'Statements (Raw)'!D$2:D$1000)))*('Statements (Raw)'!H$2:H$1000))))</f>
        <v>-100000</v>
      </c>
      <c r="C11" s="6" t="str">
        <f t="shared" ref="C11:C31" si="0">IF(A11="","",IF(B11&lt;0,"Deposit - Investor outflow","Withdrawal - Investor inflow"))</f>
        <v>Deposit - Investor outflow</v>
      </c>
      <c r="E11" s="171">
        <v>45831</v>
      </c>
      <c r="F11" s="125">
        <f>IF(E11="","",SUMIFS('Trade Log'!K:K,'Trade Log'!A:A,E11,'Trade Log'!D:D,"Buy")+SUMIFS('Trade Log'!K:K,'Trade Log'!A:A,E11,'Trade Log'!D:D,"Sell")+SUMIFS('Trade Log'!I:I,'Trade Log'!A:A,E11,'Trade Log'!D:D,"Dividend")+SUMIFS('Trade Log'!I:I,'Trade Log'!A:A,E11,'Trade Log'!D:D,"Coupon")+SUMIFS('Trade Log'!I:I,'Trade Log'!A:A,E11,'Trade Log'!D:D,"Distribution")+SUMIFS('Trade Log'!I:I,'Trade Log'!A:A,E11,'Trade Log'!D:D,"Redemption")+SUMIFS('Trade Log'!I:I,'Trade Log'!A:A,E11,'Trade Log'!D:D,"Sec. Lending"))</f>
        <v>-980.76</v>
      </c>
      <c r="G11" s="6" t="str">
        <f t="shared" ref="G11:G74" si="1">IF(E11="","",IF(F11&lt;0,"Investment (Buy)","Proceeds / Income"))</f>
        <v>Investment (Buy)</v>
      </c>
      <c r="H11" s="125">
        <f>IF(E11="","",H10+F11)</f>
        <v>-31535.760000000002</v>
      </c>
    </row>
    <row r="12" spans="1:8" x14ac:dyDescent="0.35">
      <c r="A12" s="170" cm="1">
        <f t="array" ref="A12">IFERROR(_xlfn.AGGREGATE(15,6,('Statements (Raw)'!A$2:A$1000)/(('Statements (Raw)'!A$2:A$1000&lt;=Holdings!$G$3)*((ISNUMBER(SEARCH("Conferimento",'Statements (Raw)'!D$2:D$1000)))+(ISNUMBER(SEARCH("Prelievo",'Statements (Raw)'!D$2:D$1000))))&gt;0),3),"")</f>
        <v>45912</v>
      </c>
      <c r="B12" s="155" cm="1">
        <f t="array" ref="B12">IF(A12="","",-(SUMPRODUCT(('Statements (Raw)'!A$2:A$1000=A12)*('Statements (Raw)'!A$2:A$1000&lt;=Holdings!$G$3)*(ISNUMBER(SEARCH("Conferimento",'Statements (Raw)'!D$2:D$1000)))*('Statements (Raw)'!H$2:H$1000))+SUMPRODUCT(('Statements (Raw)'!A$2:A$1000=A12)*('Statements (Raw)'!A$2:A$1000&lt;=Holdings!$G$3)*(ISNUMBER(SEARCH("Prelievo",'Statements (Raw)'!D$2:D$1000)))*('Statements (Raw)'!H$2:H$1000))))</f>
        <v>-400000</v>
      </c>
      <c r="C12" s="156" t="str">
        <f t="shared" si="0"/>
        <v>Deposit - Investor outflow</v>
      </c>
      <c r="E12" s="170">
        <v>45839</v>
      </c>
      <c r="F12" s="155">
        <f>IF(E12="","",SUMIFS('Trade Log'!K:K,'Trade Log'!A:A,E12,'Trade Log'!D:D,"Buy")+SUMIFS('Trade Log'!K:K,'Trade Log'!A:A,E12,'Trade Log'!D:D,"Sell")+SUMIFS('Trade Log'!I:I,'Trade Log'!A:A,E12,'Trade Log'!D:D,"Dividend")+SUMIFS('Trade Log'!I:I,'Trade Log'!A:A,E12,'Trade Log'!D:D,"Coupon")+SUMIFS('Trade Log'!I:I,'Trade Log'!A:A,E12,'Trade Log'!D:D,"Distribution")+SUMIFS('Trade Log'!I:I,'Trade Log'!A:A,E12,'Trade Log'!D:D,"Redemption")+SUMIFS('Trade Log'!I:I,'Trade Log'!A:A,E12,'Trade Log'!D:D,"Sec. Lending"))</f>
        <v>-979.44</v>
      </c>
      <c r="G12" s="156" t="str">
        <f t="shared" si="1"/>
        <v>Investment (Buy)</v>
      </c>
      <c r="H12" s="155">
        <f t="shared" ref="H12:H75" si="2">IF(E12="","",H11+F12)</f>
        <v>-32515.200000000001</v>
      </c>
    </row>
    <row r="13" spans="1:8" x14ac:dyDescent="0.35">
      <c r="A13" s="171" cm="1">
        <f t="array" ref="A13">IFERROR(_xlfn.AGGREGATE(15,6,('Statements (Raw)'!A$2:A$1000)/(('Statements (Raw)'!A$2:A$1000&lt;=Holdings!$G$3)*((ISNUMBER(SEARCH("Conferimento",'Statements (Raw)'!D$2:D$1000)))+(ISNUMBER(SEARCH("Prelievo",'Statements (Raw)'!D$2:D$1000))))&gt;0),4),"")</f>
        <v>45933</v>
      </c>
      <c r="B13" s="125" cm="1">
        <f t="array" ref="B13">IF(A13="","",-(SUMPRODUCT(('Statements (Raw)'!A$2:A$1000=A13)*('Statements (Raw)'!A$2:A$1000&lt;=Holdings!$G$3)*(ISNUMBER(SEARCH("Conferimento",'Statements (Raw)'!D$2:D$1000)))*('Statements (Raw)'!H$2:H$1000))+SUMPRODUCT(('Statements (Raw)'!A$2:A$1000=A13)*('Statements (Raw)'!A$2:A$1000&lt;=Holdings!$G$3)*(ISNUMBER(SEARCH("Prelievo",'Statements (Raw)'!D$2:D$1000)))*('Statements (Raw)'!H$2:H$1000))))</f>
        <v>-400000</v>
      </c>
      <c r="C13" s="6" t="str">
        <f t="shared" si="0"/>
        <v>Deposit - Investor outflow</v>
      </c>
      <c r="E13" s="171">
        <v>45846</v>
      </c>
      <c r="F13" s="125">
        <f>IF(E13="","",SUMIFS('Trade Log'!K:K,'Trade Log'!A:A,E13,'Trade Log'!D:D,"Buy")+SUMIFS('Trade Log'!K:K,'Trade Log'!A:A,E13,'Trade Log'!D:D,"Sell")+SUMIFS('Trade Log'!I:I,'Trade Log'!A:A,E13,'Trade Log'!D:D,"Dividend")+SUMIFS('Trade Log'!I:I,'Trade Log'!A:A,E13,'Trade Log'!D:D,"Coupon")+SUMIFS('Trade Log'!I:I,'Trade Log'!A:A,E13,'Trade Log'!D:D,"Distribution")+SUMIFS('Trade Log'!I:I,'Trade Log'!A:A,E13,'Trade Log'!D:D,"Redemption")+SUMIFS('Trade Log'!I:I,'Trade Log'!A:A,E13,'Trade Log'!D:D,"Sec. Lending"))</f>
        <v>-980</v>
      </c>
      <c r="G13" s="6" t="str">
        <f t="shared" si="1"/>
        <v>Investment (Buy)</v>
      </c>
      <c r="H13" s="125">
        <f t="shared" si="2"/>
        <v>-33495.199999999997</v>
      </c>
    </row>
    <row r="14" spans="1:8" x14ac:dyDescent="0.35">
      <c r="A14" s="170" cm="1">
        <f t="array" ref="A14">IFERROR(_xlfn.AGGREGATE(15,6,('Statements (Raw)'!A$2:A$1000)/(('Statements (Raw)'!A$2:A$1000&lt;=Holdings!$G$3)*((ISNUMBER(SEARCH("Conferimento",'Statements (Raw)'!D$2:D$1000)))+(ISNUMBER(SEARCH("Prelievo",'Statements (Raw)'!D$2:D$1000))))&gt;0),5),"")</f>
        <v>46014</v>
      </c>
      <c r="B14" s="155" cm="1">
        <f t="array" ref="B14">IF(A14="","",-(SUMPRODUCT(('Statements (Raw)'!A$2:A$1000=A14)*('Statements (Raw)'!A$2:A$1000&lt;=Holdings!$G$3)*(ISNUMBER(SEARCH("Conferimento",'Statements (Raw)'!D$2:D$1000)))*('Statements (Raw)'!H$2:H$1000))+SUMPRODUCT(('Statements (Raw)'!A$2:A$1000=A14)*('Statements (Raw)'!A$2:A$1000&lt;=Holdings!$G$3)*(ISNUMBER(SEARCH("Prelievo",'Statements (Raw)'!D$2:D$1000)))*('Statements (Raw)'!H$2:H$1000))))</f>
        <v>30000</v>
      </c>
      <c r="C14" s="156" t="str">
        <f t="shared" si="0"/>
        <v>Withdrawal - Investor inflow</v>
      </c>
      <c r="E14" s="170">
        <v>45853</v>
      </c>
      <c r="F14" s="155">
        <f>IF(E14="","",SUMIFS('Trade Log'!K:K,'Trade Log'!A:A,E14,'Trade Log'!D:D,"Buy")+SUMIFS('Trade Log'!K:K,'Trade Log'!A:A,E14,'Trade Log'!D:D,"Sell")+SUMIFS('Trade Log'!I:I,'Trade Log'!A:A,E14,'Trade Log'!D:D,"Dividend")+SUMIFS('Trade Log'!I:I,'Trade Log'!A:A,E14,'Trade Log'!D:D,"Coupon")+SUMIFS('Trade Log'!I:I,'Trade Log'!A:A,E14,'Trade Log'!D:D,"Distribution")+SUMIFS('Trade Log'!I:I,'Trade Log'!A:A,E14,'Trade Log'!D:D,"Redemption")+SUMIFS('Trade Log'!I:I,'Trade Log'!A:A,E14,'Trade Log'!D:D,"Sec. Lending"))</f>
        <v>-96940.74</v>
      </c>
      <c r="G14" s="156" t="str">
        <f t="shared" si="1"/>
        <v>Investment (Buy)</v>
      </c>
      <c r="H14" s="155">
        <f t="shared" si="2"/>
        <v>-130435.94</v>
      </c>
    </row>
    <row r="15" spans="1:8" x14ac:dyDescent="0.35">
      <c r="A15" s="171" t="str" cm="1">
        <f t="array" ref="A15">IFERROR(_xlfn.AGGREGATE(15,6,('Statements (Raw)'!A$2:A$1000)/(('Statements (Raw)'!A$2:A$1000&lt;=Holdings!$G$3)*((ISNUMBER(SEARCH("Conferimento",'Statements (Raw)'!D$2:D$1000)))+(ISNUMBER(SEARCH("Prelievo",'Statements (Raw)'!D$2:D$1000))))&gt;0),6),"")</f>
        <v/>
      </c>
      <c r="B15" s="125" t="str" cm="1">
        <f t="array" ref="B15">IF(A15="","",-(SUMPRODUCT(('Statements (Raw)'!A$2:A$1000=A15)*('Statements (Raw)'!A$2:A$1000&lt;=Holdings!$G$3)*(ISNUMBER(SEARCH("Conferimento",'Statements (Raw)'!D$2:D$1000)))*('Statements (Raw)'!H$2:H$1000))+SUMPRODUCT(('Statements (Raw)'!A$2:A$1000=A15)*('Statements (Raw)'!A$2:A$1000&lt;=Holdings!$G$3)*(ISNUMBER(SEARCH("Prelievo",'Statements (Raw)'!D$2:D$1000)))*('Statements (Raw)'!H$2:H$1000))))</f>
        <v/>
      </c>
      <c r="C15" s="6" t="str">
        <f t="shared" si="0"/>
        <v/>
      </c>
      <c r="E15" s="171">
        <v>45854</v>
      </c>
      <c r="F15" s="125">
        <f>IF(E15="","",SUMIFS('Trade Log'!K:K,'Trade Log'!A:A,E15,'Trade Log'!D:D,"Buy")+SUMIFS('Trade Log'!K:K,'Trade Log'!A:A,E15,'Trade Log'!D:D,"Sell")+SUMIFS('Trade Log'!I:I,'Trade Log'!A:A,E15,'Trade Log'!D:D,"Dividend")+SUMIFS('Trade Log'!I:I,'Trade Log'!A:A,E15,'Trade Log'!D:D,"Coupon")+SUMIFS('Trade Log'!I:I,'Trade Log'!A:A,E15,'Trade Log'!D:D,"Distribution")+SUMIFS('Trade Log'!I:I,'Trade Log'!A:A,E15,'Trade Log'!D:D,"Redemption")+SUMIFS('Trade Log'!I:I,'Trade Log'!A:A,E15,'Trade Log'!D:D,"Sec. Lending"))</f>
        <v>-8839.5</v>
      </c>
      <c r="G15" s="6" t="str">
        <f t="shared" si="1"/>
        <v>Investment (Buy)</v>
      </c>
      <c r="H15" s="125">
        <f t="shared" si="2"/>
        <v>-139275.44</v>
      </c>
    </row>
    <row r="16" spans="1:8" x14ac:dyDescent="0.35">
      <c r="A16" s="170" t="str" cm="1">
        <f t="array" ref="A16">IFERROR(_xlfn.AGGREGATE(15,6,('Statements (Raw)'!A$2:A$1000)/(('Statements (Raw)'!A$2:A$1000&lt;=Holdings!$G$3)*((ISNUMBER(SEARCH("Conferimento",'Statements (Raw)'!D$2:D$1000)))+(ISNUMBER(SEARCH("Prelievo",'Statements (Raw)'!D$2:D$1000))))&gt;0),7),"")</f>
        <v/>
      </c>
      <c r="B16" s="155" t="str" cm="1">
        <f t="array" ref="B16">IF(A16="","",-(SUMPRODUCT(('Statements (Raw)'!A$2:A$1000=A16)*('Statements (Raw)'!A$2:A$1000&lt;=Holdings!$G$3)*(ISNUMBER(SEARCH("Conferimento",'Statements (Raw)'!D$2:D$1000)))*('Statements (Raw)'!H$2:H$1000))+SUMPRODUCT(('Statements (Raw)'!A$2:A$1000=A16)*('Statements (Raw)'!A$2:A$1000&lt;=Holdings!$G$3)*(ISNUMBER(SEARCH("Prelievo",'Statements (Raw)'!D$2:D$1000)))*('Statements (Raw)'!H$2:H$1000))))</f>
        <v/>
      </c>
      <c r="C16" s="156" t="str">
        <f t="shared" si="0"/>
        <v/>
      </c>
      <c r="E16" s="170">
        <v>45856</v>
      </c>
      <c r="F16" s="155">
        <f>IF(E16="","",SUMIFS('Trade Log'!K:K,'Trade Log'!A:A,E16,'Trade Log'!D:D,"Buy")+SUMIFS('Trade Log'!K:K,'Trade Log'!A:A,E16,'Trade Log'!D:D,"Sell")+SUMIFS('Trade Log'!I:I,'Trade Log'!A:A,E16,'Trade Log'!D:D,"Dividend")+SUMIFS('Trade Log'!I:I,'Trade Log'!A:A,E16,'Trade Log'!D:D,"Coupon")+SUMIFS('Trade Log'!I:I,'Trade Log'!A:A,E16,'Trade Log'!D:D,"Distribution")+SUMIFS('Trade Log'!I:I,'Trade Log'!A:A,E16,'Trade Log'!D:D,"Redemption")+SUMIFS('Trade Log'!I:I,'Trade Log'!A:A,E16,'Trade Log'!D:D,"Sec. Lending"))</f>
        <v>-43547.6</v>
      </c>
      <c r="G16" s="156" t="str">
        <f t="shared" si="1"/>
        <v>Investment (Buy)</v>
      </c>
      <c r="H16" s="155">
        <f t="shared" si="2"/>
        <v>-182823.04000000001</v>
      </c>
    </row>
    <row r="17" spans="1:8" x14ac:dyDescent="0.35">
      <c r="A17" s="171" t="str" cm="1">
        <f t="array" ref="A17">IFERROR(_xlfn.AGGREGATE(15,6,('Statements (Raw)'!A$2:A$1000)/(('Statements (Raw)'!A$2:A$1000&lt;=Holdings!$G$3)*((ISNUMBER(SEARCH("Conferimento",'Statements (Raw)'!D$2:D$1000)))+(ISNUMBER(SEARCH("Prelievo",'Statements (Raw)'!D$2:D$1000))))&gt;0),8),"")</f>
        <v/>
      </c>
      <c r="B17" s="125" t="str" cm="1">
        <f t="array" ref="B17">IF(A17="","",-(SUMPRODUCT(('Statements (Raw)'!A$2:A$1000=A17)*('Statements (Raw)'!A$2:A$1000&lt;=Holdings!$G$3)*(ISNUMBER(SEARCH("Conferimento",'Statements (Raw)'!D$2:D$1000)))*('Statements (Raw)'!H$2:H$1000))+SUMPRODUCT(('Statements (Raw)'!A$2:A$1000=A17)*('Statements (Raw)'!A$2:A$1000&lt;=Holdings!$G$3)*(ISNUMBER(SEARCH("Prelievo",'Statements (Raw)'!D$2:D$1000)))*('Statements (Raw)'!H$2:H$1000))))</f>
        <v/>
      </c>
      <c r="C17" s="6" t="str">
        <f t="shared" si="0"/>
        <v/>
      </c>
      <c r="E17" s="171">
        <v>45859</v>
      </c>
      <c r="F17" s="125">
        <f>IF(E17="","",SUMIFS('Trade Log'!K:K,'Trade Log'!A:A,E17,'Trade Log'!D:D,"Buy")+SUMIFS('Trade Log'!K:K,'Trade Log'!A:A,E17,'Trade Log'!D:D,"Sell")+SUMIFS('Trade Log'!I:I,'Trade Log'!A:A,E17,'Trade Log'!D:D,"Dividend")+SUMIFS('Trade Log'!I:I,'Trade Log'!A:A,E17,'Trade Log'!D:D,"Coupon")+SUMIFS('Trade Log'!I:I,'Trade Log'!A:A,E17,'Trade Log'!D:D,"Distribution")+SUMIFS('Trade Log'!I:I,'Trade Log'!A:A,E17,'Trade Log'!D:D,"Redemption")+SUMIFS('Trade Log'!I:I,'Trade Log'!A:A,E17,'Trade Log'!D:D,"Sec. Lending"))</f>
        <v>-110059.38</v>
      </c>
      <c r="G17" s="6" t="str">
        <f t="shared" si="1"/>
        <v>Investment (Buy)</v>
      </c>
      <c r="H17" s="125">
        <f t="shared" si="2"/>
        <v>-292882.42000000004</v>
      </c>
    </row>
    <row r="18" spans="1:8" x14ac:dyDescent="0.35">
      <c r="A18" s="170" t="str" cm="1">
        <f t="array" ref="A18">IFERROR(_xlfn.AGGREGATE(15,6,('Statements (Raw)'!A$2:A$1000)/(('Statements (Raw)'!A$2:A$1000&lt;=Holdings!$G$3)*((ISNUMBER(SEARCH("Conferimento",'Statements (Raw)'!D$2:D$1000)))+(ISNUMBER(SEARCH("Prelievo",'Statements (Raw)'!D$2:D$1000))))&gt;0),9),"")</f>
        <v/>
      </c>
      <c r="B18" s="155" t="str" cm="1">
        <f t="array" ref="B18">IF(A18="","",-(SUMPRODUCT(('Statements (Raw)'!A$2:A$1000=A18)*('Statements (Raw)'!A$2:A$1000&lt;=Holdings!$G$3)*(ISNUMBER(SEARCH("Conferimento",'Statements (Raw)'!D$2:D$1000)))*('Statements (Raw)'!H$2:H$1000))+SUMPRODUCT(('Statements (Raw)'!A$2:A$1000=A18)*('Statements (Raw)'!A$2:A$1000&lt;=Holdings!$G$3)*(ISNUMBER(SEARCH("Prelievo",'Statements (Raw)'!D$2:D$1000)))*('Statements (Raw)'!H$2:H$1000))))</f>
        <v/>
      </c>
      <c r="C18" s="156" t="str">
        <f t="shared" si="0"/>
        <v/>
      </c>
      <c r="E18" s="170">
        <v>45860</v>
      </c>
      <c r="F18" s="155">
        <f>IF(E18="","",SUMIFS('Trade Log'!K:K,'Trade Log'!A:A,E18,'Trade Log'!D:D,"Buy")+SUMIFS('Trade Log'!K:K,'Trade Log'!A:A,E18,'Trade Log'!D:D,"Sell")+SUMIFS('Trade Log'!I:I,'Trade Log'!A:A,E18,'Trade Log'!D:D,"Dividend")+SUMIFS('Trade Log'!I:I,'Trade Log'!A:A,E18,'Trade Log'!D:D,"Coupon")+SUMIFS('Trade Log'!I:I,'Trade Log'!A:A,E18,'Trade Log'!D:D,"Distribution")+SUMIFS('Trade Log'!I:I,'Trade Log'!A:A,E18,'Trade Log'!D:D,"Redemption")+SUMIFS('Trade Log'!I:I,'Trade Log'!A:A,E18,'Trade Log'!D:D,"Sec. Lending"))</f>
        <v>-100.8</v>
      </c>
      <c r="G18" s="156" t="str">
        <f t="shared" si="1"/>
        <v>Investment (Buy)</v>
      </c>
      <c r="H18" s="155">
        <f t="shared" si="2"/>
        <v>-292983.22000000003</v>
      </c>
    </row>
    <row r="19" spans="1:8" x14ac:dyDescent="0.35">
      <c r="A19" s="171" t="str" cm="1">
        <f t="array" ref="A19">IFERROR(_xlfn.AGGREGATE(15,6,('Statements (Raw)'!A$2:A$1000)/(('Statements (Raw)'!A$2:A$1000&lt;=Holdings!$G$3)*((ISNUMBER(SEARCH("Conferimento",'Statements (Raw)'!D$2:D$1000)))+(ISNUMBER(SEARCH("Prelievo",'Statements (Raw)'!D$2:D$1000))))&gt;0),10),"")</f>
        <v/>
      </c>
      <c r="B19" s="125" t="str" cm="1">
        <f t="array" ref="B19">IF(A19="","",-(SUMPRODUCT(('Statements (Raw)'!A$2:A$1000=A19)*('Statements (Raw)'!A$2:A$1000&lt;=Holdings!$G$3)*(ISNUMBER(SEARCH("Conferimento",'Statements (Raw)'!D$2:D$1000)))*('Statements (Raw)'!H$2:H$1000))+SUMPRODUCT(('Statements (Raw)'!A$2:A$1000=A19)*('Statements (Raw)'!A$2:A$1000&lt;=Holdings!$G$3)*(ISNUMBER(SEARCH("Prelievo",'Statements (Raw)'!D$2:D$1000)))*('Statements (Raw)'!H$2:H$1000))))</f>
        <v/>
      </c>
      <c r="C19" s="6" t="str">
        <f t="shared" si="0"/>
        <v/>
      </c>
      <c r="E19" s="171">
        <v>45861</v>
      </c>
      <c r="F19" s="125">
        <f>IF(E19="","",SUMIFS('Trade Log'!K:K,'Trade Log'!A:A,E19,'Trade Log'!D:D,"Buy")+SUMIFS('Trade Log'!K:K,'Trade Log'!A:A,E19,'Trade Log'!D:D,"Sell")+SUMIFS('Trade Log'!I:I,'Trade Log'!A:A,E19,'Trade Log'!D:D,"Dividend")+SUMIFS('Trade Log'!I:I,'Trade Log'!A:A,E19,'Trade Log'!D:D,"Coupon")+SUMIFS('Trade Log'!I:I,'Trade Log'!A:A,E19,'Trade Log'!D:D,"Distribution")+SUMIFS('Trade Log'!I:I,'Trade Log'!A:A,E19,'Trade Log'!D:D,"Redemption")+SUMIFS('Trade Log'!I:I,'Trade Log'!A:A,E19,'Trade Log'!D:D,"Sec. Lending"))</f>
        <v>-4956.34</v>
      </c>
      <c r="G19" s="6" t="str">
        <f t="shared" si="1"/>
        <v>Investment (Buy)</v>
      </c>
      <c r="H19" s="125">
        <f t="shared" si="2"/>
        <v>-297939.56000000006</v>
      </c>
    </row>
    <row r="20" spans="1:8" x14ac:dyDescent="0.35">
      <c r="A20" s="170" t="str" cm="1">
        <f t="array" ref="A20">IFERROR(_xlfn.AGGREGATE(15,6,('Statements (Raw)'!A$2:A$1000)/(('Statements (Raw)'!A$2:A$1000&lt;=Holdings!$G$3)*((ISNUMBER(SEARCH("Conferimento",'Statements (Raw)'!D$2:D$1000)))+(ISNUMBER(SEARCH("Prelievo",'Statements (Raw)'!D$2:D$1000))))&gt;0),11),"")</f>
        <v/>
      </c>
      <c r="B20" s="155" t="str" cm="1">
        <f t="array" ref="B20">IF(A20="","",-(SUMPRODUCT(('Statements (Raw)'!A$2:A$1000=A20)*('Statements (Raw)'!A$2:A$1000&lt;=Holdings!$G$3)*(ISNUMBER(SEARCH("Conferimento",'Statements (Raw)'!D$2:D$1000)))*('Statements (Raw)'!H$2:H$1000))+SUMPRODUCT(('Statements (Raw)'!A$2:A$1000=A20)*('Statements (Raw)'!A$2:A$1000&lt;=Holdings!$G$3)*(ISNUMBER(SEARCH("Prelievo",'Statements (Raw)'!D$2:D$1000)))*('Statements (Raw)'!H$2:H$1000))))</f>
        <v/>
      </c>
      <c r="C20" s="156" t="str">
        <f t="shared" si="0"/>
        <v/>
      </c>
      <c r="E20" s="170">
        <v>45862</v>
      </c>
      <c r="F20" s="155">
        <f>IF(E20="","",SUMIFS('Trade Log'!K:K,'Trade Log'!A:A,E20,'Trade Log'!D:D,"Buy")+SUMIFS('Trade Log'!K:K,'Trade Log'!A:A,E20,'Trade Log'!D:D,"Sell")+SUMIFS('Trade Log'!I:I,'Trade Log'!A:A,E20,'Trade Log'!D:D,"Dividend")+SUMIFS('Trade Log'!I:I,'Trade Log'!A:A,E20,'Trade Log'!D:D,"Coupon")+SUMIFS('Trade Log'!I:I,'Trade Log'!A:A,E20,'Trade Log'!D:D,"Distribution")+SUMIFS('Trade Log'!I:I,'Trade Log'!A:A,E20,'Trade Log'!D:D,"Redemption")+SUMIFS('Trade Log'!I:I,'Trade Log'!A:A,E20,'Trade Log'!D:D,"Sec. Lending"))</f>
        <v>-473.52</v>
      </c>
      <c r="G20" s="156" t="str">
        <f t="shared" si="1"/>
        <v>Investment (Buy)</v>
      </c>
      <c r="H20" s="155">
        <f t="shared" si="2"/>
        <v>-298413.08000000007</v>
      </c>
    </row>
    <row r="21" spans="1:8" x14ac:dyDescent="0.35">
      <c r="A21" s="171" t="str" cm="1">
        <f t="array" ref="A21">IFERROR(_xlfn.AGGREGATE(15,6,('Statements (Raw)'!A$2:A$1000)/(('Statements (Raw)'!A$2:A$1000&lt;=Holdings!$G$3)*((ISNUMBER(SEARCH("Conferimento",'Statements (Raw)'!D$2:D$1000)))+(ISNUMBER(SEARCH("Prelievo",'Statements (Raw)'!D$2:D$1000))))&gt;0),12),"")</f>
        <v/>
      </c>
      <c r="B21" s="125" t="str" cm="1">
        <f t="array" ref="B21">IF(A21="","",-(SUMPRODUCT(('Statements (Raw)'!A$2:A$1000=A21)*('Statements (Raw)'!A$2:A$1000&lt;=Holdings!$G$3)*(ISNUMBER(SEARCH("Conferimento",'Statements (Raw)'!D$2:D$1000)))*('Statements (Raw)'!H$2:H$1000))+SUMPRODUCT(('Statements (Raw)'!A$2:A$1000=A21)*('Statements (Raw)'!A$2:A$1000&lt;=Holdings!$G$3)*(ISNUMBER(SEARCH("Prelievo",'Statements (Raw)'!D$2:D$1000)))*('Statements (Raw)'!H$2:H$1000))))</f>
        <v/>
      </c>
      <c r="C21" s="6" t="str">
        <f t="shared" si="0"/>
        <v/>
      </c>
      <c r="E21" s="171">
        <v>45863</v>
      </c>
      <c r="F21" s="125">
        <f>IF(E21="","",SUMIFS('Trade Log'!K:K,'Trade Log'!A:A,E21,'Trade Log'!D:D,"Buy")+SUMIFS('Trade Log'!K:K,'Trade Log'!A:A,E21,'Trade Log'!D:D,"Sell")+SUMIFS('Trade Log'!I:I,'Trade Log'!A:A,E21,'Trade Log'!D:D,"Dividend")+SUMIFS('Trade Log'!I:I,'Trade Log'!A:A,E21,'Trade Log'!D:D,"Coupon")+SUMIFS('Trade Log'!I:I,'Trade Log'!A:A,E21,'Trade Log'!D:D,"Distribution")+SUMIFS('Trade Log'!I:I,'Trade Log'!A:A,E21,'Trade Log'!D:D,"Redemption")+SUMIFS('Trade Log'!I:I,'Trade Log'!A:A,E21,'Trade Log'!D:D,"Sec. Lending"))</f>
        <v>-3351.2999999999997</v>
      </c>
      <c r="G21" s="6" t="str">
        <f t="shared" si="1"/>
        <v>Investment (Buy)</v>
      </c>
      <c r="H21" s="125">
        <f t="shared" si="2"/>
        <v>-301764.38000000006</v>
      </c>
    </row>
    <row r="22" spans="1:8" x14ac:dyDescent="0.35">
      <c r="A22" s="170" t="str" cm="1">
        <f t="array" ref="A22">IFERROR(_xlfn.AGGREGATE(15,6,('Statements (Raw)'!A$2:A$1000)/(('Statements (Raw)'!A$2:A$1000&lt;=Holdings!$G$3)*((ISNUMBER(SEARCH("Conferimento",'Statements (Raw)'!D$2:D$1000)))+(ISNUMBER(SEARCH("Prelievo",'Statements (Raw)'!D$2:D$1000))))&gt;0),13),"")</f>
        <v/>
      </c>
      <c r="B22" s="155" t="str" cm="1">
        <f t="array" ref="B22">IF(A22="","",-(SUMPRODUCT(('Statements (Raw)'!A$2:A$1000=A22)*('Statements (Raw)'!A$2:A$1000&lt;=Holdings!$G$3)*(ISNUMBER(SEARCH("Conferimento",'Statements (Raw)'!D$2:D$1000)))*('Statements (Raw)'!H$2:H$1000))+SUMPRODUCT(('Statements (Raw)'!A$2:A$1000=A22)*('Statements (Raw)'!A$2:A$1000&lt;=Holdings!$G$3)*(ISNUMBER(SEARCH("Prelievo",'Statements (Raw)'!D$2:D$1000)))*('Statements (Raw)'!H$2:H$1000))))</f>
        <v/>
      </c>
      <c r="C22" s="156" t="str">
        <f t="shared" si="0"/>
        <v/>
      </c>
      <c r="E22" s="170">
        <v>45868</v>
      </c>
      <c r="F22" s="155">
        <f>IF(E22="","",SUMIFS('Trade Log'!K:K,'Trade Log'!A:A,E22,'Trade Log'!D:D,"Buy")+SUMIFS('Trade Log'!K:K,'Trade Log'!A:A,E22,'Trade Log'!D:D,"Sell")+SUMIFS('Trade Log'!I:I,'Trade Log'!A:A,E22,'Trade Log'!D:D,"Dividend")+SUMIFS('Trade Log'!I:I,'Trade Log'!A:A,E22,'Trade Log'!D:D,"Coupon")+SUMIFS('Trade Log'!I:I,'Trade Log'!A:A,E22,'Trade Log'!D:D,"Distribution")+SUMIFS('Trade Log'!I:I,'Trade Log'!A:A,E22,'Trade Log'!D:D,"Redemption")+SUMIFS('Trade Log'!I:I,'Trade Log'!A:A,E22,'Trade Log'!D:D,"Sec. Lending"))</f>
        <v>-178.52</v>
      </c>
      <c r="G22" s="156" t="str">
        <f t="shared" si="1"/>
        <v>Investment (Buy)</v>
      </c>
      <c r="H22" s="155">
        <f t="shared" si="2"/>
        <v>-301942.90000000008</v>
      </c>
    </row>
    <row r="23" spans="1:8" x14ac:dyDescent="0.35">
      <c r="A23" s="171" t="str" cm="1">
        <f t="array" ref="A23">IFERROR(_xlfn.AGGREGATE(15,6,('Statements (Raw)'!A$2:A$1000)/(('Statements (Raw)'!A$2:A$1000&lt;=Holdings!$G$3)*((ISNUMBER(SEARCH("Conferimento",'Statements (Raw)'!D$2:D$1000)))+(ISNUMBER(SEARCH("Prelievo",'Statements (Raw)'!D$2:D$1000))))&gt;0),14),"")</f>
        <v/>
      </c>
      <c r="B23" s="125" t="str" cm="1">
        <f t="array" ref="B23">IF(A23="","",-(SUMPRODUCT(('Statements (Raw)'!A$2:A$1000=A23)*('Statements (Raw)'!A$2:A$1000&lt;=Holdings!$G$3)*(ISNUMBER(SEARCH("Conferimento",'Statements (Raw)'!D$2:D$1000)))*('Statements (Raw)'!H$2:H$1000))+SUMPRODUCT(('Statements (Raw)'!A$2:A$1000=A23)*('Statements (Raw)'!A$2:A$1000&lt;=Holdings!$G$3)*(ISNUMBER(SEARCH("Prelievo",'Statements (Raw)'!D$2:D$1000)))*('Statements (Raw)'!H$2:H$1000))))</f>
        <v/>
      </c>
      <c r="C23" s="6" t="str">
        <f t="shared" si="0"/>
        <v/>
      </c>
      <c r="E23" s="171">
        <v>45870</v>
      </c>
      <c r="F23" s="125">
        <f>IF(E23="","",SUMIFS('Trade Log'!K:K,'Trade Log'!A:A,E23,'Trade Log'!D:D,"Buy")+SUMIFS('Trade Log'!K:K,'Trade Log'!A:A,E23,'Trade Log'!D:D,"Sell")+SUMIFS('Trade Log'!I:I,'Trade Log'!A:A,E23,'Trade Log'!D:D,"Dividend")+SUMIFS('Trade Log'!I:I,'Trade Log'!A:A,E23,'Trade Log'!D:D,"Coupon")+SUMIFS('Trade Log'!I:I,'Trade Log'!A:A,E23,'Trade Log'!D:D,"Distribution")+SUMIFS('Trade Log'!I:I,'Trade Log'!A:A,E23,'Trade Log'!D:D,"Redemption")+SUMIFS('Trade Log'!I:I,'Trade Log'!A:A,E23,'Trade Log'!D:D,"Sec. Lending"))</f>
        <v>-57970.669999999984</v>
      </c>
      <c r="G23" s="6" t="str">
        <f t="shared" si="1"/>
        <v>Investment (Buy)</v>
      </c>
      <c r="H23" s="125">
        <f t="shared" si="2"/>
        <v>-359913.57000000007</v>
      </c>
    </row>
    <row r="24" spans="1:8" x14ac:dyDescent="0.35">
      <c r="A24" s="170" t="str" cm="1">
        <f t="array" ref="A24">IFERROR(_xlfn.AGGREGATE(15,6,('Statements (Raw)'!A$2:A$1000)/(('Statements (Raw)'!A$2:A$1000&lt;=Holdings!$G$3)*((ISNUMBER(SEARCH("Conferimento",'Statements (Raw)'!D$2:D$1000)))+(ISNUMBER(SEARCH("Prelievo",'Statements (Raw)'!D$2:D$1000))))&gt;0),15),"")</f>
        <v/>
      </c>
      <c r="B24" s="155" t="str" cm="1">
        <f t="array" ref="B24">IF(A24="","",-(SUMPRODUCT(('Statements (Raw)'!A$2:A$1000=A24)*('Statements (Raw)'!A$2:A$1000&lt;=Holdings!$G$3)*(ISNUMBER(SEARCH("Conferimento",'Statements (Raw)'!D$2:D$1000)))*('Statements (Raw)'!H$2:H$1000))+SUMPRODUCT(('Statements (Raw)'!A$2:A$1000=A24)*('Statements (Raw)'!A$2:A$1000&lt;=Holdings!$G$3)*(ISNUMBER(SEARCH("Prelievo",'Statements (Raw)'!D$2:D$1000)))*('Statements (Raw)'!H$2:H$1000))))</f>
        <v/>
      </c>
      <c r="C24" s="156" t="str">
        <f t="shared" si="0"/>
        <v/>
      </c>
      <c r="E24" s="170">
        <v>45875</v>
      </c>
      <c r="F24" s="155">
        <f>IF(E24="","",SUMIFS('Trade Log'!K:K,'Trade Log'!A:A,E24,'Trade Log'!D:D,"Buy")+SUMIFS('Trade Log'!K:K,'Trade Log'!A:A,E24,'Trade Log'!D:D,"Sell")+SUMIFS('Trade Log'!I:I,'Trade Log'!A:A,E24,'Trade Log'!D:D,"Dividend")+SUMIFS('Trade Log'!I:I,'Trade Log'!A:A,E24,'Trade Log'!D:D,"Coupon")+SUMIFS('Trade Log'!I:I,'Trade Log'!A:A,E24,'Trade Log'!D:D,"Distribution")+SUMIFS('Trade Log'!I:I,'Trade Log'!A:A,E24,'Trade Log'!D:D,"Redemption")+SUMIFS('Trade Log'!I:I,'Trade Log'!A:A,E24,'Trade Log'!D:D,"Sec. Lending"))</f>
        <v>27.2</v>
      </c>
      <c r="G24" s="156" t="str">
        <f t="shared" si="1"/>
        <v>Proceeds / Income</v>
      </c>
      <c r="H24" s="155">
        <f t="shared" si="2"/>
        <v>-359886.37000000005</v>
      </c>
    </row>
    <row r="25" spans="1:8" x14ac:dyDescent="0.35">
      <c r="A25" s="171" t="str" cm="1">
        <f t="array" ref="A25">IFERROR(_xlfn.AGGREGATE(15,6,('Statements (Raw)'!A$2:A$1000)/(('Statements (Raw)'!A$2:A$1000&lt;=Holdings!$G$3)*((ISNUMBER(SEARCH("Conferimento",'Statements (Raw)'!D$2:D$1000)))+(ISNUMBER(SEARCH("Prelievo",'Statements (Raw)'!D$2:D$1000))))&gt;0),16),"")</f>
        <v/>
      </c>
      <c r="B25" s="125" t="str" cm="1">
        <f t="array" ref="B25">IF(A25="","",-(SUMPRODUCT(('Statements (Raw)'!A$2:A$1000=A25)*('Statements (Raw)'!A$2:A$1000&lt;=Holdings!$G$3)*(ISNUMBER(SEARCH("Conferimento",'Statements (Raw)'!D$2:D$1000)))*('Statements (Raw)'!H$2:H$1000))+SUMPRODUCT(('Statements (Raw)'!A$2:A$1000=A25)*('Statements (Raw)'!A$2:A$1000&lt;=Holdings!$G$3)*(ISNUMBER(SEARCH("Prelievo",'Statements (Raw)'!D$2:D$1000)))*('Statements (Raw)'!H$2:H$1000))))</f>
        <v/>
      </c>
      <c r="C25" s="6" t="str">
        <f t="shared" si="0"/>
        <v/>
      </c>
      <c r="E25" s="171">
        <v>45877</v>
      </c>
      <c r="F25" s="125">
        <f>IF(E25="","",SUMIFS('Trade Log'!K:K,'Trade Log'!A:A,E25,'Trade Log'!D:D,"Buy")+SUMIFS('Trade Log'!K:K,'Trade Log'!A:A,E25,'Trade Log'!D:D,"Sell")+SUMIFS('Trade Log'!I:I,'Trade Log'!A:A,E25,'Trade Log'!D:D,"Dividend")+SUMIFS('Trade Log'!I:I,'Trade Log'!A:A,E25,'Trade Log'!D:D,"Coupon")+SUMIFS('Trade Log'!I:I,'Trade Log'!A:A,E25,'Trade Log'!D:D,"Distribution")+SUMIFS('Trade Log'!I:I,'Trade Log'!A:A,E25,'Trade Log'!D:D,"Redemption")+SUMIFS('Trade Log'!I:I,'Trade Log'!A:A,E25,'Trade Log'!D:D,"Sec. Lending"))</f>
        <v>-19272.129999999997</v>
      </c>
      <c r="G25" s="6" t="str">
        <f t="shared" si="1"/>
        <v>Investment (Buy)</v>
      </c>
      <c r="H25" s="125">
        <f t="shared" si="2"/>
        <v>-379158.50000000006</v>
      </c>
    </row>
    <row r="26" spans="1:8" x14ac:dyDescent="0.35">
      <c r="A26" s="170" t="str" cm="1">
        <f t="array" ref="A26">IFERROR(_xlfn.AGGREGATE(15,6,('Statements (Raw)'!A$2:A$1000)/(('Statements (Raw)'!A$2:A$1000&lt;=Holdings!$G$3)*((ISNUMBER(SEARCH("Conferimento",'Statements (Raw)'!D$2:D$1000)))+(ISNUMBER(SEARCH("Prelievo",'Statements (Raw)'!D$2:D$1000))))&gt;0),17),"")</f>
        <v/>
      </c>
      <c r="B26" s="155" t="str" cm="1">
        <f t="array" ref="B26">IF(A26="","",-(SUMPRODUCT(('Statements (Raw)'!A$2:A$1000=A26)*('Statements (Raw)'!A$2:A$1000&lt;=Holdings!$G$3)*(ISNUMBER(SEARCH("Conferimento",'Statements (Raw)'!D$2:D$1000)))*('Statements (Raw)'!H$2:H$1000))+SUMPRODUCT(('Statements (Raw)'!A$2:A$1000=A26)*('Statements (Raw)'!A$2:A$1000&lt;=Holdings!$G$3)*(ISNUMBER(SEARCH("Prelievo",'Statements (Raw)'!D$2:D$1000)))*('Statements (Raw)'!H$2:H$1000))))</f>
        <v/>
      </c>
      <c r="C26" s="156" t="str">
        <f t="shared" si="0"/>
        <v/>
      </c>
      <c r="E26" s="170">
        <v>45880</v>
      </c>
      <c r="F26" s="155">
        <f>IF(E26="","",SUMIFS('Trade Log'!K:K,'Trade Log'!A:A,E26,'Trade Log'!D:D,"Buy")+SUMIFS('Trade Log'!K:K,'Trade Log'!A:A,E26,'Trade Log'!D:D,"Sell")+SUMIFS('Trade Log'!I:I,'Trade Log'!A:A,E26,'Trade Log'!D:D,"Dividend")+SUMIFS('Trade Log'!I:I,'Trade Log'!A:A,E26,'Trade Log'!D:D,"Coupon")+SUMIFS('Trade Log'!I:I,'Trade Log'!A:A,E26,'Trade Log'!D:D,"Distribution")+SUMIFS('Trade Log'!I:I,'Trade Log'!A:A,E26,'Trade Log'!D:D,"Redemption")+SUMIFS('Trade Log'!I:I,'Trade Log'!A:A,E26,'Trade Log'!D:D,"Sec. Lending"))</f>
        <v>-3112.2</v>
      </c>
      <c r="G26" s="156" t="str">
        <f t="shared" si="1"/>
        <v>Investment (Buy)</v>
      </c>
      <c r="H26" s="155">
        <f t="shared" si="2"/>
        <v>-382270.70000000007</v>
      </c>
    </row>
    <row r="27" spans="1:8" x14ac:dyDescent="0.35">
      <c r="A27" s="171" t="str" cm="1">
        <f t="array" ref="A27">IFERROR(_xlfn.AGGREGATE(15,6,('Statements (Raw)'!A$2:A$1000)/(('Statements (Raw)'!A$2:A$1000&lt;=Holdings!$G$3)*((ISNUMBER(SEARCH("Conferimento",'Statements (Raw)'!D$2:D$1000)))+(ISNUMBER(SEARCH("Prelievo",'Statements (Raw)'!D$2:D$1000))))&gt;0),18),"")</f>
        <v/>
      </c>
      <c r="B27" s="125" t="str" cm="1">
        <f t="array" ref="B27">IF(A27="","",-(SUMPRODUCT(('Statements (Raw)'!A$2:A$1000=A27)*('Statements (Raw)'!A$2:A$1000&lt;=Holdings!$G$3)*(ISNUMBER(SEARCH("Conferimento",'Statements (Raw)'!D$2:D$1000)))*('Statements (Raw)'!H$2:H$1000))+SUMPRODUCT(('Statements (Raw)'!A$2:A$1000=A27)*('Statements (Raw)'!A$2:A$1000&lt;=Holdings!$G$3)*(ISNUMBER(SEARCH("Prelievo",'Statements (Raw)'!D$2:D$1000)))*('Statements (Raw)'!H$2:H$1000))))</f>
        <v/>
      </c>
      <c r="C27" s="6" t="str">
        <f t="shared" si="0"/>
        <v/>
      </c>
      <c r="E27" s="171">
        <v>45881</v>
      </c>
      <c r="F27" s="125">
        <f>IF(E27="","",SUMIFS('Trade Log'!K:K,'Trade Log'!A:A,E27,'Trade Log'!D:D,"Buy")+SUMIFS('Trade Log'!K:K,'Trade Log'!A:A,E27,'Trade Log'!D:D,"Sell")+SUMIFS('Trade Log'!I:I,'Trade Log'!A:A,E27,'Trade Log'!D:D,"Dividend")+SUMIFS('Trade Log'!I:I,'Trade Log'!A:A,E27,'Trade Log'!D:D,"Coupon")+SUMIFS('Trade Log'!I:I,'Trade Log'!A:A,E27,'Trade Log'!D:D,"Distribution")+SUMIFS('Trade Log'!I:I,'Trade Log'!A:A,E27,'Trade Log'!D:D,"Redemption")+SUMIFS('Trade Log'!I:I,'Trade Log'!A:A,E27,'Trade Log'!D:D,"Sec. Lending"))</f>
        <v>-11647.2</v>
      </c>
      <c r="G27" s="6" t="str">
        <f t="shared" si="1"/>
        <v>Investment (Buy)</v>
      </c>
      <c r="H27" s="125">
        <f t="shared" si="2"/>
        <v>-393917.90000000008</v>
      </c>
    </row>
    <row r="28" spans="1:8" x14ac:dyDescent="0.35">
      <c r="A28" s="170" t="str" cm="1">
        <f t="array" ref="A28">IFERROR(_xlfn.AGGREGATE(15,6,('Statements (Raw)'!A$2:A$1000)/(('Statements (Raw)'!A$2:A$1000&lt;=Holdings!$G$3)*((ISNUMBER(SEARCH("Conferimento",'Statements (Raw)'!D$2:D$1000)))+(ISNUMBER(SEARCH("Prelievo",'Statements (Raw)'!D$2:D$1000))))&gt;0),19),"")</f>
        <v/>
      </c>
      <c r="B28" s="155" t="str" cm="1">
        <f t="array" ref="B28">IF(A28="","",-(SUMPRODUCT(('Statements (Raw)'!A$2:A$1000=A28)*('Statements (Raw)'!A$2:A$1000&lt;=Holdings!$G$3)*(ISNUMBER(SEARCH("Conferimento",'Statements (Raw)'!D$2:D$1000)))*('Statements (Raw)'!H$2:H$1000))+SUMPRODUCT(('Statements (Raw)'!A$2:A$1000=A28)*('Statements (Raw)'!A$2:A$1000&lt;=Holdings!$G$3)*(ISNUMBER(SEARCH("Prelievo",'Statements (Raw)'!D$2:D$1000)))*('Statements (Raw)'!H$2:H$1000))))</f>
        <v/>
      </c>
      <c r="C28" s="156" t="str">
        <f t="shared" si="0"/>
        <v/>
      </c>
      <c r="E28" s="170">
        <v>45887</v>
      </c>
      <c r="F28" s="155">
        <f>IF(E28="","",SUMIFS('Trade Log'!K:K,'Trade Log'!A:A,E28,'Trade Log'!D:D,"Buy")+SUMIFS('Trade Log'!K:K,'Trade Log'!A:A,E28,'Trade Log'!D:D,"Sell")+SUMIFS('Trade Log'!I:I,'Trade Log'!A:A,E28,'Trade Log'!D:D,"Dividend")+SUMIFS('Trade Log'!I:I,'Trade Log'!A:A,E28,'Trade Log'!D:D,"Coupon")+SUMIFS('Trade Log'!I:I,'Trade Log'!A:A,E28,'Trade Log'!D:D,"Distribution")+SUMIFS('Trade Log'!I:I,'Trade Log'!A:A,E28,'Trade Log'!D:D,"Redemption")+SUMIFS('Trade Log'!I:I,'Trade Log'!A:A,E28,'Trade Log'!D:D,"Sec. Lending"))</f>
        <v>-4175.1400000000003</v>
      </c>
      <c r="G28" s="156" t="str">
        <f t="shared" si="1"/>
        <v>Investment (Buy)</v>
      </c>
      <c r="H28" s="155">
        <f t="shared" si="2"/>
        <v>-398093.0400000001</v>
      </c>
    </row>
    <row r="29" spans="1:8" x14ac:dyDescent="0.35">
      <c r="A29" s="171" t="str" cm="1">
        <f t="array" ref="A29">IFERROR(_xlfn.AGGREGATE(15,6,('Statements (Raw)'!A$2:A$1000)/(('Statements (Raw)'!A$2:A$1000&lt;=Holdings!$G$3)*((ISNUMBER(SEARCH("Conferimento",'Statements (Raw)'!D$2:D$1000)))+(ISNUMBER(SEARCH("Prelievo",'Statements (Raw)'!D$2:D$1000))))&gt;0),20),"")</f>
        <v/>
      </c>
      <c r="B29" s="125" t="str" cm="1">
        <f t="array" ref="B29">IF(A29="","",-(SUMPRODUCT(('Statements (Raw)'!A$2:A$1000=A29)*('Statements (Raw)'!A$2:A$1000&lt;=Holdings!$G$3)*(ISNUMBER(SEARCH("Conferimento",'Statements (Raw)'!D$2:D$1000)))*('Statements (Raw)'!H$2:H$1000))+SUMPRODUCT(('Statements (Raw)'!A$2:A$1000=A29)*('Statements (Raw)'!A$2:A$1000&lt;=Holdings!$G$3)*(ISNUMBER(SEARCH("Prelievo",'Statements (Raw)'!D$2:D$1000)))*('Statements (Raw)'!H$2:H$1000))))</f>
        <v/>
      </c>
      <c r="C29" s="6" t="str">
        <f t="shared" si="0"/>
        <v/>
      </c>
      <c r="E29" s="171">
        <v>45894</v>
      </c>
      <c r="F29" s="125">
        <f>IF(E29="","",SUMIFS('Trade Log'!K:K,'Trade Log'!A:A,E29,'Trade Log'!D:D,"Buy")+SUMIFS('Trade Log'!K:K,'Trade Log'!A:A,E29,'Trade Log'!D:D,"Sell")+SUMIFS('Trade Log'!I:I,'Trade Log'!A:A,E29,'Trade Log'!D:D,"Dividend")+SUMIFS('Trade Log'!I:I,'Trade Log'!A:A,E29,'Trade Log'!D:D,"Coupon")+SUMIFS('Trade Log'!I:I,'Trade Log'!A:A,E29,'Trade Log'!D:D,"Distribution")+SUMIFS('Trade Log'!I:I,'Trade Log'!A:A,E29,'Trade Log'!D:D,"Redemption")+SUMIFS('Trade Log'!I:I,'Trade Log'!A:A,E29,'Trade Log'!D:D,"Sec. Lending"))</f>
        <v>-4235.25</v>
      </c>
      <c r="G29" s="6" t="str">
        <f t="shared" si="1"/>
        <v>Investment (Buy)</v>
      </c>
      <c r="H29" s="125">
        <f t="shared" si="2"/>
        <v>-402328.2900000001</v>
      </c>
    </row>
    <row r="30" spans="1:8" x14ac:dyDescent="0.35">
      <c r="A30" s="170" t="str" cm="1">
        <f t="array" ref="A30">IFERROR(_xlfn.AGGREGATE(15,6,('Statements (Raw)'!A$2:A$1000)/(('Statements (Raw)'!A$2:A$1000&lt;=Holdings!$G$3)*((ISNUMBER(SEARCH("Conferimento",'Statements (Raw)'!D$2:D$1000)))+(ISNUMBER(SEARCH("Prelievo",'Statements (Raw)'!D$2:D$1000))))&gt;0),21),"")</f>
        <v/>
      </c>
      <c r="B30" s="155" t="str" cm="1">
        <f t="array" ref="B30">IF(A30="","",-(SUMPRODUCT(('Statements (Raw)'!A$2:A$1000=A30)*('Statements (Raw)'!A$2:A$1000&lt;=Holdings!$G$3)*(ISNUMBER(SEARCH("Conferimento",'Statements (Raw)'!D$2:D$1000)))*('Statements (Raw)'!H$2:H$1000))+SUMPRODUCT(('Statements (Raw)'!A$2:A$1000=A30)*('Statements (Raw)'!A$2:A$1000&lt;=Holdings!$G$3)*(ISNUMBER(SEARCH("Prelievo",'Statements (Raw)'!D$2:D$1000)))*('Statements (Raw)'!H$2:H$1000))))</f>
        <v/>
      </c>
      <c r="C30" s="156" t="str">
        <f t="shared" si="0"/>
        <v/>
      </c>
      <c r="E30" s="170">
        <v>45897</v>
      </c>
      <c r="F30" s="155">
        <f>IF(E30="","",SUMIFS('Trade Log'!K:K,'Trade Log'!A:A,E30,'Trade Log'!D:D,"Buy")+SUMIFS('Trade Log'!K:K,'Trade Log'!A:A,E30,'Trade Log'!D:D,"Sell")+SUMIFS('Trade Log'!I:I,'Trade Log'!A:A,E30,'Trade Log'!D:D,"Dividend")+SUMIFS('Trade Log'!I:I,'Trade Log'!A:A,E30,'Trade Log'!D:D,"Coupon")+SUMIFS('Trade Log'!I:I,'Trade Log'!A:A,E30,'Trade Log'!D:D,"Distribution")+SUMIFS('Trade Log'!I:I,'Trade Log'!A:A,E30,'Trade Log'!D:D,"Redemption")+SUMIFS('Trade Log'!I:I,'Trade Log'!A:A,E30,'Trade Log'!D:D,"Sec. Lending"))</f>
        <v>-20635.63</v>
      </c>
      <c r="G30" s="156" t="str">
        <f t="shared" si="1"/>
        <v>Investment (Buy)</v>
      </c>
      <c r="H30" s="155">
        <f t="shared" si="2"/>
        <v>-422963.9200000001</v>
      </c>
    </row>
    <row r="31" spans="1:8" x14ac:dyDescent="0.35">
      <c r="A31" s="171" t="str" cm="1">
        <f t="array" ref="A31">IFERROR(_xlfn.AGGREGATE(15,6,('Statements (Raw)'!A$2:A$1000)/(('Statements (Raw)'!A$2:A$1000&lt;=Holdings!$G$3)*((ISNUMBER(SEARCH("Conferimento",'Statements (Raw)'!D$2:D$1000)))+(ISNUMBER(SEARCH("Prelievo",'Statements (Raw)'!D$2:D$1000))))&gt;0),22),"")</f>
        <v/>
      </c>
      <c r="B31" s="125" t="str" cm="1">
        <f t="array" ref="B31">IF(A31="","",-(SUMPRODUCT(('Statements (Raw)'!A$2:A$1000=A31)*('Statements (Raw)'!A$2:A$1000&lt;=Holdings!$G$3)*(ISNUMBER(SEARCH("Conferimento",'Statements (Raw)'!D$2:D$1000)))*('Statements (Raw)'!H$2:H$1000))+SUMPRODUCT(('Statements (Raw)'!A$2:A$1000=A31)*('Statements (Raw)'!A$2:A$1000&lt;=Holdings!$G$3)*(ISNUMBER(SEARCH("Prelievo",'Statements (Raw)'!D$2:D$1000)))*('Statements (Raw)'!H$2:H$1000))))</f>
        <v/>
      </c>
      <c r="C31" s="6" t="str">
        <f t="shared" si="0"/>
        <v/>
      </c>
      <c r="E31" s="171">
        <v>45901</v>
      </c>
      <c r="F31" s="125">
        <f>IF(E31="","",SUMIFS('Trade Log'!K:K,'Trade Log'!A:A,E31,'Trade Log'!D:D,"Buy")+SUMIFS('Trade Log'!K:K,'Trade Log'!A:A,E31,'Trade Log'!D:D,"Sell")+SUMIFS('Trade Log'!I:I,'Trade Log'!A:A,E31,'Trade Log'!D:D,"Dividend")+SUMIFS('Trade Log'!I:I,'Trade Log'!A:A,E31,'Trade Log'!D:D,"Coupon")+SUMIFS('Trade Log'!I:I,'Trade Log'!A:A,E31,'Trade Log'!D:D,"Distribution")+SUMIFS('Trade Log'!I:I,'Trade Log'!A:A,E31,'Trade Log'!D:D,"Redemption")+SUMIFS('Trade Log'!I:I,'Trade Log'!A:A,E31,'Trade Log'!D:D,"Sec. Lending"))</f>
        <v>-4175.6000000000004</v>
      </c>
      <c r="G31" s="6" t="str">
        <f t="shared" si="1"/>
        <v>Investment (Buy)</v>
      </c>
      <c r="H31" s="125">
        <f t="shared" si="2"/>
        <v>-427139.52000000008</v>
      </c>
    </row>
    <row r="32" spans="1:8" x14ac:dyDescent="0.35">
      <c r="A32" s="170" t="str" cm="1">
        <f t="array" ref="A32">IFERROR(_xlfn.AGGREGATE(15,6,('Statements (Raw)'!A$2:A$1000)/(('Statements (Raw)'!A$2:A$1000&lt;=Holdings!$G$3)*((ISNUMBER(SEARCH("Conferimento",'Statements (Raw)'!D$2:D$1000)))+(ISNUMBER(SEARCH("Prelievo",'Statements (Raw)'!D$2:D$1000))))&gt;0),23),"")</f>
        <v/>
      </c>
      <c r="B32" s="155" t="str" cm="1">
        <f t="array" ref="B32">IF(A32="","",-(SUMPRODUCT(('Statements (Raw)'!A$2:A$1000=A32)*('Statements (Raw)'!A$2:A$1000&lt;=Holdings!$G$3)*(ISNUMBER(SEARCH("Conferimento",'Statements (Raw)'!D$2:D$1000)))*('Statements (Raw)'!H$2:H$1000))+SUMPRODUCT(('Statements (Raw)'!A$2:A$1000=A32)*('Statements (Raw)'!A$2:A$1000&lt;=Holdings!$G$3)*(ISNUMBER(SEARCH("Prelievo",'Statements (Raw)'!D$2:D$1000)))*('Statements (Raw)'!H$2:H$1000))))</f>
        <v/>
      </c>
      <c r="C32" s="156" t="str">
        <f t="shared" ref="C32:C39" si="3">IF(A32="","",IF(B32&lt;0,"Deposit → Investor outflow","Withdrawal → Investor inflow"))</f>
        <v/>
      </c>
      <c r="E32" s="170">
        <v>45908</v>
      </c>
      <c r="F32" s="155">
        <f>IF(E32="","",SUMIFS('Trade Log'!K:K,'Trade Log'!A:A,E32,'Trade Log'!D:D,"Buy")+SUMIFS('Trade Log'!K:K,'Trade Log'!A:A,E32,'Trade Log'!D:D,"Sell")+SUMIFS('Trade Log'!I:I,'Trade Log'!A:A,E32,'Trade Log'!D:D,"Dividend")+SUMIFS('Trade Log'!I:I,'Trade Log'!A:A,E32,'Trade Log'!D:D,"Coupon")+SUMIFS('Trade Log'!I:I,'Trade Log'!A:A,E32,'Trade Log'!D:D,"Distribution")+SUMIFS('Trade Log'!I:I,'Trade Log'!A:A,E32,'Trade Log'!D:D,"Redemption")+SUMIFS('Trade Log'!I:I,'Trade Log'!A:A,E32,'Trade Log'!D:D,"Sec. Lending"))</f>
        <v>-4151.66</v>
      </c>
      <c r="G32" s="156" t="str">
        <f t="shared" si="1"/>
        <v>Investment (Buy)</v>
      </c>
      <c r="H32" s="155">
        <f t="shared" si="2"/>
        <v>-431291.18000000005</v>
      </c>
    </row>
    <row r="33" spans="1:8" x14ac:dyDescent="0.35">
      <c r="A33" s="171" t="str" cm="1">
        <f t="array" ref="A33">IFERROR(_xlfn.AGGREGATE(15,6,('Statements (Raw)'!A$2:A$1000)/(('Statements (Raw)'!A$2:A$1000&lt;=Holdings!$G$3)*((ISNUMBER(SEARCH("Conferimento",'Statements (Raw)'!D$2:D$1000)))+(ISNUMBER(SEARCH("Prelievo",'Statements (Raw)'!D$2:D$1000))))&gt;0),24),"")</f>
        <v/>
      </c>
      <c r="B33" s="125" t="str" cm="1">
        <f t="array" ref="B33">IF(A33="","",-(SUMPRODUCT(('Statements (Raw)'!A$2:A$1000=A33)*('Statements (Raw)'!A$2:A$1000&lt;=Holdings!$G$3)*(ISNUMBER(SEARCH("Conferimento",'Statements (Raw)'!D$2:D$1000)))*('Statements (Raw)'!H$2:H$1000))+SUMPRODUCT(('Statements (Raw)'!A$2:A$1000=A33)*('Statements (Raw)'!A$2:A$1000&lt;=Holdings!$G$3)*(ISNUMBER(SEARCH("Prelievo",'Statements (Raw)'!D$2:D$1000)))*('Statements (Raw)'!H$2:H$1000))))</f>
        <v/>
      </c>
      <c r="C33" s="6" t="str">
        <f t="shared" si="3"/>
        <v/>
      </c>
      <c r="E33" s="171">
        <v>45910</v>
      </c>
      <c r="F33" s="125">
        <f>IF(E33="","",SUMIFS('Trade Log'!K:K,'Trade Log'!A:A,E33,'Trade Log'!D:D,"Buy")+SUMIFS('Trade Log'!K:K,'Trade Log'!A:A,E33,'Trade Log'!D:D,"Sell")+SUMIFS('Trade Log'!I:I,'Trade Log'!A:A,E33,'Trade Log'!D:D,"Dividend")+SUMIFS('Trade Log'!I:I,'Trade Log'!A:A,E33,'Trade Log'!D:D,"Coupon")+SUMIFS('Trade Log'!I:I,'Trade Log'!A:A,E33,'Trade Log'!D:D,"Distribution")+SUMIFS('Trade Log'!I:I,'Trade Log'!A:A,E33,'Trade Log'!D:D,"Redemption")+SUMIFS('Trade Log'!I:I,'Trade Log'!A:A,E33,'Trade Log'!D:D,"Sec. Lending"))</f>
        <v>447.6</v>
      </c>
      <c r="G33" s="6" t="str">
        <f t="shared" si="1"/>
        <v>Proceeds / Income</v>
      </c>
      <c r="H33" s="125">
        <f t="shared" si="2"/>
        <v>-430843.58000000007</v>
      </c>
    </row>
    <row r="34" spans="1:8" x14ac:dyDescent="0.35">
      <c r="A34" s="170" t="str" cm="1">
        <f t="array" ref="A34">IFERROR(_xlfn.AGGREGATE(15,6,('Statements (Raw)'!A$2:A$1000)/(('Statements (Raw)'!A$2:A$1000&lt;=Holdings!$G$3)*((ISNUMBER(SEARCH("Conferimento",'Statements (Raw)'!D$2:D$1000)))+(ISNUMBER(SEARCH("Prelievo",'Statements (Raw)'!D$2:D$1000))))&gt;0),25),"")</f>
        <v/>
      </c>
      <c r="B34" s="155" t="str" cm="1">
        <f t="array" ref="B34">IF(A34="","",-(SUMPRODUCT(('Statements (Raw)'!A$2:A$1000=A34)*('Statements (Raw)'!A$2:A$1000&lt;=Holdings!$G$3)*(ISNUMBER(SEARCH("Conferimento",'Statements (Raw)'!D$2:D$1000)))*('Statements (Raw)'!H$2:H$1000))+SUMPRODUCT(('Statements (Raw)'!A$2:A$1000=A34)*('Statements (Raw)'!A$2:A$1000&lt;=Holdings!$G$3)*(ISNUMBER(SEARCH("Prelievo",'Statements (Raw)'!D$2:D$1000)))*('Statements (Raw)'!H$2:H$1000))))</f>
        <v/>
      </c>
      <c r="C34" s="156" t="str">
        <f t="shared" si="3"/>
        <v/>
      </c>
      <c r="E34" s="170">
        <v>45911</v>
      </c>
      <c r="F34" s="155">
        <f>IF(E34="","",SUMIFS('Trade Log'!K:K,'Trade Log'!A:A,E34,'Trade Log'!D:D,"Buy")+SUMIFS('Trade Log'!K:K,'Trade Log'!A:A,E34,'Trade Log'!D:D,"Sell")+SUMIFS('Trade Log'!I:I,'Trade Log'!A:A,E34,'Trade Log'!D:D,"Dividend")+SUMIFS('Trade Log'!I:I,'Trade Log'!A:A,E34,'Trade Log'!D:D,"Coupon")+SUMIFS('Trade Log'!I:I,'Trade Log'!A:A,E34,'Trade Log'!D:D,"Distribution")+SUMIFS('Trade Log'!I:I,'Trade Log'!A:A,E34,'Trade Log'!D:D,"Redemption")+SUMIFS('Trade Log'!I:I,'Trade Log'!A:A,E34,'Trade Log'!D:D,"Sec. Lending"))</f>
        <v>-15897.81</v>
      </c>
      <c r="G34" s="156" t="str">
        <f t="shared" si="1"/>
        <v>Investment (Buy)</v>
      </c>
      <c r="H34" s="155">
        <f t="shared" si="2"/>
        <v>-446741.39000000007</v>
      </c>
    </row>
    <row r="35" spans="1:8" x14ac:dyDescent="0.35">
      <c r="A35" s="171" t="str" cm="1">
        <f t="array" ref="A35">IFERROR(_xlfn.AGGREGATE(15,6,('Statements (Raw)'!A$2:A$1000)/(('Statements (Raw)'!A$2:A$1000&lt;=Holdings!$G$3)*((ISNUMBER(SEARCH("Conferimento",'Statements (Raw)'!D$2:D$1000)))+(ISNUMBER(SEARCH("Prelievo",'Statements (Raw)'!D$2:D$1000))))&gt;0),26),"")</f>
        <v/>
      </c>
      <c r="B35" s="125" t="str" cm="1">
        <f t="array" ref="B35">IF(A35="","",-(SUMPRODUCT(('Statements (Raw)'!A$2:A$1000=A35)*('Statements (Raw)'!A$2:A$1000&lt;=Holdings!$G$3)*(ISNUMBER(SEARCH("Conferimento",'Statements (Raw)'!D$2:D$1000)))*('Statements (Raw)'!H$2:H$1000))+SUMPRODUCT(('Statements (Raw)'!A$2:A$1000=A35)*('Statements (Raw)'!A$2:A$1000&lt;=Holdings!$G$3)*(ISNUMBER(SEARCH("Prelievo",'Statements (Raw)'!D$2:D$1000)))*('Statements (Raw)'!H$2:H$1000))))</f>
        <v/>
      </c>
      <c r="C35" s="6" t="str">
        <f t="shared" si="3"/>
        <v/>
      </c>
      <c r="E35" s="171">
        <v>45912</v>
      </c>
      <c r="F35" s="125">
        <f>IF(E35="","",SUMIFS('Trade Log'!K:K,'Trade Log'!A:A,E35,'Trade Log'!D:D,"Buy")+SUMIFS('Trade Log'!K:K,'Trade Log'!A:A,E35,'Trade Log'!D:D,"Sell")+SUMIFS('Trade Log'!I:I,'Trade Log'!A:A,E35,'Trade Log'!D:D,"Dividend")+SUMIFS('Trade Log'!I:I,'Trade Log'!A:A,E35,'Trade Log'!D:D,"Coupon")+SUMIFS('Trade Log'!I:I,'Trade Log'!A:A,E35,'Trade Log'!D:D,"Distribution")+SUMIFS('Trade Log'!I:I,'Trade Log'!A:A,E35,'Trade Log'!D:D,"Redemption")+SUMIFS('Trade Log'!I:I,'Trade Log'!A:A,E35,'Trade Log'!D:D,"Sec. Lending"))</f>
        <v>-6160.86</v>
      </c>
      <c r="G35" s="6" t="str">
        <f t="shared" si="1"/>
        <v>Investment (Buy)</v>
      </c>
      <c r="H35" s="125">
        <f t="shared" si="2"/>
        <v>-452902.25000000006</v>
      </c>
    </row>
    <row r="36" spans="1:8" x14ac:dyDescent="0.35">
      <c r="A36" s="170" t="str" cm="1">
        <f t="array" ref="A36">IFERROR(_xlfn.AGGREGATE(15,6,('Statements (Raw)'!A$2:A$1000)/(('Statements (Raw)'!A$2:A$1000&lt;=Holdings!$G$3)*((ISNUMBER(SEARCH("Conferimento",'Statements (Raw)'!D$2:D$1000)))+(ISNUMBER(SEARCH("Prelievo",'Statements (Raw)'!D$2:D$1000))))&gt;0),27),"")</f>
        <v/>
      </c>
      <c r="B36" s="155" t="str" cm="1">
        <f t="array" ref="B36">IF(A36="","",-(SUMPRODUCT(('Statements (Raw)'!A$2:A$1000=A36)*('Statements (Raw)'!A$2:A$1000&lt;=Holdings!$G$3)*(ISNUMBER(SEARCH("Conferimento",'Statements (Raw)'!D$2:D$1000)))*('Statements (Raw)'!H$2:H$1000))+SUMPRODUCT(('Statements (Raw)'!A$2:A$1000=A36)*('Statements (Raw)'!A$2:A$1000&lt;=Holdings!$G$3)*(ISNUMBER(SEARCH("Prelievo",'Statements (Raw)'!D$2:D$1000)))*('Statements (Raw)'!H$2:H$1000))))</f>
        <v/>
      </c>
      <c r="C36" s="156" t="str">
        <f t="shared" si="3"/>
        <v/>
      </c>
      <c r="E36" s="170">
        <v>45915</v>
      </c>
      <c r="F36" s="155">
        <f>IF(E36="","",SUMIFS('Trade Log'!K:K,'Trade Log'!A:A,E36,'Trade Log'!D:D,"Buy")+SUMIFS('Trade Log'!K:K,'Trade Log'!A:A,E36,'Trade Log'!D:D,"Sell")+SUMIFS('Trade Log'!I:I,'Trade Log'!A:A,E36,'Trade Log'!D:D,"Dividend")+SUMIFS('Trade Log'!I:I,'Trade Log'!A:A,E36,'Trade Log'!D:D,"Coupon")+SUMIFS('Trade Log'!I:I,'Trade Log'!A:A,E36,'Trade Log'!D:D,"Distribution")+SUMIFS('Trade Log'!I:I,'Trade Log'!A:A,E36,'Trade Log'!D:D,"Redemption")+SUMIFS('Trade Log'!I:I,'Trade Log'!A:A,E36,'Trade Log'!D:D,"Sec. Lending"))</f>
        <v>-4254.93</v>
      </c>
      <c r="G36" s="156" t="str">
        <f t="shared" si="1"/>
        <v>Investment (Buy)</v>
      </c>
      <c r="H36" s="155">
        <f t="shared" si="2"/>
        <v>-457157.18000000005</v>
      </c>
    </row>
    <row r="37" spans="1:8" x14ac:dyDescent="0.35">
      <c r="A37" s="171" t="str" cm="1">
        <f t="array" ref="A37">IFERROR(_xlfn.AGGREGATE(15,6,('Statements (Raw)'!A$2:A$1000)/(('Statements (Raw)'!A$2:A$1000&lt;=Holdings!$G$3)*((ISNUMBER(SEARCH("Conferimento",'Statements (Raw)'!D$2:D$1000)))+(ISNUMBER(SEARCH("Prelievo",'Statements (Raw)'!D$2:D$1000))))&gt;0),28),"")</f>
        <v/>
      </c>
      <c r="B37" s="125" t="str" cm="1">
        <f t="array" ref="B37">IF(A37="","",-(SUMPRODUCT(('Statements (Raw)'!A$2:A$1000=A37)*('Statements (Raw)'!A$2:A$1000&lt;=Holdings!$G$3)*(ISNUMBER(SEARCH("Conferimento",'Statements (Raw)'!D$2:D$1000)))*('Statements (Raw)'!H$2:H$1000))+SUMPRODUCT(('Statements (Raw)'!A$2:A$1000=A37)*('Statements (Raw)'!A$2:A$1000&lt;=Holdings!$G$3)*(ISNUMBER(SEARCH("Prelievo",'Statements (Raw)'!D$2:D$1000)))*('Statements (Raw)'!H$2:H$1000))))</f>
        <v/>
      </c>
      <c r="C37" s="6" t="str">
        <f t="shared" si="3"/>
        <v/>
      </c>
      <c r="E37" s="171">
        <v>45916</v>
      </c>
      <c r="F37" s="125">
        <f>IF(E37="","",SUMIFS('Trade Log'!K:K,'Trade Log'!A:A,E37,'Trade Log'!D:D,"Buy")+SUMIFS('Trade Log'!K:K,'Trade Log'!A:A,E37,'Trade Log'!D:D,"Sell")+SUMIFS('Trade Log'!I:I,'Trade Log'!A:A,E37,'Trade Log'!D:D,"Dividend")+SUMIFS('Trade Log'!I:I,'Trade Log'!A:A,E37,'Trade Log'!D:D,"Coupon")+SUMIFS('Trade Log'!I:I,'Trade Log'!A:A,E37,'Trade Log'!D:D,"Distribution")+SUMIFS('Trade Log'!I:I,'Trade Log'!A:A,E37,'Trade Log'!D:D,"Redemption")+SUMIFS('Trade Log'!I:I,'Trade Log'!A:A,E37,'Trade Log'!D:D,"Sec. Lending"))</f>
        <v>-2571.96</v>
      </c>
      <c r="G37" s="6" t="str">
        <f t="shared" si="1"/>
        <v>Investment (Buy)</v>
      </c>
      <c r="H37" s="125">
        <f t="shared" si="2"/>
        <v>-459729.14000000007</v>
      </c>
    </row>
    <row r="38" spans="1:8" x14ac:dyDescent="0.35">
      <c r="A38" s="170" t="str" cm="1">
        <f t="array" ref="A38">IFERROR(_xlfn.AGGREGATE(15,6,('Statements (Raw)'!A$2:A$1000)/(('Statements (Raw)'!A$2:A$1000&lt;=Holdings!$G$3)*((ISNUMBER(SEARCH("Conferimento",'Statements (Raw)'!D$2:D$1000)))+(ISNUMBER(SEARCH("Prelievo",'Statements (Raw)'!D$2:D$1000))))&gt;0),29),"")</f>
        <v/>
      </c>
      <c r="B38" s="155" t="str" cm="1">
        <f t="array" ref="B38">IF(A38="","",-(SUMPRODUCT(('Statements (Raw)'!A$2:A$1000=A38)*('Statements (Raw)'!A$2:A$1000&lt;=Holdings!$G$3)*(ISNUMBER(SEARCH("Conferimento",'Statements (Raw)'!D$2:D$1000)))*('Statements (Raw)'!H$2:H$1000))+SUMPRODUCT(('Statements (Raw)'!A$2:A$1000=A38)*('Statements (Raw)'!A$2:A$1000&lt;=Holdings!$G$3)*(ISNUMBER(SEARCH("Prelievo",'Statements (Raw)'!D$2:D$1000)))*('Statements (Raw)'!H$2:H$1000))))</f>
        <v/>
      </c>
      <c r="C38" s="156" t="str">
        <f t="shared" si="3"/>
        <v/>
      </c>
      <c r="E38" s="170">
        <v>45917</v>
      </c>
      <c r="F38" s="155">
        <f>IF(E38="","",SUMIFS('Trade Log'!K:K,'Trade Log'!A:A,E38,'Trade Log'!D:D,"Buy")+SUMIFS('Trade Log'!K:K,'Trade Log'!A:A,E38,'Trade Log'!D:D,"Sell")+SUMIFS('Trade Log'!I:I,'Trade Log'!A:A,E38,'Trade Log'!D:D,"Dividend")+SUMIFS('Trade Log'!I:I,'Trade Log'!A:A,E38,'Trade Log'!D:D,"Coupon")+SUMIFS('Trade Log'!I:I,'Trade Log'!A:A,E38,'Trade Log'!D:D,"Distribution")+SUMIFS('Trade Log'!I:I,'Trade Log'!A:A,E38,'Trade Log'!D:D,"Redemption")+SUMIFS('Trade Log'!I:I,'Trade Log'!A:A,E38,'Trade Log'!D:D,"Sec. Lending"))</f>
        <v>-35160</v>
      </c>
      <c r="G38" s="156" t="str">
        <f t="shared" si="1"/>
        <v>Investment (Buy)</v>
      </c>
      <c r="H38" s="155">
        <f t="shared" si="2"/>
        <v>-494889.14000000007</v>
      </c>
    </row>
    <row r="39" spans="1:8" x14ac:dyDescent="0.35">
      <c r="A39" s="171" t="str" cm="1">
        <f t="array" ref="A39">IFERROR(_xlfn.AGGREGATE(15,6,('Statements (Raw)'!A$2:A$1000)/(('Statements (Raw)'!A$2:A$1000&lt;=Holdings!$G$3)*((ISNUMBER(SEARCH("Conferimento",'Statements (Raw)'!D$2:D$1000)))+(ISNUMBER(SEARCH("Prelievo",'Statements (Raw)'!D$2:D$1000))))&gt;0),30),"")</f>
        <v/>
      </c>
      <c r="B39" s="125" t="str" cm="1">
        <f t="array" ref="B39">IF(A39="","",-(SUMPRODUCT(('Statements (Raw)'!A$2:A$1000=A39)*('Statements (Raw)'!A$2:A$1000&lt;=Holdings!$G$3)*(ISNUMBER(SEARCH("Conferimento",'Statements (Raw)'!D$2:D$1000)))*('Statements (Raw)'!H$2:H$1000))+SUMPRODUCT(('Statements (Raw)'!A$2:A$1000=A39)*('Statements (Raw)'!A$2:A$1000&lt;=Holdings!$G$3)*(ISNUMBER(SEARCH("Prelievo",'Statements (Raw)'!D$2:D$1000)))*('Statements (Raw)'!H$2:H$1000))))</f>
        <v/>
      </c>
      <c r="C39" s="6" t="str">
        <f t="shared" si="3"/>
        <v/>
      </c>
      <c r="E39" s="171">
        <v>45919</v>
      </c>
      <c r="F39" s="125">
        <f>IF(E39="","",SUMIFS('Trade Log'!K:K,'Trade Log'!A:A,E39,'Trade Log'!D:D,"Buy")+SUMIFS('Trade Log'!K:K,'Trade Log'!A:A,E39,'Trade Log'!D:D,"Sell")+SUMIFS('Trade Log'!I:I,'Trade Log'!A:A,E39,'Trade Log'!D:D,"Dividend")+SUMIFS('Trade Log'!I:I,'Trade Log'!A:A,E39,'Trade Log'!D:D,"Coupon")+SUMIFS('Trade Log'!I:I,'Trade Log'!A:A,E39,'Trade Log'!D:D,"Distribution")+SUMIFS('Trade Log'!I:I,'Trade Log'!A:A,E39,'Trade Log'!D:D,"Redemption")+SUMIFS('Trade Log'!I:I,'Trade Log'!A:A,E39,'Trade Log'!D:D,"Sec. Lending"))</f>
        <v>200</v>
      </c>
      <c r="G39" s="6" t="str">
        <f t="shared" si="1"/>
        <v>Proceeds / Income</v>
      </c>
      <c r="H39" s="125">
        <f t="shared" si="2"/>
        <v>-494689.14000000007</v>
      </c>
    </row>
    <row r="40" spans="1:8" x14ac:dyDescent="0.35">
      <c r="A40" s="170"/>
      <c r="B40" s="155"/>
      <c r="C40" s="156"/>
      <c r="E40" s="170">
        <v>45923</v>
      </c>
      <c r="F40" s="155">
        <f>IF(E40="","",SUMIFS('Trade Log'!K:K,'Trade Log'!A:A,E40,'Trade Log'!D:D,"Buy")+SUMIFS('Trade Log'!K:K,'Trade Log'!A:A,E40,'Trade Log'!D:D,"Sell")+SUMIFS('Trade Log'!I:I,'Trade Log'!A:A,E40,'Trade Log'!D:D,"Dividend")+SUMIFS('Trade Log'!I:I,'Trade Log'!A:A,E40,'Trade Log'!D:D,"Coupon")+SUMIFS('Trade Log'!I:I,'Trade Log'!A:A,E40,'Trade Log'!D:D,"Distribution")+SUMIFS('Trade Log'!I:I,'Trade Log'!A:A,E40,'Trade Log'!D:D,"Redemption")+SUMIFS('Trade Log'!I:I,'Trade Log'!A:A,E40,'Trade Log'!D:D,"Sec. Lending"))</f>
        <v>-4202.0200000000004</v>
      </c>
      <c r="G40" s="156" t="str">
        <f t="shared" si="1"/>
        <v>Investment (Buy)</v>
      </c>
      <c r="H40" s="155">
        <f t="shared" si="2"/>
        <v>-498891.16000000009</v>
      </c>
    </row>
    <row r="41" spans="1:8" x14ac:dyDescent="0.35">
      <c r="A41" s="171"/>
      <c r="B41" s="125"/>
      <c r="C41" s="6"/>
      <c r="E41" s="171">
        <v>45924</v>
      </c>
      <c r="F41" s="125">
        <f>IF(E41="","",SUMIFS('Trade Log'!K:K,'Trade Log'!A:A,E41,'Trade Log'!D:D,"Buy")+SUMIFS('Trade Log'!K:K,'Trade Log'!A:A,E41,'Trade Log'!D:D,"Sell")+SUMIFS('Trade Log'!I:I,'Trade Log'!A:A,E41,'Trade Log'!D:D,"Dividend")+SUMIFS('Trade Log'!I:I,'Trade Log'!A:A,E41,'Trade Log'!D:D,"Coupon")+SUMIFS('Trade Log'!I:I,'Trade Log'!A:A,E41,'Trade Log'!D:D,"Distribution")+SUMIFS('Trade Log'!I:I,'Trade Log'!A:A,E41,'Trade Log'!D:D,"Redemption")+SUMIFS('Trade Log'!I:I,'Trade Log'!A:A,E41,'Trade Log'!D:D,"Sec. Lending"))</f>
        <v>-6674.1900000000005</v>
      </c>
      <c r="G41" s="6" t="str">
        <f t="shared" si="1"/>
        <v>Investment (Buy)</v>
      </c>
      <c r="H41" s="125">
        <f t="shared" si="2"/>
        <v>-505565.35000000009</v>
      </c>
    </row>
    <row r="42" spans="1:8" x14ac:dyDescent="0.35">
      <c r="A42" s="154"/>
      <c r="B42" s="155"/>
      <c r="C42" s="156"/>
      <c r="E42" s="170">
        <v>45929</v>
      </c>
      <c r="F42" s="155">
        <f>IF(E42="","",SUMIFS('Trade Log'!K:K,'Trade Log'!A:A,E42,'Trade Log'!D:D,"Buy")+SUMIFS('Trade Log'!K:K,'Trade Log'!A:A,E42,'Trade Log'!D:D,"Sell")+SUMIFS('Trade Log'!I:I,'Trade Log'!A:A,E42,'Trade Log'!D:D,"Dividend")+SUMIFS('Trade Log'!I:I,'Trade Log'!A:A,E42,'Trade Log'!D:D,"Coupon")+SUMIFS('Trade Log'!I:I,'Trade Log'!A:A,E42,'Trade Log'!D:D,"Distribution")+SUMIFS('Trade Log'!I:I,'Trade Log'!A:A,E42,'Trade Log'!D:D,"Redemption")+SUMIFS('Trade Log'!I:I,'Trade Log'!A:A,E42,'Trade Log'!D:D,"Sec. Lending"))</f>
        <v>-90453.64</v>
      </c>
      <c r="G42" s="156" t="str">
        <f t="shared" si="1"/>
        <v>Investment (Buy)</v>
      </c>
      <c r="H42" s="155">
        <f t="shared" si="2"/>
        <v>-596018.99000000011</v>
      </c>
    </row>
    <row r="43" spans="1:8" x14ac:dyDescent="0.35">
      <c r="A43" s="7"/>
      <c r="B43" s="125"/>
      <c r="C43" s="6"/>
      <c r="E43" s="171">
        <v>45931</v>
      </c>
      <c r="F43" s="125">
        <f>IF(E43="","",SUMIFS('Trade Log'!K:K,'Trade Log'!A:A,E43,'Trade Log'!D:D,"Buy")+SUMIFS('Trade Log'!K:K,'Trade Log'!A:A,E43,'Trade Log'!D:D,"Sell")+SUMIFS('Trade Log'!I:I,'Trade Log'!A:A,E43,'Trade Log'!D:D,"Dividend")+SUMIFS('Trade Log'!I:I,'Trade Log'!A:A,E43,'Trade Log'!D:D,"Coupon")+SUMIFS('Trade Log'!I:I,'Trade Log'!A:A,E43,'Trade Log'!D:D,"Distribution")+SUMIFS('Trade Log'!I:I,'Trade Log'!A:A,E43,'Trade Log'!D:D,"Redemption")+SUMIFS('Trade Log'!I:I,'Trade Log'!A:A,E43,'Trade Log'!D:D,"Sec. Lending"))</f>
        <v>-4908.2</v>
      </c>
      <c r="G43" s="6" t="str">
        <f t="shared" si="1"/>
        <v>Investment (Buy)</v>
      </c>
      <c r="H43" s="125">
        <f t="shared" si="2"/>
        <v>-600927.19000000006</v>
      </c>
    </row>
    <row r="44" spans="1:8" x14ac:dyDescent="0.35">
      <c r="A44" s="154"/>
      <c r="B44" s="155"/>
      <c r="C44" s="156"/>
      <c r="E44" s="170">
        <v>45932</v>
      </c>
      <c r="F44" s="155">
        <f>IF(E44="","",SUMIFS('Trade Log'!K:K,'Trade Log'!A:A,E44,'Trade Log'!D:D,"Buy")+SUMIFS('Trade Log'!K:K,'Trade Log'!A:A,E44,'Trade Log'!D:D,"Sell")+SUMIFS('Trade Log'!I:I,'Trade Log'!A:A,E44,'Trade Log'!D:D,"Dividend")+SUMIFS('Trade Log'!I:I,'Trade Log'!A:A,E44,'Trade Log'!D:D,"Coupon")+SUMIFS('Trade Log'!I:I,'Trade Log'!A:A,E44,'Trade Log'!D:D,"Distribution")+SUMIFS('Trade Log'!I:I,'Trade Log'!A:A,E44,'Trade Log'!D:D,"Redemption")+SUMIFS('Trade Log'!I:I,'Trade Log'!A:A,E44,'Trade Log'!D:D,"Sec. Lending"))</f>
        <v>-244559.99</v>
      </c>
      <c r="G44" s="156" t="str">
        <f t="shared" si="1"/>
        <v>Investment (Buy)</v>
      </c>
      <c r="H44" s="155">
        <f t="shared" si="2"/>
        <v>-845487.18</v>
      </c>
    </row>
    <row r="45" spans="1:8" x14ac:dyDescent="0.35">
      <c r="E45" s="171">
        <v>45938</v>
      </c>
      <c r="F45" s="125">
        <f>IF(E45="","",SUMIFS('Trade Log'!K:K,'Trade Log'!A:A,E45,'Trade Log'!D:D,"Buy")+SUMIFS('Trade Log'!K:K,'Trade Log'!A:A,E45,'Trade Log'!D:D,"Sell")+SUMIFS('Trade Log'!I:I,'Trade Log'!A:A,E45,'Trade Log'!D:D,"Dividend")+SUMIFS('Trade Log'!I:I,'Trade Log'!A:A,E45,'Trade Log'!D:D,"Coupon")+SUMIFS('Trade Log'!I:I,'Trade Log'!A:A,E45,'Trade Log'!D:D,"Distribution")+SUMIFS('Trade Log'!I:I,'Trade Log'!A:A,E45,'Trade Log'!D:D,"Redemption")+SUMIFS('Trade Log'!I:I,'Trade Log'!A:A,E45,'Trade Log'!D:D,"Sec. Lending"))</f>
        <v>-4429.95</v>
      </c>
      <c r="G45" s="6" t="str">
        <f t="shared" si="1"/>
        <v>Investment (Buy)</v>
      </c>
      <c r="H45" s="125">
        <f t="shared" si="2"/>
        <v>-849917.13</v>
      </c>
    </row>
    <row r="46" spans="1:8" x14ac:dyDescent="0.35">
      <c r="E46" s="170">
        <v>45939</v>
      </c>
      <c r="F46" s="155">
        <f>IF(E46="","",SUMIFS('Trade Log'!K:K,'Trade Log'!A:A,E46,'Trade Log'!D:D,"Buy")+SUMIFS('Trade Log'!K:K,'Trade Log'!A:A,E46,'Trade Log'!D:D,"Sell")+SUMIFS('Trade Log'!I:I,'Trade Log'!A:A,E46,'Trade Log'!D:D,"Dividend")+SUMIFS('Trade Log'!I:I,'Trade Log'!A:A,E46,'Trade Log'!D:D,"Coupon")+SUMIFS('Trade Log'!I:I,'Trade Log'!A:A,E46,'Trade Log'!D:D,"Distribution")+SUMIFS('Trade Log'!I:I,'Trade Log'!A:A,E46,'Trade Log'!D:D,"Redemption")+SUMIFS('Trade Log'!I:I,'Trade Log'!A:A,E46,'Trade Log'!D:D,"Sec. Lending"))</f>
        <v>13953.199999999997</v>
      </c>
      <c r="G46" s="156" t="str">
        <f t="shared" si="1"/>
        <v>Proceeds / Income</v>
      </c>
      <c r="H46" s="155">
        <f t="shared" si="2"/>
        <v>-835963.93</v>
      </c>
    </row>
    <row r="47" spans="1:8" ht="16" x14ac:dyDescent="0.4">
      <c r="A47" s="176"/>
      <c r="B47" s="176"/>
      <c r="C47" s="176"/>
      <c r="E47" s="171">
        <v>45944</v>
      </c>
      <c r="F47" s="125">
        <f>IF(E47="","",SUMIFS('Trade Log'!K:K,'Trade Log'!A:A,E47,'Trade Log'!D:D,"Buy")+SUMIFS('Trade Log'!K:K,'Trade Log'!A:A,E47,'Trade Log'!D:D,"Sell")+SUMIFS('Trade Log'!I:I,'Trade Log'!A:A,E47,'Trade Log'!D:D,"Dividend")+SUMIFS('Trade Log'!I:I,'Trade Log'!A:A,E47,'Trade Log'!D:D,"Coupon")+SUMIFS('Trade Log'!I:I,'Trade Log'!A:A,E47,'Trade Log'!D:D,"Distribution")+SUMIFS('Trade Log'!I:I,'Trade Log'!A:A,E47,'Trade Log'!D:D,"Redemption")+SUMIFS('Trade Log'!I:I,'Trade Log'!A:A,E47,'Trade Log'!D:D,"Sec. Lending"))</f>
        <v>525</v>
      </c>
      <c r="G47" s="6" t="str">
        <f t="shared" si="1"/>
        <v>Proceeds / Income</v>
      </c>
      <c r="H47" s="125">
        <f t="shared" si="2"/>
        <v>-835438.93</v>
      </c>
    </row>
    <row r="48" spans="1:8" x14ac:dyDescent="0.35">
      <c r="A48" s="157"/>
      <c r="B48" s="157"/>
      <c r="C48" s="157"/>
      <c r="E48" s="170">
        <v>45945</v>
      </c>
      <c r="F48" s="155">
        <f>IF(E48="","",SUMIFS('Trade Log'!K:K,'Trade Log'!A:A,E48,'Trade Log'!D:D,"Buy")+SUMIFS('Trade Log'!K:K,'Trade Log'!A:A,E48,'Trade Log'!D:D,"Sell")+SUMIFS('Trade Log'!I:I,'Trade Log'!A:A,E48,'Trade Log'!D:D,"Dividend")+SUMIFS('Trade Log'!I:I,'Trade Log'!A:A,E48,'Trade Log'!D:D,"Coupon")+SUMIFS('Trade Log'!I:I,'Trade Log'!A:A,E48,'Trade Log'!D:D,"Distribution")+SUMIFS('Trade Log'!I:I,'Trade Log'!A:A,E48,'Trade Log'!D:D,"Redemption")+SUMIFS('Trade Log'!I:I,'Trade Log'!A:A,E48,'Trade Log'!D:D,"Sec. Lending"))</f>
        <v>-38888.93</v>
      </c>
      <c r="G48" s="156" t="str">
        <f t="shared" si="1"/>
        <v>Investment (Buy)</v>
      </c>
      <c r="H48" s="155">
        <f t="shared" si="2"/>
        <v>-874327.8600000001</v>
      </c>
    </row>
    <row r="49" spans="1:8" x14ac:dyDescent="0.35">
      <c r="A49" s="6"/>
      <c r="B49" s="127"/>
      <c r="C49" s="153"/>
      <c r="E49" s="171">
        <v>45946</v>
      </c>
      <c r="F49" s="125">
        <f>IF(E49="","",SUMIFS('Trade Log'!K:K,'Trade Log'!A:A,E49,'Trade Log'!D:D,"Buy")+SUMIFS('Trade Log'!K:K,'Trade Log'!A:A,E49,'Trade Log'!D:D,"Sell")+SUMIFS('Trade Log'!I:I,'Trade Log'!A:A,E49,'Trade Log'!D:D,"Dividend")+SUMIFS('Trade Log'!I:I,'Trade Log'!A:A,E49,'Trade Log'!D:D,"Coupon")+SUMIFS('Trade Log'!I:I,'Trade Log'!A:A,E49,'Trade Log'!D:D,"Distribution")+SUMIFS('Trade Log'!I:I,'Trade Log'!A:A,E49,'Trade Log'!D:D,"Redemption")+SUMIFS('Trade Log'!I:I,'Trade Log'!A:A,E49,'Trade Log'!D:D,"Sec. Lending"))</f>
        <v>-3627.8599999999997</v>
      </c>
      <c r="G49" s="6" t="str">
        <f t="shared" si="1"/>
        <v>Investment (Buy)</v>
      </c>
      <c r="H49" s="125">
        <f t="shared" si="2"/>
        <v>-877955.72000000009</v>
      </c>
    </row>
    <row r="50" spans="1:8" x14ac:dyDescent="0.35">
      <c r="A50" s="6"/>
      <c r="B50" s="127"/>
      <c r="C50" s="153"/>
      <c r="E50" s="170">
        <v>45953</v>
      </c>
      <c r="F50" s="155">
        <f>IF(E50="","",SUMIFS('Trade Log'!K:K,'Trade Log'!A:A,E50,'Trade Log'!D:D,"Buy")+SUMIFS('Trade Log'!K:K,'Trade Log'!A:A,E50,'Trade Log'!D:D,"Sell")+SUMIFS('Trade Log'!I:I,'Trade Log'!A:A,E50,'Trade Log'!D:D,"Dividend")+SUMIFS('Trade Log'!I:I,'Trade Log'!A:A,E50,'Trade Log'!D:D,"Coupon")+SUMIFS('Trade Log'!I:I,'Trade Log'!A:A,E50,'Trade Log'!D:D,"Distribution")+SUMIFS('Trade Log'!I:I,'Trade Log'!A:A,E50,'Trade Log'!D:D,"Redemption")+SUMIFS('Trade Log'!I:I,'Trade Log'!A:A,E50,'Trade Log'!D:D,"Sec. Lending"))</f>
        <v>27131.35</v>
      </c>
      <c r="G50" s="156" t="str">
        <f t="shared" si="1"/>
        <v>Proceeds / Income</v>
      </c>
      <c r="H50" s="155">
        <f t="shared" si="2"/>
        <v>-850824.37000000011</v>
      </c>
    </row>
    <row r="51" spans="1:8" x14ac:dyDescent="0.35">
      <c r="A51" s="157"/>
      <c r="B51" s="127"/>
      <c r="C51" s="6"/>
      <c r="E51" s="171">
        <v>45954</v>
      </c>
      <c r="F51" s="125">
        <f>IF(E51="","",SUMIFS('Trade Log'!K:K,'Trade Log'!A:A,E51,'Trade Log'!D:D,"Buy")+SUMIFS('Trade Log'!K:K,'Trade Log'!A:A,E51,'Trade Log'!D:D,"Sell")+SUMIFS('Trade Log'!I:I,'Trade Log'!A:A,E51,'Trade Log'!D:D,"Dividend")+SUMIFS('Trade Log'!I:I,'Trade Log'!A:A,E51,'Trade Log'!D:D,"Coupon")+SUMIFS('Trade Log'!I:I,'Trade Log'!A:A,E51,'Trade Log'!D:D,"Distribution")+SUMIFS('Trade Log'!I:I,'Trade Log'!A:A,E51,'Trade Log'!D:D,"Redemption")+SUMIFS('Trade Log'!I:I,'Trade Log'!A:A,E51,'Trade Log'!D:D,"Sec. Lending"))</f>
        <v>20.12</v>
      </c>
      <c r="G51" s="6" t="str">
        <f t="shared" si="1"/>
        <v>Proceeds / Income</v>
      </c>
      <c r="H51" s="125">
        <f t="shared" si="2"/>
        <v>-850804.25000000012</v>
      </c>
    </row>
    <row r="52" spans="1:8" x14ac:dyDescent="0.35">
      <c r="E52" s="170">
        <v>45964</v>
      </c>
      <c r="F52" s="155">
        <f>IF(E52="","",SUMIFS('Trade Log'!K:K,'Trade Log'!A:A,E52,'Trade Log'!D:D,"Buy")+SUMIFS('Trade Log'!K:K,'Trade Log'!A:A,E52,'Trade Log'!D:D,"Sell")+SUMIFS('Trade Log'!I:I,'Trade Log'!A:A,E52,'Trade Log'!D:D,"Dividend")+SUMIFS('Trade Log'!I:I,'Trade Log'!A:A,E52,'Trade Log'!D:D,"Coupon")+SUMIFS('Trade Log'!I:I,'Trade Log'!A:A,E52,'Trade Log'!D:D,"Distribution")+SUMIFS('Trade Log'!I:I,'Trade Log'!A:A,E52,'Trade Log'!D:D,"Redemption")+SUMIFS('Trade Log'!I:I,'Trade Log'!A:A,E52,'Trade Log'!D:D,"Sec. Lending"))</f>
        <v>-3473.99</v>
      </c>
      <c r="G52" s="156" t="str">
        <f t="shared" si="1"/>
        <v>Investment (Buy)</v>
      </c>
      <c r="H52" s="155">
        <f t="shared" si="2"/>
        <v>-854278.24000000011</v>
      </c>
    </row>
    <row r="53" spans="1:8" x14ac:dyDescent="0.35">
      <c r="A53" s="106"/>
      <c r="E53" s="171">
        <v>45968</v>
      </c>
      <c r="F53" s="125">
        <f>IF(E53="","",SUMIFS('Trade Log'!K:K,'Trade Log'!A:A,E53,'Trade Log'!D:D,"Buy")+SUMIFS('Trade Log'!K:K,'Trade Log'!A:A,E53,'Trade Log'!D:D,"Sell")+SUMIFS('Trade Log'!I:I,'Trade Log'!A:A,E53,'Trade Log'!D:D,"Dividend")+SUMIFS('Trade Log'!I:I,'Trade Log'!A:A,E53,'Trade Log'!D:D,"Coupon")+SUMIFS('Trade Log'!I:I,'Trade Log'!A:A,E53,'Trade Log'!D:D,"Distribution")+SUMIFS('Trade Log'!I:I,'Trade Log'!A:A,E53,'Trade Log'!D:D,"Redemption")+SUMIFS('Trade Log'!I:I,'Trade Log'!A:A,E53,'Trade Log'!D:D,"Sec. Lending"))</f>
        <v>40.799999999999997</v>
      </c>
      <c r="G53" s="6" t="str">
        <f t="shared" si="1"/>
        <v>Proceeds / Income</v>
      </c>
      <c r="H53" s="125">
        <f t="shared" si="2"/>
        <v>-854237.44000000006</v>
      </c>
    </row>
    <row r="54" spans="1:8" x14ac:dyDescent="0.35">
      <c r="A54" s="118"/>
      <c r="E54" s="170">
        <v>45971</v>
      </c>
      <c r="F54" s="155">
        <f>IF(E54="","",SUMIFS('Trade Log'!K:K,'Trade Log'!A:A,E54,'Trade Log'!D:D,"Buy")+SUMIFS('Trade Log'!K:K,'Trade Log'!A:A,E54,'Trade Log'!D:D,"Sell")+SUMIFS('Trade Log'!I:I,'Trade Log'!A:A,E54,'Trade Log'!D:D,"Dividend")+SUMIFS('Trade Log'!I:I,'Trade Log'!A:A,E54,'Trade Log'!D:D,"Coupon")+SUMIFS('Trade Log'!I:I,'Trade Log'!A:A,E54,'Trade Log'!D:D,"Distribution")+SUMIFS('Trade Log'!I:I,'Trade Log'!A:A,E54,'Trade Log'!D:D,"Redemption")+SUMIFS('Trade Log'!I:I,'Trade Log'!A:A,E54,'Trade Log'!D:D,"Sec. Lending"))</f>
        <v>-3283.66</v>
      </c>
      <c r="G54" s="156" t="str">
        <f t="shared" si="1"/>
        <v>Investment (Buy)</v>
      </c>
      <c r="H54" s="155">
        <f t="shared" si="2"/>
        <v>-857521.10000000009</v>
      </c>
    </row>
    <row r="55" spans="1:8" x14ac:dyDescent="0.35">
      <c r="A55" s="118"/>
      <c r="E55" s="171">
        <v>45978</v>
      </c>
      <c r="F55" s="125">
        <f>IF(E55="","",SUMIFS('Trade Log'!K:K,'Trade Log'!A:A,E55,'Trade Log'!D:D,"Buy")+SUMIFS('Trade Log'!K:K,'Trade Log'!A:A,E55,'Trade Log'!D:D,"Sell")+SUMIFS('Trade Log'!I:I,'Trade Log'!A:A,E55,'Trade Log'!D:D,"Dividend")+SUMIFS('Trade Log'!I:I,'Trade Log'!A:A,E55,'Trade Log'!D:D,"Coupon")+SUMIFS('Trade Log'!I:I,'Trade Log'!A:A,E55,'Trade Log'!D:D,"Distribution")+SUMIFS('Trade Log'!I:I,'Trade Log'!A:A,E55,'Trade Log'!D:D,"Redemption")+SUMIFS('Trade Log'!I:I,'Trade Log'!A:A,E55,'Trade Log'!D:D,"Sec. Lending"))</f>
        <v>-3295.11</v>
      </c>
      <c r="G55" s="6" t="str">
        <f t="shared" si="1"/>
        <v>Investment (Buy)</v>
      </c>
      <c r="H55" s="125">
        <f t="shared" si="2"/>
        <v>-860816.21000000008</v>
      </c>
    </row>
    <row r="56" spans="1:8" x14ac:dyDescent="0.35">
      <c r="A56" s="118"/>
      <c r="E56" s="170">
        <v>45981</v>
      </c>
      <c r="F56" s="155">
        <f>IF(E56="","",SUMIFS('Trade Log'!K:K,'Trade Log'!A:A,E56,'Trade Log'!D:D,"Buy")+SUMIFS('Trade Log'!K:K,'Trade Log'!A:A,E56,'Trade Log'!D:D,"Sell")+SUMIFS('Trade Log'!I:I,'Trade Log'!A:A,E56,'Trade Log'!D:D,"Dividend")+SUMIFS('Trade Log'!I:I,'Trade Log'!A:A,E56,'Trade Log'!D:D,"Coupon")+SUMIFS('Trade Log'!I:I,'Trade Log'!A:A,E56,'Trade Log'!D:D,"Distribution")+SUMIFS('Trade Log'!I:I,'Trade Log'!A:A,E56,'Trade Log'!D:D,"Redemption")+SUMIFS('Trade Log'!I:I,'Trade Log'!A:A,E56,'Trade Log'!D:D,"Sec. Lending"))</f>
        <v>296.38</v>
      </c>
      <c r="G56" s="156" t="str">
        <f t="shared" si="1"/>
        <v>Proceeds / Income</v>
      </c>
      <c r="H56" s="155">
        <f t="shared" si="2"/>
        <v>-860519.83000000007</v>
      </c>
    </row>
    <row r="57" spans="1:8" x14ac:dyDescent="0.35">
      <c r="A57" s="118"/>
      <c r="E57" s="171">
        <v>45985</v>
      </c>
      <c r="F57" s="125">
        <f>IF(E57="","",SUMIFS('Trade Log'!K:K,'Trade Log'!A:A,E57,'Trade Log'!D:D,"Buy")+SUMIFS('Trade Log'!K:K,'Trade Log'!A:A,E57,'Trade Log'!D:D,"Sell")+SUMIFS('Trade Log'!I:I,'Trade Log'!A:A,E57,'Trade Log'!D:D,"Dividend")+SUMIFS('Trade Log'!I:I,'Trade Log'!A:A,E57,'Trade Log'!D:D,"Coupon")+SUMIFS('Trade Log'!I:I,'Trade Log'!A:A,E57,'Trade Log'!D:D,"Distribution")+SUMIFS('Trade Log'!I:I,'Trade Log'!A:A,E57,'Trade Log'!D:D,"Redemption")+SUMIFS('Trade Log'!I:I,'Trade Log'!A:A,E57,'Trade Log'!D:D,"Sec. Lending"))</f>
        <v>-3434.7</v>
      </c>
      <c r="G57" s="6" t="str">
        <f t="shared" si="1"/>
        <v>Investment (Buy)</v>
      </c>
      <c r="H57" s="125">
        <f t="shared" si="2"/>
        <v>-863954.53</v>
      </c>
    </row>
    <row r="58" spans="1:8" x14ac:dyDescent="0.35">
      <c r="E58" s="170">
        <v>45986</v>
      </c>
      <c r="F58" s="155">
        <f>IF(E58="","",SUMIFS('Trade Log'!K:K,'Trade Log'!A:A,E58,'Trade Log'!D:D,"Buy")+SUMIFS('Trade Log'!K:K,'Trade Log'!A:A,E58,'Trade Log'!D:D,"Sell")+SUMIFS('Trade Log'!I:I,'Trade Log'!A:A,E58,'Trade Log'!D:D,"Dividend")+SUMIFS('Trade Log'!I:I,'Trade Log'!A:A,E58,'Trade Log'!D:D,"Coupon")+SUMIFS('Trade Log'!I:I,'Trade Log'!A:A,E58,'Trade Log'!D:D,"Distribution")+SUMIFS('Trade Log'!I:I,'Trade Log'!A:A,E58,'Trade Log'!D:D,"Redemption")+SUMIFS('Trade Log'!I:I,'Trade Log'!A:A,E58,'Trade Log'!D:D,"Sec. Lending"))</f>
        <v>50000</v>
      </c>
      <c r="G58" s="156" t="str">
        <f t="shared" si="1"/>
        <v>Proceeds / Income</v>
      </c>
      <c r="H58" s="155">
        <f t="shared" si="2"/>
        <v>-813954.53</v>
      </c>
    </row>
    <row r="59" spans="1:8" x14ac:dyDescent="0.35">
      <c r="E59" s="171">
        <v>45992</v>
      </c>
      <c r="F59" s="125">
        <f>IF(E59="","",SUMIFS('Trade Log'!K:K,'Trade Log'!A:A,E59,'Trade Log'!D:D,"Buy")+SUMIFS('Trade Log'!K:K,'Trade Log'!A:A,E59,'Trade Log'!D:D,"Sell")+SUMIFS('Trade Log'!I:I,'Trade Log'!A:A,E59,'Trade Log'!D:D,"Dividend")+SUMIFS('Trade Log'!I:I,'Trade Log'!A:A,E59,'Trade Log'!D:D,"Coupon")+SUMIFS('Trade Log'!I:I,'Trade Log'!A:A,E59,'Trade Log'!D:D,"Distribution")+SUMIFS('Trade Log'!I:I,'Trade Log'!A:A,E59,'Trade Log'!D:D,"Redemption")+SUMIFS('Trade Log'!I:I,'Trade Log'!A:A,E59,'Trade Log'!D:D,"Sec. Lending"))</f>
        <v>-3275.33</v>
      </c>
      <c r="G59" s="6" t="str">
        <f t="shared" si="1"/>
        <v>Investment (Buy)</v>
      </c>
      <c r="H59" s="125">
        <f t="shared" si="2"/>
        <v>-817229.86</v>
      </c>
    </row>
    <row r="60" spans="1:8" x14ac:dyDescent="0.35">
      <c r="E60" s="170">
        <v>45995</v>
      </c>
      <c r="F60" s="155">
        <f>IF(E60="","",SUMIFS('Trade Log'!K:K,'Trade Log'!A:A,E60,'Trade Log'!D:D,"Buy")+SUMIFS('Trade Log'!K:K,'Trade Log'!A:A,E60,'Trade Log'!D:D,"Sell")+SUMIFS('Trade Log'!I:I,'Trade Log'!A:A,E60,'Trade Log'!D:D,"Dividend")+SUMIFS('Trade Log'!I:I,'Trade Log'!A:A,E60,'Trade Log'!D:D,"Coupon")+SUMIFS('Trade Log'!I:I,'Trade Log'!A:A,E60,'Trade Log'!D:D,"Distribution")+SUMIFS('Trade Log'!I:I,'Trade Log'!A:A,E60,'Trade Log'!D:D,"Redemption")+SUMIFS('Trade Log'!I:I,'Trade Log'!A:A,E60,'Trade Log'!D:D,"Sec. Lending"))</f>
        <v>-142354.00000000003</v>
      </c>
      <c r="G60" s="156" t="str">
        <f t="shared" si="1"/>
        <v>Investment (Buy)</v>
      </c>
      <c r="H60" s="155">
        <f t="shared" si="2"/>
        <v>-959583.86</v>
      </c>
    </row>
    <row r="61" spans="1:8" x14ac:dyDescent="0.35">
      <c r="E61" s="171">
        <v>45999</v>
      </c>
      <c r="F61" s="125">
        <f>IF(E61="","",SUMIFS('Trade Log'!K:K,'Trade Log'!A:A,E61,'Trade Log'!D:D,"Buy")+SUMIFS('Trade Log'!K:K,'Trade Log'!A:A,E61,'Trade Log'!D:D,"Sell")+SUMIFS('Trade Log'!I:I,'Trade Log'!A:A,E61,'Trade Log'!D:D,"Dividend")+SUMIFS('Trade Log'!I:I,'Trade Log'!A:A,E61,'Trade Log'!D:D,"Coupon")+SUMIFS('Trade Log'!I:I,'Trade Log'!A:A,E61,'Trade Log'!D:D,"Distribution")+SUMIFS('Trade Log'!I:I,'Trade Log'!A:A,E61,'Trade Log'!D:D,"Redemption")+SUMIFS('Trade Log'!I:I,'Trade Log'!A:A,E61,'Trade Log'!D:D,"Sec. Lending"))</f>
        <v>-3281.3</v>
      </c>
      <c r="G61" s="6" t="str">
        <f t="shared" si="1"/>
        <v>Investment (Buy)</v>
      </c>
      <c r="H61" s="125">
        <f t="shared" si="2"/>
        <v>-962865.16</v>
      </c>
    </row>
    <row r="62" spans="1:8" x14ac:dyDescent="0.35">
      <c r="E62" s="170">
        <v>46000</v>
      </c>
      <c r="F62" s="155">
        <f>IF(E62="","",SUMIFS('Trade Log'!K:K,'Trade Log'!A:A,E62,'Trade Log'!D:D,"Buy")+SUMIFS('Trade Log'!K:K,'Trade Log'!A:A,E62,'Trade Log'!D:D,"Sell")+SUMIFS('Trade Log'!I:I,'Trade Log'!A:A,E62,'Trade Log'!D:D,"Dividend")+SUMIFS('Trade Log'!I:I,'Trade Log'!A:A,E62,'Trade Log'!D:D,"Coupon")+SUMIFS('Trade Log'!I:I,'Trade Log'!A:A,E62,'Trade Log'!D:D,"Distribution")+SUMIFS('Trade Log'!I:I,'Trade Log'!A:A,E62,'Trade Log'!D:D,"Redemption")+SUMIFS('Trade Log'!I:I,'Trade Log'!A:A,E62,'Trade Log'!D:D,"Sec. Lending"))</f>
        <v>150000</v>
      </c>
      <c r="G62" s="156" t="str">
        <f t="shared" si="1"/>
        <v>Proceeds / Income</v>
      </c>
      <c r="H62" s="155">
        <f t="shared" si="2"/>
        <v>-812865.16</v>
      </c>
    </row>
    <row r="63" spans="1:8" x14ac:dyDescent="0.35">
      <c r="E63" s="171">
        <v>46006</v>
      </c>
      <c r="F63" s="125">
        <f>IF(E63="","",SUMIFS('Trade Log'!K:K,'Trade Log'!A:A,E63,'Trade Log'!D:D,"Buy")+SUMIFS('Trade Log'!K:K,'Trade Log'!A:A,E63,'Trade Log'!D:D,"Sell")+SUMIFS('Trade Log'!I:I,'Trade Log'!A:A,E63,'Trade Log'!D:D,"Dividend")+SUMIFS('Trade Log'!I:I,'Trade Log'!A:A,E63,'Trade Log'!D:D,"Coupon")+SUMIFS('Trade Log'!I:I,'Trade Log'!A:A,E63,'Trade Log'!D:D,"Distribution")+SUMIFS('Trade Log'!I:I,'Trade Log'!A:A,E63,'Trade Log'!D:D,"Redemption")+SUMIFS('Trade Log'!I:I,'Trade Log'!A:A,E63,'Trade Log'!D:D,"Sec. Lending"))</f>
        <v>-3320.2400000000002</v>
      </c>
      <c r="G63" s="6" t="str">
        <f t="shared" si="1"/>
        <v>Investment (Buy)</v>
      </c>
      <c r="H63" s="125">
        <f t="shared" si="2"/>
        <v>-816185.4</v>
      </c>
    </row>
    <row r="64" spans="1:8" x14ac:dyDescent="0.35">
      <c r="E64" s="170">
        <v>46014</v>
      </c>
      <c r="F64" s="155">
        <f>IF(E64="","",SUMIFS('Trade Log'!K:K,'Trade Log'!A:A,E64,'Trade Log'!D:D,"Buy")+SUMIFS('Trade Log'!K:K,'Trade Log'!A:A,E64,'Trade Log'!D:D,"Sell")+SUMIFS('Trade Log'!I:I,'Trade Log'!A:A,E64,'Trade Log'!D:D,"Dividend")+SUMIFS('Trade Log'!I:I,'Trade Log'!A:A,E64,'Trade Log'!D:D,"Coupon")+SUMIFS('Trade Log'!I:I,'Trade Log'!A:A,E64,'Trade Log'!D:D,"Distribution")+SUMIFS('Trade Log'!I:I,'Trade Log'!A:A,E64,'Trade Log'!D:D,"Redemption")+SUMIFS('Trade Log'!I:I,'Trade Log'!A:A,E64,'Trade Log'!D:D,"Sec. Lending"))</f>
        <v>-3360.6099999999997</v>
      </c>
      <c r="G64" s="156" t="str">
        <f t="shared" si="1"/>
        <v>Investment (Buy)</v>
      </c>
      <c r="H64" s="155">
        <f t="shared" si="2"/>
        <v>-819546.01</v>
      </c>
    </row>
    <row r="65" spans="5:8" x14ac:dyDescent="0.35">
      <c r="E65" s="171">
        <v>46024</v>
      </c>
      <c r="F65" s="125">
        <f>IF(E65="","",SUMIFS('Trade Log'!K:K,'Trade Log'!A:A,E65,'Trade Log'!D:D,"Buy")+SUMIFS('Trade Log'!K:K,'Trade Log'!A:A,E65,'Trade Log'!D:D,"Sell")+SUMIFS('Trade Log'!I:I,'Trade Log'!A:A,E65,'Trade Log'!D:D,"Dividend")+SUMIFS('Trade Log'!I:I,'Trade Log'!A:A,E65,'Trade Log'!D:D,"Coupon")+SUMIFS('Trade Log'!I:I,'Trade Log'!A:A,E65,'Trade Log'!D:D,"Distribution")+SUMIFS('Trade Log'!I:I,'Trade Log'!A:A,E65,'Trade Log'!D:D,"Redemption")+SUMIFS('Trade Log'!I:I,'Trade Log'!A:A,E65,'Trade Log'!D:D,"Sec. Lending"))</f>
        <v>-3403.79</v>
      </c>
      <c r="G65" s="6" t="str">
        <f t="shared" si="1"/>
        <v>Investment (Buy)</v>
      </c>
      <c r="H65" s="125">
        <f t="shared" si="2"/>
        <v>-822949.8</v>
      </c>
    </row>
    <row r="66" spans="5:8" x14ac:dyDescent="0.35">
      <c r="E66" s="170">
        <v>46030</v>
      </c>
      <c r="F66" s="155">
        <f>IF(E66="","",SUMIFS('Trade Log'!K:K,'Trade Log'!A:A,E66,'Trade Log'!D:D,"Buy")+SUMIFS('Trade Log'!K:K,'Trade Log'!A:A,E66,'Trade Log'!D:D,"Sell")+SUMIFS('Trade Log'!I:I,'Trade Log'!A:A,E66,'Trade Log'!D:D,"Dividend")+SUMIFS('Trade Log'!I:I,'Trade Log'!A:A,E66,'Trade Log'!D:D,"Coupon")+SUMIFS('Trade Log'!I:I,'Trade Log'!A:A,E66,'Trade Log'!D:D,"Distribution")+SUMIFS('Trade Log'!I:I,'Trade Log'!A:A,E66,'Trade Log'!D:D,"Redemption")+SUMIFS('Trade Log'!I:I,'Trade Log'!A:A,E66,'Trade Log'!D:D,"Sec. Lending"))</f>
        <v>-3428.8</v>
      </c>
      <c r="G66" s="156" t="str">
        <f t="shared" si="1"/>
        <v>Investment (Buy)</v>
      </c>
      <c r="H66" s="155">
        <f t="shared" si="2"/>
        <v>-826378.60000000009</v>
      </c>
    </row>
    <row r="67" spans="5:8" x14ac:dyDescent="0.35">
      <c r="E67" s="171">
        <v>46031</v>
      </c>
      <c r="F67" s="125">
        <f>IF(E67="","",SUMIFS('Trade Log'!K:K,'Trade Log'!A:A,E67,'Trade Log'!D:D,"Buy")+SUMIFS('Trade Log'!K:K,'Trade Log'!A:A,E67,'Trade Log'!D:D,"Sell")+SUMIFS('Trade Log'!I:I,'Trade Log'!A:A,E67,'Trade Log'!D:D,"Dividend")+SUMIFS('Trade Log'!I:I,'Trade Log'!A:A,E67,'Trade Log'!D:D,"Coupon")+SUMIFS('Trade Log'!I:I,'Trade Log'!A:A,E67,'Trade Log'!D:D,"Distribution")+SUMIFS('Trade Log'!I:I,'Trade Log'!A:A,E67,'Trade Log'!D:D,"Redemption")+SUMIFS('Trade Log'!I:I,'Trade Log'!A:A,E67,'Trade Log'!D:D,"Sec. Lending"))</f>
        <v>70000</v>
      </c>
      <c r="G67" s="6" t="str">
        <f t="shared" si="1"/>
        <v>Proceeds / Income</v>
      </c>
      <c r="H67" s="125">
        <f t="shared" si="2"/>
        <v>-756378.60000000009</v>
      </c>
    </row>
    <row r="68" spans="5:8" x14ac:dyDescent="0.35">
      <c r="E68" s="170">
        <v>46037</v>
      </c>
      <c r="F68" s="155">
        <f>IF(E68="","",SUMIFS('Trade Log'!K:K,'Trade Log'!A:A,E68,'Trade Log'!D:D,"Buy")+SUMIFS('Trade Log'!K:K,'Trade Log'!A:A,E68,'Trade Log'!D:D,"Sell")+SUMIFS('Trade Log'!I:I,'Trade Log'!A:A,E68,'Trade Log'!D:D,"Dividend")+SUMIFS('Trade Log'!I:I,'Trade Log'!A:A,E68,'Trade Log'!D:D,"Coupon")+SUMIFS('Trade Log'!I:I,'Trade Log'!A:A,E68,'Trade Log'!D:D,"Distribution")+SUMIFS('Trade Log'!I:I,'Trade Log'!A:A,E68,'Trade Log'!D:D,"Redemption")+SUMIFS('Trade Log'!I:I,'Trade Log'!A:A,E68,'Trade Log'!D:D,"Sec. Lending"))</f>
        <v>-3414.3999999999996</v>
      </c>
      <c r="G68" s="156" t="str">
        <f t="shared" si="1"/>
        <v>Investment (Buy)</v>
      </c>
      <c r="H68" s="155">
        <f t="shared" si="2"/>
        <v>-759793.00000000012</v>
      </c>
    </row>
    <row r="69" spans="5:8" x14ac:dyDescent="0.35">
      <c r="E69" s="171">
        <v>46038</v>
      </c>
      <c r="F69" s="125">
        <f>IF(E69="","",SUMIFS('Trade Log'!K:K,'Trade Log'!A:A,E69,'Trade Log'!D:D,"Buy")+SUMIFS('Trade Log'!K:K,'Trade Log'!A:A,E69,'Trade Log'!D:D,"Sell")+SUMIFS('Trade Log'!I:I,'Trade Log'!A:A,E69,'Trade Log'!D:D,"Dividend")+SUMIFS('Trade Log'!I:I,'Trade Log'!A:A,E69,'Trade Log'!D:D,"Coupon")+SUMIFS('Trade Log'!I:I,'Trade Log'!A:A,E69,'Trade Log'!D:D,"Distribution")+SUMIFS('Trade Log'!I:I,'Trade Log'!A:A,E69,'Trade Log'!D:D,"Redemption")+SUMIFS('Trade Log'!I:I,'Trade Log'!A:A,E69,'Trade Log'!D:D,"Sec. Lending"))</f>
        <v>230</v>
      </c>
      <c r="G69" s="6" t="str">
        <f t="shared" si="1"/>
        <v>Proceeds / Income</v>
      </c>
      <c r="H69" s="125">
        <f t="shared" si="2"/>
        <v>-759563.00000000012</v>
      </c>
    </row>
    <row r="70" spans="5:8" x14ac:dyDescent="0.35">
      <c r="E70" s="170">
        <v>46044</v>
      </c>
      <c r="F70" s="155">
        <f>IF(E70="","",SUMIFS('Trade Log'!K:K,'Trade Log'!A:A,E70,'Trade Log'!D:D,"Buy")+SUMIFS('Trade Log'!K:K,'Trade Log'!A:A,E70,'Trade Log'!D:D,"Sell")+SUMIFS('Trade Log'!I:I,'Trade Log'!A:A,E70,'Trade Log'!D:D,"Dividend")+SUMIFS('Trade Log'!I:I,'Trade Log'!A:A,E70,'Trade Log'!D:D,"Coupon")+SUMIFS('Trade Log'!I:I,'Trade Log'!A:A,E70,'Trade Log'!D:D,"Distribution")+SUMIFS('Trade Log'!I:I,'Trade Log'!A:A,E70,'Trade Log'!D:D,"Redemption")+SUMIFS('Trade Log'!I:I,'Trade Log'!A:A,E70,'Trade Log'!D:D,"Sec. Lending"))</f>
        <v>-99891.73000000001</v>
      </c>
      <c r="G70" s="156" t="str">
        <f t="shared" si="1"/>
        <v>Investment (Buy)</v>
      </c>
      <c r="H70" s="155">
        <f t="shared" si="2"/>
        <v>-859454.7300000001</v>
      </c>
    </row>
    <row r="71" spans="5:8" x14ac:dyDescent="0.35">
      <c r="E71" s="171">
        <v>46045</v>
      </c>
      <c r="F71" s="125">
        <f>IF(E71="","",SUMIFS('Trade Log'!K:K,'Trade Log'!A:A,E71,'Trade Log'!D:D,"Buy")+SUMIFS('Trade Log'!K:K,'Trade Log'!A:A,E71,'Trade Log'!D:D,"Sell")+SUMIFS('Trade Log'!I:I,'Trade Log'!A:A,E71,'Trade Log'!D:D,"Dividend")+SUMIFS('Trade Log'!I:I,'Trade Log'!A:A,E71,'Trade Log'!D:D,"Coupon")+SUMIFS('Trade Log'!I:I,'Trade Log'!A:A,E71,'Trade Log'!D:D,"Distribution")+SUMIFS('Trade Log'!I:I,'Trade Log'!A:A,E71,'Trade Log'!D:D,"Redemption")+SUMIFS('Trade Log'!I:I,'Trade Log'!A:A,E71,'Trade Log'!D:D,"Sec. Lending"))</f>
        <v>37274.57</v>
      </c>
      <c r="G71" s="6" t="str">
        <f t="shared" si="1"/>
        <v>Proceeds / Income</v>
      </c>
      <c r="H71" s="125">
        <f t="shared" si="2"/>
        <v>-822180.16000000015</v>
      </c>
    </row>
    <row r="72" spans="5:8" x14ac:dyDescent="0.35">
      <c r="E72" s="170">
        <v>46048</v>
      </c>
      <c r="F72" s="155">
        <f>IF(E72="","",SUMIFS('Trade Log'!K:K,'Trade Log'!A:A,E72,'Trade Log'!D:D,"Buy")+SUMIFS('Trade Log'!K:K,'Trade Log'!A:A,E72,'Trade Log'!D:D,"Sell")+SUMIFS('Trade Log'!I:I,'Trade Log'!A:A,E72,'Trade Log'!D:D,"Dividend")+SUMIFS('Trade Log'!I:I,'Trade Log'!A:A,E72,'Trade Log'!D:D,"Coupon")+SUMIFS('Trade Log'!I:I,'Trade Log'!A:A,E72,'Trade Log'!D:D,"Distribution")+SUMIFS('Trade Log'!I:I,'Trade Log'!A:A,E72,'Trade Log'!D:D,"Redemption")+SUMIFS('Trade Log'!I:I,'Trade Log'!A:A,E72,'Trade Log'!D:D,"Sec. Lending"))</f>
        <v>19.77</v>
      </c>
      <c r="G72" s="156" t="str">
        <f t="shared" si="1"/>
        <v>Proceeds / Income</v>
      </c>
      <c r="H72" s="155">
        <f t="shared" si="2"/>
        <v>-822160.39000000013</v>
      </c>
    </row>
    <row r="73" spans="5:8" x14ac:dyDescent="0.35">
      <c r="E73" s="171">
        <v>46055</v>
      </c>
      <c r="F73" s="125">
        <f>IF(E73="","",SUMIFS('Trade Log'!K:K,'Trade Log'!A:A,E73,'Trade Log'!D:D,"Buy")+SUMIFS('Trade Log'!K:K,'Trade Log'!A:A,E73,'Trade Log'!D:D,"Sell")+SUMIFS('Trade Log'!I:I,'Trade Log'!A:A,E73,'Trade Log'!D:D,"Dividend")+SUMIFS('Trade Log'!I:I,'Trade Log'!A:A,E73,'Trade Log'!D:D,"Coupon")+SUMIFS('Trade Log'!I:I,'Trade Log'!A:A,E73,'Trade Log'!D:D,"Distribution")+SUMIFS('Trade Log'!I:I,'Trade Log'!A:A,E73,'Trade Log'!D:D,"Redemption")+SUMIFS('Trade Log'!I:I,'Trade Log'!A:A,E73,'Trade Log'!D:D,"Sec. Lending"))</f>
        <v>-103257.19000000002</v>
      </c>
      <c r="G73" s="6" t="str">
        <f t="shared" si="1"/>
        <v>Investment (Buy)</v>
      </c>
      <c r="H73" s="125">
        <f t="shared" si="2"/>
        <v>-925417.58000000019</v>
      </c>
    </row>
    <row r="74" spans="5:8" x14ac:dyDescent="0.35">
      <c r="E74" s="170">
        <v>46059</v>
      </c>
      <c r="F74" s="155">
        <f>IF(E74="","",SUMIFS('Trade Log'!K:K,'Trade Log'!A:A,E74,'Trade Log'!D:D,"Buy")+SUMIFS('Trade Log'!K:K,'Trade Log'!A:A,E74,'Trade Log'!D:D,"Sell")+SUMIFS('Trade Log'!I:I,'Trade Log'!A:A,E74,'Trade Log'!D:D,"Dividend")+SUMIFS('Trade Log'!I:I,'Trade Log'!A:A,E74,'Trade Log'!D:D,"Coupon")+SUMIFS('Trade Log'!I:I,'Trade Log'!A:A,E74,'Trade Log'!D:D,"Distribution")+SUMIFS('Trade Log'!I:I,'Trade Log'!A:A,E74,'Trade Log'!D:D,"Redemption")+SUMIFS('Trade Log'!I:I,'Trade Log'!A:A,E74,'Trade Log'!D:D,"Sec. Lending"))</f>
        <v>-213034.5</v>
      </c>
      <c r="G74" s="156" t="str">
        <f t="shared" si="1"/>
        <v>Investment (Buy)</v>
      </c>
      <c r="H74" s="155">
        <f t="shared" si="2"/>
        <v>-1138452.08</v>
      </c>
    </row>
    <row r="75" spans="5:8" x14ac:dyDescent="0.35">
      <c r="E75" s="171">
        <v>46062</v>
      </c>
      <c r="F75" s="125">
        <f>IF(E75="","",SUMIFS('Trade Log'!K:K,'Trade Log'!A:A,E75,'Trade Log'!D:D,"Buy")+SUMIFS('Trade Log'!K:K,'Trade Log'!A:A,E75,'Trade Log'!D:D,"Sell")+SUMIFS('Trade Log'!I:I,'Trade Log'!A:A,E75,'Trade Log'!D:D,"Dividend")+SUMIFS('Trade Log'!I:I,'Trade Log'!A:A,E75,'Trade Log'!D:D,"Coupon")+SUMIFS('Trade Log'!I:I,'Trade Log'!A:A,E75,'Trade Log'!D:D,"Distribution")+SUMIFS('Trade Log'!I:I,'Trade Log'!A:A,E75,'Trade Log'!D:D,"Redemption")+SUMIFS('Trade Log'!I:I,'Trade Log'!A:A,E75,'Trade Log'!D:D,"Sec. Lending"))</f>
        <v>-3249.84</v>
      </c>
      <c r="G75" s="6" t="str">
        <f t="shared" ref="G75:G138" si="4">IF(E75="","",IF(F75&lt;0,"Investment (Buy)","Proceeds / Income"))</f>
        <v>Investment (Buy)</v>
      </c>
      <c r="H75" s="125">
        <f t="shared" si="2"/>
        <v>-1141701.9200000002</v>
      </c>
    </row>
    <row r="76" spans="5:8" x14ac:dyDescent="0.35">
      <c r="E76" s="170">
        <v>46069</v>
      </c>
      <c r="F76" s="155">
        <f>IF(E76="","",SUMIFS('Trade Log'!K:K,'Trade Log'!A:A,E76,'Trade Log'!D:D,"Buy")+SUMIFS('Trade Log'!K:K,'Trade Log'!A:A,E76,'Trade Log'!D:D,"Sell")+SUMIFS('Trade Log'!I:I,'Trade Log'!A:A,E76,'Trade Log'!D:D,"Dividend")+SUMIFS('Trade Log'!I:I,'Trade Log'!A:A,E76,'Trade Log'!D:D,"Coupon")+SUMIFS('Trade Log'!I:I,'Trade Log'!A:A,E76,'Trade Log'!D:D,"Distribution")+SUMIFS('Trade Log'!I:I,'Trade Log'!A:A,E76,'Trade Log'!D:D,"Redemption")+SUMIFS('Trade Log'!I:I,'Trade Log'!A:A,E76,'Trade Log'!D:D,"Sec. Lending"))</f>
        <v>-20482.940000000002</v>
      </c>
      <c r="G76" s="156" t="str">
        <f t="shared" si="4"/>
        <v>Investment (Buy)</v>
      </c>
      <c r="H76" s="155">
        <f t="shared" ref="H76:H139" si="5">IF(E76="","",H75+F76)</f>
        <v>-1162184.8600000001</v>
      </c>
    </row>
    <row r="77" spans="5:8" x14ac:dyDescent="0.35">
      <c r="E77" s="171">
        <v>46071</v>
      </c>
      <c r="F77" s="125">
        <f>IF(E77="","",SUMIFS('Trade Log'!K:K,'Trade Log'!A:A,E77,'Trade Log'!D:D,"Buy")+SUMIFS('Trade Log'!K:K,'Trade Log'!A:A,E77,'Trade Log'!D:D,"Sell")+SUMIFS('Trade Log'!I:I,'Trade Log'!A:A,E77,'Trade Log'!D:D,"Dividend")+SUMIFS('Trade Log'!I:I,'Trade Log'!A:A,E77,'Trade Log'!D:D,"Coupon")+SUMIFS('Trade Log'!I:I,'Trade Log'!A:A,E77,'Trade Log'!D:D,"Distribution")+SUMIFS('Trade Log'!I:I,'Trade Log'!A:A,E77,'Trade Log'!D:D,"Redemption")+SUMIFS('Trade Log'!I:I,'Trade Log'!A:A,E77,'Trade Log'!D:D,"Sec. Lending"))</f>
        <v>19151.310000000001</v>
      </c>
      <c r="G77" s="6" t="str">
        <f t="shared" si="4"/>
        <v>Proceeds / Income</v>
      </c>
      <c r="H77" s="125">
        <f t="shared" si="5"/>
        <v>-1143033.55</v>
      </c>
    </row>
    <row r="78" spans="5:8" x14ac:dyDescent="0.35">
      <c r="E78" s="170">
        <v>46072</v>
      </c>
      <c r="F78" s="155">
        <f>IF(E78="","",SUMIFS('Trade Log'!K:K,'Trade Log'!A:A,E78,'Trade Log'!D:D,"Buy")+SUMIFS('Trade Log'!K:K,'Trade Log'!A:A,E78,'Trade Log'!D:D,"Sell")+SUMIFS('Trade Log'!I:I,'Trade Log'!A:A,E78,'Trade Log'!D:D,"Dividend")+SUMIFS('Trade Log'!I:I,'Trade Log'!A:A,E78,'Trade Log'!D:D,"Coupon")+SUMIFS('Trade Log'!I:I,'Trade Log'!A:A,E78,'Trade Log'!D:D,"Distribution")+SUMIFS('Trade Log'!I:I,'Trade Log'!A:A,E78,'Trade Log'!D:D,"Redemption")+SUMIFS('Trade Log'!I:I,'Trade Log'!A:A,E78,'Trade Log'!D:D,"Sec. Lending"))</f>
        <v>-39045</v>
      </c>
      <c r="G78" s="156" t="str">
        <f t="shared" si="4"/>
        <v>Investment (Buy)</v>
      </c>
      <c r="H78" s="155">
        <f t="shared" si="5"/>
        <v>-1182078.55</v>
      </c>
    </row>
    <row r="79" spans="5:8" x14ac:dyDescent="0.35">
      <c r="E79" s="171">
        <v>46076</v>
      </c>
      <c r="F79" s="125">
        <f>IF(E79="","",SUMIFS('Trade Log'!K:K,'Trade Log'!A:A,E79,'Trade Log'!D:D,"Buy")+SUMIFS('Trade Log'!K:K,'Trade Log'!A:A,E79,'Trade Log'!D:D,"Sell")+SUMIFS('Trade Log'!I:I,'Trade Log'!A:A,E79,'Trade Log'!D:D,"Dividend")+SUMIFS('Trade Log'!I:I,'Trade Log'!A:A,E79,'Trade Log'!D:D,"Coupon")+SUMIFS('Trade Log'!I:I,'Trade Log'!A:A,E79,'Trade Log'!D:D,"Distribution")+SUMIFS('Trade Log'!I:I,'Trade Log'!A:A,E79,'Trade Log'!D:D,"Redemption")+SUMIFS('Trade Log'!I:I,'Trade Log'!A:A,E79,'Trade Log'!D:D,"Sec. Lending"))</f>
        <v>-3237.68</v>
      </c>
      <c r="G79" s="6" t="str">
        <f t="shared" si="4"/>
        <v>Investment (Buy)</v>
      </c>
      <c r="H79" s="125">
        <f t="shared" si="5"/>
        <v>-1185316.23</v>
      </c>
    </row>
    <row r="80" spans="5:8" x14ac:dyDescent="0.35">
      <c r="E80" s="170">
        <v>46078</v>
      </c>
      <c r="F80" s="155">
        <f>IF(E80="","",SUMIFS('Trade Log'!K:K,'Trade Log'!A:A,E80,'Trade Log'!D:D,"Buy")+SUMIFS('Trade Log'!K:K,'Trade Log'!A:A,E80,'Trade Log'!D:D,"Sell")+SUMIFS('Trade Log'!I:I,'Trade Log'!A:A,E80,'Trade Log'!D:D,"Dividend")+SUMIFS('Trade Log'!I:I,'Trade Log'!A:A,E80,'Trade Log'!D:D,"Coupon")+SUMIFS('Trade Log'!I:I,'Trade Log'!A:A,E80,'Trade Log'!D:D,"Distribution")+SUMIFS('Trade Log'!I:I,'Trade Log'!A:A,E80,'Trade Log'!D:D,"Redemption")+SUMIFS('Trade Log'!I:I,'Trade Log'!A:A,E80,'Trade Log'!D:D,"Sec. Lending"))</f>
        <v>-25930.87</v>
      </c>
      <c r="G80" s="156" t="str">
        <f t="shared" si="4"/>
        <v>Investment (Buy)</v>
      </c>
      <c r="H80" s="155">
        <f t="shared" si="5"/>
        <v>-1211247.1000000001</v>
      </c>
    </row>
    <row r="81" spans="5:8" x14ac:dyDescent="0.35">
      <c r="E81" s="171">
        <v>46083</v>
      </c>
      <c r="F81" s="125">
        <f>IF(E81="","",SUMIFS('Trade Log'!K:K,'Trade Log'!A:A,E81,'Trade Log'!D:D,"Buy")+SUMIFS('Trade Log'!K:K,'Trade Log'!A:A,E81,'Trade Log'!D:D,"Sell")+SUMIFS('Trade Log'!I:I,'Trade Log'!A:A,E81,'Trade Log'!D:D,"Dividend")+SUMIFS('Trade Log'!I:I,'Trade Log'!A:A,E81,'Trade Log'!D:D,"Coupon")+SUMIFS('Trade Log'!I:I,'Trade Log'!A:A,E81,'Trade Log'!D:D,"Distribution")+SUMIFS('Trade Log'!I:I,'Trade Log'!A:A,E81,'Trade Log'!D:D,"Redemption")+SUMIFS('Trade Log'!I:I,'Trade Log'!A:A,E81,'Trade Log'!D:D,"Sec. Lending"))</f>
        <v>4374.54</v>
      </c>
      <c r="G81" s="6" t="str">
        <f t="shared" si="4"/>
        <v>Proceeds / Income</v>
      </c>
      <c r="H81" s="125">
        <f t="shared" si="5"/>
        <v>-1206872.56</v>
      </c>
    </row>
    <row r="82" spans="5:8" x14ac:dyDescent="0.35">
      <c r="E82" s="170">
        <v>46090</v>
      </c>
      <c r="F82" s="155">
        <f>IF(E82="","",SUMIFS('Trade Log'!K:K,'Trade Log'!A:A,E82,'Trade Log'!D:D,"Buy")+SUMIFS('Trade Log'!K:K,'Trade Log'!A:A,E82,'Trade Log'!D:D,"Sell")+SUMIFS('Trade Log'!I:I,'Trade Log'!A:A,E82,'Trade Log'!D:D,"Dividend")+SUMIFS('Trade Log'!I:I,'Trade Log'!A:A,E82,'Trade Log'!D:D,"Coupon")+SUMIFS('Trade Log'!I:I,'Trade Log'!A:A,E82,'Trade Log'!D:D,"Distribution")+SUMIFS('Trade Log'!I:I,'Trade Log'!A:A,E82,'Trade Log'!D:D,"Redemption")+SUMIFS('Trade Log'!I:I,'Trade Log'!A:A,E82,'Trade Log'!D:D,"Sec. Lending"))</f>
        <v>-9531.42</v>
      </c>
      <c r="G82" s="156" t="str">
        <f t="shared" si="4"/>
        <v>Investment (Buy)</v>
      </c>
      <c r="H82" s="155">
        <f t="shared" si="5"/>
        <v>-1216403.98</v>
      </c>
    </row>
    <row r="83" spans="5:8" x14ac:dyDescent="0.35">
      <c r="E83" s="171">
        <v>46091</v>
      </c>
      <c r="F83" s="125">
        <f>IF(E83="","",SUMIFS('Trade Log'!K:K,'Trade Log'!A:A,E83,'Trade Log'!D:D,"Buy")+SUMIFS('Trade Log'!K:K,'Trade Log'!A:A,E83,'Trade Log'!D:D,"Sell")+SUMIFS('Trade Log'!I:I,'Trade Log'!A:A,E83,'Trade Log'!D:D,"Dividend")+SUMIFS('Trade Log'!I:I,'Trade Log'!A:A,E83,'Trade Log'!D:D,"Coupon")+SUMIFS('Trade Log'!I:I,'Trade Log'!A:A,E83,'Trade Log'!D:D,"Distribution")+SUMIFS('Trade Log'!I:I,'Trade Log'!A:A,E83,'Trade Log'!D:D,"Redemption")+SUMIFS('Trade Log'!I:I,'Trade Log'!A:A,E83,'Trade Log'!D:D,"Sec. Lending"))</f>
        <v>100000</v>
      </c>
      <c r="G83" s="6" t="str">
        <f t="shared" si="4"/>
        <v>Proceeds / Income</v>
      </c>
      <c r="H83" s="125">
        <f t="shared" si="5"/>
        <v>-1116403.98</v>
      </c>
    </row>
    <row r="84" spans="5:8" x14ac:dyDescent="0.35">
      <c r="E84" s="170">
        <v>46097</v>
      </c>
      <c r="F84" s="155">
        <f>IF(E84="","",SUMIFS('Trade Log'!K:K,'Trade Log'!A:A,E84,'Trade Log'!D:D,"Buy")+SUMIFS('Trade Log'!K:K,'Trade Log'!A:A,E84,'Trade Log'!D:D,"Sell")+SUMIFS('Trade Log'!I:I,'Trade Log'!A:A,E84,'Trade Log'!D:D,"Dividend")+SUMIFS('Trade Log'!I:I,'Trade Log'!A:A,E84,'Trade Log'!D:D,"Coupon")+SUMIFS('Trade Log'!I:I,'Trade Log'!A:A,E84,'Trade Log'!D:D,"Distribution")+SUMIFS('Trade Log'!I:I,'Trade Log'!A:A,E84,'Trade Log'!D:D,"Redemption")+SUMIFS('Trade Log'!I:I,'Trade Log'!A:A,E84,'Trade Log'!D:D,"Sec. Lending"))</f>
        <v>-3333.9300000000003</v>
      </c>
      <c r="G84" s="156" t="str">
        <f t="shared" si="4"/>
        <v>Investment (Buy)</v>
      </c>
      <c r="H84" s="155">
        <f t="shared" si="5"/>
        <v>-1119737.9099999999</v>
      </c>
    </row>
    <row r="85" spans="5:8" x14ac:dyDescent="0.35">
      <c r="E85" s="171">
        <v>46099</v>
      </c>
      <c r="F85" s="125">
        <f>IF(E85="","",SUMIFS('Trade Log'!K:K,'Trade Log'!A:A,E85,'Trade Log'!D:D,"Buy")+SUMIFS('Trade Log'!K:K,'Trade Log'!A:A,E85,'Trade Log'!D:D,"Sell")+SUMIFS('Trade Log'!I:I,'Trade Log'!A:A,E85,'Trade Log'!D:D,"Dividend")+SUMIFS('Trade Log'!I:I,'Trade Log'!A:A,E85,'Trade Log'!D:D,"Coupon")+SUMIFS('Trade Log'!I:I,'Trade Log'!A:A,E85,'Trade Log'!D:D,"Distribution")+SUMIFS('Trade Log'!I:I,'Trade Log'!A:A,E85,'Trade Log'!D:D,"Redemption")+SUMIFS('Trade Log'!I:I,'Trade Log'!A:A,E85,'Trade Log'!D:D,"Sec. Lending"))</f>
        <v>604.09</v>
      </c>
      <c r="G85" s="6" t="str">
        <f t="shared" si="4"/>
        <v>Proceeds / Income</v>
      </c>
      <c r="H85" s="125">
        <f t="shared" si="5"/>
        <v>-1119133.8199999998</v>
      </c>
    </row>
    <row r="86" spans="5:8" x14ac:dyDescent="0.35">
      <c r="E86" s="170"/>
      <c r="F86" s="155" t="str">
        <f>IF(E86="","",SUMIFS('Trade Log'!K:K,'Trade Log'!A:A,E86,'Trade Log'!D:D,"Buy")+SUMIFS('Trade Log'!K:K,'Trade Log'!A:A,E86,'Trade Log'!D:D,"Sell")+SUMIFS('Trade Log'!I:I,'Trade Log'!A:A,E86,'Trade Log'!D:D,"Dividend")+SUMIFS('Trade Log'!I:I,'Trade Log'!A:A,E86,'Trade Log'!D:D,"Coupon")+SUMIFS('Trade Log'!I:I,'Trade Log'!A:A,E86,'Trade Log'!D:D,"Distribution")+SUMIFS('Trade Log'!I:I,'Trade Log'!A:A,E86,'Trade Log'!D:D,"Redemption")+SUMIFS('Trade Log'!I:I,'Trade Log'!A:A,E86,'Trade Log'!D:D,"Sec. Lending"))</f>
        <v/>
      </c>
      <c r="G86" s="156" t="str">
        <f t="shared" si="4"/>
        <v/>
      </c>
      <c r="H86" s="155" t="str">
        <f t="shared" si="5"/>
        <v/>
      </c>
    </row>
    <row r="87" spans="5:8" x14ac:dyDescent="0.35">
      <c r="E87" s="171"/>
      <c r="F87" s="125" t="str">
        <f>IF(E87="","",SUMIFS('Trade Log'!K:K,'Trade Log'!A:A,E87,'Trade Log'!D:D,"Buy")+SUMIFS('Trade Log'!K:K,'Trade Log'!A:A,E87,'Trade Log'!D:D,"Sell")+SUMIFS('Trade Log'!I:I,'Trade Log'!A:A,E87,'Trade Log'!D:D,"Dividend")+SUMIFS('Trade Log'!I:I,'Trade Log'!A:A,E87,'Trade Log'!D:D,"Coupon")+SUMIFS('Trade Log'!I:I,'Trade Log'!A:A,E87,'Trade Log'!D:D,"Distribution")+SUMIFS('Trade Log'!I:I,'Trade Log'!A:A,E87,'Trade Log'!D:D,"Redemption")+SUMIFS('Trade Log'!I:I,'Trade Log'!A:A,E87,'Trade Log'!D:D,"Sec. Lending"))</f>
        <v/>
      </c>
      <c r="G87" s="6" t="str">
        <f t="shared" si="4"/>
        <v/>
      </c>
      <c r="H87" s="125" t="str">
        <f t="shared" si="5"/>
        <v/>
      </c>
    </row>
    <row r="88" spans="5:8" x14ac:dyDescent="0.35">
      <c r="E88" s="171"/>
      <c r="F88" s="125" t="str">
        <f>IF(E88="","",SUMIFS('Trade Log'!K:K,'Trade Log'!A:A,E88,'Trade Log'!D:D,"Buy")+SUMIFS('Trade Log'!K:K,'Trade Log'!A:A,E88,'Trade Log'!D:D,"Sell")+SUMIFS('Trade Log'!I:I,'Trade Log'!A:A,E88,'Trade Log'!D:D,"Dividend")+SUMIFS('Trade Log'!I:I,'Trade Log'!A:A,E88,'Trade Log'!D:D,"Coupon")+SUMIFS('Trade Log'!I:I,'Trade Log'!A:A,E88,'Trade Log'!D:D,"Distribution")+SUMIFS('Trade Log'!I:I,'Trade Log'!A:A,E88,'Trade Log'!D:D,"Redemption")+SUMIFS('Trade Log'!I:I,'Trade Log'!A:A,E88,'Trade Log'!D:D,"Sec. Lending"))</f>
        <v/>
      </c>
      <c r="G88" s="6" t="str">
        <f t="shared" si="4"/>
        <v/>
      </c>
      <c r="H88" s="125" t="str">
        <f t="shared" si="5"/>
        <v/>
      </c>
    </row>
    <row r="89" spans="5:8" x14ac:dyDescent="0.35">
      <c r="E89" s="171"/>
      <c r="F89" s="125" t="str">
        <f>IF(E89="","",SUMIFS('Trade Log'!K:K,'Trade Log'!A:A,E89,'Trade Log'!D:D,"Buy")+SUMIFS('Trade Log'!K:K,'Trade Log'!A:A,E89,'Trade Log'!D:D,"Sell")+SUMIFS('Trade Log'!I:I,'Trade Log'!A:A,E89,'Trade Log'!D:D,"Dividend")+SUMIFS('Trade Log'!I:I,'Trade Log'!A:A,E89,'Trade Log'!D:D,"Coupon")+SUMIFS('Trade Log'!I:I,'Trade Log'!A:A,E89,'Trade Log'!D:D,"Distribution")+SUMIFS('Trade Log'!I:I,'Trade Log'!A:A,E89,'Trade Log'!D:D,"Redemption")+SUMIFS('Trade Log'!I:I,'Trade Log'!A:A,E89,'Trade Log'!D:D,"Sec. Lending"))</f>
        <v/>
      </c>
      <c r="G89" s="6" t="str">
        <f t="shared" si="4"/>
        <v/>
      </c>
      <c r="H89" s="125" t="str">
        <f t="shared" si="5"/>
        <v/>
      </c>
    </row>
    <row r="90" spans="5:8" x14ac:dyDescent="0.35">
      <c r="E90" s="171"/>
      <c r="F90" s="125" t="str">
        <f>IF(E90="","",SUMIFS('Trade Log'!K:K,'Trade Log'!A:A,E90,'Trade Log'!D:D,"Buy")+SUMIFS('Trade Log'!K:K,'Trade Log'!A:A,E90,'Trade Log'!D:D,"Sell")+SUMIFS('Trade Log'!I:I,'Trade Log'!A:A,E90,'Trade Log'!D:D,"Dividend")+SUMIFS('Trade Log'!I:I,'Trade Log'!A:A,E90,'Trade Log'!D:D,"Coupon")+SUMIFS('Trade Log'!I:I,'Trade Log'!A:A,E90,'Trade Log'!D:D,"Distribution")+SUMIFS('Trade Log'!I:I,'Trade Log'!A:A,E90,'Trade Log'!D:D,"Redemption")+SUMIFS('Trade Log'!I:I,'Trade Log'!A:A,E90,'Trade Log'!D:D,"Sec. Lending"))</f>
        <v/>
      </c>
      <c r="G90" s="6" t="str">
        <f t="shared" si="4"/>
        <v/>
      </c>
      <c r="H90" s="125" t="str">
        <f t="shared" si="5"/>
        <v/>
      </c>
    </row>
    <row r="91" spans="5:8" x14ac:dyDescent="0.35">
      <c r="E91" s="171"/>
      <c r="F91" s="125" t="str">
        <f>IF(E91="","",SUMIFS('Trade Log'!K:K,'Trade Log'!A:A,E91,'Trade Log'!D:D,"Buy")+SUMIFS('Trade Log'!K:K,'Trade Log'!A:A,E91,'Trade Log'!D:D,"Sell")+SUMIFS('Trade Log'!I:I,'Trade Log'!A:A,E91,'Trade Log'!D:D,"Dividend")+SUMIFS('Trade Log'!I:I,'Trade Log'!A:A,E91,'Trade Log'!D:D,"Coupon")+SUMIFS('Trade Log'!I:I,'Trade Log'!A:A,E91,'Trade Log'!D:D,"Distribution")+SUMIFS('Trade Log'!I:I,'Trade Log'!A:A,E91,'Trade Log'!D:D,"Redemption")+SUMIFS('Trade Log'!I:I,'Trade Log'!A:A,E91,'Trade Log'!D:D,"Sec. Lending"))</f>
        <v/>
      </c>
      <c r="G91" s="6" t="str">
        <f t="shared" si="4"/>
        <v/>
      </c>
      <c r="H91" s="125" t="str">
        <f t="shared" si="5"/>
        <v/>
      </c>
    </row>
    <row r="92" spans="5:8" x14ac:dyDescent="0.35">
      <c r="E92" s="171"/>
      <c r="F92" s="125" t="str">
        <f>IF(E92="","",SUMIFS('Trade Log'!K:K,'Trade Log'!A:A,E92,'Trade Log'!D:D,"Buy")+SUMIFS('Trade Log'!K:K,'Trade Log'!A:A,E92,'Trade Log'!D:D,"Sell")+SUMIFS('Trade Log'!I:I,'Trade Log'!A:A,E92,'Trade Log'!D:D,"Dividend")+SUMIFS('Trade Log'!I:I,'Trade Log'!A:A,E92,'Trade Log'!D:D,"Coupon")+SUMIFS('Trade Log'!I:I,'Trade Log'!A:A,E92,'Trade Log'!D:D,"Distribution")+SUMIFS('Trade Log'!I:I,'Trade Log'!A:A,E92,'Trade Log'!D:D,"Redemption")+SUMIFS('Trade Log'!I:I,'Trade Log'!A:A,E92,'Trade Log'!D:D,"Sec. Lending"))</f>
        <v/>
      </c>
      <c r="G92" s="6" t="str">
        <f t="shared" si="4"/>
        <v/>
      </c>
      <c r="H92" s="125" t="str">
        <f t="shared" si="5"/>
        <v/>
      </c>
    </row>
    <row r="93" spans="5:8" x14ac:dyDescent="0.35">
      <c r="E93" s="171"/>
      <c r="F93" s="125" t="str">
        <f>IF(E93="","",SUMIFS('Trade Log'!K:K,'Trade Log'!A:A,E93,'Trade Log'!D:D,"Buy")+SUMIFS('Trade Log'!K:K,'Trade Log'!A:A,E93,'Trade Log'!D:D,"Sell")+SUMIFS('Trade Log'!I:I,'Trade Log'!A:A,E93,'Trade Log'!D:D,"Dividend")+SUMIFS('Trade Log'!I:I,'Trade Log'!A:A,E93,'Trade Log'!D:D,"Coupon")+SUMIFS('Trade Log'!I:I,'Trade Log'!A:A,E93,'Trade Log'!D:D,"Distribution")+SUMIFS('Trade Log'!I:I,'Trade Log'!A:A,E93,'Trade Log'!D:D,"Redemption")+SUMIFS('Trade Log'!I:I,'Trade Log'!A:A,E93,'Trade Log'!D:D,"Sec. Lending"))</f>
        <v/>
      </c>
      <c r="G93" s="6" t="str">
        <f t="shared" si="4"/>
        <v/>
      </c>
      <c r="H93" s="125" t="str">
        <f t="shared" si="5"/>
        <v/>
      </c>
    </row>
    <row r="94" spans="5:8" x14ac:dyDescent="0.35">
      <c r="E94" s="171"/>
      <c r="F94" s="125" t="str">
        <f>IF(E94="","",SUMIFS('Trade Log'!K:K,'Trade Log'!A:A,E94,'Trade Log'!D:D,"Buy")+SUMIFS('Trade Log'!K:K,'Trade Log'!A:A,E94,'Trade Log'!D:D,"Sell")+SUMIFS('Trade Log'!I:I,'Trade Log'!A:A,E94,'Trade Log'!D:D,"Dividend")+SUMIFS('Trade Log'!I:I,'Trade Log'!A:A,E94,'Trade Log'!D:D,"Coupon")+SUMIFS('Trade Log'!I:I,'Trade Log'!A:A,E94,'Trade Log'!D:D,"Distribution")+SUMIFS('Trade Log'!I:I,'Trade Log'!A:A,E94,'Trade Log'!D:D,"Redemption")+SUMIFS('Trade Log'!I:I,'Trade Log'!A:A,E94,'Trade Log'!D:D,"Sec. Lending"))</f>
        <v/>
      </c>
      <c r="G94" s="6" t="str">
        <f t="shared" si="4"/>
        <v/>
      </c>
      <c r="H94" s="125" t="str">
        <f t="shared" si="5"/>
        <v/>
      </c>
    </row>
    <row r="95" spans="5:8" x14ac:dyDescent="0.35">
      <c r="E95" s="171"/>
      <c r="F95" s="125" t="str">
        <f>IF(E95="","",SUMIFS('Trade Log'!K:K,'Trade Log'!A:A,E95,'Trade Log'!D:D,"Buy")+SUMIFS('Trade Log'!K:K,'Trade Log'!A:A,E95,'Trade Log'!D:D,"Sell")+SUMIFS('Trade Log'!I:I,'Trade Log'!A:A,E95,'Trade Log'!D:D,"Dividend")+SUMIFS('Trade Log'!I:I,'Trade Log'!A:A,E95,'Trade Log'!D:D,"Coupon")+SUMIFS('Trade Log'!I:I,'Trade Log'!A:A,E95,'Trade Log'!D:D,"Distribution")+SUMIFS('Trade Log'!I:I,'Trade Log'!A:A,E95,'Trade Log'!D:D,"Redemption")+SUMIFS('Trade Log'!I:I,'Trade Log'!A:A,E95,'Trade Log'!D:D,"Sec. Lending"))</f>
        <v/>
      </c>
      <c r="G95" s="6" t="str">
        <f t="shared" si="4"/>
        <v/>
      </c>
      <c r="H95" s="125" t="str">
        <f t="shared" si="5"/>
        <v/>
      </c>
    </row>
    <row r="96" spans="5:8" x14ac:dyDescent="0.35">
      <c r="E96" s="171"/>
      <c r="F96" s="125" t="str">
        <f>IF(E96="","",SUMIFS('Trade Log'!K:K,'Trade Log'!A:A,E96,'Trade Log'!D:D,"Buy")+SUMIFS('Trade Log'!K:K,'Trade Log'!A:A,E96,'Trade Log'!D:D,"Sell")+SUMIFS('Trade Log'!I:I,'Trade Log'!A:A,E96,'Trade Log'!D:D,"Dividend")+SUMIFS('Trade Log'!I:I,'Trade Log'!A:A,E96,'Trade Log'!D:D,"Coupon")+SUMIFS('Trade Log'!I:I,'Trade Log'!A:A,E96,'Trade Log'!D:D,"Distribution")+SUMIFS('Trade Log'!I:I,'Trade Log'!A:A,E96,'Trade Log'!D:D,"Redemption")+SUMIFS('Trade Log'!I:I,'Trade Log'!A:A,E96,'Trade Log'!D:D,"Sec. Lending"))</f>
        <v/>
      </c>
      <c r="G96" s="6" t="str">
        <f t="shared" si="4"/>
        <v/>
      </c>
      <c r="H96" s="125" t="str">
        <f t="shared" si="5"/>
        <v/>
      </c>
    </row>
    <row r="97" spans="5:8" x14ac:dyDescent="0.35">
      <c r="E97" s="171"/>
      <c r="F97" s="125" t="str">
        <f>IF(E97="","",SUMIFS('Trade Log'!K:K,'Trade Log'!A:A,E97,'Trade Log'!D:D,"Buy")+SUMIFS('Trade Log'!K:K,'Trade Log'!A:A,E97,'Trade Log'!D:D,"Sell")+SUMIFS('Trade Log'!I:I,'Trade Log'!A:A,E97,'Trade Log'!D:D,"Dividend")+SUMIFS('Trade Log'!I:I,'Trade Log'!A:A,E97,'Trade Log'!D:D,"Coupon")+SUMIFS('Trade Log'!I:I,'Trade Log'!A:A,E97,'Trade Log'!D:D,"Distribution")+SUMIFS('Trade Log'!I:I,'Trade Log'!A:A,E97,'Trade Log'!D:D,"Redemption")+SUMIFS('Trade Log'!I:I,'Trade Log'!A:A,E97,'Trade Log'!D:D,"Sec. Lending"))</f>
        <v/>
      </c>
      <c r="G97" s="6" t="str">
        <f t="shared" si="4"/>
        <v/>
      </c>
      <c r="H97" s="125" t="str">
        <f t="shared" si="5"/>
        <v/>
      </c>
    </row>
    <row r="98" spans="5:8" x14ac:dyDescent="0.35">
      <c r="E98" s="171"/>
      <c r="F98" s="125" t="str">
        <f>IF(E98="","",SUMIFS('Trade Log'!K:K,'Trade Log'!A:A,E98,'Trade Log'!D:D,"Buy")+SUMIFS('Trade Log'!K:K,'Trade Log'!A:A,E98,'Trade Log'!D:D,"Sell")+SUMIFS('Trade Log'!I:I,'Trade Log'!A:A,E98,'Trade Log'!D:D,"Dividend")+SUMIFS('Trade Log'!I:I,'Trade Log'!A:A,E98,'Trade Log'!D:D,"Coupon")+SUMIFS('Trade Log'!I:I,'Trade Log'!A:A,E98,'Trade Log'!D:D,"Distribution")+SUMIFS('Trade Log'!I:I,'Trade Log'!A:A,E98,'Trade Log'!D:D,"Redemption")+SUMIFS('Trade Log'!I:I,'Trade Log'!A:A,E98,'Trade Log'!D:D,"Sec. Lending"))</f>
        <v/>
      </c>
      <c r="G98" s="6" t="str">
        <f t="shared" si="4"/>
        <v/>
      </c>
      <c r="H98" s="125" t="str">
        <f t="shared" si="5"/>
        <v/>
      </c>
    </row>
    <row r="99" spans="5:8" x14ac:dyDescent="0.35">
      <c r="E99" s="171"/>
      <c r="F99" s="125" t="str">
        <f>IF(E99="","",SUMIFS('Trade Log'!K:K,'Trade Log'!A:A,E99,'Trade Log'!D:D,"Buy")+SUMIFS('Trade Log'!K:K,'Trade Log'!A:A,E99,'Trade Log'!D:D,"Sell")+SUMIFS('Trade Log'!I:I,'Trade Log'!A:A,E99,'Trade Log'!D:D,"Dividend")+SUMIFS('Trade Log'!I:I,'Trade Log'!A:A,E99,'Trade Log'!D:D,"Coupon")+SUMIFS('Trade Log'!I:I,'Trade Log'!A:A,E99,'Trade Log'!D:D,"Distribution")+SUMIFS('Trade Log'!I:I,'Trade Log'!A:A,E99,'Trade Log'!D:D,"Redemption")+SUMIFS('Trade Log'!I:I,'Trade Log'!A:A,E99,'Trade Log'!D:D,"Sec. Lending"))</f>
        <v/>
      </c>
      <c r="G99" s="6" t="str">
        <f t="shared" si="4"/>
        <v/>
      </c>
      <c r="H99" s="125" t="str">
        <f t="shared" si="5"/>
        <v/>
      </c>
    </row>
    <row r="100" spans="5:8" x14ac:dyDescent="0.35">
      <c r="E100" s="171"/>
      <c r="F100" s="125" t="str">
        <f>IF(E100="","",SUMIFS('Trade Log'!K:K,'Trade Log'!A:A,E100,'Trade Log'!D:D,"Buy")+SUMIFS('Trade Log'!K:K,'Trade Log'!A:A,E100,'Trade Log'!D:D,"Sell")+SUMIFS('Trade Log'!I:I,'Trade Log'!A:A,E100,'Trade Log'!D:D,"Dividend")+SUMIFS('Trade Log'!I:I,'Trade Log'!A:A,E100,'Trade Log'!D:D,"Coupon")+SUMIFS('Trade Log'!I:I,'Trade Log'!A:A,E100,'Trade Log'!D:D,"Distribution")+SUMIFS('Trade Log'!I:I,'Trade Log'!A:A,E100,'Trade Log'!D:D,"Redemption")+SUMIFS('Trade Log'!I:I,'Trade Log'!A:A,E100,'Trade Log'!D:D,"Sec. Lending"))</f>
        <v/>
      </c>
      <c r="G100" s="6" t="str">
        <f t="shared" si="4"/>
        <v/>
      </c>
      <c r="H100" s="125" t="str">
        <f t="shared" si="5"/>
        <v/>
      </c>
    </row>
    <row r="101" spans="5:8" x14ac:dyDescent="0.35">
      <c r="E101" s="171"/>
      <c r="F101" s="125" t="str">
        <f>IF(E101="","",SUMIFS('Trade Log'!K:K,'Trade Log'!A:A,E101,'Trade Log'!D:D,"Buy")+SUMIFS('Trade Log'!K:K,'Trade Log'!A:A,E101,'Trade Log'!D:D,"Sell")+SUMIFS('Trade Log'!I:I,'Trade Log'!A:A,E101,'Trade Log'!D:D,"Dividend")+SUMIFS('Trade Log'!I:I,'Trade Log'!A:A,E101,'Trade Log'!D:D,"Coupon")+SUMIFS('Trade Log'!I:I,'Trade Log'!A:A,E101,'Trade Log'!D:D,"Distribution")+SUMIFS('Trade Log'!I:I,'Trade Log'!A:A,E101,'Trade Log'!D:D,"Redemption")+SUMIFS('Trade Log'!I:I,'Trade Log'!A:A,E101,'Trade Log'!D:D,"Sec. Lending"))</f>
        <v/>
      </c>
      <c r="G101" s="6" t="str">
        <f t="shared" si="4"/>
        <v/>
      </c>
      <c r="H101" s="125" t="str">
        <f t="shared" si="5"/>
        <v/>
      </c>
    </row>
    <row r="102" spans="5:8" x14ac:dyDescent="0.35">
      <c r="E102" s="171"/>
      <c r="F102" s="125" t="str">
        <f>IF(E102="","",SUMIFS('Trade Log'!K:K,'Trade Log'!A:A,E102,'Trade Log'!D:D,"Buy")+SUMIFS('Trade Log'!K:K,'Trade Log'!A:A,E102,'Trade Log'!D:D,"Sell")+SUMIFS('Trade Log'!I:I,'Trade Log'!A:A,E102,'Trade Log'!D:D,"Dividend")+SUMIFS('Trade Log'!I:I,'Trade Log'!A:A,E102,'Trade Log'!D:D,"Coupon")+SUMIFS('Trade Log'!I:I,'Trade Log'!A:A,E102,'Trade Log'!D:D,"Distribution")+SUMIFS('Trade Log'!I:I,'Trade Log'!A:A,E102,'Trade Log'!D:D,"Redemption")+SUMIFS('Trade Log'!I:I,'Trade Log'!A:A,E102,'Trade Log'!D:D,"Sec. Lending"))</f>
        <v/>
      </c>
      <c r="G102" s="6" t="str">
        <f t="shared" si="4"/>
        <v/>
      </c>
      <c r="H102" s="125" t="str">
        <f t="shared" si="5"/>
        <v/>
      </c>
    </row>
    <row r="103" spans="5:8" x14ac:dyDescent="0.35">
      <c r="E103" s="171"/>
      <c r="F103" s="125" t="str">
        <f>IF(E103="","",SUMIFS('Trade Log'!K:K,'Trade Log'!A:A,E103,'Trade Log'!D:D,"Buy")+SUMIFS('Trade Log'!K:K,'Trade Log'!A:A,E103,'Trade Log'!D:D,"Sell")+SUMIFS('Trade Log'!I:I,'Trade Log'!A:A,E103,'Trade Log'!D:D,"Dividend")+SUMIFS('Trade Log'!I:I,'Trade Log'!A:A,E103,'Trade Log'!D:D,"Coupon")+SUMIFS('Trade Log'!I:I,'Trade Log'!A:A,E103,'Trade Log'!D:D,"Distribution")+SUMIFS('Trade Log'!I:I,'Trade Log'!A:A,E103,'Trade Log'!D:D,"Redemption")+SUMIFS('Trade Log'!I:I,'Trade Log'!A:A,E103,'Trade Log'!D:D,"Sec. Lending"))</f>
        <v/>
      </c>
      <c r="G103" s="6" t="str">
        <f t="shared" si="4"/>
        <v/>
      </c>
      <c r="H103" s="125" t="str">
        <f t="shared" si="5"/>
        <v/>
      </c>
    </row>
    <row r="104" spans="5:8" x14ac:dyDescent="0.35">
      <c r="E104" s="171"/>
      <c r="F104" s="125" t="str">
        <f>IF(E104="","",SUMIFS('Trade Log'!K:K,'Trade Log'!A:A,E104,'Trade Log'!D:D,"Buy")+SUMIFS('Trade Log'!K:K,'Trade Log'!A:A,E104,'Trade Log'!D:D,"Sell")+SUMIFS('Trade Log'!I:I,'Trade Log'!A:A,E104,'Trade Log'!D:D,"Dividend")+SUMIFS('Trade Log'!I:I,'Trade Log'!A:A,E104,'Trade Log'!D:D,"Coupon")+SUMIFS('Trade Log'!I:I,'Trade Log'!A:A,E104,'Trade Log'!D:D,"Distribution")+SUMIFS('Trade Log'!I:I,'Trade Log'!A:A,E104,'Trade Log'!D:D,"Redemption")+SUMIFS('Trade Log'!I:I,'Trade Log'!A:A,E104,'Trade Log'!D:D,"Sec. Lending"))</f>
        <v/>
      </c>
      <c r="G104" s="6" t="str">
        <f t="shared" si="4"/>
        <v/>
      </c>
      <c r="H104" s="125" t="str">
        <f t="shared" si="5"/>
        <v/>
      </c>
    </row>
    <row r="105" spans="5:8" x14ac:dyDescent="0.35">
      <c r="E105" s="171"/>
      <c r="F105" s="125" t="str">
        <f>IF(E105="","",SUMIFS('Trade Log'!K:K,'Trade Log'!A:A,E105,'Trade Log'!D:D,"Buy")+SUMIFS('Trade Log'!K:K,'Trade Log'!A:A,E105,'Trade Log'!D:D,"Sell")+SUMIFS('Trade Log'!I:I,'Trade Log'!A:A,E105,'Trade Log'!D:D,"Dividend")+SUMIFS('Trade Log'!I:I,'Trade Log'!A:A,E105,'Trade Log'!D:D,"Coupon")+SUMIFS('Trade Log'!I:I,'Trade Log'!A:A,E105,'Trade Log'!D:D,"Distribution")+SUMIFS('Trade Log'!I:I,'Trade Log'!A:A,E105,'Trade Log'!D:D,"Redemption")+SUMIFS('Trade Log'!I:I,'Trade Log'!A:A,E105,'Trade Log'!D:D,"Sec. Lending"))</f>
        <v/>
      </c>
      <c r="G105" s="6" t="str">
        <f t="shared" si="4"/>
        <v/>
      </c>
      <c r="H105" s="125" t="str">
        <f t="shared" si="5"/>
        <v/>
      </c>
    </row>
    <row r="106" spans="5:8" x14ac:dyDescent="0.35">
      <c r="E106" s="171"/>
      <c r="F106" s="125" t="str">
        <f>IF(E106="","",SUMIFS('Trade Log'!K:K,'Trade Log'!A:A,E106,'Trade Log'!D:D,"Buy")+SUMIFS('Trade Log'!K:K,'Trade Log'!A:A,E106,'Trade Log'!D:D,"Sell")+SUMIFS('Trade Log'!I:I,'Trade Log'!A:A,E106,'Trade Log'!D:D,"Dividend")+SUMIFS('Trade Log'!I:I,'Trade Log'!A:A,E106,'Trade Log'!D:D,"Coupon")+SUMIFS('Trade Log'!I:I,'Trade Log'!A:A,E106,'Trade Log'!D:D,"Distribution")+SUMIFS('Trade Log'!I:I,'Trade Log'!A:A,E106,'Trade Log'!D:D,"Redemption")+SUMIFS('Trade Log'!I:I,'Trade Log'!A:A,E106,'Trade Log'!D:D,"Sec. Lending"))</f>
        <v/>
      </c>
      <c r="G106" s="6" t="str">
        <f t="shared" si="4"/>
        <v/>
      </c>
      <c r="H106" s="125" t="str">
        <f t="shared" si="5"/>
        <v/>
      </c>
    </row>
    <row r="107" spans="5:8" x14ac:dyDescent="0.35">
      <c r="E107" s="172"/>
      <c r="F107" s="117" t="str">
        <f>IF(E107="","",SUMIFS('Trade Log'!K:K,'Trade Log'!A:A,E107,'Trade Log'!D:D,"Buy")+SUMIFS('Trade Log'!K:K,'Trade Log'!A:A,E107,'Trade Log'!D:D,"Sell")+SUMIFS('Trade Log'!I:I,'Trade Log'!A:A,E107,'Trade Log'!D:D,"Dividend")+SUMIFS('Trade Log'!I:I,'Trade Log'!A:A,E107,'Trade Log'!D:D,"Coupon")+SUMIFS('Trade Log'!I:I,'Trade Log'!A:A,E107,'Trade Log'!D:D,"Distribution")+SUMIFS('Trade Log'!I:I,'Trade Log'!A:A,E107,'Trade Log'!D:D,"Redemption")+SUMIFS('Trade Log'!I:I,'Trade Log'!A:A,E107,'Trade Log'!D:D,"Sec. Lending"))</f>
        <v/>
      </c>
      <c r="G107" s="105" t="str">
        <f t="shared" si="4"/>
        <v/>
      </c>
      <c r="H107" s="117" t="str">
        <f t="shared" si="5"/>
        <v/>
      </c>
    </row>
    <row r="108" spans="5:8" x14ac:dyDescent="0.35">
      <c r="E108" s="172"/>
      <c r="F108" s="117" t="str">
        <f>IF(E108="","",SUMIFS('Trade Log'!K:K,'Trade Log'!A:A,E108,'Trade Log'!D:D,"Buy")+SUMIFS('Trade Log'!K:K,'Trade Log'!A:A,E108,'Trade Log'!D:D,"Sell")+SUMIFS('Trade Log'!I:I,'Trade Log'!A:A,E108,'Trade Log'!D:D,"Dividend")+SUMIFS('Trade Log'!I:I,'Trade Log'!A:A,E108,'Trade Log'!D:D,"Coupon")+SUMIFS('Trade Log'!I:I,'Trade Log'!A:A,E108,'Trade Log'!D:D,"Distribution")+SUMIFS('Trade Log'!I:I,'Trade Log'!A:A,E108,'Trade Log'!D:D,"Redemption")+SUMIFS('Trade Log'!I:I,'Trade Log'!A:A,E108,'Trade Log'!D:D,"Sec. Lending"))</f>
        <v/>
      </c>
      <c r="G108" s="105" t="str">
        <f t="shared" si="4"/>
        <v/>
      </c>
      <c r="H108" s="117" t="str">
        <f t="shared" si="5"/>
        <v/>
      </c>
    </row>
    <row r="109" spans="5:8" x14ac:dyDescent="0.35">
      <c r="E109" s="172"/>
      <c r="F109" s="117" t="str">
        <f>IF(E109="","",SUMIFS('Trade Log'!K:K,'Trade Log'!A:A,E109,'Trade Log'!D:D,"Buy")+SUMIFS('Trade Log'!K:K,'Trade Log'!A:A,E109,'Trade Log'!D:D,"Sell")+SUMIFS('Trade Log'!I:I,'Trade Log'!A:A,E109,'Trade Log'!D:D,"Dividend")+SUMIFS('Trade Log'!I:I,'Trade Log'!A:A,E109,'Trade Log'!D:D,"Coupon")+SUMIFS('Trade Log'!I:I,'Trade Log'!A:A,E109,'Trade Log'!D:D,"Distribution")+SUMIFS('Trade Log'!I:I,'Trade Log'!A:A,E109,'Trade Log'!D:D,"Redemption")+SUMIFS('Trade Log'!I:I,'Trade Log'!A:A,E109,'Trade Log'!D:D,"Sec. Lending"))</f>
        <v/>
      </c>
      <c r="G109" s="105" t="str">
        <f t="shared" si="4"/>
        <v/>
      </c>
      <c r="H109" s="117" t="str">
        <f t="shared" si="5"/>
        <v/>
      </c>
    </row>
    <row r="110" spans="5:8" x14ac:dyDescent="0.35">
      <c r="E110" s="172"/>
      <c r="F110" s="117" t="str">
        <f>IF(E110="","",SUMIFS('Trade Log'!K:K,'Trade Log'!A:A,E110,'Trade Log'!D:D,"Buy")+SUMIFS('Trade Log'!K:K,'Trade Log'!A:A,E110,'Trade Log'!D:D,"Sell")+SUMIFS('Trade Log'!I:I,'Trade Log'!A:A,E110,'Trade Log'!D:D,"Dividend")+SUMIFS('Trade Log'!I:I,'Trade Log'!A:A,E110,'Trade Log'!D:D,"Coupon")+SUMIFS('Trade Log'!I:I,'Trade Log'!A:A,E110,'Trade Log'!D:D,"Distribution")+SUMIFS('Trade Log'!I:I,'Trade Log'!A:A,E110,'Trade Log'!D:D,"Redemption")+SUMIFS('Trade Log'!I:I,'Trade Log'!A:A,E110,'Trade Log'!D:D,"Sec. Lending"))</f>
        <v/>
      </c>
      <c r="G110" s="105" t="str">
        <f t="shared" si="4"/>
        <v/>
      </c>
      <c r="H110" s="117" t="str">
        <f t="shared" si="5"/>
        <v/>
      </c>
    </row>
    <row r="111" spans="5:8" x14ac:dyDescent="0.35">
      <c r="E111" s="172"/>
      <c r="F111" s="117" t="str">
        <f>IF(E111="","",SUMIFS('Trade Log'!K:K,'Trade Log'!A:A,E111,'Trade Log'!D:D,"Buy")+SUMIFS('Trade Log'!K:K,'Trade Log'!A:A,E111,'Trade Log'!D:D,"Sell")+SUMIFS('Trade Log'!I:I,'Trade Log'!A:A,E111,'Trade Log'!D:D,"Dividend")+SUMIFS('Trade Log'!I:I,'Trade Log'!A:A,E111,'Trade Log'!D:D,"Coupon")+SUMIFS('Trade Log'!I:I,'Trade Log'!A:A,E111,'Trade Log'!D:D,"Distribution")+SUMIFS('Trade Log'!I:I,'Trade Log'!A:A,E111,'Trade Log'!D:D,"Redemption")+SUMIFS('Trade Log'!I:I,'Trade Log'!A:A,E111,'Trade Log'!D:D,"Sec. Lending"))</f>
        <v/>
      </c>
      <c r="G111" s="105" t="str">
        <f t="shared" si="4"/>
        <v/>
      </c>
      <c r="H111" s="117" t="str">
        <f t="shared" si="5"/>
        <v/>
      </c>
    </row>
    <row r="112" spans="5:8" x14ac:dyDescent="0.35">
      <c r="E112" s="172"/>
      <c r="F112" s="117" t="str">
        <f>IF(E112="","",SUMIFS('Trade Log'!K:K,'Trade Log'!A:A,E112,'Trade Log'!D:D,"Buy")+SUMIFS('Trade Log'!K:K,'Trade Log'!A:A,E112,'Trade Log'!D:D,"Sell")+SUMIFS('Trade Log'!I:I,'Trade Log'!A:A,E112,'Trade Log'!D:D,"Dividend")+SUMIFS('Trade Log'!I:I,'Trade Log'!A:A,E112,'Trade Log'!D:D,"Coupon")+SUMIFS('Trade Log'!I:I,'Trade Log'!A:A,E112,'Trade Log'!D:D,"Distribution")+SUMIFS('Trade Log'!I:I,'Trade Log'!A:A,E112,'Trade Log'!D:D,"Redemption")+SUMIFS('Trade Log'!I:I,'Trade Log'!A:A,E112,'Trade Log'!D:D,"Sec. Lending"))</f>
        <v/>
      </c>
      <c r="G112" s="105" t="str">
        <f t="shared" si="4"/>
        <v/>
      </c>
      <c r="H112" s="117" t="str">
        <f t="shared" si="5"/>
        <v/>
      </c>
    </row>
    <row r="113" spans="5:8" x14ac:dyDescent="0.35">
      <c r="E113" s="172"/>
      <c r="F113" s="117" t="str">
        <f>IF(E113="","",SUMIFS('Trade Log'!K:K,'Trade Log'!A:A,E113,'Trade Log'!D:D,"Buy")+SUMIFS('Trade Log'!K:K,'Trade Log'!A:A,E113,'Trade Log'!D:D,"Sell")+SUMIFS('Trade Log'!I:I,'Trade Log'!A:A,E113,'Trade Log'!D:D,"Dividend")+SUMIFS('Trade Log'!I:I,'Trade Log'!A:A,E113,'Trade Log'!D:D,"Coupon")+SUMIFS('Trade Log'!I:I,'Trade Log'!A:A,E113,'Trade Log'!D:D,"Distribution")+SUMIFS('Trade Log'!I:I,'Trade Log'!A:A,E113,'Trade Log'!D:D,"Redemption")+SUMIFS('Trade Log'!I:I,'Trade Log'!A:A,E113,'Trade Log'!D:D,"Sec. Lending"))</f>
        <v/>
      </c>
      <c r="G113" s="105" t="str">
        <f t="shared" si="4"/>
        <v/>
      </c>
      <c r="H113" s="117" t="str">
        <f t="shared" si="5"/>
        <v/>
      </c>
    </row>
    <row r="114" spans="5:8" x14ac:dyDescent="0.35">
      <c r="E114" s="172"/>
      <c r="F114" s="117" t="str">
        <f>IF(E114="","",SUMIFS('Trade Log'!K:K,'Trade Log'!A:A,E114,'Trade Log'!D:D,"Buy")+SUMIFS('Trade Log'!K:K,'Trade Log'!A:A,E114,'Trade Log'!D:D,"Sell")+SUMIFS('Trade Log'!I:I,'Trade Log'!A:A,E114,'Trade Log'!D:D,"Dividend")+SUMIFS('Trade Log'!I:I,'Trade Log'!A:A,E114,'Trade Log'!D:D,"Coupon")+SUMIFS('Trade Log'!I:I,'Trade Log'!A:A,E114,'Trade Log'!D:D,"Distribution")+SUMIFS('Trade Log'!I:I,'Trade Log'!A:A,E114,'Trade Log'!D:D,"Redemption")+SUMIFS('Trade Log'!I:I,'Trade Log'!A:A,E114,'Trade Log'!D:D,"Sec. Lending"))</f>
        <v/>
      </c>
      <c r="G114" s="105" t="str">
        <f t="shared" si="4"/>
        <v/>
      </c>
      <c r="H114" s="117" t="str">
        <f t="shared" si="5"/>
        <v/>
      </c>
    </row>
    <row r="115" spans="5:8" x14ac:dyDescent="0.35">
      <c r="E115" s="172"/>
      <c r="F115" s="117" t="str">
        <f>IF(E115="","",SUMIFS('Trade Log'!K:K,'Trade Log'!A:A,E115,'Trade Log'!D:D,"Buy")+SUMIFS('Trade Log'!K:K,'Trade Log'!A:A,E115,'Trade Log'!D:D,"Sell")+SUMIFS('Trade Log'!I:I,'Trade Log'!A:A,E115,'Trade Log'!D:D,"Dividend")+SUMIFS('Trade Log'!I:I,'Trade Log'!A:A,E115,'Trade Log'!D:D,"Coupon")+SUMIFS('Trade Log'!I:I,'Trade Log'!A:A,E115,'Trade Log'!D:D,"Distribution")+SUMIFS('Trade Log'!I:I,'Trade Log'!A:A,E115,'Trade Log'!D:D,"Redemption")+SUMIFS('Trade Log'!I:I,'Trade Log'!A:A,E115,'Trade Log'!D:D,"Sec. Lending"))</f>
        <v/>
      </c>
      <c r="G115" s="105" t="str">
        <f t="shared" si="4"/>
        <v/>
      </c>
      <c r="H115" s="117" t="str">
        <f t="shared" si="5"/>
        <v/>
      </c>
    </row>
    <row r="116" spans="5:8" x14ac:dyDescent="0.35">
      <c r="E116" s="172"/>
      <c r="F116" s="117" t="str">
        <f>IF(E116="","",SUMIFS('Trade Log'!K:K,'Trade Log'!A:A,E116,'Trade Log'!D:D,"Buy")+SUMIFS('Trade Log'!K:K,'Trade Log'!A:A,E116,'Trade Log'!D:D,"Sell")+SUMIFS('Trade Log'!I:I,'Trade Log'!A:A,E116,'Trade Log'!D:D,"Dividend")+SUMIFS('Trade Log'!I:I,'Trade Log'!A:A,E116,'Trade Log'!D:D,"Coupon")+SUMIFS('Trade Log'!I:I,'Trade Log'!A:A,E116,'Trade Log'!D:D,"Distribution")+SUMIFS('Trade Log'!I:I,'Trade Log'!A:A,E116,'Trade Log'!D:D,"Redemption")+SUMIFS('Trade Log'!I:I,'Trade Log'!A:A,E116,'Trade Log'!D:D,"Sec. Lending"))</f>
        <v/>
      </c>
      <c r="G116" s="105" t="str">
        <f t="shared" si="4"/>
        <v/>
      </c>
      <c r="H116" s="117" t="str">
        <f t="shared" si="5"/>
        <v/>
      </c>
    </row>
    <row r="117" spans="5:8" x14ac:dyDescent="0.35">
      <c r="E117" s="172"/>
      <c r="F117" s="117" t="str">
        <f>IF(E117="","",SUMIFS('Trade Log'!K:K,'Trade Log'!A:A,E117,'Trade Log'!D:D,"Buy")+SUMIFS('Trade Log'!K:K,'Trade Log'!A:A,E117,'Trade Log'!D:D,"Sell")+SUMIFS('Trade Log'!I:I,'Trade Log'!A:A,E117,'Trade Log'!D:D,"Dividend")+SUMIFS('Trade Log'!I:I,'Trade Log'!A:A,E117,'Trade Log'!D:D,"Coupon")+SUMIFS('Trade Log'!I:I,'Trade Log'!A:A,E117,'Trade Log'!D:D,"Distribution")+SUMIFS('Trade Log'!I:I,'Trade Log'!A:A,E117,'Trade Log'!D:D,"Redemption")+SUMIFS('Trade Log'!I:I,'Trade Log'!A:A,E117,'Trade Log'!D:D,"Sec. Lending"))</f>
        <v/>
      </c>
      <c r="G117" s="105" t="str">
        <f t="shared" si="4"/>
        <v/>
      </c>
      <c r="H117" s="117" t="str">
        <f t="shared" si="5"/>
        <v/>
      </c>
    </row>
    <row r="118" spans="5:8" x14ac:dyDescent="0.35">
      <c r="E118" s="172"/>
      <c r="F118" s="117" t="str">
        <f>IF(E118="","",SUMIFS('Trade Log'!K:K,'Trade Log'!A:A,E118,'Trade Log'!D:D,"Buy")+SUMIFS('Trade Log'!K:K,'Trade Log'!A:A,E118,'Trade Log'!D:D,"Sell")+SUMIFS('Trade Log'!I:I,'Trade Log'!A:A,E118,'Trade Log'!D:D,"Dividend")+SUMIFS('Trade Log'!I:I,'Trade Log'!A:A,E118,'Trade Log'!D:D,"Coupon")+SUMIFS('Trade Log'!I:I,'Trade Log'!A:A,E118,'Trade Log'!D:D,"Distribution")+SUMIFS('Trade Log'!I:I,'Trade Log'!A:A,E118,'Trade Log'!D:D,"Redemption")+SUMIFS('Trade Log'!I:I,'Trade Log'!A:A,E118,'Trade Log'!D:D,"Sec. Lending"))</f>
        <v/>
      </c>
      <c r="G118" s="105" t="str">
        <f t="shared" si="4"/>
        <v/>
      </c>
      <c r="H118" s="117" t="str">
        <f t="shared" si="5"/>
        <v/>
      </c>
    </row>
    <row r="119" spans="5:8" x14ac:dyDescent="0.35">
      <c r="E119" s="116"/>
      <c r="F119" s="117" t="str">
        <f>IF(E119="","",SUMIFS('Trade Log'!K:K,'Trade Log'!A:A,E119,'Trade Log'!D:D,"Buy")+SUMIFS('Trade Log'!K:K,'Trade Log'!A:A,E119,'Trade Log'!D:D,"Sell")+SUMIFS('Trade Log'!I:I,'Trade Log'!A:A,E119,'Trade Log'!D:D,"Dividend")+SUMIFS('Trade Log'!I:I,'Trade Log'!A:A,E119,'Trade Log'!D:D,"Coupon")+SUMIFS('Trade Log'!I:I,'Trade Log'!A:A,E119,'Trade Log'!D:D,"Distribution")+SUMIFS('Trade Log'!I:I,'Trade Log'!A:A,E119,'Trade Log'!D:D,"Redemption")+SUMIFS('Trade Log'!I:I,'Trade Log'!A:A,E119,'Trade Log'!D:D,"Sec. Lending"))</f>
        <v/>
      </c>
      <c r="G119" s="105" t="str">
        <f t="shared" si="4"/>
        <v/>
      </c>
      <c r="H119" s="117" t="str">
        <f t="shared" si="5"/>
        <v/>
      </c>
    </row>
    <row r="120" spans="5:8" x14ac:dyDescent="0.35">
      <c r="E120" s="116"/>
      <c r="F120" s="117" t="str">
        <f>IF(E120="","",SUMIFS('Trade Log'!K:K,'Trade Log'!A:A,E120,'Trade Log'!D:D,"Buy")+SUMIFS('Trade Log'!K:K,'Trade Log'!A:A,E120,'Trade Log'!D:D,"Sell")+SUMIFS('Trade Log'!I:I,'Trade Log'!A:A,E120,'Trade Log'!D:D,"Dividend")+SUMIFS('Trade Log'!I:I,'Trade Log'!A:A,E120,'Trade Log'!D:D,"Coupon")+SUMIFS('Trade Log'!I:I,'Trade Log'!A:A,E120,'Trade Log'!D:D,"Distribution")+SUMIFS('Trade Log'!I:I,'Trade Log'!A:A,E120,'Trade Log'!D:D,"Redemption")+SUMIFS('Trade Log'!I:I,'Trade Log'!A:A,E120,'Trade Log'!D:D,"Sec. Lending"))</f>
        <v/>
      </c>
      <c r="G120" s="105" t="str">
        <f t="shared" si="4"/>
        <v/>
      </c>
      <c r="H120" s="117" t="str">
        <f t="shared" si="5"/>
        <v/>
      </c>
    </row>
    <row r="121" spans="5:8" x14ac:dyDescent="0.35">
      <c r="E121" s="116"/>
      <c r="F121" s="117" t="str">
        <f>IF(E121="","",SUMIFS('Trade Log'!K:K,'Trade Log'!A:A,E121,'Trade Log'!D:D,"Buy")+SUMIFS('Trade Log'!K:K,'Trade Log'!A:A,E121,'Trade Log'!D:D,"Sell")+SUMIFS('Trade Log'!I:I,'Trade Log'!A:A,E121,'Trade Log'!D:D,"Dividend")+SUMIFS('Trade Log'!I:I,'Trade Log'!A:A,E121,'Trade Log'!D:D,"Coupon")+SUMIFS('Trade Log'!I:I,'Trade Log'!A:A,E121,'Trade Log'!D:D,"Distribution")+SUMIFS('Trade Log'!I:I,'Trade Log'!A:A,E121,'Trade Log'!D:D,"Redemption")+SUMIFS('Trade Log'!I:I,'Trade Log'!A:A,E121,'Trade Log'!D:D,"Sec. Lending"))</f>
        <v/>
      </c>
      <c r="G121" s="105" t="str">
        <f t="shared" si="4"/>
        <v/>
      </c>
      <c r="H121" s="117" t="str">
        <f t="shared" si="5"/>
        <v/>
      </c>
    </row>
    <row r="122" spans="5:8" x14ac:dyDescent="0.35">
      <c r="E122" s="116"/>
      <c r="F122" s="117" t="str">
        <f>IF(E122="","",SUMIFS('Trade Log'!K:K,'Trade Log'!A:A,E122,'Trade Log'!D:D,"Buy")+SUMIFS('Trade Log'!K:K,'Trade Log'!A:A,E122,'Trade Log'!D:D,"Sell")+SUMIFS('Trade Log'!I:I,'Trade Log'!A:A,E122,'Trade Log'!D:D,"Dividend")+SUMIFS('Trade Log'!I:I,'Trade Log'!A:A,E122,'Trade Log'!D:D,"Coupon")+SUMIFS('Trade Log'!I:I,'Trade Log'!A:A,E122,'Trade Log'!D:D,"Distribution")+SUMIFS('Trade Log'!I:I,'Trade Log'!A:A,E122,'Trade Log'!D:D,"Redemption")+SUMIFS('Trade Log'!I:I,'Trade Log'!A:A,E122,'Trade Log'!D:D,"Sec. Lending"))</f>
        <v/>
      </c>
      <c r="G122" s="105" t="str">
        <f t="shared" si="4"/>
        <v/>
      </c>
      <c r="H122" s="117" t="str">
        <f t="shared" si="5"/>
        <v/>
      </c>
    </row>
    <row r="123" spans="5:8" x14ac:dyDescent="0.35">
      <c r="E123" s="116"/>
      <c r="F123" s="117" t="str">
        <f>IF(E123="","",SUMIFS('Trade Log'!K:K,'Trade Log'!A:A,E123,'Trade Log'!D:D,"Buy")+SUMIFS('Trade Log'!K:K,'Trade Log'!A:A,E123,'Trade Log'!D:D,"Sell")+SUMIFS('Trade Log'!I:I,'Trade Log'!A:A,E123,'Trade Log'!D:D,"Dividend")+SUMIFS('Trade Log'!I:I,'Trade Log'!A:A,E123,'Trade Log'!D:D,"Coupon")+SUMIFS('Trade Log'!I:I,'Trade Log'!A:A,E123,'Trade Log'!D:D,"Distribution")+SUMIFS('Trade Log'!I:I,'Trade Log'!A:A,E123,'Trade Log'!D:D,"Redemption")+SUMIFS('Trade Log'!I:I,'Trade Log'!A:A,E123,'Trade Log'!D:D,"Sec. Lending"))</f>
        <v/>
      </c>
      <c r="G123" s="105" t="str">
        <f t="shared" si="4"/>
        <v/>
      </c>
      <c r="H123" s="117" t="str">
        <f t="shared" si="5"/>
        <v/>
      </c>
    </row>
    <row r="124" spans="5:8" x14ac:dyDescent="0.35">
      <c r="E124" s="116"/>
      <c r="F124" s="117" t="str">
        <f>IF(E124="","",SUMIFS('Trade Log'!K:K,'Trade Log'!A:A,E124,'Trade Log'!D:D,"Buy")+SUMIFS('Trade Log'!K:K,'Trade Log'!A:A,E124,'Trade Log'!D:D,"Sell")+SUMIFS('Trade Log'!I:I,'Trade Log'!A:A,E124,'Trade Log'!D:D,"Dividend")+SUMIFS('Trade Log'!I:I,'Trade Log'!A:A,E124,'Trade Log'!D:D,"Coupon")+SUMIFS('Trade Log'!I:I,'Trade Log'!A:A,E124,'Trade Log'!D:D,"Distribution")+SUMIFS('Trade Log'!I:I,'Trade Log'!A:A,E124,'Trade Log'!D:D,"Redemption")+SUMIFS('Trade Log'!I:I,'Trade Log'!A:A,E124,'Trade Log'!D:D,"Sec. Lending"))</f>
        <v/>
      </c>
      <c r="G124" s="105" t="str">
        <f t="shared" si="4"/>
        <v/>
      </c>
      <c r="H124" s="117" t="str">
        <f t="shared" si="5"/>
        <v/>
      </c>
    </row>
    <row r="125" spans="5:8" x14ac:dyDescent="0.35">
      <c r="E125" s="116"/>
      <c r="F125" s="117" t="str">
        <f>IF(E125="","",SUMIFS('Trade Log'!K:K,'Trade Log'!A:A,E125,'Trade Log'!D:D,"Buy")+SUMIFS('Trade Log'!K:K,'Trade Log'!A:A,E125,'Trade Log'!D:D,"Sell")+SUMIFS('Trade Log'!I:I,'Trade Log'!A:A,E125,'Trade Log'!D:D,"Dividend")+SUMIFS('Trade Log'!I:I,'Trade Log'!A:A,E125,'Trade Log'!D:D,"Coupon")+SUMIFS('Trade Log'!I:I,'Trade Log'!A:A,E125,'Trade Log'!D:D,"Distribution")+SUMIFS('Trade Log'!I:I,'Trade Log'!A:A,E125,'Trade Log'!D:D,"Redemption")+SUMIFS('Trade Log'!I:I,'Trade Log'!A:A,E125,'Trade Log'!D:D,"Sec. Lending"))</f>
        <v/>
      </c>
      <c r="G125" s="105" t="str">
        <f t="shared" si="4"/>
        <v/>
      </c>
      <c r="H125" s="117" t="str">
        <f t="shared" si="5"/>
        <v/>
      </c>
    </row>
    <row r="126" spans="5:8" x14ac:dyDescent="0.35">
      <c r="E126" s="116"/>
      <c r="F126" s="117" t="str">
        <f>IF(E126="","",SUMIFS('Trade Log'!K:K,'Trade Log'!A:A,E126,'Trade Log'!D:D,"Buy")+SUMIFS('Trade Log'!K:K,'Trade Log'!A:A,E126,'Trade Log'!D:D,"Sell")+SUMIFS('Trade Log'!I:I,'Trade Log'!A:A,E126,'Trade Log'!D:D,"Dividend")+SUMIFS('Trade Log'!I:I,'Trade Log'!A:A,E126,'Trade Log'!D:D,"Coupon")+SUMIFS('Trade Log'!I:I,'Trade Log'!A:A,E126,'Trade Log'!D:D,"Distribution")+SUMIFS('Trade Log'!I:I,'Trade Log'!A:A,E126,'Trade Log'!D:D,"Redemption")+SUMIFS('Trade Log'!I:I,'Trade Log'!A:A,E126,'Trade Log'!D:D,"Sec. Lending"))</f>
        <v/>
      </c>
      <c r="G126" s="105" t="str">
        <f t="shared" si="4"/>
        <v/>
      </c>
      <c r="H126" s="117" t="str">
        <f t="shared" si="5"/>
        <v/>
      </c>
    </row>
    <row r="127" spans="5:8" x14ac:dyDescent="0.35">
      <c r="E127" s="116"/>
      <c r="F127" s="117" t="str">
        <f>IF(E127="","",SUMIFS('Trade Log'!K:K,'Trade Log'!A:A,E127,'Trade Log'!D:D,"Buy")+SUMIFS('Trade Log'!K:K,'Trade Log'!A:A,E127,'Trade Log'!D:D,"Sell")+SUMIFS('Trade Log'!I:I,'Trade Log'!A:A,E127,'Trade Log'!D:D,"Dividend")+SUMIFS('Trade Log'!I:I,'Trade Log'!A:A,E127,'Trade Log'!D:D,"Coupon")+SUMIFS('Trade Log'!I:I,'Trade Log'!A:A,E127,'Trade Log'!D:D,"Distribution")+SUMIFS('Trade Log'!I:I,'Trade Log'!A:A,E127,'Trade Log'!D:D,"Redemption")+SUMIFS('Trade Log'!I:I,'Trade Log'!A:A,E127,'Trade Log'!D:D,"Sec. Lending"))</f>
        <v/>
      </c>
      <c r="G127" s="105" t="str">
        <f t="shared" si="4"/>
        <v/>
      </c>
      <c r="H127" s="117" t="str">
        <f t="shared" si="5"/>
        <v/>
      </c>
    </row>
    <row r="128" spans="5:8" x14ac:dyDescent="0.35">
      <c r="E128" s="116"/>
      <c r="F128" s="117" t="str">
        <f>IF(E128="","",SUMIFS('Trade Log'!K:K,'Trade Log'!A:A,E128,'Trade Log'!D:D,"Buy")+SUMIFS('Trade Log'!K:K,'Trade Log'!A:A,E128,'Trade Log'!D:D,"Sell")+SUMIFS('Trade Log'!I:I,'Trade Log'!A:A,E128,'Trade Log'!D:D,"Dividend")+SUMIFS('Trade Log'!I:I,'Trade Log'!A:A,E128,'Trade Log'!D:D,"Coupon")+SUMIFS('Trade Log'!I:I,'Trade Log'!A:A,E128,'Trade Log'!D:D,"Distribution")+SUMIFS('Trade Log'!I:I,'Trade Log'!A:A,E128,'Trade Log'!D:D,"Redemption")+SUMIFS('Trade Log'!I:I,'Trade Log'!A:A,E128,'Trade Log'!D:D,"Sec. Lending"))</f>
        <v/>
      </c>
      <c r="G128" s="105" t="str">
        <f t="shared" si="4"/>
        <v/>
      </c>
      <c r="H128" s="117" t="str">
        <f t="shared" si="5"/>
        <v/>
      </c>
    </row>
    <row r="129" spans="5:8" x14ac:dyDescent="0.35">
      <c r="E129" s="116"/>
      <c r="F129" s="117" t="str">
        <f>IF(E129="","",SUMIFS('Trade Log'!K:K,'Trade Log'!A:A,E129,'Trade Log'!D:D,"Buy")+SUMIFS('Trade Log'!K:K,'Trade Log'!A:A,E129,'Trade Log'!D:D,"Sell")+SUMIFS('Trade Log'!I:I,'Trade Log'!A:A,E129,'Trade Log'!D:D,"Dividend")+SUMIFS('Trade Log'!I:I,'Trade Log'!A:A,E129,'Trade Log'!D:D,"Coupon")+SUMIFS('Trade Log'!I:I,'Trade Log'!A:A,E129,'Trade Log'!D:D,"Distribution")+SUMIFS('Trade Log'!I:I,'Trade Log'!A:A,E129,'Trade Log'!D:D,"Redemption")+SUMIFS('Trade Log'!I:I,'Trade Log'!A:A,E129,'Trade Log'!D:D,"Sec. Lending"))</f>
        <v/>
      </c>
      <c r="G129" s="105" t="str">
        <f t="shared" si="4"/>
        <v/>
      </c>
      <c r="H129" s="117" t="str">
        <f t="shared" si="5"/>
        <v/>
      </c>
    </row>
    <row r="130" spans="5:8" x14ac:dyDescent="0.35">
      <c r="E130" s="116"/>
      <c r="F130" s="117" t="str">
        <f>IF(E130="","",SUMIFS('Trade Log'!K:K,'Trade Log'!A:A,E130,'Trade Log'!D:D,"Buy")+SUMIFS('Trade Log'!K:K,'Trade Log'!A:A,E130,'Trade Log'!D:D,"Sell")+SUMIFS('Trade Log'!I:I,'Trade Log'!A:A,E130,'Trade Log'!D:D,"Dividend")+SUMIFS('Trade Log'!I:I,'Trade Log'!A:A,E130,'Trade Log'!D:D,"Coupon")+SUMIFS('Trade Log'!I:I,'Trade Log'!A:A,E130,'Trade Log'!D:D,"Distribution")+SUMIFS('Trade Log'!I:I,'Trade Log'!A:A,E130,'Trade Log'!D:D,"Redemption")+SUMIFS('Trade Log'!I:I,'Trade Log'!A:A,E130,'Trade Log'!D:D,"Sec. Lending"))</f>
        <v/>
      </c>
      <c r="G130" s="105" t="str">
        <f t="shared" si="4"/>
        <v/>
      </c>
      <c r="H130" s="117" t="str">
        <f t="shared" si="5"/>
        <v/>
      </c>
    </row>
    <row r="131" spans="5:8" x14ac:dyDescent="0.35">
      <c r="E131" s="116"/>
      <c r="F131" s="117" t="str">
        <f>IF(E131="","",SUMIFS('Trade Log'!K:K,'Trade Log'!A:A,E131,'Trade Log'!D:D,"Buy")+SUMIFS('Trade Log'!K:K,'Trade Log'!A:A,E131,'Trade Log'!D:D,"Sell")+SUMIFS('Trade Log'!I:I,'Trade Log'!A:A,E131,'Trade Log'!D:D,"Dividend")+SUMIFS('Trade Log'!I:I,'Trade Log'!A:A,E131,'Trade Log'!D:D,"Coupon")+SUMIFS('Trade Log'!I:I,'Trade Log'!A:A,E131,'Trade Log'!D:D,"Distribution")+SUMIFS('Trade Log'!I:I,'Trade Log'!A:A,E131,'Trade Log'!D:D,"Redemption")+SUMIFS('Trade Log'!I:I,'Trade Log'!A:A,E131,'Trade Log'!D:D,"Sec. Lending"))</f>
        <v/>
      </c>
      <c r="G131" s="105" t="str">
        <f t="shared" si="4"/>
        <v/>
      </c>
      <c r="H131" s="117" t="str">
        <f t="shared" si="5"/>
        <v/>
      </c>
    </row>
    <row r="132" spans="5:8" x14ac:dyDescent="0.35">
      <c r="E132" s="116"/>
      <c r="F132" s="117" t="str">
        <f>IF(E132="","",SUMIFS('Trade Log'!K:K,'Trade Log'!A:A,E132,'Trade Log'!D:D,"Buy")+SUMIFS('Trade Log'!K:K,'Trade Log'!A:A,E132,'Trade Log'!D:D,"Sell")+SUMIFS('Trade Log'!I:I,'Trade Log'!A:A,E132,'Trade Log'!D:D,"Dividend")+SUMIFS('Trade Log'!I:I,'Trade Log'!A:A,E132,'Trade Log'!D:D,"Coupon")+SUMIFS('Trade Log'!I:I,'Trade Log'!A:A,E132,'Trade Log'!D:D,"Distribution")+SUMIFS('Trade Log'!I:I,'Trade Log'!A:A,E132,'Trade Log'!D:D,"Redemption")+SUMIFS('Trade Log'!I:I,'Trade Log'!A:A,E132,'Trade Log'!D:D,"Sec. Lending"))</f>
        <v/>
      </c>
      <c r="G132" s="105" t="str">
        <f t="shared" si="4"/>
        <v/>
      </c>
      <c r="H132" s="117" t="str">
        <f t="shared" si="5"/>
        <v/>
      </c>
    </row>
    <row r="133" spans="5:8" x14ac:dyDescent="0.35">
      <c r="E133" s="116"/>
      <c r="F133" s="117" t="str">
        <f>IF(E133="","",SUMIFS('Trade Log'!K:K,'Trade Log'!A:A,E133,'Trade Log'!D:D,"Buy")+SUMIFS('Trade Log'!K:K,'Trade Log'!A:A,E133,'Trade Log'!D:D,"Sell")+SUMIFS('Trade Log'!I:I,'Trade Log'!A:A,E133,'Trade Log'!D:D,"Dividend")+SUMIFS('Trade Log'!I:I,'Trade Log'!A:A,E133,'Trade Log'!D:D,"Coupon")+SUMIFS('Trade Log'!I:I,'Trade Log'!A:A,E133,'Trade Log'!D:D,"Distribution")+SUMIFS('Trade Log'!I:I,'Trade Log'!A:A,E133,'Trade Log'!D:D,"Redemption")+SUMIFS('Trade Log'!I:I,'Trade Log'!A:A,E133,'Trade Log'!D:D,"Sec. Lending"))</f>
        <v/>
      </c>
      <c r="G133" s="105" t="str">
        <f t="shared" si="4"/>
        <v/>
      </c>
      <c r="H133" s="117" t="str">
        <f t="shared" si="5"/>
        <v/>
      </c>
    </row>
    <row r="134" spans="5:8" x14ac:dyDescent="0.35">
      <c r="E134" s="116"/>
      <c r="F134" s="117" t="str">
        <f>IF(E134="","",SUMIFS('Trade Log'!K:K,'Trade Log'!A:A,E134,'Trade Log'!D:D,"Buy")+SUMIFS('Trade Log'!K:K,'Trade Log'!A:A,E134,'Trade Log'!D:D,"Sell")+SUMIFS('Trade Log'!I:I,'Trade Log'!A:A,E134,'Trade Log'!D:D,"Dividend")+SUMIFS('Trade Log'!I:I,'Trade Log'!A:A,E134,'Trade Log'!D:D,"Coupon")+SUMIFS('Trade Log'!I:I,'Trade Log'!A:A,E134,'Trade Log'!D:D,"Distribution")+SUMIFS('Trade Log'!I:I,'Trade Log'!A:A,E134,'Trade Log'!D:D,"Redemption")+SUMIFS('Trade Log'!I:I,'Trade Log'!A:A,E134,'Trade Log'!D:D,"Sec. Lending"))</f>
        <v/>
      </c>
      <c r="G134" s="105" t="str">
        <f t="shared" si="4"/>
        <v/>
      </c>
      <c r="H134" s="117" t="str">
        <f t="shared" si="5"/>
        <v/>
      </c>
    </row>
    <row r="135" spans="5:8" x14ac:dyDescent="0.35">
      <c r="E135" s="116"/>
      <c r="F135" s="117" t="str">
        <f>IF(E135="","",SUMIFS('Trade Log'!K:K,'Trade Log'!A:A,E135,'Trade Log'!D:D,"Buy")+SUMIFS('Trade Log'!K:K,'Trade Log'!A:A,E135,'Trade Log'!D:D,"Sell")+SUMIFS('Trade Log'!I:I,'Trade Log'!A:A,E135,'Trade Log'!D:D,"Dividend")+SUMIFS('Trade Log'!I:I,'Trade Log'!A:A,E135,'Trade Log'!D:D,"Coupon")+SUMIFS('Trade Log'!I:I,'Trade Log'!A:A,E135,'Trade Log'!D:D,"Distribution")+SUMIFS('Trade Log'!I:I,'Trade Log'!A:A,E135,'Trade Log'!D:D,"Redemption")+SUMIFS('Trade Log'!I:I,'Trade Log'!A:A,E135,'Trade Log'!D:D,"Sec. Lending"))</f>
        <v/>
      </c>
      <c r="G135" s="105" t="str">
        <f t="shared" si="4"/>
        <v/>
      </c>
      <c r="H135" s="117" t="str">
        <f t="shared" si="5"/>
        <v/>
      </c>
    </row>
    <row r="136" spans="5:8" x14ac:dyDescent="0.35">
      <c r="E136" s="116"/>
      <c r="F136" s="117" t="str">
        <f>IF(E136="","",SUMIFS('Trade Log'!K:K,'Trade Log'!A:A,E136,'Trade Log'!D:D,"Buy")+SUMIFS('Trade Log'!K:K,'Trade Log'!A:A,E136,'Trade Log'!D:D,"Sell")+SUMIFS('Trade Log'!I:I,'Trade Log'!A:A,E136,'Trade Log'!D:D,"Dividend")+SUMIFS('Trade Log'!I:I,'Trade Log'!A:A,E136,'Trade Log'!D:D,"Coupon")+SUMIFS('Trade Log'!I:I,'Trade Log'!A:A,E136,'Trade Log'!D:D,"Distribution")+SUMIFS('Trade Log'!I:I,'Trade Log'!A:A,E136,'Trade Log'!D:D,"Redemption")+SUMIFS('Trade Log'!I:I,'Trade Log'!A:A,E136,'Trade Log'!D:D,"Sec. Lending"))</f>
        <v/>
      </c>
      <c r="G136" s="105" t="str">
        <f t="shared" si="4"/>
        <v/>
      </c>
      <c r="H136" s="117" t="str">
        <f t="shared" si="5"/>
        <v/>
      </c>
    </row>
    <row r="137" spans="5:8" x14ac:dyDescent="0.35">
      <c r="E137" s="116"/>
      <c r="F137" s="117" t="str">
        <f>IF(E137="","",SUMIFS('Trade Log'!K:K,'Trade Log'!A:A,E137,'Trade Log'!D:D,"Buy")+SUMIFS('Trade Log'!K:K,'Trade Log'!A:A,E137,'Trade Log'!D:D,"Sell")+SUMIFS('Trade Log'!I:I,'Trade Log'!A:A,E137,'Trade Log'!D:D,"Dividend")+SUMIFS('Trade Log'!I:I,'Trade Log'!A:A,E137,'Trade Log'!D:D,"Coupon")+SUMIFS('Trade Log'!I:I,'Trade Log'!A:A,E137,'Trade Log'!D:D,"Distribution")+SUMIFS('Trade Log'!I:I,'Trade Log'!A:A,E137,'Trade Log'!D:D,"Redemption")+SUMIFS('Trade Log'!I:I,'Trade Log'!A:A,E137,'Trade Log'!D:D,"Sec. Lending"))</f>
        <v/>
      </c>
      <c r="G137" s="105" t="str">
        <f t="shared" si="4"/>
        <v/>
      </c>
      <c r="H137" s="117" t="str">
        <f t="shared" si="5"/>
        <v/>
      </c>
    </row>
    <row r="138" spans="5:8" x14ac:dyDescent="0.35">
      <c r="E138" s="116"/>
      <c r="F138" s="117" t="str">
        <f>IF(E138="","",SUMIFS('Trade Log'!K:K,'Trade Log'!A:A,E138,'Trade Log'!D:D,"Buy")+SUMIFS('Trade Log'!K:K,'Trade Log'!A:A,E138,'Trade Log'!D:D,"Sell")+SUMIFS('Trade Log'!I:I,'Trade Log'!A:A,E138,'Trade Log'!D:D,"Dividend")+SUMIFS('Trade Log'!I:I,'Trade Log'!A:A,E138,'Trade Log'!D:D,"Coupon")+SUMIFS('Trade Log'!I:I,'Trade Log'!A:A,E138,'Trade Log'!D:D,"Distribution")+SUMIFS('Trade Log'!I:I,'Trade Log'!A:A,E138,'Trade Log'!D:D,"Redemption")+SUMIFS('Trade Log'!I:I,'Trade Log'!A:A,E138,'Trade Log'!D:D,"Sec. Lending"))</f>
        <v/>
      </c>
      <c r="G138" s="105" t="str">
        <f t="shared" si="4"/>
        <v/>
      </c>
      <c r="H138" s="117" t="str">
        <f t="shared" si="5"/>
        <v/>
      </c>
    </row>
    <row r="139" spans="5:8" x14ac:dyDescent="0.35">
      <c r="E139" s="116"/>
      <c r="F139" s="117" t="str">
        <f>IF(E139="","",SUMIFS('Trade Log'!K:K,'Trade Log'!A:A,E139,'Trade Log'!D:D,"Buy")+SUMIFS('Trade Log'!K:K,'Trade Log'!A:A,E139,'Trade Log'!D:D,"Sell")+SUMIFS('Trade Log'!I:I,'Trade Log'!A:A,E139,'Trade Log'!D:D,"Dividend")+SUMIFS('Trade Log'!I:I,'Trade Log'!A:A,E139,'Trade Log'!D:D,"Coupon")+SUMIFS('Trade Log'!I:I,'Trade Log'!A:A,E139,'Trade Log'!D:D,"Distribution")+SUMIFS('Trade Log'!I:I,'Trade Log'!A:A,E139,'Trade Log'!D:D,"Redemption")+SUMIFS('Trade Log'!I:I,'Trade Log'!A:A,E139,'Trade Log'!D:D,"Sec. Lending"))</f>
        <v/>
      </c>
      <c r="G139" s="105" t="str">
        <f t="shared" ref="G139:G202" si="6">IF(E139="","",IF(F139&lt;0,"Investment (Buy)","Proceeds / Income"))</f>
        <v/>
      </c>
      <c r="H139" s="117" t="str">
        <f t="shared" si="5"/>
        <v/>
      </c>
    </row>
    <row r="140" spans="5:8" x14ac:dyDescent="0.35">
      <c r="E140" s="116"/>
      <c r="F140" s="117" t="str">
        <f>IF(E140="","",SUMIFS('Trade Log'!K:K,'Trade Log'!A:A,E140,'Trade Log'!D:D,"Buy")+SUMIFS('Trade Log'!K:K,'Trade Log'!A:A,E140,'Trade Log'!D:D,"Sell")+SUMIFS('Trade Log'!I:I,'Trade Log'!A:A,E140,'Trade Log'!D:D,"Dividend")+SUMIFS('Trade Log'!I:I,'Trade Log'!A:A,E140,'Trade Log'!D:D,"Coupon")+SUMIFS('Trade Log'!I:I,'Trade Log'!A:A,E140,'Trade Log'!D:D,"Distribution")+SUMIFS('Trade Log'!I:I,'Trade Log'!A:A,E140,'Trade Log'!D:D,"Redemption")+SUMIFS('Trade Log'!I:I,'Trade Log'!A:A,E140,'Trade Log'!D:D,"Sec. Lending"))</f>
        <v/>
      </c>
      <c r="G140" s="105" t="str">
        <f t="shared" si="6"/>
        <v/>
      </c>
      <c r="H140" s="117" t="str">
        <f t="shared" ref="H140:H203" si="7">IF(E140="","",H139+F140)</f>
        <v/>
      </c>
    </row>
    <row r="141" spans="5:8" x14ac:dyDescent="0.35">
      <c r="E141" s="116"/>
      <c r="F141" s="117" t="str">
        <f>IF(E141="","",SUMIFS('Trade Log'!K:K,'Trade Log'!A:A,E141,'Trade Log'!D:D,"Buy")+SUMIFS('Trade Log'!K:K,'Trade Log'!A:A,E141,'Trade Log'!D:D,"Sell")+SUMIFS('Trade Log'!I:I,'Trade Log'!A:A,E141,'Trade Log'!D:D,"Dividend")+SUMIFS('Trade Log'!I:I,'Trade Log'!A:A,E141,'Trade Log'!D:D,"Coupon")+SUMIFS('Trade Log'!I:I,'Trade Log'!A:A,E141,'Trade Log'!D:D,"Distribution")+SUMIFS('Trade Log'!I:I,'Trade Log'!A:A,E141,'Trade Log'!D:D,"Redemption")+SUMIFS('Trade Log'!I:I,'Trade Log'!A:A,E141,'Trade Log'!D:D,"Sec. Lending"))</f>
        <v/>
      </c>
      <c r="G141" s="105" t="str">
        <f t="shared" si="6"/>
        <v/>
      </c>
      <c r="H141" s="117" t="str">
        <f t="shared" si="7"/>
        <v/>
      </c>
    </row>
    <row r="142" spans="5:8" x14ac:dyDescent="0.35">
      <c r="E142" s="116"/>
      <c r="F142" s="117" t="str">
        <f>IF(E142="","",SUMIFS('Trade Log'!K:K,'Trade Log'!A:A,E142,'Trade Log'!D:D,"Buy")+SUMIFS('Trade Log'!K:K,'Trade Log'!A:A,E142,'Trade Log'!D:D,"Sell")+SUMIFS('Trade Log'!I:I,'Trade Log'!A:A,E142,'Trade Log'!D:D,"Dividend")+SUMIFS('Trade Log'!I:I,'Trade Log'!A:A,E142,'Trade Log'!D:D,"Coupon")+SUMIFS('Trade Log'!I:I,'Trade Log'!A:A,E142,'Trade Log'!D:D,"Distribution")+SUMIFS('Trade Log'!I:I,'Trade Log'!A:A,E142,'Trade Log'!D:D,"Redemption")+SUMIFS('Trade Log'!I:I,'Trade Log'!A:A,E142,'Trade Log'!D:D,"Sec. Lending"))</f>
        <v/>
      </c>
      <c r="G142" s="105" t="str">
        <f t="shared" si="6"/>
        <v/>
      </c>
      <c r="H142" s="117" t="str">
        <f t="shared" si="7"/>
        <v/>
      </c>
    </row>
    <row r="143" spans="5:8" x14ac:dyDescent="0.35">
      <c r="E143" s="116"/>
      <c r="F143" s="117" t="str">
        <f>IF(E143="","",SUMIFS('Trade Log'!K:K,'Trade Log'!A:A,E143,'Trade Log'!D:D,"Buy")+SUMIFS('Trade Log'!K:K,'Trade Log'!A:A,E143,'Trade Log'!D:D,"Sell")+SUMIFS('Trade Log'!I:I,'Trade Log'!A:A,E143,'Trade Log'!D:D,"Dividend")+SUMIFS('Trade Log'!I:I,'Trade Log'!A:A,E143,'Trade Log'!D:D,"Coupon")+SUMIFS('Trade Log'!I:I,'Trade Log'!A:A,E143,'Trade Log'!D:D,"Distribution")+SUMIFS('Trade Log'!I:I,'Trade Log'!A:A,E143,'Trade Log'!D:D,"Redemption")+SUMIFS('Trade Log'!I:I,'Trade Log'!A:A,E143,'Trade Log'!D:D,"Sec. Lending"))</f>
        <v/>
      </c>
      <c r="G143" s="105" t="str">
        <f t="shared" si="6"/>
        <v/>
      </c>
      <c r="H143" s="117" t="str">
        <f t="shared" si="7"/>
        <v/>
      </c>
    </row>
    <row r="144" spans="5:8" x14ac:dyDescent="0.35">
      <c r="E144" s="116"/>
      <c r="F144" s="117" t="str">
        <f>IF(E144="","",SUMIFS('Trade Log'!K:K,'Trade Log'!A:A,E144,'Trade Log'!D:D,"Buy")+SUMIFS('Trade Log'!K:K,'Trade Log'!A:A,E144,'Trade Log'!D:D,"Sell")+SUMIFS('Trade Log'!I:I,'Trade Log'!A:A,E144,'Trade Log'!D:D,"Dividend")+SUMIFS('Trade Log'!I:I,'Trade Log'!A:A,E144,'Trade Log'!D:D,"Coupon")+SUMIFS('Trade Log'!I:I,'Trade Log'!A:A,E144,'Trade Log'!D:D,"Distribution")+SUMIFS('Trade Log'!I:I,'Trade Log'!A:A,E144,'Trade Log'!D:D,"Redemption")+SUMIFS('Trade Log'!I:I,'Trade Log'!A:A,E144,'Trade Log'!D:D,"Sec. Lending"))</f>
        <v/>
      </c>
      <c r="G144" s="105" t="str">
        <f t="shared" si="6"/>
        <v/>
      </c>
      <c r="H144" s="117" t="str">
        <f t="shared" si="7"/>
        <v/>
      </c>
    </row>
    <row r="145" spans="5:8" x14ac:dyDescent="0.35">
      <c r="E145" s="116"/>
      <c r="F145" s="117" t="str">
        <f>IF(E145="","",SUMIFS('Trade Log'!K:K,'Trade Log'!A:A,E145,'Trade Log'!D:D,"Buy")+SUMIFS('Trade Log'!K:K,'Trade Log'!A:A,E145,'Trade Log'!D:D,"Sell")+SUMIFS('Trade Log'!I:I,'Trade Log'!A:A,E145,'Trade Log'!D:D,"Dividend")+SUMIFS('Trade Log'!I:I,'Trade Log'!A:A,E145,'Trade Log'!D:D,"Coupon")+SUMIFS('Trade Log'!I:I,'Trade Log'!A:A,E145,'Trade Log'!D:D,"Distribution")+SUMIFS('Trade Log'!I:I,'Trade Log'!A:A,E145,'Trade Log'!D:D,"Redemption")+SUMIFS('Trade Log'!I:I,'Trade Log'!A:A,E145,'Trade Log'!D:D,"Sec. Lending"))</f>
        <v/>
      </c>
      <c r="G145" s="105" t="str">
        <f t="shared" si="6"/>
        <v/>
      </c>
      <c r="H145" s="117" t="str">
        <f t="shared" si="7"/>
        <v/>
      </c>
    </row>
    <row r="146" spans="5:8" x14ac:dyDescent="0.35">
      <c r="E146" s="116"/>
      <c r="F146" s="117" t="str">
        <f>IF(E146="","",SUMIFS('Trade Log'!K:K,'Trade Log'!A:A,E146,'Trade Log'!D:D,"Buy")+SUMIFS('Trade Log'!K:K,'Trade Log'!A:A,E146,'Trade Log'!D:D,"Sell")+SUMIFS('Trade Log'!I:I,'Trade Log'!A:A,E146,'Trade Log'!D:D,"Dividend")+SUMIFS('Trade Log'!I:I,'Trade Log'!A:A,E146,'Trade Log'!D:D,"Coupon")+SUMIFS('Trade Log'!I:I,'Trade Log'!A:A,E146,'Trade Log'!D:D,"Distribution")+SUMIFS('Trade Log'!I:I,'Trade Log'!A:A,E146,'Trade Log'!D:D,"Redemption")+SUMIFS('Trade Log'!I:I,'Trade Log'!A:A,E146,'Trade Log'!D:D,"Sec. Lending"))</f>
        <v/>
      </c>
      <c r="G146" s="105" t="str">
        <f t="shared" si="6"/>
        <v/>
      </c>
      <c r="H146" s="117" t="str">
        <f t="shared" si="7"/>
        <v/>
      </c>
    </row>
    <row r="147" spans="5:8" x14ac:dyDescent="0.35">
      <c r="E147" s="116"/>
      <c r="F147" s="117" t="str">
        <f>IF(E147="","",SUMIFS('Trade Log'!K:K,'Trade Log'!A:A,E147,'Trade Log'!D:D,"Buy")+SUMIFS('Trade Log'!K:K,'Trade Log'!A:A,E147,'Trade Log'!D:D,"Sell")+SUMIFS('Trade Log'!I:I,'Trade Log'!A:A,E147,'Trade Log'!D:D,"Dividend")+SUMIFS('Trade Log'!I:I,'Trade Log'!A:A,E147,'Trade Log'!D:D,"Coupon")+SUMIFS('Trade Log'!I:I,'Trade Log'!A:A,E147,'Trade Log'!D:D,"Distribution")+SUMIFS('Trade Log'!I:I,'Trade Log'!A:A,E147,'Trade Log'!D:D,"Redemption")+SUMIFS('Trade Log'!I:I,'Trade Log'!A:A,E147,'Trade Log'!D:D,"Sec. Lending"))</f>
        <v/>
      </c>
      <c r="G147" s="105" t="str">
        <f t="shared" si="6"/>
        <v/>
      </c>
      <c r="H147" s="117" t="str">
        <f t="shared" si="7"/>
        <v/>
      </c>
    </row>
    <row r="148" spans="5:8" x14ac:dyDescent="0.35">
      <c r="E148" s="116"/>
      <c r="F148" s="117" t="str">
        <f>IF(E148="","",SUMIFS('Trade Log'!K:K,'Trade Log'!A:A,E148,'Trade Log'!D:D,"Buy")+SUMIFS('Trade Log'!K:K,'Trade Log'!A:A,E148,'Trade Log'!D:D,"Sell")+SUMIFS('Trade Log'!I:I,'Trade Log'!A:A,E148,'Trade Log'!D:D,"Dividend")+SUMIFS('Trade Log'!I:I,'Trade Log'!A:A,E148,'Trade Log'!D:D,"Coupon")+SUMIFS('Trade Log'!I:I,'Trade Log'!A:A,E148,'Trade Log'!D:D,"Distribution")+SUMIFS('Trade Log'!I:I,'Trade Log'!A:A,E148,'Trade Log'!D:D,"Redemption")+SUMIFS('Trade Log'!I:I,'Trade Log'!A:A,E148,'Trade Log'!D:D,"Sec. Lending"))</f>
        <v/>
      </c>
      <c r="G148" s="105" t="str">
        <f t="shared" si="6"/>
        <v/>
      </c>
      <c r="H148" s="117" t="str">
        <f t="shared" si="7"/>
        <v/>
      </c>
    </row>
    <row r="149" spans="5:8" x14ac:dyDescent="0.35">
      <c r="E149" s="116"/>
      <c r="F149" s="117" t="str">
        <f>IF(E149="","",SUMIFS('Trade Log'!K:K,'Trade Log'!A:A,E149,'Trade Log'!D:D,"Buy")+SUMIFS('Trade Log'!K:K,'Trade Log'!A:A,E149,'Trade Log'!D:D,"Sell")+SUMIFS('Trade Log'!I:I,'Trade Log'!A:A,E149,'Trade Log'!D:D,"Dividend")+SUMIFS('Trade Log'!I:I,'Trade Log'!A:A,E149,'Trade Log'!D:D,"Coupon")+SUMIFS('Trade Log'!I:I,'Trade Log'!A:A,E149,'Trade Log'!D:D,"Distribution")+SUMIFS('Trade Log'!I:I,'Trade Log'!A:A,E149,'Trade Log'!D:D,"Redemption")+SUMIFS('Trade Log'!I:I,'Trade Log'!A:A,E149,'Trade Log'!D:D,"Sec. Lending"))</f>
        <v/>
      </c>
      <c r="G149" s="105" t="str">
        <f t="shared" si="6"/>
        <v/>
      </c>
      <c r="H149" s="117" t="str">
        <f t="shared" si="7"/>
        <v/>
      </c>
    </row>
    <row r="150" spans="5:8" x14ac:dyDescent="0.35">
      <c r="E150" s="116"/>
      <c r="F150" s="117" t="str">
        <f>IF(E150="","",SUMIFS('Trade Log'!K:K,'Trade Log'!A:A,E150,'Trade Log'!D:D,"Buy")+SUMIFS('Trade Log'!K:K,'Trade Log'!A:A,E150,'Trade Log'!D:D,"Sell")+SUMIFS('Trade Log'!I:I,'Trade Log'!A:A,E150,'Trade Log'!D:D,"Dividend")+SUMIFS('Trade Log'!I:I,'Trade Log'!A:A,E150,'Trade Log'!D:D,"Coupon")+SUMIFS('Trade Log'!I:I,'Trade Log'!A:A,E150,'Trade Log'!D:D,"Distribution")+SUMIFS('Trade Log'!I:I,'Trade Log'!A:A,E150,'Trade Log'!D:D,"Redemption")+SUMIFS('Trade Log'!I:I,'Trade Log'!A:A,E150,'Trade Log'!D:D,"Sec. Lending"))</f>
        <v/>
      </c>
      <c r="G150" s="105" t="str">
        <f t="shared" si="6"/>
        <v/>
      </c>
      <c r="H150" s="117" t="str">
        <f t="shared" si="7"/>
        <v/>
      </c>
    </row>
    <row r="151" spans="5:8" x14ac:dyDescent="0.35">
      <c r="E151" s="116"/>
      <c r="F151" s="117" t="str">
        <f>IF(E151="","",SUMIFS('Trade Log'!K:K,'Trade Log'!A:A,E151,'Trade Log'!D:D,"Buy")+SUMIFS('Trade Log'!K:K,'Trade Log'!A:A,E151,'Trade Log'!D:D,"Sell")+SUMIFS('Trade Log'!I:I,'Trade Log'!A:A,E151,'Trade Log'!D:D,"Dividend")+SUMIFS('Trade Log'!I:I,'Trade Log'!A:A,E151,'Trade Log'!D:D,"Coupon")+SUMIFS('Trade Log'!I:I,'Trade Log'!A:A,E151,'Trade Log'!D:D,"Distribution")+SUMIFS('Trade Log'!I:I,'Trade Log'!A:A,E151,'Trade Log'!D:D,"Redemption")+SUMIFS('Trade Log'!I:I,'Trade Log'!A:A,E151,'Trade Log'!D:D,"Sec. Lending"))</f>
        <v/>
      </c>
      <c r="G151" s="105" t="str">
        <f t="shared" si="6"/>
        <v/>
      </c>
      <c r="H151" s="117" t="str">
        <f t="shared" si="7"/>
        <v/>
      </c>
    </row>
    <row r="152" spans="5:8" x14ac:dyDescent="0.35">
      <c r="E152" s="116"/>
      <c r="F152" s="117" t="str">
        <f>IF(E152="","",SUMIFS('Trade Log'!K:K,'Trade Log'!A:A,E152,'Trade Log'!D:D,"Buy")+SUMIFS('Trade Log'!K:K,'Trade Log'!A:A,E152,'Trade Log'!D:D,"Sell")+SUMIFS('Trade Log'!I:I,'Trade Log'!A:A,E152,'Trade Log'!D:D,"Dividend")+SUMIFS('Trade Log'!I:I,'Trade Log'!A:A,E152,'Trade Log'!D:D,"Coupon")+SUMIFS('Trade Log'!I:I,'Trade Log'!A:A,E152,'Trade Log'!D:D,"Distribution")+SUMIFS('Trade Log'!I:I,'Trade Log'!A:A,E152,'Trade Log'!D:D,"Redemption")+SUMIFS('Trade Log'!I:I,'Trade Log'!A:A,E152,'Trade Log'!D:D,"Sec. Lending"))</f>
        <v/>
      </c>
      <c r="G152" s="105" t="str">
        <f t="shared" si="6"/>
        <v/>
      </c>
      <c r="H152" s="117" t="str">
        <f t="shared" si="7"/>
        <v/>
      </c>
    </row>
    <row r="153" spans="5:8" x14ac:dyDescent="0.35">
      <c r="E153" s="116"/>
      <c r="F153" s="117" t="str">
        <f>IF(E153="","",SUMIFS('Trade Log'!K:K,'Trade Log'!A:A,E153,'Trade Log'!D:D,"Buy")+SUMIFS('Trade Log'!K:K,'Trade Log'!A:A,E153,'Trade Log'!D:D,"Sell")+SUMIFS('Trade Log'!I:I,'Trade Log'!A:A,E153,'Trade Log'!D:D,"Dividend")+SUMIFS('Trade Log'!I:I,'Trade Log'!A:A,E153,'Trade Log'!D:D,"Coupon")+SUMIFS('Trade Log'!I:I,'Trade Log'!A:A,E153,'Trade Log'!D:D,"Distribution")+SUMIFS('Trade Log'!I:I,'Trade Log'!A:A,E153,'Trade Log'!D:D,"Redemption")+SUMIFS('Trade Log'!I:I,'Trade Log'!A:A,E153,'Trade Log'!D:D,"Sec. Lending"))</f>
        <v/>
      </c>
      <c r="G153" s="105" t="str">
        <f t="shared" si="6"/>
        <v/>
      </c>
      <c r="H153" s="117" t="str">
        <f t="shared" si="7"/>
        <v/>
      </c>
    </row>
    <row r="154" spans="5:8" x14ac:dyDescent="0.35">
      <c r="E154" s="116"/>
      <c r="F154" s="117" t="str">
        <f>IF(E154="","",SUMIFS('Trade Log'!K:K,'Trade Log'!A:A,E154,'Trade Log'!D:D,"Buy")+SUMIFS('Trade Log'!K:K,'Trade Log'!A:A,E154,'Trade Log'!D:D,"Sell")+SUMIFS('Trade Log'!I:I,'Trade Log'!A:A,E154,'Trade Log'!D:D,"Dividend")+SUMIFS('Trade Log'!I:I,'Trade Log'!A:A,E154,'Trade Log'!D:D,"Coupon")+SUMIFS('Trade Log'!I:I,'Trade Log'!A:A,E154,'Trade Log'!D:D,"Distribution")+SUMIFS('Trade Log'!I:I,'Trade Log'!A:A,E154,'Trade Log'!D:D,"Redemption")+SUMIFS('Trade Log'!I:I,'Trade Log'!A:A,E154,'Trade Log'!D:D,"Sec. Lending"))</f>
        <v/>
      </c>
      <c r="G154" s="105" t="str">
        <f t="shared" si="6"/>
        <v/>
      </c>
      <c r="H154" s="117" t="str">
        <f t="shared" si="7"/>
        <v/>
      </c>
    </row>
    <row r="155" spans="5:8" x14ac:dyDescent="0.35">
      <c r="E155" s="116"/>
      <c r="F155" s="117" t="str">
        <f>IF(E155="","",SUMIFS('Trade Log'!K:K,'Trade Log'!A:A,E155,'Trade Log'!D:D,"Buy")+SUMIFS('Trade Log'!K:K,'Trade Log'!A:A,E155,'Trade Log'!D:D,"Sell")+SUMIFS('Trade Log'!I:I,'Trade Log'!A:A,E155,'Trade Log'!D:D,"Dividend")+SUMIFS('Trade Log'!I:I,'Trade Log'!A:A,E155,'Trade Log'!D:D,"Coupon")+SUMIFS('Trade Log'!I:I,'Trade Log'!A:A,E155,'Trade Log'!D:D,"Distribution")+SUMIFS('Trade Log'!I:I,'Trade Log'!A:A,E155,'Trade Log'!D:D,"Redemption")+SUMIFS('Trade Log'!I:I,'Trade Log'!A:A,E155,'Trade Log'!D:D,"Sec. Lending"))</f>
        <v/>
      </c>
      <c r="G155" s="105" t="str">
        <f t="shared" si="6"/>
        <v/>
      </c>
      <c r="H155" s="117" t="str">
        <f t="shared" si="7"/>
        <v/>
      </c>
    </row>
    <row r="156" spans="5:8" x14ac:dyDescent="0.35">
      <c r="E156" s="116"/>
      <c r="F156" s="117" t="str">
        <f>IF(E156="","",SUMIFS('Trade Log'!K:K,'Trade Log'!A:A,E156,'Trade Log'!D:D,"Buy")+SUMIFS('Trade Log'!K:K,'Trade Log'!A:A,E156,'Trade Log'!D:D,"Sell")+SUMIFS('Trade Log'!I:I,'Trade Log'!A:A,E156,'Trade Log'!D:D,"Dividend")+SUMIFS('Trade Log'!I:I,'Trade Log'!A:A,E156,'Trade Log'!D:D,"Coupon")+SUMIFS('Trade Log'!I:I,'Trade Log'!A:A,E156,'Trade Log'!D:D,"Distribution")+SUMIFS('Trade Log'!I:I,'Trade Log'!A:A,E156,'Trade Log'!D:D,"Redemption")+SUMIFS('Trade Log'!I:I,'Trade Log'!A:A,E156,'Trade Log'!D:D,"Sec. Lending"))</f>
        <v/>
      </c>
      <c r="G156" s="105" t="str">
        <f t="shared" si="6"/>
        <v/>
      </c>
      <c r="H156" s="117" t="str">
        <f t="shared" si="7"/>
        <v/>
      </c>
    </row>
    <row r="157" spans="5:8" x14ac:dyDescent="0.35">
      <c r="E157" s="116"/>
      <c r="F157" s="117" t="str">
        <f>IF(E157="","",SUMIFS('Trade Log'!K:K,'Trade Log'!A:A,E157,'Trade Log'!D:D,"Buy")+SUMIFS('Trade Log'!K:K,'Trade Log'!A:A,E157,'Trade Log'!D:D,"Sell")+SUMIFS('Trade Log'!I:I,'Trade Log'!A:A,E157,'Trade Log'!D:D,"Dividend")+SUMIFS('Trade Log'!I:I,'Trade Log'!A:A,E157,'Trade Log'!D:D,"Coupon")+SUMIFS('Trade Log'!I:I,'Trade Log'!A:A,E157,'Trade Log'!D:D,"Distribution")+SUMIFS('Trade Log'!I:I,'Trade Log'!A:A,E157,'Trade Log'!D:D,"Redemption")+SUMIFS('Trade Log'!I:I,'Trade Log'!A:A,E157,'Trade Log'!D:D,"Sec. Lending"))</f>
        <v/>
      </c>
      <c r="G157" s="105" t="str">
        <f t="shared" si="6"/>
        <v/>
      </c>
      <c r="H157" s="117" t="str">
        <f t="shared" si="7"/>
        <v/>
      </c>
    </row>
    <row r="158" spans="5:8" x14ac:dyDescent="0.35">
      <c r="E158" s="116"/>
      <c r="F158" s="117" t="str">
        <f>IF(E158="","",SUMIFS('Trade Log'!K:K,'Trade Log'!A:A,E158,'Trade Log'!D:D,"Buy")+SUMIFS('Trade Log'!K:K,'Trade Log'!A:A,E158,'Trade Log'!D:D,"Sell")+SUMIFS('Trade Log'!I:I,'Trade Log'!A:A,E158,'Trade Log'!D:D,"Dividend")+SUMIFS('Trade Log'!I:I,'Trade Log'!A:A,E158,'Trade Log'!D:D,"Coupon")+SUMIFS('Trade Log'!I:I,'Trade Log'!A:A,E158,'Trade Log'!D:D,"Distribution")+SUMIFS('Trade Log'!I:I,'Trade Log'!A:A,E158,'Trade Log'!D:D,"Redemption")+SUMIFS('Trade Log'!I:I,'Trade Log'!A:A,E158,'Trade Log'!D:D,"Sec. Lending"))</f>
        <v/>
      </c>
      <c r="G158" s="105" t="str">
        <f t="shared" si="6"/>
        <v/>
      </c>
      <c r="H158" s="117" t="str">
        <f t="shared" si="7"/>
        <v/>
      </c>
    </row>
    <row r="159" spans="5:8" x14ac:dyDescent="0.35">
      <c r="E159" s="116"/>
      <c r="F159" s="117" t="str">
        <f>IF(E159="","",SUMIFS('Trade Log'!K:K,'Trade Log'!A:A,E159,'Trade Log'!D:D,"Buy")+SUMIFS('Trade Log'!K:K,'Trade Log'!A:A,E159,'Trade Log'!D:D,"Sell")+SUMIFS('Trade Log'!I:I,'Trade Log'!A:A,E159,'Trade Log'!D:D,"Dividend")+SUMIFS('Trade Log'!I:I,'Trade Log'!A:A,E159,'Trade Log'!D:D,"Coupon")+SUMIFS('Trade Log'!I:I,'Trade Log'!A:A,E159,'Trade Log'!D:D,"Distribution")+SUMIFS('Trade Log'!I:I,'Trade Log'!A:A,E159,'Trade Log'!D:D,"Redemption")+SUMIFS('Trade Log'!I:I,'Trade Log'!A:A,E159,'Trade Log'!D:D,"Sec. Lending"))</f>
        <v/>
      </c>
      <c r="G159" s="105" t="str">
        <f t="shared" si="6"/>
        <v/>
      </c>
      <c r="H159" s="117" t="str">
        <f t="shared" si="7"/>
        <v/>
      </c>
    </row>
    <row r="160" spans="5:8" x14ac:dyDescent="0.35">
      <c r="E160" s="116"/>
      <c r="F160" s="117" t="str">
        <f>IF(E160="","",SUMIFS('Trade Log'!K:K,'Trade Log'!A:A,E160,'Trade Log'!D:D,"Buy")+SUMIFS('Trade Log'!K:K,'Trade Log'!A:A,E160,'Trade Log'!D:D,"Sell")+SUMIFS('Trade Log'!I:I,'Trade Log'!A:A,E160,'Trade Log'!D:D,"Dividend")+SUMIFS('Trade Log'!I:I,'Trade Log'!A:A,E160,'Trade Log'!D:D,"Coupon")+SUMIFS('Trade Log'!I:I,'Trade Log'!A:A,E160,'Trade Log'!D:D,"Distribution")+SUMIFS('Trade Log'!I:I,'Trade Log'!A:A,E160,'Trade Log'!D:D,"Redemption")+SUMIFS('Trade Log'!I:I,'Trade Log'!A:A,E160,'Trade Log'!D:D,"Sec. Lending"))</f>
        <v/>
      </c>
      <c r="G160" s="105" t="str">
        <f t="shared" si="6"/>
        <v/>
      </c>
      <c r="H160" s="117" t="str">
        <f t="shared" si="7"/>
        <v/>
      </c>
    </row>
    <row r="161" spans="5:8" x14ac:dyDescent="0.35">
      <c r="E161" s="116"/>
      <c r="F161" s="117" t="str">
        <f>IF(E161="","",SUMIFS('Trade Log'!K:K,'Trade Log'!A:A,E161,'Trade Log'!D:D,"Buy")+SUMIFS('Trade Log'!K:K,'Trade Log'!A:A,E161,'Trade Log'!D:D,"Sell")+SUMIFS('Trade Log'!I:I,'Trade Log'!A:A,E161,'Trade Log'!D:D,"Dividend")+SUMIFS('Trade Log'!I:I,'Trade Log'!A:A,E161,'Trade Log'!D:D,"Coupon")+SUMIFS('Trade Log'!I:I,'Trade Log'!A:A,E161,'Trade Log'!D:D,"Distribution")+SUMIFS('Trade Log'!I:I,'Trade Log'!A:A,E161,'Trade Log'!D:D,"Redemption")+SUMIFS('Trade Log'!I:I,'Trade Log'!A:A,E161,'Trade Log'!D:D,"Sec. Lending"))</f>
        <v/>
      </c>
      <c r="G161" s="105" t="str">
        <f t="shared" si="6"/>
        <v/>
      </c>
      <c r="H161" s="117" t="str">
        <f t="shared" si="7"/>
        <v/>
      </c>
    </row>
    <row r="162" spans="5:8" x14ac:dyDescent="0.35">
      <c r="E162" s="116"/>
      <c r="F162" s="117" t="str">
        <f>IF(E162="","",SUMIFS('Trade Log'!K:K,'Trade Log'!A:A,E162,'Trade Log'!D:D,"Buy")+SUMIFS('Trade Log'!K:K,'Trade Log'!A:A,E162,'Trade Log'!D:D,"Sell")+SUMIFS('Trade Log'!I:I,'Trade Log'!A:A,E162,'Trade Log'!D:D,"Dividend")+SUMIFS('Trade Log'!I:I,'Trade Log'!A:A,E162,'Trade Log'!D:D,"Coupon")+SUMIFS('Trade Log'!I:I,'Trade Log'!A:A,E162,'Trade Log'!D:D,"Distribution")+SUMIFS('Trade Log'!I:I,'Trade Log'!A:A,E162,'Trade Log'!D:D,"Redemption")+SUMIFS('Trade Log'!I:I,'Trade Log'!A:A,E162,'Trade Log'!D:D,"Sec. Lending"))</f>
        <v/>
      </c>
      <c r="G162" s="105" t="str">
        <f t="shared" si="6"/>
        <v/>
      </c>
      <c r="H162" s="117" t="str">
        <f t="shared" si="7"/>
        <v/>
      </c>
    </row>
    <row r="163" spans="5:8" x14ac:dyDescent="0.35">
      <c r="E163" s="116"/>
      <c r="F163" s="117" t="str">
        <f>IF(E163="","",SUMIFS('Trade Log'!K:K,'Trade Log'!A:A,E163,'Trade Log'!D:D,"Buy")+SUMIFS('Trade Log'!K:K,'Trade Log'!A:A,E163,'Trade Log'!D:D,"Sell")+SUMIFS('Trade Log'!I:I,'Trade Log'!A:A,E163,'Trade Log'!D:D,"Dividend")+SUMIFS('Trade Log'!I:I,'Trade Log'!A:A,E163,'Trade Log'!D:D,"Coupon")+SUMIFS('Trade Log'!I:I,'Trade Log'!A:A,E163,'Trade Log'!D:D,"Distribution")+SUMIFS('Trade Log'!I:I,'Trade Log'!A:A,E163,'Trade Log'!D:D,"Redemption")+SUMIFS('Trade Log'!I:I,'Trade Log'!A:A,E163,'Trade Log'!D:D,"Sec. Lending"))</f>
        <v/>
      </c>
      <c r="G163" s="105" t="str">
        <f t="shared" si="6"/>
        <v/>
      </c>
      <c r="H163" s="117" t="str">
        <f t="shared" si="7"/>
        <v/>
      </c>
    </row>
    <row r="164" spans="5:8" x14ac:dyDescent="0.35">
      <c r="E164" s="116"/>
      <c r="F164" s="117" t="str">
        <f>IF(E164="","",SUMIFS('Trade Log'!K:K,'Trade Log'!A:A,E164,'Trade Log'!D:D,"Buy")+SUMIFS('Trade Log'!K:K,'Trade Log'!A:A,E164,'Trade Log'!D:D,"Sell")+SUMIFS('Trade Log'!I:I,'Trade Log'!A:A,E164,'Trade Log'!D:D,"Dividend")+SUMIFS('Trade Log'!I:I,'Trade Log'!A:A,E164,'Trade Log'!D:D,"Coupon")+SUMIFS('Trade Log'!I:I,'Trade Log'!A:A,E164,'Trade Log'!D:D,"Distribution")+SUMIFS('Trade Log'!I:I,'Trade Log'!A:A,E164,'Trade Log'!D:D,"Redemption")+SUMIFS('Trade Log'!I:I,'Trade Log'!A:A,E164,'Trade Log'!D:D,"Sec. Lending"))</f>
        <v/>
      </c>
      <c r="G164" s="105" t="str">
        <f t="shared" si="6"/>
        <v/>
      </c>
      <c r="H164" s="117" t="str">
        <f t="shared" si="7"/>
        <v/>
      </c>
    </row>
    <row r="165" spans="5:8" x14ac:dyDescent="0.35">
      <c r="E165" s="116"/>
      <c r="F165" s="117" t="str">
        <f>IF(E165="","",SUMIFS('Trade Log'!K:K,'Trade Log'!A:A,E165,'Trade Log'!D:D,"Buy")+SUMIFS('Trade Log'!K:K,'Trade Log'!A:A,E165,'Trade Log'!D:D,"Sell")+SUMIFS('Trade Log'!I:I,'Trade Log'!A:A,E165,'Trade Log'!D:D,"Dividend")+SUMIFS('Trade Log'!I:I,'Trade Log'!A:A,E165,'Trade Log'!D:D,"Coupon")+SUMIFS('Trade Log'!I:I,'Trade Log'!A:A,E165,'Trade Log'!D:D,"Distribution")+SUMIFS('Trade Log'!I:I,'Trade Log'!A:A,E165,'Trade Log'!D:D,"Redemption")+SUMIFS('Trade Log'!I:I,'Trade Log'!A:A,E165,'Trade Log'!D:D,"Sec. Lending"))</f>
        <v/>
      </c>
      <c r="G165" s="105" t="str">
        <f t="shared" si="6"/>
        <v/>
      </c>
      <c r="H165" s="117" t="str">
        <f t="shared" si="7"/>
        <v/>
      </c>
    </row>
    <row r="166" spans="5:8" x14ac:dyDescent="0.35">
      <c r="E166" s="116"/>
      <c r="F166" s="117" t="str">
        <f>IF(E166="","",SUMIFS('Trade Log'!K:K,'Trade Log'!A:A,E166,'Trade Log'!D:D,"Buy")+SUMIFS('Trade Log'!K:K,'Trade Log'!A:A,E166,'Trade Log'!D:D,"Sell")+SUMIFS('Trade Log'!I:I,'Trade Log'!A:A,E166,'Trade Log'!D:D,"Dividend")+SUMIFS('Trade Log'!I:I,'Trade Log'!A:A,E166,'Trade Log'!D:D,"Coupon")+SUMIFS('Trade Log'!I:I,'Trade Log'!A:A,E166,'Trade Log'!D:D,"Distribution")+SUMIFS('Trade Log'!I:I,'Trade Log'!A:A,E166,'Trade Log'!D:D,"Redemption")+SUMIFS('Trade Log'!I:I,'Trade Log'!A:A,E166,'Trade Log'!D:D,"Sec. Lending"))</f>
        <v/>
      </c>
      <c r="G166" s="105" t="str">
        <f t="shared" si="6"/>
        <v/>
      </c>
      <c r="H166" s="117" t="str">
        <f t="shared" si="7"/>
        <v/>
      </c>
    </row>
    <row r="167" spans="5:8" x14ac:dyDescent="0.35">
      <c r="E167" s="116"/>
      <c r="F167" s="117" t="str">
        <f>IF(E167="","",SUMIFS('Trade Log'!K:K,'Trade Log'!A:A,E167,'Trade Log'!D:D,"Buy")+SUMIFS('Trade Log'!K:K,'Trade Log'!A:A,E167,'Trade Log'!D:D,"Sell")+SUMIFS('Trade Log'!I:I,'Trade Log'!A:A,E167,'Trade Log'!D:D,"Dividend")+SUMIFS('Trade Log'!I:I,'Trade Log'!A:A,E167,'Trade Log'!D:D,"Coupon")+SUMIFS('Trade Log'!I:I,'Trade Log'!A:A,E167,'Trade Log'!D:D,"Distribution")+SUMIFS('Trade Log'!I:I,'Trade Log'!A:A,E167,'Trade Log'!D:D,"Redemption")+SUMIFS('Trade Log'!I:I,'Trade Log'!A:A,E167,'Trade Log'!D:D,"Sec. Lending"))</f>
        <v/>
      </c>
      <c r="G167" s="105" t="str">
        <f t="shared" si="6"/>
        <v/>
      </c>
      <c r="H167" s="117" t="str">
        <f t="shared" si="7"/>
        <v/>
      </c>
    </row>
    <row r="168" spans="5:8" x14ac:dyDescent="0.35">
      <c r="E168" s="116"/>
      <c r="F168" s="117" t="str">
        <f>IF(E168="","",SUMIFS('Trade Log'!K:K,'Trade Log'!A:A,E168,'Trade Log'!D:D,"Buy")+SUMIFS('Trade Log'!K:K,'Trade Log'!A:A,E168,'Trade Log'!D:D,"Sell")+SUMIFS('Trade Log'!I:I,'Trade Log'!A:A,E168,'Trade Log'!D:D,"Dividend")+SUMIFS('Trade Log'!I:I,'Trade Log'!A:A,E168,'Trade Log'!D:D,"Coupon")+SUMIFS('Trade Log'!I:I,'Trade Log'!A:A,E168,'Trade Log'!D:D,"Distribution")+SUMIFS('Trade Log'!I:I,'Trade Log'!A:A,E168,'Trade Log'!D:D,"Redemption")+SUMIFS('Trade Log'!I:I,'Trade Log'!A:A,E168,'Trade Log'!D:D,"Sec. Lending"))</f>
        <v/>
      </c>
      <c r="G168" s="105" t="str">
        <f t="shared" si="6"/>
        <v/>
      </c>
      <c r="H168" s="117" t="str">
        <f t="shared" si="7"/>
        <v/>
      </c>
    </row>
    <row r="169" spans="5:8" x14ac:dyDescent="0.35">
      <c r="E169" s="116"/>
      <c r="F169" s="117" t="str">
        <f>IF(E169="","",SUMIFS('Trade Log'!K:K,'Trade Log'!A:A,E169,'Trade Log'!D:D,"Buy")+SUMIFS('Trade Log'!K:K,'Trade Log'!A:A,E169,'Trade Log'!D:D,"Sell")+SUMIFS('Trade Log'!I:I,'Trade Log'!A:A,E169,'Trade Log'!D:D,"Dividend")+SUMIFS('Trade Log'!I:I,'Trade Log'!A:A,E169,'Trade Log'!D:D,"Coupon")+SUMIFS('Trade Log'!I:I,'Trade Log'!A:A,E169,'Trade Log'!D:D,"Distribution")+SUMIFS('Trade Log'!I:I,'Trade Log'!A:A,E169,'Trade Log'!D:D,"Redemption")+SUMIFS('Trade Log'!I:I,'Trade Log'!A:A,E169,'Trade Log'!D:D,"Sec. Lending"))</f>
        <v/>
      </c>
      <c r="G169" s="105" t="str">
        <f t="shared" si="6"/>
        <v/>
      </c>
      <c r="H169" s="117" t="str">
        <f t="shared" si="7"/>
        <v/>
      </c>
    </row>
    <row r="170" spans="5:8" x14ac:dyDescent="0.35">
      <c r="E170" s="116"/>
      <c r="F170" s="117" t="str">
        <f>IF(E170="","",SUMIFS('Trade Log'!K:K,'Trade Log'!A:A,E170,'Trade Log'!D:D,"Buy")+SUMIFS('Trade Log'!K:K,'Trade Log'!A:A,E170,'Trade Log'!D:D,"Sell")+SUMIFS('Trade Log'!I:I,'Trade Log'!A:A,E170,'Trade Log'!D:D,"Dividend")+SUMIFS('Trade Log'!I:I,'Trade Log'!A:A,E170,'Trade Log'!D:D,"Coupon")+SUMIFS('Trade Log'!I:I,'Trade Log'!A:A,E170,'Trade Log'!D:D,"Distribution")+SUMIFS('Trade Log'!I:I,'Trade Log'!A:A,E170,'Trade Log'!D:D,"Redemption")+SUMIFS('Trade Log'!I:I,'Trade Log'!A:A,E170,'Trade Log'!D:D,"Sec. Lending"))</f>
        <v/>
      </c>
      <c r="G170" s="105" t="str">
        <f t="shared" si="6"/>
        <v/>
      </c>
      <c r="H170" s="117" t="str">
        <f t="shared" si="7"/>
        <v/>
      </c>
    </row>
    <row r="171" spans="5:8" x14ac:dyDescent="0.35">
      <c r="E171" s="116"/>
      <c r="F171" s="117" t="str">
        <f>IF(E171="","",SUMIFS('Trade Log'!K:K,'Trade Log'!A:A,E171,'Trade Log'!D:D,"Buy")+SUMIFS('Trade Log'!K:K,'Trade Log'!A:A,E171,'Trade Log'!D:D,"Sell")+SUMIFS('Trade Log'!I:I,'Trade Log'!A:A,E171,'Trade Log'!D:D,"Dividend")+SUMIFS('Trade Log'!I:I,'Trade Log'!A:A,E171,'Trade Log'!D:D,"Coupon")+SUMIFS('Trade Log'!I:I,'Trade Log'!A:A,E171,'Trade Log'!D:D,"Distribution")+SUMIFS('Trade Log'!I:I,'Trade Log'!A:A,E171,'Trade Log'!D:D,"Redemption")+SUMIFS('Trade Log'!I:I,'Trade Log'!A:A,E171,'Trade Log'!D:D,"Sec. Lending"))</f>
        <v/>
      </c>
      <c r="G171" s="105" t="str">
        <f t="shared" si="6"/>
        <v/>
      </c>
      <c r="H171" s="117" t="str">
        <f t="shared" si="7"/>
        <v/>
      </c>
    </row>
    <row r="172" spans="5:8" x14ac:dyDescent="0.35">
      <c r="E172" s="116"/>
      <c r="F172" s="117" t="str">
        <f>IF(E172="","",SUMIFS('Trade Log'!K:K,'Trade Log'!A:A,E172,'Trade Log'!D:D,"Buy")+SUMIFS('Trade Log'!K:K,'Trade Log'!A:A,E172,'Trade Log'!D:D,"Sell")+SUMIFS('Trade Log'!I:I,'Trade Log'!A:A,E172,'Trade Log'!D:D,"Dividend")+SUMIFS('Trade Log'!I:I,'Trade Log'!A:A,E172,'Trade Log'!D:D,"Coupon")+SUMIFS('Trade Log'!I:I,'Trade Log'!A:A,E172,'Trade Log'!D:D,"Distribution")+SUMIFS('Trade Log'!I:I,'Trade Log'!A:A,E172,'Trade Log'!D:D,"Redemption")+SUMIFS('Trade Log'!I:I,'Trade Log'!A:A,E172,'Trade Log'!D:D,"Sec. Lending"))</f>
        <v/>
      </c>
      <c r="G172" s="105" t="str">
        <f t="shared" si="6"/>
        <v/>
      </c>
      <c r="H172" s="117" t="str">
        <f t="shared" si="7"/>
        <v/>
      </c>
    </row>
    <row r="173" spans="5:8" x14ac:dyDescent="0.35">
      <c r="E173" s="116"/>
      <c r="F173" s="117" t="str">
        <f>IF(E173="","",SUMIFS('Trade Log'!K:K,'Trade Log'!A:A,E173,'Trade Log'!D:D,"Buy")+SUMIFS('Trade Log'!K:K,'Trade Log'!A:A,E173,'Trade Log'!D:D,"Sell")+SUMIFS('Trade Log'!I:I,'Trade Log'!A:A,E173,'Trade Log'!D:D,"Dividend")+SUMIFS('Trade Log'!I:I,'Trade Log'!A:A,E173,'Trade Log'!D:D,"Coupon")+SUMIFS('Trade Log'!I:I,'Trade Log'!A:A,E173,'Trade Log'!D:D,"Distribution")+SUMIFS('Trade Log'!I:I,'Trade Log'!A:A,E173,'Trade Log'!D:D,"Redemption")+SUMIFS('Trade Log'!I:I,'Trade Log'!A:A,E173,'Trade Log'!D:D,"Sec. Lending"))</f>
        <v/>
      </c>
      <c r="G173" s="105" t="str">
        <f t="shared" si="6"/>
        <v/>
      </c>
      <c r="H173" s="117" t="str">
        <f t="shared" si="7"/>
        <v/>
      </c>
    </row>
    <row r="174" spans="5:8" x14ac:dyDescent="0.35">
      <c r="E174" s="116"/>
      <c r="F174" s="117" t="str">
        <f>IF(E174="","",SUMIFS('Trade Log'!K:K,'Trade Log'!A:A,E174,'Trade Log'!D:D,"Buy")+SUMIFS('Trade Log'!K:K,'Trade Log'!A:A,E174,'Trade Log'!D:D,"Sell")+SUMIFS('Trade Log'!I:I,'Trade Log'!A:A,E174,'Trade Log'!D:D,"Dividend")+SUMIFS('Trade Log'!I:I,'Trade Log'!A:A,E174,'Trade Log'!D:D,"Coupon")+SUMIFS('Trade Log'!I:I,'Trade Log'!A:A,E174,'Trade Log'!D:D,"Distribution")+SUMIFS('Trade Log'!I:I,'Trade Log'!A:A,E174,'Trade Log'!D:D,"Redemption")+SUMIFS('Trade Log'!I:I,'Trade Log'!A:A,E174,'Trade Log'!D:D,"Sec. Lending"))</f>
        <v/>
      </c>
      <c r="G174" s="105" t="str">
        <f t="shared" si="6"/>
        <v/>
      </c>
      <c r="H174" s="117" t="str">
        <f t="shared" si="7"/>
        <v/>
      </c>
    </row>
    <row r="175" spans="5:8" x14ac:dyDescent="0.35">
      <c r="E175" s="116"/>
      <c r="F175" s="117" t="str">
        <f>IF(E175="","",SUMIFS('Trade Log'!K:K,'Trade Log'!A:A,E175,'Trade Log'!D:D,"Buy")+SUMIFS('Trade Log'!K:K,'Trade Log'!A:A,E175,'Trade Log'!D:D,"Sell")+SUMIFS('Trade Log'!I:I,'Trade Log'!A:A,E175,'Trade Log'!D:D,"Dividend")+SUMIFS('Trade Log'!I:I,'Trade Log'!A:A,E175,'Trade Log'!D:D,"Coupon")+SUMIFS('Trade Log'!I:I,'Trade Log'!A:A,E175,'Trade Log'!D:D,"Distribution")+SUMIFS('Trade Log'!I:I,'Trade Log'!A:A,E175,'Trade Log'!D:D,"Redemption")+SUMIFS('Trade Log'!I:I,'Trade Log'!A:A,E175,'Trade Log'!D:D,"Sec. Lending"))</f>
        <v/>
      </c>
      <c r="G175" s="105" t="str">
        <f t="shared" si="6"/>
        <v/>
      </c>
      <c r="H175" s="117" t="str">
        <f t="shared" si="7"/>
        <v/>
      </c>
    </row>
    <row r="176" spans="5:8" x14ac:dyDescent="0.35">
      <c r="E176" s="116"/>
      <c r="F176" s="117" t="str">
        <f>IF(E176="","",SUMIFS('Trade Log'!K:K,'Trade Log'!A:A,E176,'Trade Log'!D:D,"Buy")+SUMIFS('Trade Log'!K:K,'Trade Log'!A:A,E176,'Trade Log'!D:D,"Sell")+SUMIFS('Trade Log'!I:I,'Trade Log'!A:A,E176,'Trade Log'!D:D,"Dividend")+SUMIFS('Trade Log'!I:I,'Trade Log'!A:A,E176,'Trade Log'!D:D,"Coupon")+SUMIFS('Trade Log'!I:I,'Trade Log'!A:A,E176,'Trade Log'!D:D,"Distribution")+SUMIFS('Trade Log'!I:I,'Trade Log'!A:A,E176,'Trade Log'!D:D,"Redemption")+SUMIFS('Trade Log'!I:I,'Trade Log'!A:A,E176,'Trade Log'!D:D,"Sec. Lending"))</f>
        <v/>
      </c>
      <c r="G176" s="105" t="str">
        <f t="shared" si="6"/>
        <v/>
      </c>
      <c r="H176" s="117" t="str">
        <f t="shared" si="7"/>
        <v/>
      </c>
    </row>
    <row r="177" spans="5:8" x14ac:dyDescent="0.35">
      <c r="E177" s="116"/>
      <c r="F177" s="117" t="str">
        <f>IF(E177="","",SUMIFS('Trade Log'!K:K,'Trade Log'!A:A,E177,'Trade Log'!D:D,"Buy")+SUMIFS('Trade Log'!K:K,'Trade Log'!A:A,E177,'Trade Log'!D:D,"Sell")+SUMIFS('Trade Log'!I:I,'Trade Log'!A:A,E177,'Trade Log'!D:D,"Dividend")+SUMIFS('Trade Log'!I:I,'Trade Log'!A:A,E177,'Trade Log'!D:D,"Coupon")+SUMIFS('Trade Log'!I:I,'Trade Log'!A:A,E177,'Trade Log'!D:D,"Distribution")+SUMIFS('Trade Log'!I:I,'Trade Log'!A:A,E177,'Trade Log'!D:D,"Redemption")+SUMIFS('Trade Log'!I:I,'Trade Log'!A:A,E177,'Trade Log'!D:D,"Sec. Lending"))</f>
        <v/>
      </c>
      <c r="G177" s="105" t="str">
        <f t="shared" si="6"/>
        <v/>
      </c>
      <c r="H177" s="117" t="str">
        <f t="shared" si="7"/>
        <v/>
      </c>
    </row>
    <row r="178" spans="5:8" x14ac:dyDescent="0.35">
      <c r="E178" s="116"/>
      <c r="F178" s="117" t="str">
        <f>IF(E178="","",SUMIFS('Trade Log'!K:K,'Trade Log'!A:A,E178,'Trade Log'!D:D,"Buy")+SUMIFS('Trade Log'!K:K,'Trade Log'!A:A,E178,'Trade Log'!D:D,"Sell")+SUMIFS('Trade Log'!I:I,'Trade Log'!A:A,E178,'Trade Log'!D:D,"Dividend")+SUMIFS('Trade Log'!I:I,'Trade Log'!A:A,E178,'Trade Log'!D:D,"Coupon")+SUMIFS('Trade Log'!I:I,'Trade Log'!A:A,E178,'Trade Log'!D:D,"Distribution")+SUMIFS('Trade Log'!I:I,'Trade Log'!A:A,E178,'Trade Log'!D:D,"Redemption")+SUMIFS('Trade Log'!I:I,'Trade Log'!A:A,E178,'Trade Log'!D:D,"Sec. Lending"))</f>
        <v/>
      </c>
      <c r="G178" s="105" t="str">
        <f t="shared" si="6"/>
        <v/>
      </c>
      <c r="H178" s="117" t="str">
        <f t="shared" si="7"/>
        <v/>
      </c>
    </row>
    <row r="179" spans="5:8" x14ac:dyDescent="0.35">
      <c r="E179" s="116"/>
      <c r="F179" s="117" t="str">
        <f>IF(E179="","",SUMIFS('Trade Log'!K:K,'Trade Log'!A:A,E179,'Trade Log'!D:D,"Buy")+SUMIFS('Trade Log'!K:K,'Trade Log'!A:A,E179,'Trade Log'!D:D,"Sell")+SUMIFS('Trade Log'!I:I,'Trade Log'!A:A,E179,'Trade Log'!D:D,"Dividend")+SUMIFS('Trade Log'!I:I,'Trade Log'!A:A,E179,'Trade Log'!D:D,"Coupon")+SUMIFS('Trade Log'!I:I,'Trade Log'!A:A,E179,'Trade Log'!D:D,"Distribution")+SUMIFS('Trade Log'!I:I,'Trade Log'!A:A,E179,'Trade Log'!D:D,"Redemption")+SUMIFS('Trade Log'!I:I,'Trade Log'!A:A,E179,'Trade Log'!D:D,"Sec. Lending"))</f>
        <v/>
      </c>
      <c r="G179" s="105" t="str">
        <f t="shared" si="6"/>
        <v/>
      </c>
      <c r="H179" s="117" t="str">
        <f t="shared" si="7"/>
        <v/>
      </c>
    </row>
    <row r="180" spans="5:8" x14ac:dyDescent="0.35">
      <c r="E180" s="116"/>
      <c r="F180" s="117" t="str">
        <f>IF(E180="","",SUMIFS('Trade Log'!K:K,'Trade Log'!A:A,E180,'Trade Log'!D:D,"Buy")+SUMIFS('Trade Log'!K:K,'Trade Log'!A:A,E180,'Trade Log'!D:D,"Sell")+SUMIFS('Trade Log'!I:I,'Trade Log'!A:A,E180,'Trade Log'!D:D,"Dividend")+SUMIFS('Trade Log'!I:I,'Trade Log'!A:A,E180,'Trade Log'!D:D,"Coupon")+SUMIFS('Trade Log'!I:I,'Trade Log'!A:A,E180,'Trade Log'!D:D,"Distribution")+SUMIFS('Trade Log'!I:I,'Trade Log'!A:A,E180,'Trade Log'!D:D,"Redemption")+SUMIFS('Trade Log'!I:I,'Trade Log'!A:A,E180,'Trade Log'!D:D,"Sec. Lending"))</f>
        <v/>
      </c>
      <c r="G180" s="105" t="str">
        <f t="shared" si="6"/>
        <v/>
      </c>
      <c r="H180" s="117" t="str">
        <f t="shared" si="7"/>
        <v/>
      </c>
    </row>
    <row r="181" spans="5:8" x14ac:dyDescent="0.35">
      <c r="E181" s="116"/>
      <c r="F181" s="117" t="str">
        <f>IF(E181="","",SUMIFS('Trade Log'!K:K,'Trade Log'!A:A,E181,'Trade Log'!D:D,"Buy")+SUMIFS('Trade Log'!K:K,'Trade Log'!A:A,E181,'Trade Log'!D:D,"Sell")+SUMIFS('Trade Log'!I:I,'Trade Log'!A:A,E181,'Trade Log'!D:D,"Dividend")+SUMIFS('Trade Log'!I:I,'Trade Log'!A:A,E181,'Trade Log'!D:D,"Coupon")+SUMIFS('Trade Log'!I:I,'Trade Log'!A:A,E181,'Trade Log'!D:D,"Distribution")+SUMIFS('Trade Log'!I:I,'Trade Log'!A:A,E181,'Trade Log'!D:D,"Redemption")+SUMIFS('Trade Log'!I:I,'Trade Log'!A:A,E181,'Trade Log'!D:D,"Sec. Lending"))</f>
        <v/>
      </c>
      <c r="G181" s="105" t="str">
        <f t="shared" si="6"/>
        <v/>
      </c>
      <c r="H181" s="117" t="str">
        <f t="shared" si="7"/>
        <v/>
      </c>
    </row>
    <row r="182" spans="5:8" x14ac:dyDescent="0.35">
      <c r="E182" s="116"/>
      <c r="F182" s="117" t="str">
        <f>IF(E182="","",SUMIFS('Trade Log'!K:K,'Trade Log'!A:A,E182,'Trade Log'!D:D,"Buy")+SUMIFS('Trade Log'!K:K,'Trade Log'!A:A,E182,'Trade Log'!D:D,"Sell")+SUMIFS('Trade Log'!I:I,'Trade Log'!A:A,E182,'Trade Log'!D:D,"Dividend")+SUMIFS('Trade Log'!I:I,'Trade Log'!A:A,E182,'Trade Log'!D:D,"Coupon")+SUMIFS('Trade Log'!I:I,'Trade Log'!A:A,E182,'Trade Log'!D:D,"Distribution")+SUMIFS('Trade Log'!I:I,'Trade Log'!A:A,E182,'Trade Log'!D:D,"Redemption")+SUMIFS('Trade Log'!I:I,'Trade Log'!A:A,E182,'Trade Log'!D:D,"Sec. Lending"))</f>
        <v/>
      </c>
      <c r="G182" s="105" t="str">
        <f t="shared" si="6"/>
        <v/>
      </c>
      <c r="H182" s="117" t="str">
        <f t="shared" si="7"/>
        <v/>
      </c>
    </row>
    <row r="183" spans="5:8" x14ac:dyDescent="0.35">
      <c r="E183" s="116"/>
      <c r="F183" s="117" t="str">
        <f>IF(E183="","",SUMIFS('Trade Log'!K:K,'Trade Log'!A:A,E183,'Trade Log'!D:D,"Buy")+SUMIFS('Trade Log'!K:K,'Trade Log'!A:A,E183,'Trade Log'!D:D,"Sell")+SUMIFS('Trade Log'!I:I,'Trade Log'!A:A,E183,'Trade Log'!D:D,"Dividend")+SUMIFS('Trade Log'!I:I,'Trade Log'!A:A,E183,'Trade Log'!D:D,"Coupon")+SUMIFS('Trade Log'!I:I,'Trade Log'!A:A,E183,'Trade Log'!D:D,"Distribution")+SUMIFS('Trade Log'!I:I,'Trade Log'!A:A,E183,'Trade Log'!D:D,"Redemption")+SUMIFS('Trade Log'!I:I,'Trade Log'!A:A,E183,'Trade Log'!D:D,"Sec. Lending"))</f>
        <v/>
      </c>
      <c r="G183" s="105" t="str">
        <f t="shared" si="6"/>
        <v/>
      </c>
      <c r="H183" s="117" t="str">
        <f t="shared" si="7"/>
        <v/>
      </c>
    </row>
    <row r="184" spans="5:8" x14ac:dyDescent="0.35">
      <c r="E184" s="116"/>
      <c r="F184" s="117" t="str">
        <f>IF(E184="","",SUMIFS('Trade Log'!K:K,'Trade Log'!A:A,E184,'Trade Log'!D:D,"Buy")+SUMIFS('Trade Log'!K:K,'Trade Log'!A:A,E184,'Trade Log'!D:D,"Sell")+SUMIFS('Trade Log'!I:I,'Trade Log'!A:A,E184,'Trade Log'!D:D,"Dividend")+SUMIFS('Trade Log'!I:I,'Trade Log'!A:A,E184,'Trade Log'!D:D,"Coupon")+SUMIFS('Trade Log'!I:I,'Trade Log'!A:A,E184,'Trade Log'!D:D,"Distribution")+SUMIFS('Trade Log'!I:I,'Trade Log'!A:A,E184,'Trade Log'!D:D,"Redemption")+SUMIFS('Trade Log'!I:I,'Trade Log'!A:A,E184,'Trade Log'!D:D,"Sec. Lending"))</f>
        <v/>
      </c>
      <c r="G184" s="105" t="str">
        <f t="shared" si="6"/>
        <v/>
      </c>
      <c r="H184" s="117" t="str">
        <f t="shared" si="7"/>
        <v/>
      </c>
    </row>
    <row r="185" spans="5:8" x14ac:dyDescent="0.35">
      <c r="E185" s="116"/>
      <c r="F185" s="117" t="str">
        <f>IF(E185="","",SUMIFS('Trade Log'!K:K,'Trade Log'!A:A,E185,'Trade Log'!D:D,"Buy")+SUMIFS('Trade Log'!K:K,'Trade Log'!A:A,E185,'Trade Log'!D:D,"Sell")+SUMIFS('Trade Log'!I:I,'Trade Log'!A:A,E185,'Trade Log'!D:D,"Dividend")+SUMIFS('Trade Log'!I:I,'Trade Log'!A:A,E185,'Trade Log'!D:D,"Coupon")+SUMIFS('Trade Log'!I:I,'Trade Log'!A:A,E185,'Trade Log'!D:D,"Distribution")+SUMIFS('Trade Log'!I:I,'Trade Log'!A:A,E185,'Trade Log'!D:D,"Redemption")+SUMIFS('Trade Log'!I:I,'Trade Log'!A:A,E185,'Trade Log'!D:D,"Sec. Lending"))</f>
        <v/>
      </c>
      <c r="G185" s="105" t="str">
        <f t="shared" si="6"/>
        <v/>
      </c>
      <c r="H185" s="117" t="str">
        <f t="shared" si="7"/>
        <v/>
      </c>
    </row>
    <row r="186" spans="5:8" x14ac:dyDescent="0.35">
      <c r="E186" s="116"/>
      <c r="F186" s="117" t="str">
        <f>IF(E186="","",SUMIFS('Trade Log'!K:K,'Trade Log'!A:A,E186,'Trade Log'!D:D,"Buy")+SUMIFS('Trade Log'!K:K,'Trade Log'!A:A,E186,'Trade Log'!D:D,"Sell")+SUMIFS('Trade Log'!I:I,'Trade Log'!A:A,E186,'Trade Log'!D:D,"Dividend")+SUMIFS('Trade Log'!I:I,'Trade Log'!A:A,E186,'Trade Log'!D:D,"Coupon")+SUMIFS('Trade Log'!I:I,'Trade Log'!A:A,E186,'Trade Log'!D:D,"Distribution")+SUMIFS('Trade Log'!I:I,'Trade Log'!A:A,E186,'Trade Log'!D:D,"Redemption")+SUMIFS('Trade Log'!I:I,'Trade Log'!A:A,E186,'Trade Log'!D:D,"Sec. Lending"))</f>
        <v/>
      </c>
      <c r="G186" s="105" t="str">
        <f t="shared" si="6"/>
        <v/>
      </c>
      <c r="H186" s="117" t="str">
        <f t="shared" si="7"/>
        <v/>
      </c>
    </row>
    <row r="187" spans="5:8" x14ac:dyDescent="0.35">
      <c r="E187" s="116"/>
      <c r="F187" s="117" t="str">
        <f>IF(E187="","",SUMIFS('Trade Log'!K:K,'Trade Log'!A:A,E187,'Trade Log'!D:D,"Buy")+SUMIFS('Trade Log'!K:K,'Trade Log'!A:A,E187,'Trade Log'!D:D,"Sell")+SUMIFS('Trade Log'!I:I,'Trade Log'!A:A,E187,'Trade Log'!D:D,"Dividend")+SUMIFS('Trade Log'!I:I,'Trade Log'!A:A,E187,'Trade Log'!D:D,"Coupon")+SUMIFS('Trade Log'!I:I,'Trade Log'!A:A,E187,'Trade Log'!D:D,"Distribution")+SUMIFS('Trade Log'!I:I,'Trade Log'!A:A,E187,'Trade Log'!D:D,"Redemption")+SUMIFS('Trade Log'!I:I,'Trade Log'!A:A,E187,'Trade Log'!D:D,"Sec. Lending"))</f>
        <v/>
      </c>
      <c r="G187" s="105" t="str">
        <f t="shared" si="6"/>
        <v/>
      </c>
      <c r="H187" s="117" t="str">
        <f t="shared" si="7"/>
        <v/>
      </c>
    </row>
    <row r="188" spans="5:8" x14ac:dyDescent="0.35">
      <c r="E188" s="116"/>
      <c r="F188" s="117" t="str">
        <f>IF(E188="","",SUMIFS('Trade Log'!K:K,'Trade Log'!A:A,E188,'Trade Log'!D:D,"Buy")+SUMIFS('Trade Log'!K:K,'Trade Log'!A:A,E188,'Trade Log'!D:D,"Sell")+SUMIFS('Trade Log'!I:I,'Trade Log'!A:A,E188,'Trade Log'!D:D,"Dividend")+SUMIFS('Trade Log'!I:I,'Trade Log'!A:A,E188,'Trade Log'!D:D,"Coupon")+SUMIFS('Trade Log'!I:I,'Trade Log'!A:A,E188,'Trade Log'!D:D,"Distribution")+SUMIFS('Trade Log'!I:I,'Trade Log'!A:A,E188,'Trade Log'!D:D,"Redemption")+SUMIFS('Trade Log'!I:I,'Trade Log'!A:A,E188,'Trade Log'!D:D,"Sec. Lending"))</f>
        <v/>
      </c>
      <c r="G188" s="105" t="str">
        <f t="shared" si="6"/>
        <v/>
      </c>
      <c r="H188" s="117" t="str">
        <f t="shared" si="7"/>
        <v/>
      </c>
    </row>
    <row r="189" spans="5:8" x14ac:dyDescent="0.35">
      <c r="E189" s="116"/>
      <c r="F189" s="117" t="str">
        <f>IF(E189="","",SUMIFS('Trade Log'!K:K,'Trade Log'!A:A,E189,'Trade Log'!D:D,"Buy")+SUMIFS('Trade Log'!K:K,'Trade Log'!A:A,E189,'Trade Log'!D:D,"Sell")+SUMIFS('Trade Log'!I:I,'Trade Log'!A:A,E189,'Trade Log'!D:D,"Dividend")+SUMIFS('Trade Log'!I:I,'Trade Log'!A:A,E189,'Trade Log'!D:D,"Coupon")+SUMIFS('Trade Log'!I:I,'Trade Log'!A:A,E189,'Trade Log'!D:D,"Distribution")+SUMIFS('Trade Log'!I:I,'Trade Log'!A:A,E189,'Trade Log'!D:D,"Redemption")+SUMIFS('Trade Log'!I:I,'Trade Log'!A:A,E189,'Trade Log'!D:D,"Sec. Lending"))</f>
        <v/>
      </c>
      <c r="G189" s="105" t="str">
        <f t="shared" si="6"/>
        <v/>
      </c>
      <c r="H189" s="117" t="str">
        <f t="shared" si="7"/>
        <v/>
      </c>
    </row>
    <row r="190" spans="5:8" x14ac:dyDescent="0.35">
      <c r="E190" s="116"/>
      <c r="F190" s="117" t="str">
        <f>IF(E190="","",SUMIFS('Trade Log'!K:K,'Trade Log'!A:A,E190,'Trade Log'!D:D,"Buy")+SUMIFS('Trade Log'!K:K,'Trade Log'!A:A,E190,'Trade Log'!D:D,"Sell")+SUMIFS('Trade Log'!I:I,'Trade Log'!A:A,E190,'Trade Log'!D:D,"Dividend")+SUMIFS('Trade Log'!I:I,'Trade Log'!A:A,E190,'Trade Log'!D:D,"Coupon")+SUMIFS('Trade Log'!I:I,'Trade Log'!A:A,E190,'Trade Log'!D:D,"Distribution")+SUMIFS('Trade Log'!I:I,'Trade Log'!A:A,E190,'Trade Log'!D:D,"Redemption")+SUMIFS('Trade Log'!I:I,'Trade Log'!A:A,E190,'Trade Log'!D:D,"Sec. Lending"))</f>
        <v/>
      </c>
      <c r="G190" s="105" t="str">
        <f t="shared" si="6"/>
        <v/>
      </c>
      <c r="H190" s="117" t="str">
        <f t="shared" si="7"/>
        <v/>
      </c>
    </row>
    <row r="191" spans="5:8" x14ac:dyDescent="0.35">
      <c r="E191" s="116"/>
      <c r="F191" s="117" t="str">
        <f>IF(E191="","",SUMIFS('Trade Log'!K:K,'Trade Log'!A:A,E191,'Trade Log'!D:D,"Buy")+SUMIFS('Trade Log'!K:K,'Trade Log'!A:A,E191,'Trade Log'!D:D,"Sell")+SUMIFS('Trade Log'!I:I,'Trade Log'!A:A,E191,'Trade Log'!D:D,"Dividend")+SUMIFS('Trade Log'!I:I,'Trade Log'!A:A,E191,'Trade Log'!D:D,"Coupon")+SUMIFS('Trade Log'!I:I,'Trade Log'!A:A,E191,'Trade Log'!D:D,"Distribution")+SUMIFS('Trade Log'!I:I,'Trade Log'!A:A,E191,'Trade Log'!D:D,"Redemption")+SUMIFS('Trade Log'!I:I,'Trade Log'!A:A,E191,'Trade Log'!D:D,"Sec. Lending"))</f>
        <v/>
      </c>
      <c r="G191" s="105" t="str">
        <f t="shared" si="6"/>
        <v/>
      </c>
      <c r="H191" s="117" t="str">
        <f t="shared" si="7"/>
        <v/>
      </c>
    </row>
    <row r="192" spans="5:8" x14ac:dyDescent="0.35">
      <c r="E192" s="116"/>
      <c r="F192" s="117" t="str">
        <f>IF(E192="","",SUMIFS('Trade Log'!K:K,'Trade Log'!A:A,E192,'Trade Log'!D:D,"Buy")+SUMIFS('Trade Log'!K:K,'Trade Log'!A:A,E192,'Trade Log'!D:D,"Sell")+SUMIFS('Trade Log'!I:I,'Trade Log'!A:A,E192,'Trade Log'!D:D,"Dividend")+SUMIFS('Trade Log'!I:I,'Trade Log'!A:A,E192,'Trade Log'!D:D,"Coupon")+SUMIFS('Trade Log'!I:I,'Trade Log'!A:A,E192,'Trade Log'!D:D,"Distribution")+SUMIFS('Trade Log'!I:I,'Trade Log'!A:A,E192,'Trade Log'!D:D,"Redemption")+SUMIFS('Trade Log'!I:I,'Trade Log'!A:A,E192,'Trade Log'!D:D,"Sec. Lending"))</f>
        <v/>
      </c>
      <c r="G192" s="105" t="str">
        <f t="shared" si="6"/>
        <v/>
      </c>
      <c r="H192" s="117" t="str">
        <f t="shared" si="7"/>
        <v/>
      </c>
    </row>
    <row r="193" spans="5:8" x14ac:dyDescent="0.35">
      <c r="E193" s="116"/>
      <c r="F193" s="117" t="str">
        <f>IF(E193="","",SUMIFS('Trade Log'!K:K,'Trade Log'!A:A,E193,'Trade Log'!D:D,"Buy")+SUMIFS('Trade Log'!K:K,'Trade Log'!A:A,E193,'Trade Log'!D:D,"Sell")+SUMIFS('Trade Log'!I:I,'Trade Log'!A:A,E193,'Trade Log'!D:D,"Dividend")+SUMIFS('Trade Log'!I:I,'Trade Log'!A:A,E193,'Trade Log'!D:D,"Coupon")+SUMIFS('Trade Log'!I:I,'Trade Log'!A:A,E193,'Trade Log'!D:D,"Distribution")+SUMIFS('Trade Log'!I:I,'Trade Log'!A:A,E193,'Trade Log'!D:D,"Redemption")+SUMIFS('Trade Log'!I:I,'Trade Log'!A:A,E193,'Trade Log'!D:D,"Sec. Lending"))</f>
        <v/>
      </c>
      <c r="G193" s="105" t="str">
        <f t="shared" si="6"/>
        <v/>
      </c>
      <c r="H193" s="117" t="str">
        <f t="shared" si="7"/>
        <v/>
      </c>
    </row>
    <row r="194" spans="5:8" x14ac:dyDescent="0.35">
      <c r="E194" s="116"/>
      <c r="F194" s="117" t="str">
        <f>IF(E194="","",SUMIFS('Trade Log'!K:K,'Trade Log'!A:A,E194,'Trade Log'!D:D,"Buy")+SUMIFS('Trade Log'!K:K,'Trade Log'!A:A,E194,'Trade Log'!D:D,"Sell")+SUMIFS('Trade Log'!I:I,'Trade Log'!A:A,E194,'Trade Log'!D:D,"Dividend")+SUMIFS('Trade Log'!I:I,'Trade Log'!A:A,E194,'Trade Log'!D:D,"Coupon")+SUMIFS('Trade Log'!I:I,'Trade Log'!A:A,E194,'Trade Log'!D:D,"Distribution")+SUMIFS('Trade Log'!I:I,'Trade Log'!A:A,E194,'Trade Log'!D:D,"Redemption")+SUMIFS('Trade Log'!I:I,'Trade Log'!A:A,E194,'Trade Log'!D:D,"Sec. Lending"))</f>
        <v/>
      </c>
      <c r="G194" s="105" t="str">
        <f t="shared" si="6"/>
        <v/>
      </c>
      <c r="H194" s="117" t="str">
        <f t="shared" si="7"/>
        <v/>
      </c>
    </row>
    <row r="195" spans="5:8" x14ac:dyDescent="0.35">
      <c r="E195" s="116"/>
      <c r="F195" s="117" t="str">
        <f>IF(E195="","",SUMIFS('Trade Log'!K:K,'Trade Log'!A:A,E195,'Trade Log'!D:D,"Buy")+SUMIFS('Trade Log'!K:K,'Trade Log'!A:A,E195,'Trade Log'!D:D,"Sell")+SUMIFS('Trade Log'!I:I,'Trade Log'!A:A,E195,'Trade Log'!D:D,"Dividend")+SUMIFS('Trade Log'!I:I,'Trade Log'!A:A,E195,'Trade Log'!D:D,"Coupon")+SUMIFS('Trade Log'!I:I,'Trade Log'!A:A,E195,'Trade Log'!D:D,"Distribution")+SUMIFS('Trade Log'!I:I,'Trade Log'!A:A,E195,'Trade Log'!D:D,"Redemption")+SUMIFS('Trade Log'!I:I,'Trade Log'!A:A,E195,'Trade Log'!D:D,"Sec. Lending"))</f>
        <v/>
      </c>
      <c r="G195" s="105" t="str">
        <f t="shared" si="6"/>
        <v/>
      </c>
      <c r="H195" s="117" t="str">
        <f t="shared" si="7"/>
        <v/>
      </c>
    </row>
    <row r="196" spans="5:8" x14ac:dyDescent="0.35">
      <c r="E196" s="116"/>
      <c r="F196" s="117" t="str">
        <f>IF(E196="","",SUMIFS('Trade Log'!K:K,'Trade Log'!A:A,E196,'Trade Log'!D:D,"Buy")+SUMIFS('Trade Log'!K:K,'Trade Log'!A:A,E196,'Trade Log'!D:D,"Sell")+SUMIFS('Trade Log'!I:I,'Trade Log'!A:A,E196,'Trade Log'!D:D,"Dividend")+SUMIFS('Trade Log'!I:I,'Trade Log'!A:A,E196,'Trade Log'!D:D,"Coupon")+SUMIFS('Trade Log'!I:I,'Trade Log'!A:A,E196,'Trade Log'!D:D,"Distribution")+SUMIFS('Trade Log'!I:I,'Trade Log'!A:A,E196,'Trade Log'!D:D,"Redemption")+SUMIFS('Trade Log'!I:I,'Trade Log'!A:A,E196,'Trade Log'!D:D,"Sec. Lending"))</f>
        <v/>
      </c>
      <c r="G196" s="105" t="str">
        <f t="shared" si="6"/>
        <v/>
      </c>
      <c r="H196" s="117" t="str">
        <f t="shared" si="7"/>
        <v/>
      </c>
    </row>
    <row r="197" spans="5:8" x14ac:dyDescent="0.35">
      <c r="E197" s="116"/>
      <c r="F197" s="117" t="str">
        <f>IF(E197="","",SUMIFS('Trade Log'!K:K,'Trade Log'!A:A,E197,'Trade Log'!D:D,"Buy")+SUMIFS('Trade Log'!K:K,'Trade Log'!A:A,E197,'Trade Log'!D:D,"Sell")+SUMIFS('Trade Log'!I:I,'Trade Log'!A:A,E197,'Trade Log'!D:D,"Dividend")+SUMIFS('Trade Log'!I:I,'Trade Log'!A:A,E197,'Trade Log'!D:D,"Coupon")+SUMIFS('Trade Log'!I:I,'Trade Log'!A:A,E197,'Trade Log'!D:D,"Distribution")+SUMIFS('Trade Log'!I:I,'Trade Log'!A:A,E197,'Trade Log'!D:D,"Redemption")+SUMIFS('Trade Log'!I:I,'Trade Log'!A:A,E197,'Trade Log'!D:D,"Sec. Lending"))</f>
        <v/>
      </c>
      <c r="G197" s="105" t="str">
        <f t="shared" si="6"/>
        <v/>
      </c>
      <c r="H197" s="117" t="str">
        <f t="shared" si="7"/>
        <v/>
      </c>
    </row>
    <row r="198" spans="5:8" x14ac:dyDescent="0.35">
      <c r="E198" s="116"/>
      <c r="F198" s="117" t="str">
        <f>IF(E198="","",SUMIFS('Trade Log'!K:K,'Trade Log'!A:A,E198,'Trade Log'!D:D,"Buy")+SUMIFS('Trade Log'!K:K,'Trade Log'!A:A,E198,'Trade Log'!D:D,"Sell")+SUMIFS('Trade Log'!I:I,'Trade Log'!A:A,E198,'Trade Log'!D:D,"Dividend")+SUMIFS('Trade Log'!I:I,'Trade Log'!A:A,E198,'Trade Log'!D:D,"Coupon")+SUMIFS('Trade Log'!I:I,'Trade Log'!A:A,E198,'Trade Log'!D:D,"Distribution")+SUMIFS('Trade Log'!I:I,'Trade Log'!A:A,E198,'Trade Log'!D:D,"Redemption")+SUMIFS('Trade Log'!I:I,'Trade Log'!A:A,E198,'Trade Log'!D:D,"Sec. Lending"))</f>
        <v/>
      </c>
      <c r="G198" s="105" t="str">
        <f t="shared" si="6"/>
        <v/>
      </c>
      <c r="H198" s="117" t="str">
        <f t="shared" si="7"/>
        <v/>
      </c>
    </row>
    <row r="199" spans="5:8" x14ac:dyDescent="0.35">
      <c r="E199" s="116"/>
      <c r="F199" s="117" t="str">
        <f>IF(E199="","",SUMIFS('Trade Log'!K:K,'Trade Log'!A:A,E199,'Trade Log'!D:D,"Buy")+SUMIFS('Trade Log'!K:K,'Trade Log'!A:A,E199,'Trade Log'!D:D,"Sell")+SUMIFS('Trade Log'!I:I,'Trade Log'!A:A,E199,'Trade Log'!D:D,"Dividend")+SUMIFS('Trade Log'!I:I,'Trade Log'!A:A,E199,'Trade Log'!D:D,"Coupon")+SUMIFS('Trade Log'!I:I,'Trade Log'!A:A,E199,'Trade Log'!D:D,"Distribution")+SUMIFS('Trade Log'!I:I,'Trade Log'!A:A,E199,'Trade Log'!D:D,"Redemption")+SUMIFS('Trade Log'!I:I,'Trade Log'!A:A,E199,'Trade Log'!D:D,"Sec. Lending"))</f>
        <v/>
      </c>
      <c r="G199" s="105" t="str">
        <f t="shared" si="6"/>
        <v/>
      </c>
      <c r="H199" s="117" t="str">
        <f t="shared" si="7"/>
        <v/>
      </c>
    </row>
    <row r="200" spans="5:8" x14ac:dyDescent="0.35">
      <c r="E200" s="116"/>
      <c r="F200" s="117" t="str">
        <f>IF(E200="","",SUMIFS('Trade Log'!K:K,'Trade Log'!A:A,E200,'Trade Log'!D:D,"Buy")+SUMIFS('Trade Log'!K:K,'Trade Log'!A:A,E200,'Trade Log'!D:D,"Sell")+SUMIFS('Trade Log'!I:I,'Trade Log'!A:A,E200,'Trade Log'!D:D,"Dividend")+SUMIFS('Trade Log'!I:I,'Trade Log'!A:A,E200,'Trade Log'!D:D,"Coupon")+SUMIFS('Trade Log'!I:I,'Trade Log'!A:A,E200,'Trade Log'!D:D,"Distribution")+SUMIFS('Trade Log'!I:I,'Trade Log'!A:A,E200,'Trade Log'!D:D,"Redemption")+SUMIFS('Trade Log'!I:I,'Trade Log'!A:A,E200,'Trade Log'!D:D,"Sec. Lending"))</f>
        <v/>
      </c>
      <c r="G200" s="105" t="str">
        <f t="shared" si="6"/>
        <v/>
      </c>
      <c r="H200" s="117" t="str">
        <f t="shared" si="7"/>
        <v/>
      </c>
    </row>
    <row r="201" spans="5:8" x14ac:dyDescent="0.35">
      <c r="E201" s="116"/>
      <c r="F201" s="117" t="str">
        <f>IF(E201="","",SUMIFS('Trade Log'!K:K,'Trade Log'!A:A,E201,'Trade Log'!D:D,"Buy")+SUMIFS('Trade Log'!K:K,'Trade Log'!A:A,E201,'Trade Log'!D:D,"Sell")+SUMIFS('Trade Log'!I:I,'Trade Log'!A:A,E201,'Trade Log'!D:D,"Dividend")+SUMIFS('Trade Log'!I:I,'Trade Log'!A:A,E201,'Trade Log'!D:D,"Coupon")+SUMIFS('Trade Log'!I:I,'Trade Log'!A:A,E201,'Trade Log'!D:D,"Distribution")+SUMIFS('Trade Log'!I:I,'Trade Log'!A:A,E201,'Trade Log'!D:D,"Redemption")+SUMIFS('Trade Log'!I:I,'Trade Log'!A:A,E201,'Trade Log'!D:D,"Sec. Lending"))</f>
        <v/>
      </c>
      <c r="G201" s="105" t="str">
        <f t="shared" si="6"/>
        <v/>
      </c>
      <c r="H201" s="117" t="str">
        <f t="shared" si="7"/>
        <v/>
      </c>
    </row>
    <row r="202" spans="5:8" x14ac:dyDescent="0.35">
      <c r="E202" s="116"/>
      <c r="F202" s="117" t="str">
        <f>IF(E202="","",SUMIFS('Trade Log'!K:K,'Trade Log'!A:A,E202,'Trade Log'!D:D,"Buy")+SUMIFS('Trade Log'!K:K,'Trade Log'!A:A,E202,'Trade Log'!D:D,"Sell")+SUMIFS('Trade Log'!I:I,'Trade Log'!A:A,E202,'Trade Log'!D:D,"Dividend")+SUMIFS('Trade Log'!I:I,'Trade Log'!A:A,E202,'Trade Log'!D:D,"Coupon")+SUMIFS('Trade Log'!I:I,'Trade Log'!A:A,E202,'Trade Log'!D:D,"Distribution")+SUMIFS('Trade Log'!I:I,'Trade Log'!A:A,E202,'Trade Log'!D:D,"Redemption")+SUMIFS('Trade Log'!I:I,'Trade Log'!A:A,E202,'Trade Log'!D:D,"Sec. Lending"))</f>
        <v/>
      </c>
      <c r="G202" s="105" t="str">
        <f t="shared" si="6"/>
        <v/>
      </c>
      <c r="H202" s="117" t="str">
        <f t="shared" si="7"/>
        <v/>
      </c>
    </row>
    <row r="203" spans="5:8" x14ac:dyDescent="0.35">
      <c r="E203" s="116"/>
      <c r="F203" s="117" t="str">
        <f>IF(E203="","",SUMIFS('Trade Log'!K:K,'Trade Log'!A:A,E203,'Trade Log'!D:D,"Buy")+SUMIFS('Trade Log'!K:K,'Trade Log'!A:A,E203,'Trade Log'!D:D,"Sell")+SUMIFS('Trade Log'!I:I,'Trade Log'!A:A,E203,'Trade Log'!D:D,"Dividend")+SUMIFS('Trade Log'!I:I,'Trade Log'!A:A,E203,'Trade Log'!D:D,"Coupon")+SUMIFS('Trade Log'!I:I,'Trade Log'!A:A,E203,'Trade Log'!D:D,"Distribution")+SUMIFS('Trade Log'!I:I,'Trade Log'!A:A,E203,'Trade Log'!D:D,"Redemption")+SUMIFS('Trade Log'!I:I,'Trade Log'!A:A,E203,'Trade Log'!D:D,"Sec. Lending"))</f>
        <v/>
      </c>
      <c r="G203" s="105" t="str">
        <f t="shared" ref="G203:G266" si="8">IF(E203="","",IF(F203&lt;0,"Investment (Buy)","Proceeds / Income"))</f>
        <v/>
      </c>
      <c r="H203" s="117" t="str">
        <f t="shared" si="7"/>
        <v/>
      </c>
    </row>
    <row r="204" spans="5:8" x14ac:dyDescent="0.35">
      <c r="E204" s="116"/>
      <c r="F204" s="117" t="str">
        <f>IF(E204="","",SUMIFS('Trade Log'!K:K,'Trade Log'!A:A,E204,'Trade Log'!D:D,"Buy")+SUMIFS('Trade Log'!K:K,'Trade Log'!A:A,E204,'Trade Log'!D:D,"Sell")+SUMIFS('Trade Log'!I:I,'Trade Log'!A:A,E204,'Trade Log'!D:D,"Dividend")+SUMIFS('Trade Log'!I:I,'Trade Log'!A:A,E204,'Trade Log'!D:D,"Coupon")+SUMIFS('Trade Log'!I:I,'Trade Log'!A:A,E204,'Trade Log'!D:D,"Distribution")+SUMIFS('Trade Log'!I:I,'Trade Log'!A:A,E204,'Trade Log'!D:D,"Redemption")+SUMIFS('Trade Log'!I:I,'Trade Log'!A:A,E204,'Trade Log'!D:D,"Sec. Lending"))</f>
        <v/>
      </c>
      <c r="G204" s="105" t="str">
        <f t="shared" si="8"/>
        <v/>
      </c>
      <c r="H204" s="117" t="str">
        <f t="shared" ref="H204:H267" si="9">IF(E204="","",H203+F204)</f>
        <v/>
      </c>
    </row>
    <row r="205" spans="5:8" x14ac:dyDescent="0.35">
      <c r="E205" s="116"/>
      <c r="F205" s="117" t="str">
        <f>IF(E205="","",SUMIFS('Trade Log'!K:K,'Trade Log'!A:A,E205,'Trade Log'!D:D,"Buy")+SUMIFS('Trade Log'!K:K,'Trade Log'!A:A,E205,'Trade Log'!D:D,"Sell")+SUMIFS('Trade Log'!I:I,'Trade Log'!A:A,E205,'Trade Log'!D:D,"Dividend")+SUMIFS('Trade Log'!I:I,'Trade Log'!A:A,E205,'Trade Log'!D:D,"Coupon")+SUMIFS('Trade Log'!I:I,'Trade Log'!A:A,E205,'Trade Log'!D:D,"Distribution")+SUMIFS('Trade Log'!I:I,'Trade Log'!A:A,E205,'Trade Log'!D:D,"Redemption")+SUMIFS('Trade Log'!I:I,'Trade Log'!A:A,E205,'Trade Log'!D:D,"Sec. Lending"))</f>
        <v/>
      </c>
      <c r="G205" s="105" t="str">
        <f t="shared" si="8"/>
        <v/>
      </c>
      <c r="H205" s="117" t="str">
        <f t="shared" si="9"/>
        <v/>
      </c>
    </row>
    <row r="206" spans="5:8" x14ac:dyDescent="0.35">
      <c r="E206" s="116"/>
      <c r="F206" s="117" t="str">
        <f>IF(E206="","",SUMIFS('Trade Log'!K:K,'Trade Log'!A:A,E206,'Trade Log'!D:D,"Buy")+SUMIFS('Trade Log'!K:K,'Trade Log'!A:A,E206,'Trade Log'!D:D,"Sell")+SUMIFS('Trade Log'!I:I,'Trade Log'!A:A,E206,'Trade Log'!D:D,"Dividend")+SUMIFS('Trade Log'!I:I,'Trade Log'!A:A,E206,'Trade Log'!D:D,"Coupon")+SUMIFS('Trade Log'!I:I,'Trade Log'!A:A,E206,'Trade Log'!D:D,"Distribution")+SUMIFS('Trade Log'!I:I,'Trade Log'!A:A,E206,'Trade Log'!D:D,"Redemption")+SUMIFS('Trade Log'!I:I,'Trade Log'!A:A,E206,'Trade Log'!D:D,"Sec. Lending"))</f>
        <v/>
      </c>
      <c r="G206" s="105" t="str">
        <f t="shared" si="8"/>
        <v/>
      </c>
      <c r="H206" s="117" t="str">
        <f t="shared" si="9"/>
        <v/>
      </c>
    </row>
    <row r="207" spans="5:8" x14ac:dyDescent="0.35">
      <c r="E207" s="116"/>
      <c r="F207" s="117" t="str">
        <f>IF(E207="","",SUMIFS('Trade Log'!K:K,'Trade Log'!A:A,E207,'Trade Log'!D:D,"Buy")+SUMIFS('Trade Log'!K:K,'Trade Log'!A:A,E207,'Trade Log'!D:D,"Sell")+SUMIFS('Trade Log'!I:I,'Trade Log'!A:A,E207,'Trade Log'!D:D,"Dividend")+SUMIFS('Trade Log'!I:I,'Trade Log'!A:A,E207,'Trade Log'!D:D,"Coupon")+SUMIFS('Trade Log'!I:I,'Trade Log'!A:A,E207,'Trade Log'!D:D,"Distribution")+SUMIFS('Trade Log'!I:I,'Trade Log'!A:A,E207,'Trade Log'!D:D,"Redemption")+SUMIFS('Trade Log'!I:I,'Trade Log'!A:A,E207,'Trade Log'!D:D,"Sec. Lending"))</f>
        <v/>
      </c>
      <c r="G207" s="105" t="str">
        <f t="shared" si="8"/>
        <v/>
      </c>
      <c r="H207" s="117" t="str">
        <f t="shared" si="9"/>
        <v/>
      </c>
    </row>
    <row r="208" spans="5:8" x14ac:dyDescent="0.35">
      <c r="E208" s="116"/>
      <c r="F208" s="117" t="str">
        <f>IF(E208="","",SUMIFS('Trade Log'!K:K,'Trade Log'!A:A,E208,'Trade Log'!D:D,"Buy")+SUMIFS('Trade Log'!K:K,'Trade Log'!A:A,E208,'Trade Log'!D:D,"Sell")+SUMIFS('Trade Log'!I:I,'Trade Log'!A:A,E208,'Trade Log'!D:D,"Dividend")+SUMIFS('Trade Log'!I:I,'Trade Log'!A:A,E208,'Trade Log'!D:D,"Coupon")+SUMIFS('Trade Log'!I:I,'Trade Log'!A:A,E208,'Trade Log'!D:D,"Distribution")+SUMIFS('Trade Log'!I:I,'Trade Log'!A:A,E208,'Trade Log'!D:D,"Redemption")+SUMIFS('Trade Log'!I:I,'Trade Log'!A:A,E208,'Trade Log'!D:D,"Sec. Lending"))</f>
        <v/>
      </c>
      <c r="G208" s="105" t="str">
        <f t="shared" si="8"/>
        <v/>
      </c>
      <c r="H208" s="117" t="str">
        <f t="shared" si="9"/>
        <v/>
      </c>
    </row>
    <row r="209" spans="5:8" x14ac:dyDescent="0.35">
      <c r="E209" s="116"/>
      <c r="F209" s="117" t="str">
        <f>IF(E209="","",SUMIFS('Trade Log'!K:K,'Trade Log'!A:A,E209,'Trade Log'!D:D,"Buy")+SUMIFS('Trade Log'!K:K,'Trade Log'!A:A,E209,'Trade Log'!D:D,"Sell")+SUMIFS('Trade Log'!I:I,'Trade Log'!A:A,E209,'Trade Log'!D:D,"Dividend")+SUMIFS('Trade Log'!I:I,'Trade Log'!A:A,E209,'Trade Log'!D:D,"Coupon")+SUMIFS('Trade Log'!I:I,'Trade Log'!A:A,E209,'Trade Log'!D:D,"Distribution")+SUMIFS('Trade Log'!I:I,'Trade Log'!A:A,E209,'Trade Log'!D:D,"Redemption")+SUMIFS('Trade Log'!I:I,'Trade Log'!A:A,E209,'Trade Log'!D:D,"Sec. Lending"))</f>
        <v/>
      </c>
      <c r="G209" s="105" t="str">
        <f t="shared" si="8"/>
        <v/>
      </c>
      <c r="H209" s="117" t="str">
        <f t="shared" si="9"/>
        <v/>
      </c>
    </row>
    <row r="210" spans="5:8" x14ac:dyDescent="0.35">
      <c r="E210" s="116"/>
      <c r="F210" s="117" t="str">
        <f>IF(E210="","",SUMIFS('Trade Log'!K:K,'Trade Log'!A:A,E210,'Trade Log'!D:D,"Buy")+SUMIFS('Trade Log'!K:K,'Trade Log'!A:A,E210,'Trade Log'!D:D,"Sell")+SUMIFS('Trade Log'!I:I,'Trade Log'!A:A,E210,'Trade Log'!D:D,"Dividend")+SUMIFS('Trade Log'!I:I,'Trade Log'!A:A,E210,'Trade Log'!D:D,"Coupon")+SUMIFS('Trade Log'!I:I,'Trade Log'!A:A,E210,'Trade Log'!D:D,"Distribution")+SUMIFS('Trade Log'!I:I,'Trade Log'!A:A,E210,'Trade Log'!D:D,"Redemption")+SUMIFS('Trade Log'!I:I,'Trade Log'!A:A,E210,'Trade Log'!D:D,"Sec. Lending"))</f>
        <v/>
      </c>
      <c r="G210" s="105" t="str">
        <f t="shared" si="8"/>
        <v/>
      </c>
      <c r="H210" s="117" t="str">
        <f t="shared" si="9"/>
        <v/>
      </c>
    </row>
    <row r="211" spans="5:8" x14ac:dyDescent="0.35">
      <c r="E211" s="116"/>
      <c r="F211" s="117" t="str">
        <f>IF(E211="","",SUMIFS('Trade Log'!K:K,'Trade Log'!A:A,E211,'Trade Log'!D:D,"Buy")+SUMIFS('Trade Log'!K:K,'Trade Log'!A:A,E211,'Trade Log'!D:D,"Sell")+SUMIFS('Trade Log'!I:I,'Trade Log'!A:A,E211,'Trade Log'!D:D,"Dividend")+SUMIFS('Trade Log'!I:I,'Trade Log'!A:A,E211,'Trade Log'!D:D,"Coupon")+SUMIFS('Trade Log'!I:I,'Trade Log'!A:A,E211,'Trade Log'!D:D,"Distribution")+SUMIFS('Trade Log'!I:I,'Trade Log'!A:A,E211,'Trade Log'!D:D,"Redemption")+SUMIFS('Trade Log'!I:I,'Trade Log'!A:A,E211,'Trade Log'!D:D,"Sec. Lending"))</f>
        <v/>
      </c>
      <c r="G211" s="105" t="str">
        <f t="shared" si="8"/>
        <v/>
      </c>
      <c r="H211" s="117" t="str">
        <f t="shared" si="9"/>
        <v/>
      </c>
    </row>
    <row r="212" spans="5:8" x14ac:dyDescent="0.35">
      <c r="E212" s="116"/>
      <c r="F212" s="117" t="str">
        <f>IF(E212="","",SUMIFS('Trade Log'!K:K,'Trade Log'!A:A,E212,'Trade Log'!D:D,"Buy")+SUMIFS('Trade Log'!K:K,'Trade Log'!A:A,E212,'Trade Log'!D:D,"Sell")+SUMIFS('Trade Log'!I:I,'Trade Log'!A:A,E212,'Trade Log'!D:D,"Dividend")+SUMIFS('Trade Log'!I:I,'Trade Log'!A:A,E212,'Trade Log'!D:D,"Coupon")+SUMIFS('Trade Log'!I:I,'Trade Log'!A:A,E212,'Trade Log'!D:D,"Distribution")+SUMIFS('Trade Log'!I:I,'Trade Log'!A:A,E212,'Trade Log'!D:D,"Redemption")+SUMIFS('Trade Log'!I:I,'Trade Log'!A:A,E212,'Trade Log'!D:D,"Sec. Lending"))</f>
        <v/>
      </c>
      <c r="G212" s="105" t="str">
        <f t="shared" si="8"/>
        <v/>
      </c>
      <c r="H212" s="117" t="str">
        <f t="shared" si="9"/>
        <v/>
      </c>
    </row>
    <row r="213" spans="5:8" x14ac:dyDescent="0.35">
      <c r="E213" s="116"/>
      <c r="F213" s="117" t="str">
        <f>IF(E213="","",SUMIFS('Trade Log'!K:K,'Trade Log'!A:A,E213,'Trade Log'!D:D,"Buy")+SUMIFS('Trade Log'!K:K,'Trade Log'!A:A,E213,'Trade Log'!D:D,"Sell")+SUMIFS('Trade Log'!I:I,'Trade Log'!A:A,E213,'Trade Log'!D:D,"Dividend")+SUMIFS('Trade Log'!I:I,'Trade Log'!A:A,E213,'Trade Log'!D:D,"Coupon")+SUMIFS('Trade Log'!I:I,'Trade Log'!A:A,E213,'Trade Log'!D:D,"Distribution")+SUMIFS('Trade Log'!I:I,'Trade Log'!A:A,E213,'Trade Log'!D:D,"Redemption")+SUMIFS('Trade Log'!I:I,'Trade Log'!A:A,E213,'Trade Log'!D:D,"Sec. Lending"))</f>
        <v/>
      </c>
      <c r="G213" s="105" t="str">
        <f t="shared" si="8"/>
        <v/>
      </c>
      <c r="H213" s="117" t="str">
        <f t="shared" si="9"/>
        <v/>
      </c>
    </row>
    <row r="214" spans="5:8" x14ac:dyDescent="0.35">
      <c r="E214" s="116"/>
      <c r="F214" s="117" t="str">
        <f>IF(E214="","",SUMIFS('Trade Log'!K:K,'Trade Log'!A:A,E214,'Trade Log'!D:D,"Buy")+SUMIFS('Trade Log'!K:K,'Trade Log'!A:A,E214,'Trade Log'!D:D,"Sell")+SUMIFS('Trade Log'!I:I,'Trade Log'!A:A,E214,'Trade Log'!D:D,"Dividend")+SUMIFS('Trade Log'!I:I,'Trade Log'!A:A,E214,'Trade Log'!D:D,"Coupon")+SUMIFS('Trade Log'!I:I,'Trade Log'!A:A,E214,'Trade Log'!D:D,"Distribution")+SUMIFS('Trade Log'!I:I,'Trade Log'!A:A,E214,'Trade Log'!D:D,"Redemption")+SUMIFS('Trade Log'!I:I,'Trade Log'!A:A,E214,'Trade Log'!D:D,"Sec. Lending"))</f>
        <v/>
      </c>
      <c r="G214" s="105" t="str">
        <f t="shared" si="8"/>
        <v/>
      </c>
      <c r="H214" s="117" t="str">
        <f t="shared" si="9"/>
        <v/>
      </c>
    </row>
    <row r="215" spans="5:8" x14ac:dyDescent="0.35">
      <c r="E215" s="116"/>
      <c r="F215" s="117" t="str">
        <f>IF(E215="","",SUMIFS('Trade Log'!K:K,'Trade Log'!A:A,E215,'Trade Log'!D:D,"Buy")+SUMIFS('Trade Log'!K:K,'Trade Log'!A:A,E215,'Trade Log'!D:D,"Sell")+SUMIFS('Trade Log'!I:I,'Trade Log'!A:A,E215,'Trade Log'!D:D,"Dividend")+SUMIFS('Trade Log'!I:I,'Trade Log'!A:A,E215,'Trade Log'!D:D,"Coupon")+SUMIFS('Trade Log'!I:I,'Trade Log'!A:A,E215,'Trade Log'!D:D,"Distribution")+SUMIFS('Trade Log'!I:I,'Trade Log'!A:A,E215,'Trade Log'!D:D,"Redemption")+SUMIFS('Trade Log'!I:I,'Trade Log'!A:A,E215,'Trade Log'!D:D,"Sec. Lending"))</f>
        <v/>
      </c>
      <c r="G215" s="105" t="str">
        <f t="shared" si="8"/>
        <v/>
      </c>
      <c r="H215" s="117" t="str">
        <f t="shared" si="9"/>
        <v/>
      </c>
    </row>
    <row r="216" spans="5:8" x14ac:dyDescent="0.35">
      <c r="E216" s="116"/>
      <c r="F216" s="117" t="str">
        <f>IF(E216="","",SUMIFS('Trade Log'!K:K,'Trade Log'!A:A,E216,'Trade Log'!D:D,"Buy")+SUMIFS('Trade Log'!K:K,'Trade Log'!A:A,E216,'Trade Log'!D:D,"Sell")+SUMIFS('Trade Log'!I:I,'Trade Log'!A:A,E216,'Trade Log'!D:D,"Dividend")+SUMIFS('Trade Log'!I:I,'Trade Log'!A:A,E216,'Trade Log'!D:D,"Coupon")+SUMIFS('Trade Log'!I:I,'Trade Log'!A:A,E216,'Trade Log'!D:D,"Distribution")+SUMIFS('Trade Log'!I:I,'Trade Log'!A:A,E216,'Trade Log'!D:D,"Redemption")+SUMIFS('Trade Log'!I:I,'Trade Log'!A:A,E216,'Trade Log'!D:D,"Sec. Lending"))</f>
        <v/>
      </c>
      <c r="G216" s="105" t="str">
        <f t="shared" si="8"/>
        <v/>
      </c>
      <c r="H216" s="117" t="str">
        <f t="shared" si="9"/>
        <v/>
      </c>
    </row>
    <row r="217" spans="5:8" x14ac:dyDescent="0.35">
      <c r="E217" s="116"/>
      <c r="F217" s="117" t="str">
        <f>IF(E217="","",SUMIFS('Trade Log'!K:K,'Trade Log'!A:A,E217,'Trade Log'!D:D,"Buy")+SUMIFS('Trade Log'!K:K,'Trade Log'!A:A,E217,'Trade Log'!D:D,"Sell")+SUMIFS('Trade Log'!I:I,'Trade Log'!A:A,E217,'Trade Log'!D:D,"Dividend")+SUMIFS('Trade Log'!I:I,'Trade Log'!A:A,E217,'Trade Log'!D:D,"Coupon")+SUMIFS('Trade Log'!I:I,'Trade Log'!A:A,E217,'Trade Log'!D:D,"Distribution")+SUMIFS('Trade Log'!I:I,'Trade Log'!A:A,E217,'Trade Log'!D:D,"Redemption")+SUMIFS('Trade Log'!I:I,'Trade Log'!A:A,E217,'Trade Log'!D:D,"Sec. Lending"))</f>
        <v/>
      </c>
      <c r="G217" s="105" t="str">
        <f t="shared" si="8"/>
        <v/>
      </c>
      <c r="H217" s="117" t="str">
        <f t="shared" si="9"/>
        <v/>
      </c>
    </row>
    <row r="218" spans="5:8" x14ac:dyDescent="0.35">
      <c r="E218" s="116"/>
      <c r="F218" s="117" t="str">
        <f>IF(E218="","",SUMIFS('Trade Log'!K:K,'Trade Log'!A:A,E218,'Trade Log'!D:D,"Buy")+SUMIFS('Trade Log'!K:K,'Trade Log'!A:A,E218,'Trade Log'!D:D,"Sell")+SUMIFS('Trade Log'!I:I,'Trade Log'!A:A,E218,'Trade Log'!D:D,"Dividend")+SUMIFS('Trade Log'!I:I,'Trade Log'!A:A,E218,'Trade Log'!D:D,"Coupon")+SUMIFS('Trade Log'!I:I,'Trade Log'!A:A,E218,'Trade Log'!D:D,"Distribution")+SUMIFS('Trade Log'!I:I,'Trade Log'!A:A,E218,'Trade Log'!D:D,"Redemption")+SUMIFS('Trade Log'!I:I,'Trade Log'!A:A,E218,'Trade Log'!D:D,"Sec. Lending"))</f>
        <v/>
      </c>
      <c r="G218" s="105" t="str">
        <f t="shared" si="8"/>
        <v/>
      </c>
      <c r="H218" s="117" t="str">
        <f t="shared" si="9"/>
        <v/>
      </c>
    </row>
    <row r="219" spans="5:8" x14ac:dyDescent="0.35">
      <c r="E219" s="116"/>
      <c r="F219" s="117" t="str">
        <f>IF(E219="","",SUMIFS('Trade Log'!K:K,'Trade Log'!A:A,E219,'Trade Log'!D:D,"Buy")+SUMIFS('Trade Log'!K:K,'Trade Log'!A:A,E219,'Trade Log'!D:D,"Sell")+SUMIFS('Trade Log'!I:I,'Trade Log'!A:A,E219,'Trade Log'!D:D,"Dividend")+SUMIFS('Trade Log'!I:I,'Trade Log'!A:A,E219,'Trade Log'!D:D,"Coupon")+SUMIFS('Trade Log'!I:I,'Trade Log'!A:A,E219,'Trade Log'!D:D,"Distribution")+SUMIFS('Trade Log'!I:I,'Trade Log'!A:A,E219,'Trade Log'!D:D,"Redemption")+SUMIFS('Trade Log'!I:I,'Trade Log'!A:A,E219,'Trade Log'!D:D,"Sec. Lending"))</f>
        <v/>
      </c>
      <c r="G219" s="105" t="str">
        <f t="shared" si="8"/>
        <v/>
      </c>
      <c r="H219" s="117" t="str">
        <f t="shared" si="9"/>
        <v/>
      </c>
    </row>
    <row r="220" spans="5:8" x14ac:dyDescent="0.35">
      <c r="E220" s="116"/>
      <c r="F220" s="117" t="str">
        <f>IF(E220="","",SUMIFS('Trade Log'!K:K,'Trade Log'!A:A,E220,'Trade Log'!D:D,"Buy")+SUMIFS('Trade Log'!K:K,'Trade Log'!A:A,E220,'Trade Log'!D:D,"Sell")+SUMIFS('Trade Log'!I:I,'Trade Log'!A:A,E220,'Trade Log'!D:D,"Dividend")+SUMIFS('Trade Log'!I:I,'Trade Log'!A:A,E220,'Trade Log'!D:D,"Coupon")+SUMIFS('Trade Log'!I:I,'Trade Log'!A:A,E220,'Trade Log'!D:D,"Distribution")+SUMIFS('Trade Log'!I:I,'Trade Log'!A:A,E220,'Trade Log'!D:D,"Redemption")+SUMIFS('Trade Log'!I:I,'Trade Log'!A:A,E220,'Trade Log'!D:D,"Sec. Lending"))</f>
        <v/>
      </c>
      <c r="G220" s="105" t="str">
        <f t="shared" si="8"/>
        <v/>
      </c>
      <c r="H220" s="117" t="str">
        <f t="shared" si="9"/>
        <v/>
      </c>
    </row>
    <row r="221" spans="5:8" x14ac:dyDescent="0.35">
      <c r="E221" s="116"/>
      <c r="F221" s="117" t="str">
        <f>IF(E221="","",SUMIFS('Trade Log'!K:K,'Trade Log'!A:A,E221,'Trade Log'!D:D,"Buy")+SUMIFS('Trade Log'!K:K,'Trade Log'!A:A,E221,'Trade Log'!D:D,"Sell")+SUMIFS('Trade Log'!I:I,'Trade Log'!A:A,E221,'Trade Log'!D:D,"Dividend")+SUMIFS('Trade Log'!I:I,'Trade Log'!A:A,E221,'Trade Log'!D:D,"Coupon")+SUMIFS('Trade Log'!I:I,'Trade Log'!A:A,E221,'Trade Log'!D:D,"Distribution")+SUMIFS('Trade Log'!I:I,'Trade Log'!A:A,E221,'Trade Log'!D:D,"Redemption")+SUMIFS('Trade Log'!I:I,'Trade Log'!A:A,E221,'Trade Log'!D:D,"Sec. Lending"))</f>
        <v/>
      </c>
      <c r="G221" s="105" t="str">
        <f t="shared" si="8"/>
        <v/>
      </c>
      <c r="H221" s="117" t="str">
        <f t="shared" si="9"/>
        <v/>
      </c>
    </row>
    <row r="222" spans="5:8" x14ac:dyDescent="0.35">
      <c r="E222" s="116"/>
      <c r="F222" s="117" t="str">
        <f>IF(E222="","",SUMIFS('Trade Log'!K:K,'Trade Log'!A:A,E222,'Trade Log'!D:D,"Buy")+SUMIFS('Trade Log'!K:K,'Trade Log'!A:A,E222,'Trade Log'!D:D,"Sell")+SUMIFS('Trade Log'!I:I,'Trade Log'!A:A,E222,'Trade Log'!D:D,"Dividend")+SUMIFS('Trade Log'!I:I,'Trade Log'!A:A,E222,'Trade Log'!D:D,"Coupon")+SUMIFS('Trade Log'!I:I,'Trade Log'!A:A,E222,'Trade Log'!D:D,"Distribution")+SUMIFS('Trade Log'!I:I,'Trade Log'!A:A,E222,'Trade Log'!D:D,"Redemption")+SUMIFS('Trade Log'!I:I,'Trade Log'!A:A,E222,'Trade Log'!D:D,"Sec. Lending"))</f>
        <v/>
      </c>
      <c r="G222" s="105" t="str">
        <f t="shared" si="8"/>
        <v/>
      </c>
      <c r="H222" s="117" t="str">
        <f t="shared" si="9"/>
        <v/>
      </c>
    </row>
    <row r="223" spans="5:8" x14ac:dyDescent="0.35">
      <c r="E223" s="116"/>
      <c r="F223" s="117" t="str">
        <f>IF(E223="","",SUMIFS('Trade Log'!K:K,'Trade Log'!A:A,E223,'Trade Log'!D:D,"Buy")+SUMIFS('Trade Log'!K:K,'Trade Log'!A:A,E223,'Trade Log'!D:D,"Sell")+SUMIFS('Trade Log'!I:I,'Trade Log'!A:A,E223,'Trade Log'!D:D,"Dividend")+SUMIFS('Trade Log'!I:I,'Trade Log'!A:A,E223,'Trade Log'!D:D,"Coupon")+SUMIFS('Trade Log'!I:I,'Trade Log'!A:A,E223,'Trade Log'!D:D,"Distribution")+SUMIFS('Trade Log'!I:I,'Trade Log'!A:A,E223,'Trade Log'!D:D,"Redemption")+SUMIFS('Trade Log'!I:I,'Trade Log'!A:A,E223,'Trade Log'!D:D,"Sec. Lending"))</f>
        <v/>
      </c>
      <c r="G223" s="105" t="str">
        <f t="shared" si="8"/>
        <v/>
      </c>
      <c r="H223" s="117" t="str">
        <f t="shared" si="9"/>
        <v/>
      </c>
    </row>
    <row r="224" spans="5:8" x14ac:dyDescent="0.35">
      <c r="E224" s="116"/>
      <c r="F224" s="117" t="str">
        <f>IF(E224="","",SUMIFS('Trade Log'!K:K,'Trade Log'!A:A,E224,'Trade Log'!D:D,"Buy")+SUMIFS('Trade Log'!K:K,'Trade Log'!A:A,E224,'Trade Log'!D:D,"Sell")+SUMIFS('Trade Log'!I:I,'Trade Log'!A:A,E224,'Trade Log'!D:D,"Dividend")+SUMIFS('Trade Log'!I:I,'Trade Log'!A:A,E224,'Trade Log'!D:D,"Coupon")+SUMIFS('Trade Log'!I:I,'Trade Log'!A:A,E224,'Trade Log'!D:D,"Distribution")+SUMIFS('Trade Log'!I:I,'Trade Log'!A:A,E224,'Trade Log'!D:D,"Redemption")+SUMIFS('Trade Log'!I:I,'Trade Log'!A:A,E224,'Trade Log'!D:D,"Sec. Lending"))</f>
        <v/>
      </c>
      <c r="G224" s="105" t="str">
        <f t="shared" si="8"/>
        <v/>
      </c>
      <c r="H224" s="117" t="str">
        <f t="shared" si="9"/>
        <v/>
      </c>
    </row>
    <row r="225" spans="5:8" x14ac:dyDescent="0.35">
      <c r="E225" s="116"/>
      <c r="F225" s="117" t="str">
        <f>IF(E225="","",SUMIFS('Trade Log'!K:K,'Trade Log'!A:A,E225,'Trade Log'!D:D,"Buy")+SUMIFS('Trade Log'!K:K,'Trade Log'!A:A,E225,'Trade Log'!D:D,"Sell")+SUMIFS('Trade Log'!I:I,'Trade Log'!A:A,E225,'Trade Log'!D:D,"Dividend")+SUMIFS('Trade Log'!I:I,'Trade Log'!A:A,E225,'Trade Log'!D:D,"Coupon")+SUMIFS('Trade Log'!I:I,'Trade Log'!A:A,E225,'Trade Log'!D:D,"Distribution")+SUMIFS('Trade Log'!I:I,'Trade Log'!A:A,E225,'Trade Log'!D:D,"Redemption")+SUMIFS('Trade Log'!I:I,'Trade Log'!A:A,E225,'Trade Log'!D:D,"Sec. Lending"))</f>
        <v/>
      </c>
      <c r="G225" s="105" t="str">
        <f t="shared" si="8"/>
        <v/>
      </c>
      <c r="H225" s="117" t="str">
        <f t="shared" si="9"/>
        <v/>
      </c>
    </row>
    <row r="226" spans="5:8" x14ac:dyDescent="0.35">
      <c r="E226" s="116"/>
      <c r="F226" s="117" t="str">
        <f>IF(E226="","",SUMIFS('Trade Log'!K:K,'Trade Log'!A:A,E226,'Trade Log'!D:D,"Buy")+SUMIFS('Trade Log'!K:K,'Trade Log'!A:A,E226,'Trade Log'!D:D,"Sell")+SUMIFS('Trade Log'!I:I,'Trade Log'!A:A,E226,'Trade Log'!D:D,"Dividend")+SUMIFS('Trade Log'!I:I,'Trade Log'!A:A,E226,'Trade Log'!D:D,"Coupon")+SUMIFS('Trade Log'!I:I,'Trade Log'!A:A,E226,'Trade Log'!D:D,"Distribution")+SUMIFS('Trade Log'!I:I,'Trade Log'!A:A,E226,'Trade Log'!D:D,"Redemption")+SUMIFS('Trade Log'!I:I,'Trade Log'!A:A,E226,'Trade Log'!D:D,"Sec. Lending"))</f>
        <v/>
      </c>
      <c r="G226" s="105" t="str">
        <f t="shared" si="8"/>
        <v/>
      </c>
      <c r="H226" s="117" t="str">
        <f t="shared" si="9"/>
        <v/>
      </c>
    </row>
    <row r="227" spans="5:8" x14ac:dyDescent="0.35">
      <c r="E227" s="116"/>
      <c r="F227" s="117" t="str">
        <f>IF(E227="","",SUMIFS('Trade Log'!K:K,'Trade Log'!A:A,E227,'Trade Log'!D:D,"Buy")+SUMIFS('Trade Log'!K:K,'Trade Log'!A:A,E227,'Trade Log'!D:D,"Sell")+SUMIFS('Trade Log'!I:I,'Trade Log'!A:A,E227,'Trade Log'!D:D,"Dividend")+SUMIFS('Trade Log'!I:I,'Trade Log'!A:A,E227,'Trade Log'!D:D,"Coupon")+SUMIFS('Trade Log'!I:I,'Trade Log'!A:A,E227,'Trade Log'!D:D,"Distribution")+SUMIFS('Trade Log'!I:I,'Trade Log'!A:A,E227,'Trade Log'!D:D,"Redemption")+SUMIFS('Trade Log'!I:I,'Trade Log'!A:A,E227,'Trade Log'!D:D,"Sec. Lending"))</f>
        <v/>
      </c>
      <c r="G227" s="105" t="str">
        <f t="shared" si="8"/>
        <v/>
      </c>
      <c r="H227" s="117" t="str">
        <f t="shared" si="9"/>
        <v/>
      </c>
    </row>
    <row r="228" spans="5:8" x14ac:dyDescent="0.35">
      <c r="E228" s="116"/>
      <c r="F228" s="117" t="str">
        <f>IF(E228="","",SUMIFS('Trade Log'!K:K,'Trade Log'!A:A,E228,'Trade Log'!D:D,"Buy")+SUMIFS('Trade Log'!K:K,'Trade Log'!A:A,E228,'Trade Log'!D:D,"Sell")+SUMIFS('Trade Log'!I:I,'Trade Log'!A:A,E228,'Trade Log'!D:D,"Dividend")+SUMIFS('Trade Log'!I:I,'Trade Log'!A:A,E228,'Trade Log'!D:D,"Coupon")+SUMIFS('Trade Log'!I:I,'Trade Log'!A:A,E228,'Trade Log'!D:D,"Distribution")+SUMIFS('Trade Log'!I:I,'Trade Log'!A:A,E228,'Trade Log'!D:D,"Redemption")+SUMIFS('Trade Log'!I:I,'Trade Log'!A:A,E228,'Trade Log'!D:D,"Sec. Lending"))</f>
        <v/>
      </c>
      <c r="G228" s="105" t="str">
        <f t="shared" si="8"/>
        <v/>
      </c>
      <c r="H228" s="117" t="str">
        <f t="shared" si="9"/>
        <v/>
      </c>
    </row>
    <row r="229" spans="5:8" x14ac:dyDescent="0.35">
      <c r="E229" s="116"/>
      <c r="F229" s="117" t="str">
        <f>IF(E229="","",SUMIFS('Trade Log'!K:K,'Trade Log'!A:A,E229,'Trade Log'!D:D,"Buy")+SUMIFS('Trade Log'!K:K,'Trade Log'!A:A,E229,'Trade Log'!D:D,"Sell")+SUMIFS('Trade Log'!I:I,'Trade Log'!A:A,E229,'Trade Log'!D:D,"Dividend")+SUMIFS('Trade Log'!I:I,'Trade Log'!A:A,E229,'Trade Log'!D:D,"Coupon")+SUMIFS('Trade Log'!I:I,'Trade Log'!A:A,E229,'Trade Log'!D:D,"Distribution")+SUMIFS('Trade Log'!I:I,'Trade Log'!A:A,E229,'Trade Log'!D:D,"Redemption")+SUMIFS('Trade Log'!I:I,'Trade Log'!A:A,E229,'Trade Log'!D:D,"Sec. Lending"))</f>
        <v/>
      </c>
      <c r="G229" s="105" t="str">
        <f t="shared" si="8"/>
        <v/>
      </c>
      <c r="H229" s="117" t="str">
        <f t="shared" si="9"/>
        <v/>
      </c>
    </row>
    <row r="230" spans="5:8" x14ac:dyDescent="0.35">
      <c r="E230" s="116"/>
      <c r="F230" s="117" t="str">
        <f>IF(E230="","",SUMIFS('Trade Log'!K:K,'Trade Log'!A:A,E230,'Trade Log'!D:D,"Buy")+SUMIFS('Trade Log'!K:K,'Trade Log'!A:A,E230,'Trade Log'!D:D,"Sell")+SUMIFS('Trade Log'!I:I,'Trade Log'!A:A,E230,'Trade Log'!D:D,"Dividend")+SUMIFS('Trade Log'!I:I,'Trade Log'!A:A,E230,'Trade Log'!D:D,"Coupon")+SUMIFS('Trade Log'!I:I,'Trade Log'!A:A,E230,'Trade Log'!D:D,"Distribution")+SUMIFS('Trade Log'!I:I,'Trade Log'!A:A,E230,'Trade Log'!D:D,"Redemption")+SUMIFS('Trade Log'!I:I,'Trade Log'!A:A,E230,'Trade Log'!D:D,"Sec. Lending"))</f>
        <v/>
      </c>
      <c r="G230" s="105" t="str">
        <f t="shared" si="8"/>
        <v/>
      </c>
      <c r="H230" s="117" t="str">
        <f t="shared" si="9"/>
        <v/>
      </c>
    </row>
    <row r="231" spans="5:8" x14ac:dyDescent="0.35">
      <c r="E231" s="116"/>
      <c r="F231" s="117" t="str">
        <f>IF(E231="","",SUMIFS('Trade Log'!K:K,'Trade Log'!A:A,E231,'Trade Log'!D:D,"Buy")+SUMIFS('Trade Log'!K:K,'Trade Log'!A:A,E231,'Trade Log'!D:D,"Sell")+SUMIFS('Trade Log'!I:I,'Trade Log'!A:A,E231,'Trade Log'!D:D,"Dividend")+SUMIFS('Trade Log'!I:I,'Trade Log'!A:A,E231,'Trade Log'!D:D,"Coupon")+SUMIFS('Trade Log'!I:I,'Trade Log'!A:A,E231,'Trade Log'!D:D,"Distribution")+SUMIFS('Trade Log'!I:I,'Trade Log'!A:A,E231,'Trade Log'!D:D,"Redemption")+SUMIFS('Trade Log'!I:I,'Trade Log'!A:A,E231,'Trade Log'!D:D,"Sec. Lending"))</f>
        <v/>
      </c>
      <c r="G231" s="105" t="str">
        <f t="shared" si="8"/>
        <v/>
      </c>
      <c r="H231" s="117" t="str">
        <f t="shared" si="9"/>
        <v/>
      </c>
    </row>
    <row r="232" spans="5:8" x14ac:dyDescent="0.35">
      <c r="E232" s="116"/>
      <c r="F232" s="117" t="str">
        <f>IF(E232="","",SUMIFS('Trade Log'!K:K,'Trade Log'!A:A,E232,'Trade Log'!D:D,"Buy")+SUMIFS('Trade Log'!K:K,'Trade Log'!A:A,E232,'Trade Log'!D:D,"Sell")+SUMIFS('Trade Log'!I:I,'Trade Log'!A:A,E232,'Trade Log'!D:D,"Dividend")+SUMIFS('Trade Log'!I:I,'Trade Log'!A:A,E232,'Trade Log'!D:D,"Coupon")+SUMIFS('Trade Log'!I:I,'Trade Log'!A:A,E232,'Trade Log'!D:D,"Distribution")+SUMIFS('Trade Log'!I:I,'Trade Log'!A:A,E232,'Trade Log'!D:D,"Redemption")+SUMIFS('Trade Log'!I:I,'Trade Log'!A:A,E232,'Trade Log'!D:D,"Sec. Lending"))</f>
        <v/>
      </c>
      <c r="G232" s="105" t="str">
        <f t="shared" si="8"/>
        <v/>
      </c>
      <c r="H232" s="117" t="str">
        <f t="shared" si="9"/>
        <v/>
      </c>
    </row>
    <row r="233" spans="5:8" x14ac:dyDescent="0.35">
      <c r="E233" s="116"/>
      <c r="F233" s="117" t="str">
        <f>IF(E233="","",SUMIFS('Trade Log'!K:K,'Trade Log'!A:A,E233,'Trade Log'!D:D,"Buy")+SUMIFS('Trade Log'!K:K,'Trade Log'!A:A,E233,'Trade Log'!D:D,"Sell")+SUMIFS('Trade Log'!I:I,'Trade Log'!A:A,E233,'Trade Log'!D:D,"Dividend")+SUMIFS('Trade Log'!I:I,'Trade Log'!A:A,E233,'Trade Log'!D:D,"Coupon")+SUMIFS('Trade Log'!I:I,'Trade Log'!A:A,E233,'Trade Log'!D:D,"Distribution")+SUMIFS('Trade Log'!I:I,'Trade Log'!A:A,E233,'Trade Log'!D:D,"Redemption")+SUMIFS('Trade Log'!I:I,'Trade Log'!A:A,E233,'Trade Log'!D:D,"Sec. Lending"))</f>
        <v/>
      </c>
      <c r="G233" s="105" t="str">
        <f t="shared" si="8"/>
        <v/>
      </c>
      <c r="H233" s="117" t="str">
        <f t="shared" si="9"/>
        <v/>
      </c>
    </row>
    <row r="234" spans="5:8" x14ac:dyDescent="0.35">
      <c r="E234" s="116"/>
      <c r="F234" s="117" t="str">
        <f>IF(E234="","",SUMIFS('Trade Log'!K:K,'Trade Log'!A:A,E234,'Trade Log'!D:D,"Buy")+SUMIFS('Trade Log'!K:K,'Trade Log'!A:A,E234,'Trade Log'!D:D,"Sell")+SUMIFS('Trade Log'!I:I,'Trade Log'!A:A,E234,'Trade Log'!D:D,"Dividend")+SUMIFS('Trade Log'!I:I,'Trade Log'!A:A,E234,'Trade Log'!D:D,"Coupon")+SUMIFS('Trade Log'!I:I,'Trade Log'!A:A,E234,'Trade Log'!D:D,"Distribution")+SUMIFS('Trade Log'!I:I,'Trade Log'!A:A,E234,'Trade Log'!D:D,"Redemption")+SUMIFS('Trade Log'!I:I,'Trade Log'!A:A,E234,'Trade Log'!D:D,"Sec. Lending"))</f>
        <v/>
      </c>
      <c r="G234" s="105" t="str">
        <f t="shared" si="8"/>
        <v/>
      </c>
      <c r="H234" s="117" t="str">
        <f t="shared" si="9"/>
        <v/>
      </c>
    </row>
    <row r="235" spans="5:8" x14ac:dyDescent="0.35">
      <c r="E235" s="116"/>
      <c r="F235" s="117" t="str">
        <f>IF(E235="","",SUMIFS('Trade Log'!K:K,'Trade Log'!A:A,E235,'Trade Log'!D:D,"Buy")+SUMIFS('Trade Log'!K:K,'Trade Log'!A:A,E235,'Trade Log'!D:D,"Sell")+SUMIFS('Trade Log'!I:I,'Trade Log'!A:A,E235,'Trade Log'!D:D,"Dividend")+SUMIFS('Trade Log'!I:I,'Trade Log'!A:A,E235,'Trade Log'!D:D,"Coupon")+SUMIFS('Trade Log'!I:I,'Trade Log'!A:A,E235,'Trade Log'!D:D,"Distribution")+SUMIFS('Trade Log'!I:I,'Trade Log'!A:A,E235,'Trade Log'!D:D,"Redemption")+SUMIFS('Trade Log'!I:I,'Trade Log'!A:A,E235,'Trade Log'!D:D,"Sec. Lending"))</f>
        <v/>
      </c>
      <c r="G235" s="105" t="str">
        <f t="shared" si="8"/>
        <v/>
      </c>
      <c r="H235" s="117" t="str">
        <f t="shared" si="9"/>
        <v/>
      </c>
    </row>
    <row r="236" spans="5:8" x14ac:dyDescent="0.35">
      <c r="E236" s="116"/>
      <c r="F236" s="117" t="str">
        <f>IF(E236="","",SUMIFS('Trade Log'!K:K,'Trade Log'!A:A,E236,'Trade Log'!D:D,"Buy")+SUMIFS('Trade Log'!K:K,'Trade Log'!A:A,E236,'Trade Log'!D:D,"Sell")+SUMIFS('Trade Log'!I:I,'Trade Log'!A:A,E236,'Trade Log'!D:D,"Dividend")+SUMIFS('Trade Log'!I:I,'Trade Log'!A:A,E236,'Trade Log'!D:D,"Coupon")+SUMIFS('Trade Log'!I:I,'Trade Log'!A:A,E236,'Trade Log'!D:D,"Distribution")+SUMIFS('Trade Log'!I:I,'Trade Log'!A:A,E236,'Trade Log'!D:D,"Redemption")+SUMIFS('Trade Log'!I:I,'Trade Log'!A:A,E236,'Trade Log'!D:D,"Sec. Lending"))</f>
        <v/>
      </c>
      <c r="G236" s="105" t="str">
        <f t="shared" si="8"/>
        <v/>
      </c>
      <c r="H236" s="117" t="str">
        <f t="shared" si="9"/>
        <v/>
      </c>
    </row>
    <row r="237" spans="5:8" x14ac:dyDescent="0.35">
      <c r="E237" s="116"/>
      <c r="F237" s="117" t="str">
        <f>IF(E237="","",SUMIFS('Trade Log'!K:K,'Trade Log'!A:A,E237,'Trade Log'!D:D,"Buy")+SUMIFS('Trade Log'!K:K,'Trade Log'!A:A,E237,'Trade Log'!D:D,"Sell")+SUMIFS('Trade Log'!I:I,'Trade Log'!A:A,E237,'Trade Log'!D:D,"Dividend")+SUMIFS('Trade Log'!I:I,'Trade Log'!A:A,E237,'Trade Log'!D:D,"Coupon")+SUMIFS('Trade Log'!I:I,'Trade Log'!A:A,E237,'Trade Log'!D:D,"Distribution")+SUMIFS('Trade Log'!I:I,'Trade Log'!A:A,E237,'Trade Log'!D:D,"Redemption")+SUMIFS('Trade Log'!I:I,'Trade Log'!A:A,E237,'Trade Log'!D:D,"Sec. Lending"))</f>
        <v/>
      </c>
      <c r="G237" s="105" t="str">
        <f t="shared" si="8"/>
        <v/>
      </c>
      <c r="H237" s="117" t="str">
        <f t="shared" si="9"/>
        <v/>
      </c>
    </row>
    <row r="238" spans="5:8" x14ac:dyDescent="0.35">
      <c r="E238" s="116"/>
      <c r="F238" s="117" t="str">
        <f>IF(E238="","",SUMIFS('Trade Log'!K:K,'Trade Log'!A:A,E238,'Trade Log'!D:D,"Buy")+SUMIFS('Trade Log'!K:K,'Trade Log'!A:A,E238,'Trade Log'!D:D,"Sell")+SUMIFS('Trade Log'!I:I,'Trade Log'!A:A,E238,'Trade Log'!D:D,"Dividend")+SUMIFS('Trade Log'!I:I,'Trade Log'!A:A,E238,'Trade Log'!D:D,"Coupon")+SUMIFS('Trade Log'!I:I,'Trade Log'!A:A,E238,'Trade Log'!D:D,"Distribution")+SUMIFS('Trade Log'!I:I,'Trade Log'!A:A,E238,'Trade Log'!D:D,"Redemption")+SUMIFS('Trade Log'!I:I,'Trade Log'!A:A,E238,'Trade Log'!D:D,"Sec. Lending"))</f>
        <v/>
      </c>
      <c r="G238" s="105" t="str">
        <f t="shared" si="8"/>
        <v/>
      </c>
      <c r="H238" s="117" t="str">
        <f t="shared" si="9"/>
        <v/>
      </c>
    </row>
    <row r="239" spans="5:8" x14ac:dyDescent="0.35">
      <c r="E239" s="116"/>
      <c r="F239" s="117" t="str">
        <f>IF(E239="","",SUMIFS('Trade Log'!K:K,'Trade Log'!A:A,E239,'Trade Log'!D:D,"Buy")+SUMIFS('Trade Log'!K:K,'Trade Log'!A:A,E239,'Trade Log'!D:D,"Sell")+SUMIFS('Trade Log'!I:I,'Trade Log'!A:A,E239,'Trade Log'!D:D,"Dividend")+SUMIFS('Trade Log'!I:I,'Trade Log'!A:A,E239,'Trade Log'!D:D,"Coupon")+SUMIFS('Trade Log'!I:I,'Trade Log'!A:A,E239,'Trade Log'!D:D,"Distribution")+SUMIFS('Trade Log'!I:I,'Trade Log'!A:A,E239,'Trade Log'!D:D,"Redemption")+SUMIFS('Trade Log'!I:I,'Trade Log'!A:A,E239,'Trade Log'!D:D,"Sec. Lending"))</f>
        <v/>
      </c>
      <c r="G239" s="105" t="str">
        <f t="shared" si="8"/>
        <v/>
      </c>
      <c r="H239" s="117" t="str">
        <f t="shared" si="9"/>
        <v/>
      </c>
    </row>
    <row r="240" spans="5:8" x14ac:dyDescent="0.35">
      <c r="E240" s="116"/>
      <c r="F240" s="117" t="str">
        <f>IF(E240="","",SUMIFS('Trade Log'!K:K,'Trade Log'!A:A,E240,'Trade Log'!D:D,"Buy")+SUMIFS('Trade Log'!K:K,'Trade Log'!A:A,E240,'Trade Log'!D:D,"Sell")+SUMIFS('Trade Log'!I:I,'Trade Log'!A:A,E240,'Trade Log'!D:D,"Dividend")+SUMIFS('Trade Log'!I:I,'Trade Log'!A:A,E240,'Trade Log'!D:D,"Coupon")+SUMIFS('Trade Log'!I:I,'Trade Log'!A:A,E240,'Trade Log'!D:D,"Distribution")+SUMIFS('Trade Log'!I:I,'Trade Log'!A:A,E240,'Trade Log'!D:D,"Redemption")+SUMIFS('Trade Log'!I:I,'Trade Log'!A:A,E240,'Trade Log'!D:D,"Sec. Lending"))</f>
        <v/>
      </c>
      <c r="G240" s="105" t="str">
        <f t="shared" si="8"/>
        <v/>
      </c>
      <c r="H240" s="117" t="str">
        <f t="shared" si="9"/>
        <v/>
      </c>
    </row>
    <row r="241" spans="5:8" x14ac:dyDescent="0.35">
      <c r="E241" s="116"/>
      <c r="F241" s="117" t="str">
        <f>IF(E241="","",SUMIFS('Trade Log'!K:K,'Trade Log'!A:A,E241,'Trade Log'!D:D,"Buy")+SUMIFS('Trade Log'!K:K,'Trade Log'!A:A,E241,'Trade Log'!D:D,"Sell")+SUMIFS('Trade Log'!I:I,'Trade Log'!A:A,E241,'Trade Log'!D:D,"Dividend")+SUMIFS('Trade Log'!I:I,'Trade Log'!A:A,E241,'Trade Log'!D:D,"Coupon")+SUMIFS('Trade Log'!I:I,'Trade Log'!A:A,E241,'Trade Log'!D:D,"Distribution")+SUMIFS('Trade Log'!I:I,'Trade Log'!A:A,E241,'Trade Log'!D:D,"Redemption")+SUMIFS('Trade Log'!I:I,'Trade Log'!A:A,E241,'Trade Log'!D:D,"Sec. Lending"))</f>
        <v/>
      </c>
      <c r="G241" s="105" t="str">
        <f t="shared" si="8"/>
        <v/>
      </c>
      <c r="H241" s="117" t="str">
        <f t="shared" si="9"/>
        <v/>
      </c>
    </row>
    <row r="242" spans="5:8" x14ac:dyDescent="0.35">
      <c r="E242" s="116"/>
      <c r="F242" s="117" t="str">
        <f>IF(E242="","",SUMIFS('Trade Log'!K:K,'Trade Log'!A:A,E242,'Trade Log'!D:D,"Buy")+SUMIFS('Trade Log'!K:K,'Trade Log'!A:A,E242,'Trade Log'!D:D,"Sell")+SUMIFS('Trade Log'!I:I,'Trade Log'!A:A,E242,'Trade Log'!D:D,"Dividend")+SUMIFS('Trade Log'!I:I,'Trade Log'!A:A,E242,'Trade Log'!D:D,"Coupon")+SUMIFS('Trade Log'!I:I,'Trade Log'!A:A,E242,'Trade Log'!D:D,"Distribution")+SUMIFS('Trade Log'!I:I,'Trade Log'!A:A,E242,'Trade Log'!D:D,"Redemption")+SUMIFS('Trade Log'!I:I,'Trade Log'!A:A,E242,'Trade Log'!D:D,"Sec. Lending"))</f>
        <v/>
      </c>
      <c r="G242" s="105" t="str">
        <f t="shared" si="8"/>
        <v/>
      </c>
      <c r="H242" s="117" t="str">
        <f t="shared" si="9"/>
        <v/>
      </c>
    </row>
    <row r="243" spans="5:8" x14ac:dyDescent="0.35">
      <c r="E243" s="116"/>
      <c r="F243" s="117" t="str">
        <f>IF(E243="","",SUMIFS('Trade Log'!K:K,'Trade Log'!A:A,E243,'Trade Log'!D:D,"Buy")+SUMIFS('Trade Log'!K:K,'Trade Log'!A:A,E243,'Trade Log'!D:D,"Sell")+SUMIFS('Trade Log'!I:I,'Trade Log'!A:A,E243,'Trade Log'!D:D,"Dividend")+SUMIFS('Trade Log'!I:I,'Trade Log'!A:A,E243,'Trade Log'!D:D,"Coupon")+SUMIFS('Trade Log'!I:I,'Trade Log'!A:A,E243,'Trade Log'!D:D,"Distribution")+SUMIFS('Trade Log'!I:I,'Trade Log'!A:A,E243,'Trade Log'!D:D,"Redemption")+SUMIFS('Trade Log'!I:I,'Trade Log'!A:A,E243,'Trade Log'!D:D,"Sec. Lending"))</f>
        <v/>
      </c>
      <c r="G243" s="105" t="str">
        <f t="shared" si="8"/>
        <v/>
      </c>
      <c r="H243" s="117" t="str">
        <f t="shared" si="9"/>
        <v/>
      </c>
    </row>
    <row r="244" spans="5:8" x14ac:dyDescent="0.35">
      <c r="E244" s="116"/>
      <c r="F244" s="117" t="str">
        <f>IF(E244="","",SUMIFS('Trade Log'!K:K,'Trade Log'!A:A,E244,'Trade Log'!D:D,"Buy")+SUMIFS('Trade Log'!K:K,'Trade Log'!A:A,E244,'Trade Log'!D:D,"Sell")+SUMIFS('Trade Log'!I:I,'Trade Log'!A:A,E244,'Trade Log'!D:D,"Dividend")+SUMIFS('Trade Log'!I:I,'Trade Log'!A:A,E244,'Trade Log'!D:D,"Coupon")+SUMIFS('Trade Log'!I:I,'Trade Log'!A:A,E244,'Trade Log'!D:D,"Distribution")+SUMIFS('Trade Log'!I:I,'Trade Log'!A:A,E244,'Trade Log'!D:D,"Redemption")+SUMIFS('Trade Log'!I:I,'Trade Log'!A:A,E244,'Trade Log'!D:D,"Sec. Lending"))</f>
        <v/>
      </c>
      <c r="G244" s="105" t="str">
        <f t="shared" si="8"/>
        <v/>
      </c>
      <c r="H244" s="117" t="str">
        <f t="shared" si="9"/>
        <v/>
      </c>
    </row>
    <row r="245" spans="5:8" x14ac:dyDescent="0.35">
      <c r="E245" s="116"/>
      <c r="F245" s="117" t="str">
        <f>IF(E245="","",SUMIFS('Trade Log'!K:K,'Trade Log'!A:A,E245,'Trade Log'!D:D,"Buy")+SUMIFS('Trade Log'!K:K,'Trade Log'!A:A,E245,'Trade Log'!D:D,"Sell")+SUMIFS('Trade Log'!I:I,'Trade Log'!A:A,E245,'Trade Log'!D:D,"Dividend")+SUMIFS('Trade Log'!I:I,'Trade Log'!A:A,E245,'Trade Log'!D:D,"Coupon")+SUMIFS('Trade Log'!I:I,'Trade Log'!A:A,E245,'Trade Log'!D:D,"Distribution")+SUMIFS('Trade Log'!I:I,'Trade Log'!A:A,E245,'Trade Log'!D:D,"Redemption")+SUMIFS('Trade Log'!I:I,'Trade Log'!A:A,E245,'Trade Log'!D:D,"Sec. Lending"))</f>
        <v/>
      </c>
      <c r="G245" s="105" t="str">
        <f t="shared" si="8"/>
        <v/>
      </c>
      <c r="H245" s="117" t="str">
        <f t="shared" si="9"/>
        <v/>
      </c>
    </row>
    <row r="246" spans="5:8" x14ac:dyDescent="0.35">
      <c r="E246" s="116"/>
      <c r="F246" s="117" t="str">
        <f>IF(E246="","",SUMIFS('Trade Log'!K:K,'Trade Log'!A:A,E246,'Trade Log'!D:D,"Buy")+SUMIFS('Trade Log'!K:K,'Trade Log'!A:A,E246,'Trade Log'!D:D,"Sell")+SUMIFS('Trade Log'!I:I,'Trade Log'!A:A,E246,'Trade Log'!D:D,"Dividend")+SUMIFS('Trade Log'!I:I,'Trade Log'!A:A,E246,'Trade Log'!D:D,"Coupon")+SUMIFS('Trade Log'!I:I,'Trade Log'!A:A,E246,'Trade Log'!D:D,"Distribution")+SUMIFS('Trade Log'!I:I,'Trade Log'!A:A,E246,'Trade Log'!D:D,"Redemption")+SUMIFS('Trade Log'!I:I,'Trade Log'!A:A,E246,'Trade Log'!D:D,"Sec. Lending"))</f>
        <v/>
      </c>
      <c r="G246" s="105" t="str">
        <f t="shared" si="8"/>
        <v/>
      </c>
      <c r="H246" s="117" t="str">
        <f t="shared" si="9"/>
        <v/>
      </c>
    </row>
    <row r="247" spans="5:8" x14ac:dyDescent="0.35">
      <c r="E247" s="116"/>
      <c r="F247" s="117" t="str">
        <f>IF(E247="","",SUMIFS('Trade Log'!K:K,'Trade Log'!A:A,E247,'Trade Log'!D:D,"Buy")+SUMIFS('Trade Log'!K:K,'Trade Log'!A:A,E247,'Trade Log'!D:D,"Sell")+SUMIFS('Trade Log'!I:I,'Trade Log'!A:A,E247,'Trade Log'!D:D,"Dividend")+SUMIFS('Trade Log'!I:I,'Trade Log'!A:A,E247,'Trade Log'!D:D,"Coupon")+SUMIFS('Trade Log'!I:I,'Trade Log'!A:A,E247,'Trade Log'!D:D,"Distribution")+SUMIFS('Trade Log'!I:I,'Trade Log'!A:A,E247,'Trade Log'!D:D,"Redemption")+SUMIFS('Trade Log'!I:I,'Trade Log'!A:A,E247,'Trade Log'!D:D,"Sec. Lending"))</f>
        <v/>
      </c>
      <c r="G247" s="105" t="str">
        <f t="shared" si="8"/>
        <v/>
      </c>
      <c r="H247" s="117" t="str">
        <f t="shared" si="9"/>
        <v/>
      </c>
    </row>
    <row r="248" spans="5:8" x14ac:dyDescent="0.35">
      <c r="E248" s="116"/>
      <c r="F248" s="117" t="str">
        <f>IF(E248="","",SUMIFS('Trade Log'!K:K,'Trade Log'!A:A,E248,'Trade Log'!D:D,"Buy")+SUMIFS('Trade Log'!K:K,'Trade Log'!A:A,E248,'Trade Log'!D:D,"Sell")+SUMIFS('Trade Log'!I:I,'Trade Log'!A:A,E248,'Trade Log'!D:D,"Dividend")+SUMIFS('Trade Log'!I:I,'Trade Log'!A:A,E248,'Trade Log'!D:D,"Coupon")+SUMIFS('Trade Log'!I:I,'Trade Log'!A:A,E248,'Trade Log'!D:D,"Distribution")+SUMIFS('Trade Log'!I:I,'Trade Log'!A:A,E248,'Trade Log'!D:D,"Redemption")+SUMIFS('Trade Log'!I:I,'Trade Log'!A:A,E248,'Trade Log'!D:D,"Sec. Lending"))</f>
        <v/>
      </c>
      <c r="G248" s="105" t="str">
        <f t="shared" si="8"/>
        <v/>
      </c>
      <c r="H248" s="117" t="str">
        <f t="shared" si="9"/>
        <v/>
      </c>
    </row>
    <row r="249" spans="5:8" x14ac:dyDescent="0.35">
      <c r="E249" s="116"/>
      <c r="F249" s="117" t="str">
        <f>IF(E249="","",SUMIFS('Trade Log'!K:K,'Trade Log'!A:A,E249,'Trade Log'!D:D,"Buy")+SUMIFS('Trade Log'!K:K,'Trade Log'!A:A,E249,'Trade Log'!D:D,"Sell")+SUMIFS('Trade Log'!I:I,'Trade Log'!A:A,E249,'Trade Log'!D:D,"Dividend")+SUMIFS('Trade Log'!I:I,'Trade Log'!A:A,E249,'Trade Log'!D:D,"Coupon")+SUMIFS('Trade Log'!I:I,'Trade Log'!A:A,E249,'Trade Log'!D:D,"Distribution")+SUMIFS('Trade Log'!I:I,'Trade Log'!A:A,E249,'Trade Log'!D:D,"Redemption")+SUMIFS('Trade Log'!I:I,'Trade Log'!A:A,E249,'Trade Log'!D:D,"Sec. Lending"))</f>
        <v/>
      </c>
      <c r="G249" s="105" t="str">
        <f t="shared" si="8"/>
        <v/>
      </c>
      <c r="H249" s="117" t="str">
        <f t="shared" si="9"/>
        <v/>
      </c>
    </row>
    <row r="250" spans="5:8" x14ac:dyDescent="0.35">
      <c r="E250" s="116"/>
      <c r="F250" s="117" t="str">
        <f>IF(E250="","",SUMIFS('Trade Log'!K:K,'Trade Log'!A:A,E250,'Trade Log'!D:D,"Buy")+SUMIFS('Trade Log'!K:K,'Trade Log'!A:A,E250,'Trade Log'!D:D,"Sell")+SUMIFS('Trade Log'!I:I,'Trade Log'!A:A,E250,'Trade Log'!D:D,"Dividend")+SUMIFS('Trade Log'!I:I,'Trade Log'!A:A,E250,'Trade Log'!D:D,"Coupon")+SUMIFS('Trade Log'!I:I,'Trade Log'!A:A,E250,'Trade Log'!D:D,"Distribution")+SUMIFS('Trade Log'!I:I,'Trade Log'!A:A,E250,'Trade Log'!D:D,"Redemption")+SUMIFS('Trade Log'!I:I,'Trade Log'!A:A,E250,'Trade Log'!D:D,"Sec. Lending"))</f>
        <v/>
      </c>
      <c r="G250" s="105" t="str">
        <f t="shared" si="8"/>
        <v/>
      </c>
      <c r="H250" s="117" t="str">
        <f t="shared" si="9"/>
        <v/>
      </c>
    </row>
    <row r="251" spans="5:8" x14ac:dyDescent="0.35">
      <c r="E251" s="116"/>
      <c r="F251" s="117" t="str">
        <f>IF(E251="","",SUMIFS('Trade Log'!K:K,'Trade Log'!A:A,E251,'Trade Log'!D:D,"Buy")+SUMIFS('Trade Log'!K:K,'Trade Log'!A:A,E251,'Trade Log'!D:D,"Sell")+SUMIFS('Trade Log'!I:I,'Trade Log'!A:A,E251,'Trade Log'!D:D,"Dividend")+SUMIFS('Trade Log'!I:I,'Trade Log'!A:A,E251,'Trade Log'!D:D,"Coupon")+SUMIFS('Trade Log'!I:I,'Trade Log'!A:A,E251,'Trade Log'!D:D,"Distribution")+SUMIFS('Trade Log'!I:I,'Trade Log'!A:A,E251,'Trade Log'!D:D,"Redemption")+SUMIFS('Trade Log'!I:I,'Trade Log'!A:A,E251,'Trade Log'!D:D,"Sec. Lending"))</f>
        <v/>
      </c>
      <c r="G251" s="105" t="str">
        <f t="shared" si="8"/>
        <v/>
      </c>
      <c r="H251" s="117" t="str">
        <f t="shared" si="9"/>
        <v/>
      </c>
    </row>
    <row r="252" spans="5:8" x14ac:dyDescent="0.35">
      <c r="E252" s="116"/>
      <c r="F252" s="117" t="str">
        <f>IF(E252="","",SUMIFS('Trade Log'!K:K,'Trade Log'!A:A,E252,'Trade Log'!D:D,"Buy")+SUMIFS('Trade Log'!K:K,'Trade Log'!A:A,E252,'Trade Log'!D:D,"Sell")+SUMIFS('Trade Log'!I:I,'Trade Log'!A:A,E252,'Trade Log'!D:D,"Dividend")+SUMIFS('Trade Log'!I:I,'Trade Log'!A:A,E252,'Trade Log'!D:D,"Coupon")+SUMIFS('Trade Log'!I:I,'Trade Log'!A:A,E252,'Trade Log'!D:D,"Distribution")+SUMIFS('Trade Log'!I:I,'Trade Log'!A:A,E252,'Trade Log'!D:D,"Redemption")+SUMIFS('Trade Log'!I:I,'Trade Log'!A:A,E252,'Trade Log'!D:D,"Sec. Lending"))</f>
        <v/>
      </c>
      <c r="G252" s="105" t="str">
        <f t="shared" si="8"/>
        <v/>
      </c>
      <c r="H252" s="117" t="str">
        <f t="shared" si="9"/>
        <v/>
      </c>
    </row>
    <row r="253" spans="5:8" x14ac:dyDescent="0.35">
      <c r="E253" s="116"/>
      <c r="F253" s="117" t="str">
        <f>IF(E253="","",SUMIFS('Trade Log'!K:K,'Trade Log'!A:A,E253,'Trade Log'!D:D,"Buy")+SUMIFS('Trade Log'!K:K,'Trade Log'!A:A,E253,'Trade Log'!D:D,"Sell")+SUMIFS('Trade Log'!I:I,'Trade Log'!A:A,E253,'Trade Log'!D:D,"Dividend")+SUMIFS('Trade Log'!I:I,'Trade Log'!A:A,E253,'Trade Log'!D:D,"Coupon")+SUMIFS('Trade Log'!I:I,'Trade Log'!A:A,E253,'Trade Log'!D:D,"Distribution")+SUMIFS('Trade Log'!I:I,'Trade Log'!A:A,E253,'Trade Log'!D:D,"Redemption")+SUMIFS('Trade Log'!I:I,'Trade Log'!A:A,E253,'Trade Log'!D:D,"Sec. Lending"))</f>
        <v/>
      </c>
      <c r="G253" s="105" t="str">
        <f t="shared" si="8"/>
        <v/>
      </c>
      <c r="H253" s="117" t="str">
        <f t="shared" si="9"/>
        <v/>
      </c>
    </row>
    <row r="254" spans="5:8" x14ac:dyDescent="0.35">
      <c r="E254" s="116"/>
      <c r="F254" s="117" t="str">
        <f>IF(E254="","",SUMIFS('Trade Log'!K:K,'Trade Log'!A:A,E254,'Trade Log'!D:D,"Buy")+SUMIFS('Trade Log'!K:K,'Trade Log'!A:A,E254,'Trade Log'!D:D,"Sell")+SUMIFS('Trade Log'!I:I,'Trade Log'!A:A,E254,'Trade Log'!D:D,"Dividend")+SUMIFS('Trade Log'!I:I,'Trade Log'!A:A,E254,'Trade Log'!D:D,"Coupon")+SUMIFS('Trade Log'!I:I,'Trade Log'!A:A,E254,'Trade Log'!D:D,"Distribution")+SUMIFS('Trade Log'!I:I,'Trade Log'!A:A,E254,'Trade Log'!D:D,"Redemption")+SUMIFS('Trade Log'!I:I,'Trade Log'!A:A,E254,'Trade Log'!D:D,"Sec. Lending"))</f>
        <v/>
      </c>
      <c r="G254" s="105" t="str">
        <f t="shared" si="8"/>
        <v/>
      </c>
      <c r="H254" s="117" t="str">
        <f t="shared" si="9"/>
        <v/>
      </c>
    </row>
    <row r="255" spans="5:8" x14ac:dyDescent="0.35">
      <c r="E255" s="116"/>
      <c r="F255" s="117" t="str">
        <f>IF(E255="","",SUMIFS('Trade Log'!K:K,'Trade Log'!A:A,E255,'Trade Log'!D:D,"Buy")+SUMIFS('Trade Log'!K:K,'Trade Log'!A:A,E255,'Trade Log'!D:D,"Sell")+SUMIFS('Trade Log'!I:I,'Trade Log'!A:A,E255,'Trade Log'!D:D,"Dividend")+SUMIFS('Trade Log'!I:I,'Trade Log'!A:A,E255,'Trade Log'!D:D,"Coupon")+SUMIFS('Trade Log'!I:I,'Trade Log'!A:A,E255,'Trade Log'!D:D,"Distribution")+SUMIFS('Trade Log'!I:I,'Trade Log'!A:A,E255,'Trade Log'!D:D,"Redemption")+SUMIFS('Trade Log'!I:I,'Trade Log'!A:A,E255,'Trade Log'!D:D,"Sec. Lending"))</f>
        <v/>
      </c>
      <c r="G255" s="105" t="str">
        <f t="shared" si="8"/>
        <v/>
      </c>
      <c r="H255" s="117" t="str">
        <f t="shared" si="9"/>
        <v/>
      </c>
    </row>
    <row r="256" spans="5:8" x14ac:dyDescent="0.35">
      <c r="E256" s="116"/>
      <c r="F256" s="117" t="str">
        <f>IF(E256="","",SUMIFS('Trade Log'!K:K,'Trade Log'!A:A,E256,'Trade Log'!D:D,"Buy")+SUMIFS('Trade Log'!K:K,'Trade Log'!A:A,E256,'Trade Log'!D:D,"Sell")+SUMIFS('Trade Log'!I:I,'Trade Log'!A:A,E256,'Trade Log'!D:D,"Dividend")+SUMIFS('Trade Log'!I:I,'Trade Log'!A:A,E256,'Trade Log'!D:D,"Coupon")+SUMIFS('Trade Log'!I:I,'Trade Log'!A:A,E256,'Trade Log'!D:D,"Distribution")+SUMIFS('Trade Log'!I:I,'Trade Log'!A:A,E256,'Trade Log'!D:D,"Redemption")+SUMIFS('Trade Log'!I:I,'Trade Log'!A:A,E256,'Trade Log'!D:D,"Sec. Lending"))</f>
        <v/>
      </c>
      <c r="G256" s="105" t="str">
        <f t="shared" si="8"/>
        <v/>
      </c>
      <c r="H256" s="117" t="str">
        <f t="shared" si="9"/>
        <v/>
      </c>
    </row>
    <row r="257" spans="5:8" x14ac:dyDescent="0.35">
      <c r="E257" s="116"/>
      <c r="F257" s="117" t="str">
        <f>IF(E257="","",SUMIFS('Trade Log'!K:K,'Trade Log'!A:A,E257,'Trade Log'!D:D,"Buy")+SUMIFS('Trade Log'!K:K,'Trade Log'!A:A,E257,'Trade Log'!D:D,"Sell")+SUMIFS('Trade Log'!I:I,'Trade Log'!A:A,E257,'Trade Log'!D:D,"Dividend")+SUMIFS('Trade Log'!I:I,'Trade Log'!A:A,E257,'Trade Log'!D:D,"Coupon")+SUMIFS('Trade Log'!I:I,'Trade Log'!A:A,E257,'Trade Log'!D:D,"Distribution")+SUMIFS('Trade Log'!I:I,'Trade Log'!A:A,E257,'Trade Log'!D:D,"Redemption")+SUMIFS('Trade Log'!I:I,'Trade Log'!A:A,E257,'Trade Log'!D:D,"Sec. Lending"))</f>
        <v/>
      </c>
      <c r="G257" s="105" t="str">
        <f t="shared" si="8"/>
        <v/>
      </c>
      <c r="H257" s="117" t="str">
        <f t="shared" si="9"/>
        <v/>
      </c>
    </row>
    <row r="258" spans="5:8" x14ac:dyDescent="0.35">
      <c r="E258" s="116"/>
      <c r="F258" s="117" t="str">
        <f>IF(E258="","",SUMIFS('Trade Log'!K:K,'Trade Log'!A:A,E258,'Trade Log'!D:D,"Buy")+SUMIFS('Trade Log'!K:K,'Trade Log'!A:A,E258,'Trade Log'!D:D,"Sell")+SUMIFS('Trade Log'!I:I,'Trade Log'!A:A,E258,'Trade Log'!D:D,"Dividend")+SUMIFS('Trade Log'!I:I,'Trade Log'!A:A,E258,'Trade Log'!D:D,"Coupon")+SUMIFS('Trade Log'!I:I,'Trade Log'!A:A,E258,'Trade Log'!D:D,"Distribution")+SUMIFS('Trade Log'!I:I,'Trade Log'!A:A,E258,'Trade Log'!D:D,"Redemption")+SUMIFS('Trade Log'!I:I,'Trade Log'!A:A,E258,'Trade Log'!D:D,"Sec. Lending"))</f>
        <v/>
      </c>
      <c r="G258" s="105" t="str">
        <f t="shared" si="8"/>
        <v/>
      </c>
      <c r="H258" s="117" t="str">
        <f t="shared" si="9"/>
        <v/>
      </c>
    </row>
    <row r="259" spans="5:8" x14ac:dyDescent="0.35">
      <c r="E259" s="116"/>
      <c r="F259" s="117" t="str">
        <f>IF(E259="","",SUMIFS('Trade Log'!K:K,'Trade Log'!A:A,E259,'Trade Log'!D:D,"Buy")+SUMIFS('Trade Log'!K:K,'Trade Log'!A:A,E259,'Trade Log'!D:D,"Sell")+SUMIFS('Trade Log'!I:I,'Trade Log'!A:A,E259,'Trade Log'!D:D,"Dividend")+SUMIFS('Trade Log'!I:I,'Trade Log'!A:A,E259,'Trade Log'!D:D,"Coupon")+SUMIFS('Trade Log'!I:I,'Trade Log'!A:A,E259,'Trade Log'!D:D,"Distribution")+SUMIFS('Trade Log'!I:I,'Trade Log'!A:A,E259,'Trade Log'!D:D,"Redemption")+SUMIFS('Trade Log'!I:I,'Trade Log'!A:A,E259,'Trade Log'!D:D,"Sec. Lending"))</f>
        <v/>
      </c>
      <c r="G259" s="105" t="str">
        <f t="shared" si="8"/>
        <v/>
      </c>
      <c r="H259" s="117" t="str">
        <f t="shared" si="9"/>
        <v/>
      </c>
    </row>
    <row r="260" spans="5:8" x14ac:dyDescent="0.35">
      <c r="E260" s="116"/>
      <c r="F260" s="117" t="str">
        <f>IF(E260="","",SUMIFS('Trade Log'!K:K,'Trade Log'!A:A,E260,'Trade Log'!D:D,"Buy")+SUMIFS('Trade Log'!K:K,'Trade Log'!A:A,E260,'Trade Log'!D:D,"Sell")+SUMIFS('Trade Log'!I:I,'Trade Log'!A:A,E260,'Trade Log'!D:D,"Dividend")+SUMIFS('Trade Log'!I:I,'Trade Log'!A:A,E260,'Trade Log'!D:D,"Coupon")+SUMIFS('Trade Log'!I:I,'Trade Log'!A:A,E260,'Trade Log'!D:D,"Distribution")+SUMIFS('Trade Log'!I:I,'Trade Log'!A:A,E260,'Trade Log'!D:D,"Redemption")+SUMIFS('Trade Log'!I:I,'Trade Log'!A:A,E260,'Trade Log'!D:D,"Sec. Lending"))</f>
        <v/>
      </c>
      <c r="G260" s="105" t="str">
        <f t="shared" si="8"/>
        <v/>
      </c>
      <c r="H260" s="117" t="str">
        <f t="shared" si="9"/>
        <v/>
      </c>
    </row>
    <row r="261" spans="5:8" x14ac:dyDescent="0.35">
      <c r="E261" s="116"/>
      <c r="F261" s="117" t="str">
        <f>IF(E261="","",SUMIFS('Trade Log'!K:K,'Trade Log'!A:A,E261,'Trade Log'!D:D,"Buy")+SUMIFS('Trade Log'!K:K,'Trade Log'!A:A,E261,'Trade Log'!D:D,"Sell")+SUMIFS('Trade Log'!I:I,'Trade Log'!A:A,E261,'Trade Log'!D:D,"Dividend")+SUMIFS('Trade Log'!I:I,'Trade Log'!A:A,E261,'Trade Log'!D:D,"Coupon")+SUMIFS('Trade Log'!I:I,'Trade Log'!A:A,E261,'Trade Log'!D:D,"Distribution")+SUMIFS('Trade Log'!I:I,'Trade Log'!A:A,E261,'Trade Log'!D:D,"Redemption")+SUMIFS('Trade Log'!I:I,'Trade Log'!A:A,E261,'Trade Log'!D:D,"Sec. Lending"))</f>
        <v/>
      </c>
      <c r="G261" s="105" t="str">
        <f t="shared" si="8"/>
        <v/>
      </c>
      <c r="H261" s="117" t="str">
        <f t="shared" si="9"/>
        <v/>
      </c>
    </row>
    <row r="262" spans="5:8" x14ac:dyDescent="0.35">
      <c r="E262" s="116"/>
      <c r="F262" s="117" t="str">
        <f>IF(E262="","",SUMIFS('Trade Log'!K:K,'Trade Log'!A:A,E262,'Trade Log'!D:D,"Buy")+SUMIFS('Trade Log'!K:K,'Trade Log'!A:A,E262,'Trade Log'!D:D,"Sell")+SUMIFS('Trade Log'!I:I,'Trade Log'!A:A,E262,'Trade Log'!D:D,"Dividend")+SUMIFS('Trade Log'!I:I,'Trade Log'!A:A,E262,'Trade Log'!D:D,"Coupon")+SUMIFS('Trade Log'!I:I,'Trade Log'!A:A,E262,'Trade Log'!D:D,"Distribution")+SUMIFS('Trade Log'!I:I,'Trade Log'!A:A,E262,'Trade Log'!D:D,"Redemption")+SUMIFS('Trade Log'!I:I,'Trade Log'!A:A,E262,'Trade Log'!D:D,"Sec. Lending"))</f>
        <v/>
      </c>
      <c r="G262" s="105" t="str">
        <f t="shared" si="8"/>
        <v/>
      </c>
      <c r="H262" s="117" t="str">
        <f t="shared" si="9"/>
        <v/>
      </c>
    </row>
    <row r="263" spans="5:8" x14ac:dyDescent="0.35">
      <c r="E263" s="116"/>
      <c r="F263" s="117" t="str">
        <f>IF(E263="","",SUMIFS('Trade Log'!K:K,'Trade Log'!A:A,E263,'Trade Log'!D:D,"Buy")+SUMIFS('Trade Log'!K:K,'Trade Log'!A:A,E263,'Trade Log'!D:D,"Sell")+SUMIFS('Trade Log'!I:I,'Trade Log'!A:A,E263,'Trade Log'!D:D,"Dividend")+SUMIFS('Trade Log'!I:I,'Trade Log'!A:A,E263,'Trade Log'!D:D,"Coupon")+SUMIFS('Trade Log'!I:I,'Trade Log'!A:A,E263,'Trade Log'!D:D,"Distribution")+SUMIFS('Trade Log'!I:I,'Trade Log'!A:A,E263,'Trade Log'!D:D,"Redemption")+SUMIFS('Trade Log'!I:I,'Trade Log'!A:A,E263,'Trade Log'!D:D,"Sec. Lending"))</f>
        <v/>
      </c>
      <c r="G263" s="105" t="str">
        <f t="shared" si="8"/>
        <v/>
      </c>
      <c r="H263" s="117" t="str">
        <f t="shared" si="9"/>
        <v/>
      </c>
    </row>
    <row r="264" spans="5:8" x14ac:dyDescent="0.35">
      <c r="E264" s="116"/>
      <c r="F264" s="117" t="str">
        <f>IF(E264="","",SUMIFS('Trade Log'!K:K,'Trade Log'!A:A,E264,'Trade Log'!D:D,"Buy")+SUMIFS('Trade Log'!K:K,'Trade Log'!A:A,E264,'Trade Log'!D:D,"Sell")+SUMIFS('Trade Log'!I:I,'Trade Log'!A:A,E264,'Trade Log'!D:D,"Dividend")+SUMIFS('Trade Log'!I:I,'Trade Log'!A:A,E264,'Trade Log'!D:D,"Coupon")+SUMIFS('Trade Log'!I:I,'Trade Log'!A:A,E264,'Trade Log'!D:D,"Distribution")+SUMIFS('Trade Log'!I:I,'Trade Log'!A:A,E264,'Trade Log'!D:D,"Redemption")+SUMIFS('Trade Log'!I:I,'Trade Log'!A:A,E264,'Trade Log'!D:D,"Sec. Lending"))</f>
        <v/>
      </c>
      <c r="G264" s="105" t="str">
        <f t="shared" si="8"/>
        <v/>
      </c>
      <c r="H264" s="117" t="str">
        <f t="shared" si="9"/>
        <v/>
      </c>
    </row>
    <row r="265" spans="5:8" x14ac:dyDescent="0.35">
      <c r="E265" s="116"/>
      <c r="F265" s="117" t="str">
        <f>IF(E265="","",SUMIFS('Trade Log'!K:K,'Trade Log'!A:A,E265,'Trade Log'!D:D,"Buy")+SUMIFS('Trade Log'!K:K,'Trade Log'!A:A,E265,'Trade Log'!D:D,"Sell")+SUMIFS('Trade Log'!I:I,'Trade Log'!A:A,E265,'Trade Log'!D:D,"Dividend")+SUMIFS('Trade Log'!I:I,'Trade Log'!A:A,E265,'Trade Log'!D:D,"Coupon")+SUMIFS('Trade Log'!I:I,'Trade Log'!A:A,E265,'Trade Log'!D:D,"Distribution")+SUMIFS('Trade Log'!I:I,'Trade Log'!A:A,E265,'Trade Log'!D:D,"Redemption")+SUMIFS('Trade Log'!I:I,'Trade Log'!A:A,E265,'Trade Log'!D:D,"Sec. Lending"))</f>
        <v/>
      </c>
      <c r="G265" s="105" t="str">
        <f t="shared" si="8"/>
        <v/>
      </c>
      <c r="H265" s="117" t="str">
        <f t="shared" si="9"/>
        <v/>
      </c>
    </row>
    <row r="266" spans="5:8" x14ac:dyDescent="0.35">
      <c r="E266" s="116"/>
      <c r="F266" s="117" t="str">
        <f>IF(E266="","",SUMIFS('Trade Log'!K:K,'Trade Log'!A:A,E266,'Trade Log'!D:D,"Buy")+SUMIFS('Trade Log'!K:K,'Trade Log'!A:A,E266,'Trade Log'!D:D,"Sell")+SUMIFS('Trade Log'!I:I,'Trade Log'!A:A,E266,'Trade Log'!D:D,"Dividend")+SUMIFS('Trade Log'!I:I,'Trade Log'!A:A,E266,'Trade Log'!D:D,"Coupon")+SUMIFS('Trade Log'!I:I,'Trade Log'!A:A,E266,'Trade Log'!D:D,"Distribution")+SUMIFS('Trade Log'!I:I,'Trade Log'!A:A,E266,'Trade Log'!D:D,"Redemption")+SUMIFS('Trade Log'!I:I,'Trade Log'!A:A,E266,'Trade Log'!D:D,"Sec. Lending"))</f>
        <v/>
      </c>
      <c r="G266" s="105" t="str">
        <f t="shared" si="8"/>
        <v/>
      </c>
      <c r="H266" s="117" t="str">
        <f t="shared" si="9"/>
        <v/>
      </c>
    </row>
    <row r="267" spans="5:8" x14ac:dyDescent="0.35">
      <c r="E267" s="116"/>
      <c r="F267" s="117" t="str">
        <f>IF(E267="","",SUMIFS('Trade Log'!K:K,'Trade Log'!A:A,E267,'Trade Log'!D:D,"Buy")+SUMIFS('Trade Log'!K:K,'Trade Log'!A:A,E267,'Trade Log'!D:D,"Sell")+SUMIFS('Trade Log'!I:I,'Trade Log'!A:A,E267,'Trade Log'!D:D,"Dividend")+SUMIFS('Trade Log'!I:I,'Trade Log'!A:A,E267,'Trade Log'!D:D,"Coupon")+SUMIFS('Trade Log'!I:I,'Trade Log'!A:A,E267,'Trade Log'!D:D,"Distribution")+SUMIFS('Trade Log'!I:I,'Trade Log'!A:A,E267,'Trade Log'!D:D,"Redemption")+SUMIFS('Trade Log'!I:I,'Trade Log'!A:A,E267,'Trade Log'!D:D,"Sec. Lending"))</f>
        <v/>
      </c>
      <c r="G267" s="105" t="str">
        <f t="shared" ref="G267:G304" si="10">IF(E267="","",IF(F267&lt;0,"Investment (Buy)","Proceeds / Income"))</f>
        <v/>
      </c>
      <c r="H267" s="117" t="str">
        <f t="shared" si="9"/>
        <v/>
      </c>
    </row>
    <row r="268" spans="5:8" x14ac:dyDescent="0.35">
      <c r="E268" s="116"/>
      <c r="F268" s="117" t="str">
        <f>IF(E268="","",SUMIFS('Trade Log'!K:K,'Trade Log'!A:A,E268,'Trade Log'!D:D,"Buy")+SUMIFS('Trade Log'!K:K,'Trade Log'!A:A,E268,'Trade Log'!D:D,"Sell")+SUMIFS('Trade Log'!I:I,'Trade Log'!A:A,E268,'Trade Log'!D:D,"Dividend")+SUMIFS('Trade Log'!I:I,'Trade Log'!A:A,E268,'Trade Log'!D:D,"Coupon")+SUMIFS('Trade Log'!I:I,'Trade Log'!A:A,E268,'Trade Log'!D:D,"Distribution")+SUMIFS('Trade Log'!I:I,'Trade Log'!A:A,E268,'Trade Log'!D:D,"Redemption")+SUMIFS('Trade Log'!I:I,'Trade Log'!A:A,E268,'Trade Log'!D:D,"Sec. Lending"))</f>
        <v/>
      </c>
      <c r="G268" s="105" t="str">
        <f t="shared" si="10"/>
        <v/>
      </c>
      <c r="H268" s="117" t="str">
        <f t="shared" ref="H268:H304" si="11">IF(E268="","",H267+F268)</f>
        <v/>
      </c>
    </row>
    <row r="269" spans="5:8" x14ac:dyDescent="0.35">
      <c r="E269" s="116"/>
      <c r="F269" s="117" t="str">
        <f>IF(E269="","",SUMIFS('Trade Log'!K:K,'Trade Log'!A:A,E269,'Trade Log'!D:D,"Buy")+SUMIFS('Trade Log'!K:K,'Trade Log'!A:A,E269,'Trade Log'!D:D,"Sell")+SUMIFS('Trade Log'!I:I,'Trade Log'!A:A,E269,'Trade Log'!D:D,"Dividend")+SUMIFS('Trade Log'!I:I,'Trade Log'!A:A,E269,'Trade Log'!D:D,"Coupon")+SUMIFS('Trade Log'!I:I,'Trade Log'!A:A,E269,'Trade Log'!D:D,"Distribution")+SUMIFS('Trade Log'!I:I,'Trade Log'!A:A,E269,'Trade Log'!D:D,"Redemption")+SUMIFS('Trade Log'!I:I,'Trade Log'!A:A,E269,'Trade Log'!D:D,"Sec. Lending"))</f>
        <v/>
      </c>
      <c r="G269" s="105" t="str">
        <f t="shared" si="10"/>
        <v/>
      </c>
      <c r="H269" s="117" t="str">
        <f t="shared" si="11"/>
        <v/>
      </c>
    </row>
    <row r="270" spans="5:8" x14ac:dyDescent="0.35">
      <c r="E270" s="116"/>
      <c r="F270" s="117" t="str">
        <f>IF(E270="","",SUMIFS('Trade Log'!K:K,'Trade Log'!A:A,E270,'Trade Log'!D:D,"Buy")+SUMIFS('Trade Log'!K:K,'Trade Log'!A:A,E270,'Trade Log'!D:D,"Sell")+SUMIFS('Trade Log'!I:I,'Trade Log'!A:A,E270,'Trade Log'!D:D,"Dividend")+SUMIFS('Trade Log'!I:I,'Trade Log'!A:A,E270,'Trade Log'!D:D,"Coupon")+SUMIFS('Trade Log'!I:I,'Trade Log'!A:A,E270,'Trade Log'!D:D,"Distribution")+SUMIFS('Trade Log'!I:I,'Trade Log'!A:A,E270,'Trade Log'!D:D,"Redemption")+SUMIFS('Trade Log'!I:I,'Trade Log'!A:A,E270,'Trade Log'!D:D,"Sec. Lending"))</f>
        <v/>
      </c>
      <c r="G270" s="105" t="str">
        <f t="shared" si="10"/>
        <v/>
      </c>
      <c r="H270" s="117" t="str">
        <f t="shared" si="11"/>
        <v/>
      </c>
    </row>
    <row r="271" spans="5:8" x14ac:dyDescent="0.35">
      <c r="E271" s="116"/>
      <c r="F271" s="117" t="str">
        <f>IF(E271="","",SUMIFS('Trade Log'!K:K,'Trade Log'!A:A,E271,'Trade Log'!D:D,"Buy")+SUMIFS('Trade Log'!K:K,'Trade Log'!A:A,E271,'Trade Log'!D:D,"Sell")+SUMIFS('Trade Log'!I:I,'Trade Log'!A:A,E271,'Trade Log'!D:D,"Dividend")+SUMIFS('Trade Log'!I:I,'Trade Log'!A:A,E271,'Trade Log'!D:D,"Coupon")+SUMIFS('Trade Log'!I:I,'Trade Log'!A:A,E271,'Trade Log'!D:D,"Distribution")+SUMIFS('Trade Log'!I:I,'Trade Log'!A:A,E271,'Trade Log'!D:D,"Redemption")+SUMIFS('Trade Log'!I:I,'Trade Log'!A:A,E271,'Trade Log'!D:D,"Sec. Lending"))</f>
        <v/>
      </c>
      <c r="G271" s="105" t="str">
        <f t="shared" si="10"/>
        <v/>
      </c>
      <c r="H271" s="117" t="str">
        <f t="shared" si="11"/>
        <v/>
      </c>
    </row>
    <row r="272" spans="5:8" x14ac:dyDescent="0.35">
      <c r="E272" s="116"/>
      <c r="F272" s="117" t="str">
        <f>IF(E272="","",SUMIFS('Trade Log'!K:K,'Trade Log'!A:A,E272,'Trade Log'!D:D,"Buy")+SUMIFS('Trade Log'!K:K,'Trade Log'!A:A,E272,'Trade Log'!D:D,"Sell")+SUMIFS('Trade Log'!I:I,'Trade Log'!A:A,E272,'Trade Log'!D:D,"Dividend")+SUMIFS('Trade Log'!I:I,'Trade Log'!A:A,E272,'Trade Log'!D:D,"Coupon")+SUMIFS('Trade Log'!I:I,'Trade Log'!A:A,E272,'Trade Log'!D:D,"Distribution")+SUMIFS('Trade Log'!I:I,'Trade Log'!A:A,E272,'Trade Log'!D:D,"Redemption")+SUMIFS('Trade Log'!I:I,'Trade Log'!A:A,E272,'Trade Log'!D:D,"Sec. Lending"))</f>
        <v/>
      </c>
      <c r="G272" s="105" t="str">
        <f t="shared" si="10"/>
        <v/>
      </c>
      <c r="H272" s="117" t="str">
        <f t="shared" si="11"/>
        <v/>
      </c>
    </row>
    <row r="273" spans="5:8" x14ac:dyDescent="0.35">
      <c r="E273" s="116"/>
      <c r="F273" s="117" t="str">
        <f>IF(E273="","",SUMIFS('Trade Log'!K:K,'Trade Log'!A:A,E273,'Trade Log'!D:D,"Buy")+SUMIFS('Trade Log'!K:K,'Trade Log'!A:A,E273,'Trade Log'!D:D,"Sell")+SUMIFS('Trade Log'!I:I,'Trade Log'!A:A,E273,'Trade Log'!D:D,"Dividend")+SUMIFS('Trade Log'!I:I,'Trade Log'!A:A,E273,'Trade Log'!D:D,"Coupon")+SUMIFS('Trade Log'!I:I,'Trade Log'!A:A,E273,'Trade Log'!D:D,"Distribution")+SUMIFS('Trade Log'!I:I,'Trade Log'!A:A,E273,'Trade Log'!D:D,"Redemption")+SUMIFS('Trade Log'!I:I,'Trade Log'!A:A,E273,'Trade Log'!D:D,"Sec. Lending"))</f>
        <v/>
      </c>
      <c r="G273" s="105" t="str">
        <f t="shared" si="10"/>
        <v/>
      </c>
      <c r="H273" s="117" t="str">
        <f t="shared" si="11"/>
        <v/>
      </c>
    </row>
    <row r="274" spans="5:8" x14ac:dyDescent="0.35">
      <c r="E274" s="116"/>
      <c r="F274" s="117" t="str">
        <f>IF(E274="","",SUMIFS('Trade Log'!K:K,'Trade Log'!A:A,E274,'Trade Log'!D:D,"Buy")+SUMIFS('Trade Log'!K:K,'Trade Log'!A:A,E274,'Trade Log'!D:D,"Sell")+SUMIFS('Trade Log'!I:I,'Trade Log'!A:A,E274,'Trade Log'!D:D,"Dividend")+SUMIFS('Trade Log'!I:I,'Trade Log'!A:A,E274,'Trade Log'!D:D,"Coupon")+SUMIFS('Trade Log'!I:I,'Trade Log'!A:A,E274,'Trade Log'!D:D,"Distribution")+SUMIFS('Trade Log'!I:I,'Trade Log'!A:A,E274,'Trade Log'!D:D,"Redemption")+SUMIFS('Trade Log'!I:I,'Trade Log'!A:A,E274,'Trade Log'!D:D,"Sec. Lending"))</f>
        <v/>
      </c>
      <c r="G274" s="105" t="str">
        <f t="shared" si="10"/>
        <v/>
      </c>
      <c r="H274" s="117" t="str">
        <f t="shared" si="11"/>
        <v/>
      </c>
    </row>
    <row r="275" spans="5:8" x14ac:dyDescent="0.35">
      <c r="E275" s="116"/>
      <c r="F275" s="117" t="str">
        <f>IF(E275="","",SUMIFS('Trade Log'!K:K,'Trade Log'!A:A,E275,'Trade Log'!D:D,"Buy")+SUMIFS('Trade Log'!K:K,'Trade Log'!A:A,E275,'Trade Log'!D:D,"Sell")+SUMIFS('Trade Log'!I:I,'Trade Log'!A:A,E275,'Trade Log'!D:D,"Dividend")+SUMIFS('Trade Log'!I:I,'Trade Log'!A:A,E275,'Trade Log'!D:D,"Coupon")+SUMIFS('Trade Log'!I:I,'Trade Log'!A:A,E275,'Trade Log'!D:D,"Distribution")+SUMIFS('Trade Log'!I:I,'Trade Log'!A:A,E275,'Trade Log'!D:D,"Redemption")+SUMIFS('Trade Log'!I:I,'Trade Log'!A:A,E275,'Trade Log'!D:D,"Sec. Lending"))</f>
        <v/>
      </c>
      <c r="G275" s="105" t="str">
        <f t="shared" si="10"/>
        <v/>
      </c>
      <c r="H275" s="117" t="str">
        <f t="shared" si="11"/>
        <v/>
      </c>
    </row>
    <row r="276" spans="5:8" x14ac:dyDescent="0.35">
      <c r="E276" s="116"/>
      <c r="F276" s="117" t="str">
        <f>IF(E276="","",SUMIFS('Trade Log'!K:K,'Trade Log'!A:A,E276,'Trade Log'!D:D,"Buy")+SUMIFS('Trade Log'!K:K,'Trade Log'!A:A,E276,'Trade Log'!D:D,"Sell")+SUMIFS('Trade Log'!I:I,'Trade Log'!A:A,E276,'Trade Log'!D:D,"Dividend")+SUMIFS('Trade Log'!I:I,'Trade Log'!A:A,E276,'Trade Log'!D:D,"Coupon")+SUMIFS('Trade Log'!I:I,'Trade Log'!A:A,E276,'Trade Log'!D:D,"Distribution")+SUMIFS('Trade Log'!I:I,'Trade Log'!A:A,E276,'Trade Log'!D:D,"Redemption")+SUMIFS('Trade Log'!I:I,'Trade Log'!A:A,E276,'Trade Log'!D:D,"Sec. Lending"))</f>
        <v/>
      </c>
      <c r="G276" s="105" t="str">
        <f t="shared" si="10"/>
        <v/>
      </c>
      <c r="H276" s="117" t="str">
        <f t="shared" si="11"/>
        <v/>
      </c>
    </row>
    <row r="277" spans="5:8" x14ac:dyDescent="0.35">
      <c r="E277" s="116"/>
      <c r="F277" s="117" t="str">
        <f>IF(E277="","",SUMIFS('Trade Log'!K:K,'Trade Log'!A:A,E277,'Trade Log'!D:D,"Buy")+SUMIFS('Trade Log'!K:K,'Trade Log'!A:A,E277,'Trade Log'!D:D,"Sell")+SUMIFS('Trade Log'!I:I,'Trade Log'!A:A,E277,'Trade Log'!D:D,"Dividend")+SUMIFS('Trade Log'!I:I,'Trade Log'!A:A,E277,'Trade Log'!D:D,"Coupon")+SUMIFS('Trade Log'!I:I,'Trade Log'!A:A,E277,'Trade Log'!D:D,"Distribution")+SUMIFS('Trade Log'!I:I,'Trade Log'!A:A,E277,'Trade Log'!D:D,"Redemption")+SUMIFS('Trade Log'!I:I,'Trade Log'!A:A,E277,'Trade Log'!D:D,"Sec. Lending"))</f>
        <v/>
      </c>
      <c r="G277" s="105" t="str">
        <f t="shared" si="10"/>
        <v/>
      </c>
      <c r="H277" s="117" t="str">
        <f t="shared" si="11"/>
        <v/>
      </c>
    </row>
    <row r="278" spans="5:8" x14ac:dyDescent="0.35">
      <c r="E278" s="116"/>
      <c r="F278" s="117" t="str">
        <f>IF(E278="","",SUMIFS('Trade Log'!K:K,'Trade Log'!A:A,E278,'Trade Log'!D:D,"Buy")+SUMIFS('Trade Log'!K:K,'Trade Log'!A:A,E278,'Trade Log'!D:D,"Sell")+SUMIFS('Trade Log'!I:I,'Trade Log'!A:A,E278,'Trade Log'!D:D,"Dividend")+SUMIFS('Trade Log'!I:I,'Trade Log'!A:A,E278,'Trade Log'!D:D,"Coupon")+SUMIFS('Trade Log'!I:I,'Trade Log'!A:A,E278,'Trade Log'!D:D,"Distribution")+SUMIFS('Trade Log'!I:I,'Trade Log'!A:A,E278,'Trade Log'!D:D,"Redemption")+SUMIFS('Trade Log'!I:I,'Trade Log'!A:A,E278,'Trade Log'!D:D,"Sec. Lending"))</f>
        <v/>
      </c>
      <c r="G278" s="105" t="str">
        <f t="shared" si="10"/>
        <v/>
      </c>
      <c r="H278" s="117" t="str">
        <f t="shared" si="11"/>
        <v/>
      </c>
    </row>
    <row r="279" spans="5:8" x14ac:dyDescent="0.35">
      <c r="E279" s="116"/>
      <c r="F279" s="117" t="str">
        <f>IF(E279="","",SUMIFS('Trade Log'!K:K,'Trade Log'!A:A,E279,'Trade Log'!D:D,"Buy")+SUMIFS('Trade Log'!K:K,'Trade Log'!A:A,E279,'Trade Log'!D:D,"Sell")+SUMIFS('Trade Log'!I:I,'Trade Log'!A:A,E279,'Trade Log'!D:D,"Dividend")+SUMIFS('Trade Log'!I:I,'Trade Log'!A:A,E279,'Trade Log'!D:D,"Coupon")+SUMIFS('Trade Log'!I:I,'Trade Log'!A:A,E279,'Trade Log'!D:D,"Distribution")+SUMIFS('Trade Log'!I:I,'Trade Log'!A:A,E279,'Trade Log'!D:D,"Redemption")+SUMIFS('Trade Log'!I:I,'Trade Log'!A:A,E279,'Trade Log'!D:D,"Sec. Lending"))</f>
        <v/>
      </c>
      <c r="G279" s="105" t="str">
        <f t="shared" si="10"/>
        <v/>
      </c>
      <c r="H279" s="117" t="str">
        <f t="shared" si="11"/>
        <v/>
      </c>
    </row>
    <row r="280" spans="5:8" x14ac:dyDescent="0.35">
      <c r="E280" s="116"/>
      <c r="F280" s="117" t="str">
        <f>IF(E280="","",SUMIFS('Trade Log'!K:K,'Trade Log'!A:A,E280,'Trade Log'!D:D,"Buy")+SUMIFS('Trade Log'!K:K,'Trade Log'!A:A,E280,'Trade Log'!D:D,"Sell")+SUMIFS('Trade Log'!I:I,'Trade Log'!A:A,E280,'Trade Log'!D:D,"Dividend")+SUMIFS('Trade Log'!I:I,'Trade Log'!A:A,E280,'Trade Log'!D:D,"Coupon")+SUMIFS('Trade Log'!I:I,'Trade Log'!A:A,E280,'Trade Log'!D:D,"Distribution")+SUMIFS('Trade Log'!I:I,'Trade Log'!A:A,E280,'Trade Log'!D:D,"Redemption")+SUMIFS('Trade Log'!I:I,'Trade Log'!A:A,E280,'Trade Log'!D:D,"Sec. Lending"))</f>
        <v/>
      </c>
      <c r="G280" s="105" t="str">
        <f t="shared" si="10"/>
        <v/>
      </c>
      <c r="H280" s="117" t="str">
        <f t="shared" si="11"/>
        <v/>
      </c>
    </row>
    <row r="281" spans="5:8" x14ac:dyDescent="0.35">
      <c r="E281" s="116"/>
      <c r="F281" s="117" t="str">
        <f>IF(E281="","",SUMIFS('Trade Log'!K:K,'Trade Log'!A:A,E281,'Trade Log'!D:D,"Buy")+SUMIFS('Trade Log'!K:K,'Trade Log'!A:A,E281,'Trade Log'!D:D,"Sell")+SUMIFS('Trade Log'!I:I,'Trade Log'!A:A,E281,'Trade Log'!D:D,"Dividend")+SUMIFS('Trade Log'!I:I,'Trade Log'!A:A,E281,'Trade Log'!D:D,"Coupon")+SUMIFS('Trade Log'!I:I,'Trade Log'!A:A,E281,'Trade Log'!D:D,"Distribution")+SUMIFS('Trade Log'!I:I,'Trade Log'!A:A,E281,'Trade Log'!D:D,"Redemption")+SUMIFS('Trade Log'!I:I,'Trade Log'!A:A,E281,'Trade Log'!D:D,"Sec. Lending"))</f>
        <v/>
      </c>
      <c r="G281" s="105" t="str">
        <f t="shared" si="10"/>
        <v/>
      </c>
      <c r="H281" s="117" t="str">
        <f t="shared" si="11"/>
        <v/>
      </c>
    </row>
    <row r="282" spans="5:8" x14ac:dyDescent="0.35">
      <c r="E282" s="116"/>
      <c r="F282" s="117" t="str">
        <f>IF(E282="","",SUMIFS('Trade Log'!K:K,'Trade Log'!A:A,E282,'Trade Log'!D:D,"Buy")+SUMIFS('Trade Log'!K:K,'Trade Log'!A:A,E282,'Trade Log'!D:D,"Sell")+SUMIFS('Trade Log'!I:I,'Trade Log'!A:A,E282,'Trade Log'!D:D,"Dividend")+SUMIFS('Trade Log'!I:I,'Trade Log'!A:A,E282,'Trade Log'!D:D,"Coupon")+SUMIFS('Trade Log'!I:I,'Trade Log'!A:A,E282,'Trade Log'!D:D,"Distribution")+SUMIFS('Trade Log'!I:I,'Trade Log'!A:A,E282,'Trade Log'!D:D,"Redemption")+SUMIFS('Trade Log'!I:I,'Trade Log'!A:A,E282,'Trade Log'!D:D,"Sec. Lending"))</f>
        <v/>
      </c>
      <c r="G282" s="105" t="str">
        <f t="shared" si="10"/>
        <v/>
      </c>
      <c r="H282" s="117" t="str">
        <f t="shared" si="11"/>
        <v/>
      </c>
    </row>
    <row r="283" spans="5:8" x14ac:dyDescent="0.35">
      <c r="E283" s="116"/>
      <c r="F283" s="117" t="str">
        <f>IF(E283="","",SUMIFS('Trade Log'!K:K,'Trade Log'!A:A,E283,'Trade Log'!D:D,"Buy")+SUMIFS('Trade Log'!K:K,'Trade Log'!A:A,E283,'Trade Log'!D:D,"Sell")+SUMIFS('Trade Log'!I:I,'Trade Log'!A:A,E283,'Trade Log'!D:D,"Dividend")+SUMIFS('Trade Log'!I:I,'Trade Log'!A:A,E283,'Trade Log'!D:D,"Coupon")+SUMIFS('Trade Log'!I:I,'Trade Log'!A:A,E283,'Trade Log'!D:D,"Distribution")+SUMIFS('Trade Log'!I:I,'Trade Log'!A:A,E283,'Trade Log'!D:D,"Redemption")+SUMIFS('Trade Log'!I:I,'Trade Log'!A:A,E283,'Trade Log'!D:D,"Sec. Lending"))</f>
        <v/>
      </c>
      <c r="G283" s="105" t="str">
        <f t="shared" si="10"/>
        <v/>
      </c>
      <c r="H283" s="117" t="str">
        <f t="shared" si="11"/>
        <v/>
      </c>
    </row>
    <row r="284" spans="5:8" x14ac:dyDescent="0.35">
      <c r="E284" s="116"/>
      <c r="F284" s="117" t="str">
        <f>IF(E284="","",SUMIFS('Trade Log'!K:K,'Trade Log'!A:A,E284,'Trade Log'!D:D,"Buy")+SUMIFS('Trade Log'!K:K,'Trade Log'!A:A,E284,'Trade Log'!D:D,"Sell")+SUMIFS('Trade Log'!I:I,'Trade Log'!A:A,E284,'Trade Log'!D:D,"Dividend")+SUMIFS('Trade Log'!I:I,'Trade Log'!A:A,E284,'Trade Log'!D:D,"Coupon")+SUMIFS('Trade Log'!I:I,'Trade Log'!A:A,E284,'Trade Log'!D:D,"Distribution")+SUMIFS('Trade Log'!I:I,'Trade Log'!A:A,E284,'Trade Log'!D:D,"Redemption")+SUMIFS('Trade Log'!I:I,'Trade Log'!A:A,E284,'Trade Log'!D:D,"Sec. Lending"))</f>
        <v/>
      </c>
      <c r="G284" s="105" t="str">
        <f t="shared" si="10"/>
        <v/>
      </c>
      <c r="H284" s="117" t="str">
        <f t="shared" si="11"/>
        <v/>
      </c>
    </row>
    <row r="285" spans="5:8" x14ac:dyDescent="0.35">
      <c r="E285" s="116"/>
      <c r="F285" s="117" t="str">
        <f>IF(E285="","",SUMIFS('Trade Log'!K:K,'Trade Log'!A:A,E285,'Trade Log'!D:D,"Buy")+SUMIFS('Trade Log'!K:K,'Trade Log'!A:A,E285,'Trade Log'!D:D,"Sell")+SUMIFS('Trade Log'!I:I,'Trade Log'!A:A,E285,'Trade Log'!D:D,"Dividend")+SUMIFS('Trade Log'!I:I,'Trade Log'!A:A,E285,'Trade Log'!D:D,"Coupon")+SUMIFS('Trade Log'!I:I,'Trade Log'!A:A,E285,'Trade Log'!D:D,"Distribution")+SUMIFS('Trade Log'!I:I,'Trade Log'!A:A,E285,'Trade Log'!D:D,"Redemption")+SUMIFS('Trade Log'!I:I,'Trade Log'!A:A,E285,'Trade Log'!D:D,"Sec. Lending"))</f>
        <v/>
      </c>
      <c r="G285" s="105" t="str">
        <f t="shared" si="10"/>
        <v/>
      </c>
      <c r="H285" s="117" t="str">
        <f t="shared" si="11"/>
        <v/>
      </c>
    </row>
    <row r="286" spans="5:8" x14ac:dyDescent="0.35">
      <c r="E286" s="116"/>
      <c r="F286" s="117" t="str">
        <f>IF(E286="","",SUMIFS('Trade Log'!K:K,'Trade Log'!A:A,E286,'Trade Log'!D:D,"Buy")+SUMIFS('Trade Log'!K:K,'Trade Log'!A:A,E286,'Trade Log'!D:D,"Sell")+SUMIFS('Trade Log'!I:I,'Trade Log'!A:A,E286,'Trade Log'!D:D,"Dividend")+SUMIFS('Trade Log'!I:I,'Trade Log'!A:A,E286,'Trade Log'!D:D,"Coupon")+SUMIFS('Trade Log'!I:I,'Trade Log'!A:A,E286,'Trade Log'!D:D,"Distribution")+SUMIFS('Trade Log'!I:I,'Trade Log'!A:A,E286,'Trade Log'!D:D,"Redemption")+SUMIFS('Trade Log'!I:I,'Trade Log'!A:A,E286,'Trade Log'!D:D,"Sec. Lending"))</f>
        <v/>
      </c>
      <c r="G286" s="105" t="str">
        <f t="shared" si="10"/>
        <v/>
      </c>
      <c r="H286" s="117" t="str">
        <f t="shared" si="11"/>
        <v/>
      </c>
    </row>
    <row r="287" spans="5:8" x14ac:dyDescent="0.35">
      <c r="E287" s="116"/>
      <c r="F287" s="117" t="str">
        <f>IF(E287="","",SUMIFS('Trade Log'!K:K,'Trade Log'!A:A,E287,'Trade Log'!D:D,"Buy")+SUMIFS('Trade Log'!K:K,'Trade Log'!A:A,E287,'Trade Log'!D:D,"Sell")+SUMIFS('Trade Log'!I:I,'Trade Log'!A:A,E287,'Trade Log'!D:D,"Dividend")+SUMIFS('Trade Log'!I:I,'Trade Log'!A:A,E287,'Trade Log'!D:D,"Coupon")+SUMIFS('Trade Log'!I:I,'Trade Log'!A:A,E287,'Trade Log'!D:D,"Distribution")+SUMIFS('Trade Log'!I:I,'Trade Log'!A:A,E287,'Trade Log'!D:D,"Redemption")+SUMIFS('Trade Log'!I:I,'Trade Log'!A:A,E287,'Trade Log'!D:D,"Sec. Lending"))</f>
        <v/>
      </c>
      <c r="G287" s="105" t="str">
        <f t="shared" si="10"/>
        <v/>
      </c>
      <c r="H287" s="117" t="str">
        <f t="shared" si="11"/>
        <v/>
      </c>
    </row>
    <row r="288" spans="5:8" x14ac:dyDescent="0.35">
      <c r="E288" s="116"/>
      <c r="F288" s="117" t="str">
        <f>IF(E288="","",SUMIFS('Trade Log'!K:K,'Trade Log'!A:A,E288,'Trade Log'!D:D,"Buy")+SUMIFS('Trade Log'!K:K,'Trade Log'!A:A,E288,'Trade Log'!D:D,"Sell")+SUMIFS('Trade Log'!I:I,'Trade Log'!A:A,E288,'Trade Log'!D:D,"Dividend")+SUMIFS('Trade Log'!I:I,'Trade Log'!A:A,E288,'Trade Log'!D:D,"Coupon")+SUMIFS('Trade Log'!I:I,'Trade Log'!A:A,E288,'Trade Log'!D:D,"Distribution")+SUMIFS('Trade Log'!I:I,'Trade Log'!A:A,E288,'Trade Log'!D:D,"Redemption")+SUMIFS('Trade Log'!I:I,'Trade Log'!A:A,E288,'Trade Log'!D:D,"Sec. Lending"))</f>
        <v/>
      </c>
      <c r="G288" s="105" t="str">
        <f t="shared" si="10"/>
        <v/>
      </c>
      <c r="H288" s="117" t="str">
        <f t="shared" si="11"/>
        <v/>
      </c>
    </row>
    <row r="289" spans="5:8" x14ac:dyDescent="0.35">
      <c r="E289" s="116"/>
      <c r="F289" s="117" t="str">
        <f>IF(E289="","",SUMIFS('Trade Log'!K:K,'Trade Log'!A:A,E289,'Trade Log'!D:D,"Buy")+SUMIFS('Trade Log'!K:K,'Trade Log'!A:A,E289,'Trade Log'!D:D,"Sell")+SUMIFS('Trade Log'!I:I,'Trade Log'!A:A,E289,'Trade Log'!D:D,"Dividend")+SUMIFS('Trade Log'!I:I,'Trade Log'!A:A,E289,'Trade Log'!D:D,"Coupon")+SUMIFS('Trade Log'!I:I,'Trade Log'!A:A,E289,'Trade Log'!D:D,"Distribution")+SUMIFS('Trade Log'!I:I,'Trade Log'!A:A,E289,'Trade Log'!D:D,"Redemption")+SUMIFS('Trade Log'!I:I,'Trade Log'!A:A,E289,'Trade Log'!D:D,"Sec. Lending"))</f>
        <v/>
      </c>
      <c r="G289" s="105" t="str">
        <f t="shared" si="10"/>
        <v/>
      </c>
      <c r="H289" s="117" t="str">
        <f t="shared" si="11"/>
        <v/>
      </c>
    </row>
    <row r="290" spans="5:8" x14ac:dyDescent="0.35">
      <c r="E290" s="116"/>
      <c r="F290" s="117" t="str">
        <f>IF(E290="","",SUMIFS('Trade Log'!K:K,'Trade Log'!A:A,E290,'Trade Log'!D:D,"Buy")+SUMIFS('Trade Log'!K:K,'Trade Log'!A:A,E290,'Trade Log'!D:D,"Sell")+SUMIFS('Trade Log'!I:I,'Trade Log'!A:A,E290,'Trade Log'!D:D,"Dividend")+SUMIFS('Trade Log'!I:I,'Trade Log'!A:A,E290,'Trade Log'!D:D,"Coupon")+SUMIFS('Trade Log'!I:I,'Trade Log'!A:A,E290,'Trade Log'!D:D,"Distribution")+SUMIFS('Trade Log'!I:I,'Trade Log'!A:A,E290,'Trade Log'!D:D,"Redemption")+SUMIFS('Trade Log'!I:I,'Trade Log'!A:A,E290,'Trade Log'!D:D,"Sec. Lending"))</f>
        <v/>
      </c>
      <c r="G290" s="105" t="str">
        <f t="shared" si="10"/>
        <v/>
      </c>
      <c r="H290" s="117" t="str">
        <f t="shared" si="11"/>
        <v/>
      </c>
    </row>
    <row r="291" spans="5:8" x14ac:dyDescent="0.35">
      <c r="E291" s="116"/>
      <c r="F291" s="117" t="str">
        <f>IF(E291="","",SUMIFS('Trade Log'!K:K,'Trade Log'!A:A,E291,'Trade Log'!D:D,"Buy")+SUMIFS('Trade Log'!K:K,'Trade Log'!A:A,E291,'Trade Log'!D:D,"Sell")+SUMIFS('Trade Log'!I:I,'Trade Log'!A:A,E291,'Trade Log'!D:D,"Dividend")+SUMIFS('Trade Log'!I:I,'Trade Log'!A:A,E291,'Trade Log'!D:D,"Coupon")+SUMIFS('Trade Log'!I:I,'Trade Log'!A:A,E291,'Trade Log'!D:D,"Distribution")+SUMIFS('Trade Log'!I:I,'Trade Log'!A:A,E291,'Trade Log'!D:D,"Redemption")+SUMIFS('Trade Log'!I:I,'Trade Log'!A:A,E291,'Trade Log'!D:D,"Sec. Lending"))</f>
        <v/>
      </c>
      <c r="G291" s="105" t="str">
        <f t="shared" si="10"/>
        <v/>
      </c>
      <c r="H291" s="117" t="str">
        <f t="shared" si="11"/>
        <v/>
      </c>
    </row>
    <row r="292" spans="5:8" x14ac:dyDescent="0.35">
      <c r="E292" s="116"/>
      <c r="F292" s="117" t="str">
        <f>IF(E292="","",SUMIFS('Trade Log'!K:K,'Trade Log'!A:A,E292,'Trade Log'!D:D,"Buy")+SUMIFS('Trade Log'!K:K,'Trade Log'!A:A,E292,'Trade Log'!D:D,"Sell")+SUMIFS('Trade Log'!I:I,'Trade Log'!A:A,E292,'Trade Log'!D:D,"Dividend")+SUMIFS('Trade Log'!I:I,'Trade Log'!A:A,E292,'Trade Log'!D:D,"Coupon")+SUMIFS('Trade Log'!I:I,'Trade Log'!A:A,E292,'Trade Log'!D:D,"Distribution")+SUMIFS('Trade Log'!I:I,'Trade Log'!A:A,E292,'Trade Log'!D:D,"Redemption")+SUMIFS('Trade Log'!I:I,'Trade Log'!A:A,E292,'Trade Log'!D:D,"Sec. Lending"))</f>
        <v/>
      </c>
      <c r="G292" s="105" t="str">
        <f t="shared" si="10"/>
        <v/>
      </c>
      <c r="H292" s="117" t="str">
        <f t="shared" si="11"/>
        <v/>
      </c>
    </row>
    <row r="293" spans="5:8" x14ac:dyDescent="0.35">
      <c r="E293" s="116"/>
      <c r="F293" s="117" t="str">
        <f>IF(E293="","",SUMIFS('Trade Log'!K:K,'Trade Log'!A:A,E293,'Trade Log'!D:D,"Buy")+SUMIFS('Trade Log'!K:K,'Trade Log'!A:A,E293,'Trade Log'!D:D,"Sell")+SUMIFS('Trade Log'!I:I,'Trade Log'!A:A,E293,'Trade Log'!D:D,"Dividend")+SUMIFS('Trade Log'!I:I,'Trade Log'!A:A,E293,'Trade Log'!D:D,"Coupon")+SUMIFS('Trade Log'!I:I,'Trade Log'!A:A,E293,'Trade Log'!D:D,"Distribution")+SUMIFS('Trade Log'!I:I,'Trade Log'!A:A,E293,'Trade Log'!D:D,"Redemption")+SUMIFS('Trade Log'!I:I,'Trade Log'!A:A,E293,'Trade Log'!D:D,"Sec. Lending"))</f>
        <v/>
      </c>
      <c r="G293" s="105" t="str">
        <f t="shared" si="10"/>
        <v/>
      </c>
      <c r="H293" s="117" t="str">
        <f t="shared" si="11"/>
        <v/>
      </c>
    </row>
    <row r="294" spans="5:8" x14ac:dyDescent="0.35">
      <c r="E294" s="116"/>
      <c r="F294" s="117" t="str">
        <f>IF(E294="","",SUMIFS('Trade Log'!K:K,'Trade Log'!A:A,E294,'Trade Log'!D:D,"Buy")+SUMIFS('Trade Log'!K:K,'Trade Log'!A:A,E294,'Trade Log'!D:D,"Sell")+SUMIFS('Trade Log'!I:I,'Trade Log'!A:A,E294,'Trade Log'!D:D,"Dividend")+SUMIFS('Trade Log'!I:I,'Trade Log'!A:A,E294,'Trade Log'!D:D,"Coupon")+SUMIFS('Trade Log'!I:I,'Trade Log'!A:A,E294,'Trade Log'!D:D,"Distribution")+SUMIFS('Trade Log'!I:I,'Trade Log'!A:A,E294,'Trade Log'!D:D,"Redemption")+SUMIFS('Trade Log'!I:I,'Trade Log'!A:A,E294,'Trade Log'!D:D,"Sec. Lending"))</f>
        <v/>
      </c>
      <c r="G294" s="105" t="str">
        <f t="shared" si="10"/>
        <v/>
      </c>
      <c r="H294" s="117" t="str">
        <f t="shared" si="11"/>
        <v/>
      </c>
    </row>
    <row r="295" spans="5:8" x14ac:dyDescent="0.35">
      <c r="E295" s="116"/>
      <c r="F295" s="117" t="str">
        <f>IF(E295="","",SUMIFS('Trade Log'!K:K,'Trade Log'!A:A,E295,'Trade Log'!D:D,"Buy")+SUMIFS('Trade Log'!K:K,'Trade Log'!A:A,E295,'Trade Log'!D:D,"Sell")+SUMIFS('Trade Log'!I:I,'Trade Log'!A:A,E295,'Trade Log'!D:D,"Dividend")+SUMIFS('Trade Log'!I:I,'Trade Log'!A:A,E295,'Trade Log'!D:D,"Coupon")+SUMIFS('Trade Log'!I:I,'Trade Log'!A:A,E295,'Trade Log'!D:D,"Distribution")+SUMIFS('Trade Log'!I:I,'Trade Log'!A:A,E295,'Trade Log'!D:D,"Redemption")+SUMIFS('Trade Log'!I:I,'Trade Log'!A:A,E295,'Trade Log'!D:D,"Sec. Lending"))</f>
        <v/>
      </c>
      <c r="G295" s="105" t="str">
        <f t="shared" si="10"/>
        <v/>
      </c>
      <c r="H295" s="117" t="str">
        <f t="shared" si="11"/>
        <v/>
      </c>
    </row>
    <row r="296" spans="5:8" x14ac:dyDescent="0.35">
      <c r="E296" s="116"/>
      <c r="F296" s="117" t="str">
        <f>IF(E296="","",SUMIFS('Trade Log'!K:K,'Trade Log'!A:A,E296,'Trade Log'!D:D,"Buy")+SUMIFS('Trade Log'!K:K,'Trade Log'!A:A,E296,'Trade Log'!D:D,"Sell")+SUMIFS('Trade Log'!I:I,'Trade Log'!A:A,E296,'Trade Log'!D:D,"Dividend")+SUMIFS('Trade Log'!I:I,'Trade Log'!A:A,E296,'Trade Log'!D:D,"Coupon")+SUMIFS('Trade Log'!I:I,'Trade Log'!A:A,E296,'Trade Log'!D:D,"Distribution")+SUMIFS('Trade Log'!I:I,'Trade Log'!A:A,E296,'Trade Log'!D:D,"Redemption")+SUMIFS('Trade Log'!I:I,'Trade Log'!A:A,E296,'Trade Log'!D:D,"Sec. Lending"))</f>
        <v/>
      </c>
      <c r="G296" s="105" t="str">
        <f t="shared" si="10"/>
        <v/>
      </c>
      <c r="H296" s="117" t="str">
        <f t="shared" si="11"/>
        <v/>
      </c>
    </row>
    <row r="297" spans="5:8" x14ac:dyDescent="0.35">
      <c r="E297" s="116"/>
      <c r="F297" s="117" t="str">
        <f>IF(E297="","",SUMIFS('Trade Log'!K:K,'Trade Log'!A:A,E297,'Trade Log'!D:D,"Buy")+SUMIFS('Trade Log'!K:K,'Trade Log'!A:A,E297,'Trade Log'!D:D,"Sell")+SUMIFS('Trade Log'!I:I,'Trade Log'!A:A,E297,'Trade Log'!D:D,"Dividend")+SUMIFS('Trade Log'!I:I,'Trade Log'!A:A,E297,'Trade Log'!D:D,"Coupon")+SUMIFS('Trade Log'!I:I,'Trade Log'!A:A,E297,'Trade Log'!D:D,"Distribution")+SUMIFS('Trade Log'!I:I,'Trade Log'!A:A,E297,'Trade Log'!D:D,"Redemption")+SUMIFS('Trade Log'!I:I,'Trade Log'!A:A,E297,'Trade Log'!D:D,"Sec. Lending"))</f>
        <v/>
      </c>
      <c r="G297" s="105" t="str">
        <f t="shared" si="10"/>
        <v/>
      </c>
      <c r="H297" s="117" t="str">
        <f t="shared" si="11"/>
        <v/>
      </c>
    </row>
    <row r="298" spans="5:8" x14ac:dyDescent="0.35">
      <c r="E298" s="116"/>
      <c r="F298" s="117" t="str">
        <f>IF(E298="","",SUMIFS('Trade Log'!K:K,'Trade Log'!A:A,E298,'Trade Log'!D:D,"Buy")+SUMIFS('Trade Log'!K:K,'Trade Log'!A:A,E298,'Trade Log'!D:D,"Sell")+SUMIFS('Trade Log'!I:I,'Trade Log'!A:A,E298,'Trade Log'!D:D,"Dividend")+SUMIFS('Trade Log'!I:I,'Trade Log'!A:A,E298,'Trade Log'!D:D,"Coupon")+SUMIFS('Trade Log'!I:I,'Trade Log'!A:A,E298,'Trade Log'!D:D,"Distribution")+SUMIFS('Trade Log'!I:I,'Trade Log'!A:A,E298,'Trade Log'!D:D,"Redemption")+SUMIFS('Trade Log'!I:I,'Trade Log'!A:A,E298,'Trade Log'!D:D,"Sec. Lending"))</f>
        <v/>
      </c>
      <c r="G298" s="105" t="str">
        <f t="shared" si="10"/>
        <v/>
      </c>
      <c r="H298" s="117" t="str">
        <f t="shared" si="11"/>
        <v/>
      </c>
    </row>
    <row r="299" spans="5:8" x14ac:dyDescent="0.35">
      <c r="E299" s="116"/>
      <c r="F299" s="117" t="str">
        <f>IF(E299="","",SUMIFS('Trade Log'!K:K,'Trade Log'!A:A,E299,'Trade Log'!D:D,"Buy")+SUMIFS('Trade Log'!K:K,'Trade Log'!A:A,E299,'Trade Log'!D:D,"Sell")+SUMIFS('Trade Log'!I:I,'Trade Log'!A:A,E299,'Trade Log'!D:D,"Dividend")+SUMIFS('Trade Log'!I:I,'Trade Log'!A:A,E299,'Trade Log'!D:D,"Coupon")+SUMIFS('Trade Log'!I:I,'Trade Log'!A:A,E299,'Trade Log'!D:D,"Distribution")+SUMIFS('Trade Log'!I:I,'Trade Log'!A:A,E299,'Trade Log'!D:D,"Redemption")+SUMIFS('Trade Log'!I:I,'Trade Log'!A:A,E299,'Trade Log'!D:D,"Sec. Lending"))</f>
        <v/>
      </c>
      <c r="G299" s="105" t="str">
        <f t="shared" si="10"/>
        <v/>
      </c>
      <c r="H299" s="117" t="str">
        <f t="shared" si="11"/>
        <v/>
      </c>
    </row>
    <row r="300" spans="5:8" x14ac:dyDescent="0.35">
      <c r="E300" s="116"/>
      <c r="F300" s="117" t="str">
        <f>IF(E300="","",SUMIFS('Trade Log'!K:K,'Trade Log'!A:A,E300,'Trade Log'!D:D,"Buy")+SUMIFS('Trade Log'!K:K,'Trade Log'!A:A,E300,'Trade Log'!D:D,"Sell")+SUMIFS('Trade Log'!I:I,'Trade Log'!A:A,E300,'Trade Log'!D:D,"Dividend")+SUMIFS('Trade Log'!I:I,'Trade Log'!A:A,E300,'Trade Log'!D:D,"Coupon")+SUMIFS('Trade Log'!I:I,'Trade Log'!A:A,E300,'Trade Log'!D:D,"Distribution")+SUMIFS('Trade Log'!I:I,'Trade Log'!A:A,E300,'Trade Log'!D:D,"Redemption")+SUMIFS('Trade Log'!I:I,'Trade Log'!A:A,E300,'Trade Log'!D:D,"Sec. Lending"))</f>
        <v/>
      </c>
      <c r="G300" s="105" t="str">
        <f t="shared" si="10"/>
        <v/>
      </c>
      <c r="H300" s="117" t="str">
        <f t="shared" si="11"/>
        <v/>
      </c>
    </row>
    <row r="301" spans="5:8" x14ac:dyDescent="0.35">
      <c r="E301" s="116"/>
      <c r="F301" s="117" t="str">
        <f>IF(E301="","",SUMIFS('Trade Log'!K:K,'Trade Log'!A:A,E301,'Trade Log'!D:D,"Buy")+SUMIFS('Trade Log'!K:K,'Trade Log'!A:A,E301,'Trade Log'!D:D,"Sell")+SUMIFS('Trade Log'!I:I,'Trade Log'!A:A,E301,'Trade Log'!D:D,"Dividend")+SUMIFS('Trade Log'!I:I,'Trade Log'!A:A,E301,'Trade Log'!D:D,"Coupon")+SUMIFS('Trade Log'!I:I,'Trade Log'!A:A,E301,'Trade Log'!D:D,"Distribution")+SUMIFS('Trade Log'!I:I,'Trade Log'!A:A,E301,'Trade Log'!D:D,"Redemption")+SUMIFS('Trade Log'!I:I,'Trade Log'!A:A,E301,'Trade Log'!D:D,"Sec. Lending"))</f>
        <v/>
      </c>
      <c r="G301" s="105" t="str">
        <f t="shared" si="10"/>
        <v/>
      </c>
      <c r="H301" s="117" t="str">
        <f t="shared" si="11"/>
        <v/>
      </c>
    </row>
    <row r="302" spans="5:8" x14ac:dyDescent="0.35">
      <c r="E302" s="116"/>
      <c r="F302" s="117" t="str">
        <f>IF(E302="","",SUMIFS('Trade Log'!K:K,'Trade Log'!A:A,E302,'Trade Log'!D:D,"Buy")+SUMIFS('Trade Log'!K:K,'Trade Log'!A:A,E302,'Trade Log'!D:D,"Sell")+SUMIFS('Trade Log'!I:I,'Trade Log'!A:A,E302,'Trade Log'!D:D,"Dividend")+SUMIFS('Trade Log'!I:I,'Trade Log'!A:A,E302,'Trade Log'!D:D,"Coupon")+SUMIFS('Trade Log'!I:I,'Trade Log'!A:A,E302,'Trade Log'!D:D,"Distribution")+SUMIFS('Trade Log'!I:I,'Trade Log'!A:A,E302,'Trade Log'!D:D,"Redemption")+SUMIFS('Trade Log'!I:I,'Trade Log'!A:A,E302,'Trade Log'!D:D,"Sec. Lending"))</f>
        <v/>
      </c>
      <c r="G302" s="105" t="str">
        <f t="shared" si="10"/>
        <v/>
      </c>
      <c r="H302" s="117" t="str">
        <f t="shared" si="11"/>
        <v/>
      </c>
    </row>
    <row r="303" spans="5:8" x14ac:dyDescent="0.35">
      <c r="E303" s="116"/>
      <c r="F303" s="117" t="str">
        <f>IF(E303="","",SUMIFS('Trade Log'!K:K,'Trade Log'!A:A,E303,'Trade Log'!D:D,"Buy")+SUMIFS('Trade Log'!K:K,'Trade Log'!A:A,E303,'Trade Log'!D:D,"Sell")+SUMIFS('Trade Log'!I:I,'Trade Log'!A:A,E303,'Trade Log'!D:D,"Dividend")+SUMIFS('Trade Log'!I:I,'Trade Log'!A:A,E303,'Trade Log'!D:D,"Coupon")+SUMIFS('Trade Log'!I:I,'Trade Log'!A:A,E303,'Trade Log'!D:D,"Distribution")+SUMIFS('Trade Log'!I:I,'Trade Log'!A:A,E303,'Trade Log'!D:D,"Redemption")+SUMIFS('Trade Log'!I:I,'Trade Log'!A:A,E303,'Trade Log'!D:D,"Sec. Lending"))</f>
        <v/>
      </c>
      <c r="G303" s="105" t="str">
        <f t="shared" si="10"/>
        <v/>
      </c>
      <c r="H303" s="117" t="str">
        <f t="shared" si="11"/>
        <v/>
      </c>
    </row>
    <row r="304" spans="5:8" x14ac:dyDescent="0.35">
      <c r="E304" s="116"/>
      <c r="F304" s="117" t="str">
        <f>IF(E304="","",SUMIFS('Trade Log'!K:K,'Trade Log'!A:A,E304,'Trade Log'!D:D,"Buy")+SUMIFS('Trade Log'!K:K,'Trade Log'!A:A,E304,'Trade Log'!D:D,"Sell")+SUMIFS('Trade Log'!I:I,'Trade Log'!A:A,E304,'Trade Log'!D:D,"Dividend")+SUMIFS('Trade Log'!I:I,'Trade Log'!A:A,E304,'Trade Log'!D:D,"Coupon")+SUMIFS('Trade Log'!I:I,'Trade Log'!A:A,E304,'Trade Log'!D:D,"Distribution")+SUMIFS('Trade Log'!I:I,'Trade Log'!A:A,E304,'Trade Log'!D:D,"Redemption")+SUMIFS('Trade Log'!I:I,'Trade Log'!A:A,E304,'Trade Log'!D:D,"Sec. Lending"))</f>
        <v/>
      </c>
      <c r="G304" s="105" t="str">
        <f t="shared" si="10"/>
        <v/>
      </c>
      <c r="H304" s="117" t="str">
        <f t="shared" si="11"/>
        <v/>
      </c>
    </row>
  </sheetData>
  <mergeCells count="3">
    <mergeCell ref="A7:C7"/>
    <mergeCell ref="E7:H7"/>
    <mergeCell ref="A47:C4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498C-F217-4F1B-BC04-22C774568915}">
  <dimension ref="A1:G474"/>
  <sheetViews>
    <sheetView showGridLines="0" workbookViewId="0">
      <selection activeCell="A6" sqref="A6"/>
    </sheetView>
  </sheetViews>
  <sheetFormatPr defaultColWidth="0" defaultRowHeight="13" x14ac:dyDescent="0.3"/>
  <cols>
    <col min="1" max="1" width="30.90625" style="6" customWidth="1"/>
    <col min="2" max="3" width="23.6328125" style="6" customWidth="1"/>
    <col min="4" max="4" width="25.453125" style="6" customWidth="1"/>
    <col min="5" max="5" width="16.08984375" style="6" customWidth="1"/>
    <col min="6" max="6" width="21.81640625" style="6" customWidth="1"/>
    <col min="7" max="7" width="1.6328125" style="6" customWidth="1"/>
    <col min="8" max="16384" width="8.7265625" style="6" hidden="1"/>
  </cols>
  <sheetData>
    <row r="1" spans="1:6" ht="30" customHeight="1" x14ac:dyDescent="0.3">
      <c r="A1" s="101" t="s">
        <v>429</v>
      </c>
      <c r="B1" s="98"/>
      <c r="C1" s="98"/>
      <c r="D1" s="98"/>
      <c r="E1" s="98"/>
      <c r="F1" s="98"/>
    </row>
    <row r="3" spans="1:6" x14ac:dyDescent="0.3">
      <c r="E3" s="7"/>
    </row>
    <row r="4" spans="1:6" ht="20" customHeight="1" x14ac:dyDescent="0.3">
      <c r="A4" s="179" t="s">
        <v>430</v>
      </c>
      <c r="B4" s="179"/>
      <c r="C4" s="179"/>
      <c r="D4" s="179"/>
      <c r="E4" s="180"/>
      <c r="F4" s="179"/>
    </row>
    <row r="5" spans="1:6" x14ac:dyDescent="0.3">
      <c r="A5" s="120" t="s">
        <v>363</v>
      </c>
      <c r="B5" s="121" t="s">
        <v>364</v>
      </c>
      <c r="C5" s="121" t="s">
        <v>365</v>
      </c>
      <c r="D5" s="121" t="s">
        <v>366</v>
      </c>
      <c r="E5" s="122" t="s">
        <v>367</v>
      </c>
      <c r="F5" s="121" t="s">
        <v>368</v>
      </c>
    </row>
    <row r="6" spans="1:6" x14ac:dyDescent="0.3">
      <c r="A6" s="123">
        <f>DATE(2025,1,31)</f>
        <v>45688</v>
      </c>
      <c r="B6" s="124">
        <v>9246.42</v>
      </c>
      <c r="C6" s="125" cm="1">
        <f t="array" ref="C6">SUMPRODUCT((ISNUMBER(SEARCH("Conferimento",'Statements (Raw)'!D$2:D$1000)))*(ISNUMBER('Statements (Raw)'!A$2:A$1000))*('Statements (Raw)'!A$2:A$1000&lt;=Holdings!$G$3)*(MONTH('Statements (Raw)'!A$2:A$1000)=MONTH(A6))*(YEAR('Statements (Raw)'!A$2:A$1000)=YEAR(A6))*('Statements (Raw)'!H$2:H$1000))</f>
        <v>0</v>
      </c>
      <c r="D6" s="125" cm="1">
        <f t="array" ref="D6">SUMPRODUCT((ISNUMBER(SEARCH("Prelievo",'Statements (Raw)'!D$2:D$1000)))*(ISNUMBER('Statements (Raw)'!A$2:A$1000))*('Statements (Raw)'!A$2:A$1000&lt;=Holdings!$G$3)*(MONTH('Statements (Raw)'!A$2:A$1000)=MONTH(A6))*(YEAR('Statements (Raw)'!A$2:A$1000)=YEAR(A6))*('Statements (Raw)'!H$2:H$1000))</f>
        <v>0</v>
      </c>
      <c r="E6" s="126">
        <v>0</v>
      </c>
      <c r="F6" s="127">
        <f>IF(E6="","",E6)</f>
        <v>0</v>
      </c>
    </row>
    <row r="7" spans="1:6" x14ac:dyDescent="0.3">
      <c r="A7" s="123">
        <f t="shared" ref="A7:A20" si="0">EOMONTH(A6,1)</f>
        <v>45716</v>
      </c>
      <c r="B7" s="124">
        <v>9509.36</v>
      </c>
      <c r="C7" s="125" cm="1">
        <f t="array" ref="C7">SUMPRODUCT((ISNUMBER(SEARCH("Conferimento",'Statements (Raw)'!D$2:D$1000)))*(ISNUMBER('Statements (Raw)'!A$2:A$1000))*('Statements (Raw)'!A$2:A$1000&lt;=Holdings!$G$3)*(MONTH('Statements (Raw)'!A$2:A$1000)=MONTH(A7))*(YEAR('Statements (Raw)'!A$2:A$1000)=YEAR(A7))*('Statements (Raw)'!H$2:H$1000))</f>
        <v>0</v>
      </c>
      <c r="D7" s="125" cm="1">
        <f t="array" ref="D7">SUMPRODUCT((ISNUMBER(SEARCH("Prelievo",'Statements (Raw)'!D$2:D$1000)))*(ISNUMBER('Statements (Raw)'!A$2:A$1000))*('Statements (Raw)'!A$2:A$1000&lt;=Holdings!$G$3)*(MONTH('Statements (Raw)'!A$2:A$1000)=MONTH(A7))*(YEAR('Statements (Raw)'!A$2:A$1000)=YEAR(A7))*('Statements (Raw)'!H$2:H$1000))</f>
        <v>0</v>
      </c>
      <c r="E7" s="128">
        <f>IF(OR(B7=0,B6=0),"",IF((B6+C7+D7)=0,0,(B7)/(B6+C7+D7)-1))</f>
        <v>2.8436951814864608E-2</v>
      </c>
      <c r="F7" s="127">
        <f t="shared" ref="F7:F20" si="1">IF(E7="","",IF(F6="",(1+E7)-1,(1+F6)*(1+E7)-1))</f>
        <v>2.8436951814864608E-2</v>
      </c>
    </row>
    <row r="8" spans="1:6" x14ac:dyDescent="0.3">
      <c r="A8" s="123">
        <f t="shared" si="0"/>
        <v>45747</v>
      </c>
      <c r="B8" s="124">
        <v>362517.02</v>
      </c>
      <c r="C8" s="125" cm="1">
        <f t="array" ref="C8">SUMPRODUCT((ISNUMBER(SEARCH("Conferimento",'Statements (Raw)'!D$2:D$1000)))*(ISNUMBER('Statements (Raw)'!A$2:A$1000))*('Statements (Raw)'!A$2:A$1000&lt;=Holdings!$G$3)*(MONTH('Statements (Raw)'!A$2:A$1000)=MONTH(A8))*(YEAR('Statements (Raw)'!A$2:A$1000)=YEAR(A8))*('Statements (Raw)'!H$2:H$1000))</f>
        <v>350000</v>
      </c>
      <c r="D8" s="125" cm="1">
        <f t="array" ref="D8">SUMPRODUCT((ISNUMBER(SEARCH("Prelievo",'Statements (Raw)'!D$2:D$1000)))*(ISNUMBER('Statements (Raw)'!A$2:A$1000))*('Statements (Raw)'!A$2:A$1000&lt;=Holdings!$G$3)*(MONTH('Statements (Raw)'!A$2:A$1000)=MONTH(A8))*(YEAR('Statements (Raw)'!A$2:A$1000)=YEAR(A8))*('Statements (Raw)'!H$2:H$1000))</f>
        <v>0</v>
      </c>
      <c r="E8" s="128">
        <f>IF(OR(B8=0,B7=0),"",IF((B7+C8+D8)=0,0,(B8)/(B7+C8+D8)-1))</f>
        <v>8.3660130573512959E-3</v>
      </c>
      <c r="F8" s="127">
        <f t="shared" si="1"/>
        <v>3.7040868782410419E-2</v>
      </c>
    </row>
    <row r="9" spans="1:6" x14ac:dyDescent="0.3">
      <c r="A9" s="123">
        <f t="shared" si="0"/>
        <v>45777</v>
      </c>
      <c r="B9" s="124">
        <v>361744.98</v>
      </c>
      <c r="C9" s="125" cm="1">
        <f t="array" ref="C9">SUMPRODUCT((ISNUMBER(SEARCH("Conferimento",'Statements (Raw)'!D$2:D$1000)))*(ISNUMBER('Statements (Raw)'!A$2:A$1000))*('Statements (Raw)'!A$2:A$1000&lt;=Holdings!$G$3)*(MONTH('Statements (Raw)'!A$2:A$1000)=MONTH(A9))*(YEAR('Statements (Raw)'!A$2:A$1000)=YEAR(A9))*('Statements (Raw)'!H$2:H$1000))</f>
        <v>0</v>
      </c>
      <c r="D9" s="125" cm="1">
        <f t="array" ref="D9">SUMPRODUCT((ISNUMBER(SEARCH("Prelievo",'Statements (Raw)'!D$2:D$1000)))*(ISNUMBER('Statements (Raw)'!A$2:A$1000))*('Statements (Raw)'!A$2:A$1000&lt;=Holdings!$G$3)*(MONTH('Statements (Raw)'!A$2:A$1000)=MONTH(A9))*(YEAR('Statements (Raw)'!A$2:A$1000)=YEAR(A9))*('Statements (Raw)'!H$2:H$1000))</f>
        <v>0</v>
      </c>
      <c r="E9" s="128">
        <f t="shared" ref="E9:E20" si="2">IF(OR(B9=0,B8=0),"",IF((B8+C9+D9)=0,0,(B9)/(B8+C9+D9)-1))</f>
        <v>-2.1296655257732056E-3</v>
      </c>
      <c r="F9" s="127">
        <f t="shared" si="1"/>
        <v>3.4832318595346523E-2</v>
      </c>
    </row>
    <row r="10" spans="1:6" x14ac:dyDescent="0.3">
      <c r="A10" s="123">
        <f t="shared" si="0"/>
        <v>45808</v>
      </c>
      <c r="B10" s="124">
        <v>362496.72</v>
      </c>
      <c r="C10" s="125" cm="1">
        <f t="array" ref="C10">SUMPRODUCT((ISNUMBER(SEARCH("Conferimento",'Statements (Raw)'!D$2:D$1000)))*(ISNUMBER('Statements (Raw)'!A$2:A$1000))*('Statements (Raw)'!A$2:A$1000&lt;=Holdings!$G$3)*(MONTH('Statements (Raw)'!A$2:A$1000)=MONTH(A10))*(YEAR('Statements (Raw)'!A$2:A$1000)=YEAR(A10))*('Statements (Raw)'!H$2:H$1000))</f>
        <v>0</v>
      </c>
      <c r="D10" s="125" cm="1">
        <f t="array" ref="D10">SUMPRODUCT((ISNUMBER(SEARCH("Prelievo",'Statements (Raw)'!D$2:D$1000)))*(ISNUMBER('Statements (Raw)'!A$2:A$1000))*('Statements (Raw)'!A$2:A$1000&lt;=Holdings!$G$3)*(MONTH('Statements (Raw)'!A$2:A$1000)=MONTH(A10))*(YEAR('Statements (Raw)'!A$2:A$1000)=YEAR(A10))*('Statements (Raw)'!H$2:H$1000))</f>
        <v>0</v>
      </c>
      <c r="E10" s="128">
        <f t="shared" si="2"/>
        <v>2.0780937996707216E-3</v>
      </c>
      <c r="F10" s="127">
        <f t="shared" si="1"/>
        <v>3.6982797220318497E-2</v>
      </c>
    </row>
    <row r="11" spans="1:6" x14ac:dyDescent="0.3">
      <c r="A11" s="123">
        <f t="shared" si="0"/>
        <v>45838</v>
      </c>
      <c r="B11" s="124">
        <v>464207.34</v>
      </c>
      <c r="C11" s="125" cm="1">
        <f t="array" ref="C11">SUMPRODUCT((ISNUMBER(SEARCH("Conferimento",'Statements (Raw)'!D$2:D$1000)))*(ISNUMBER('Statements (Raw)'!A$2:A$1000))*('Statements (Raw)'!A$2:A$1000&lt;=Holdings!$G$3)*(MONTH('Statements (Raw)'!A$2:A$1000)=MONTH(A11))*(YEAR('Statements (Raw)'!A$2:A$1000)=YEAR(A11))*('Statements (Raw)'!H$2:H$1000))</f>
        <v>100000</v>
      </c>
      <c r="D11" s="125" cm="1">
        <f t="array" ref="D11">SUMPRODUCT((ISNUMBER(SEARCH("Prelievo",'Statements (Raw)'!D$2:D$1000)))*(ISNUMBER('Statements (Raw)'!A$2:A$1000))*('Statements (Raw)'!A$2:A$1000&lt;=Holdings!$G$3)*(MONTH('Statements (Raw)'!A$2:A$1000)=MONTH(A11))*(YEAR('Statements (Raw)'!A$2:A$1000)=YEAR(A11))*('Statements (Raw)'!H$2:H$1000))</f>
        <v>0</v>
      </c>
      <c r="E11" s="128">
        <f t="shared" si="2"/>
        <v>3.6986640683636107E-3</v>
      </c>
      <c r="F11" s="127">
        <f t="shared" si="1"/>
        <v>4.0818248231908383E-2</v>
      </c>
    </row>
    <row r="12" spans="1:6" x14ac:dyDescent="0.3">
      <c r="A12" s="123">
        <f t="shared" si="0"/>
        <v>45869</v>
      </c>
      <c r="B12" s="124">
        <v>457841.3</v>
      </c>
      <c r="C12" s="125" cm="1">
        <f t="array" ref="C12">SUMPRODUCT((ISNUMBER(SEARCH("Conferimento",'Statements (Raw)'!D$2:D$1000)))*(ISNUMBER('Statements (Raw)'!A$2:A$1000))*('Statements (Raw)'!A$2:A$1000&lt;=Holdings!$G$3)*(MONTH('Statements (Raw)'!A$2:A$1000)=MONTH(A12))*(YEAR('Statements (Raw)'!A$2:A$1000)=YEAR(A12))*('Statements (Raw)'!H$2:H$1000))</f>
        <v>0</v>
      </c>
      <c r="D12" s="125" cm="1">
        <f t="array" ref="D12">SUMPRODUCT((ISNUMBER(SEARCH("Prelievo",'Statements (Raw)'!D$2:D$1000)))*(ISNUMBER('Statements (Raw)'!A$2:A$1000))*('Statements (Raw)'!A$2:A$1000&lt;=Holdings!$G$3)*(MONTH('Statements (Raw)'!A$2:A$1000)=MONTH(A12))*(YEAR('Statements (Raw)'!A$2:A$1000)=YEAR(A12))*('Statements (Raw)'!H$2:H$1000))</f>
        <v>0</v>
      </c>
      <c r="E12" s="128">
        <f t="shared" si="2"/>
        <v>-1.3713785740656403E-2</v>
      </c>
      <c r="F12" s="127">
        <f t="shared" si="1"/>
        <v>2.6544689780690689E-2</v>
      </c>
    </row>
    <row r="13" spans="1:6" x14ac:dyDescent="0.3">
      <c r="A13" s="123">
        <f t="shared" si="0"/>
        <v>45900</v>
      </c>
      <c r="B13" s="124">
        <v>474577.98</v>
      </c>
      <c r="C13" s="125" cm="1">
        <f t="array" ref="C13">SUMPRODUCT((ISNUMBER(SEARCH("Conferimento",'Statements (Raw)'!D$2:D$1000)))*(ISNUMBER('Statements (Raw)'!A$2:A$1000))*('Statements (Raw)'!A$2:A$1000&lt;=Holdings!$G$3)*(MONTH('Statements (Raw)'!A$2:A$1000)=MONTH(A13))*(YEAR('Statements (Raw)'!A$2:A$1000)=YEAR(A13))*('Statements (Raw)'!H$2:H$1000))</f>
        <v>0</v>
      </c>
      <c r="D13" s="125" cm="1">
        <f t="array" ref="D13">SUMPRODUCT((ISNUMBER(SEARCH("Prelievo",'Statements (Raw)'!D$2:D$1000)))*(ISNUMBER('Statements (Raw)'!A$2:A$1000))*('Statements (Raw)'!A$2:A$1000&lt;=Holdings!$G$3)*(MONTH('Statements (Raw)'!A$2:A$1000)=MONTH(A13))*(YEAR('Statements (Raw)'!A$2:A$1000)=YEAR(A13))*('Statements (Raw)'!H$2:H$1000))</f>
        <v>0</v>
      </c>
      <c r="E13" s="128">
        <f t="shared" si="2"/>
        <v>3.6555636199705033E-2</v>
      </c>
      <c r="F13" s="127">
        <f t="shared" si="1"/>
        <v>6.4070684003052714E-2</v>
      </c>
    </row>
    <row r="14" spans="1:6" x14ac:dyDescent="0.3">
      <c r="A14" s="123">
        <f t="shared" si="0"/>
        <v>45930</v>
      </c>
      <c r="B14" s="124">
        <v>884902.22</v>
      </c>
      <c r="C14" s="125" cm="1">
        <f t="array" ref="C14">SUMPRODUCT((ISNUMBER(SEARCH("Conferimento",'Statements (Raw)'!D$2:D$1000)))*(ISNUMBER('Statements (Raw)'!A$2:A$1000))*('Statements (Raw)'!A$2:A$1000&lt;=Holdings!$G$3)*(MONTH('Statements (Raw)'!A$2:A$1000)=MONTH(A14))*(YEAR('Statements (Raw)'!A$2:A$1000)=YEAR(A14))*('Statements (Raw)'!H$2:H$1000))</f>
        <v>400000</v>
      </c>
      <c r="D14" s="125" cm="1">
        <f t="array" ref="D14">SUMPRODUCT((ISNUMBER(SEARCH("Prelievo",'Statements (Raw)'!D$2:D$1000)))*(ISNUMBER('Statements (Raw)'!A$2:A$1000))*('Statements (Raw)'!A$2:A$1000&lt;=Holdings!$G$3)*(MONTH('Statements (Raw)'!A$2:A$1000)=MONTH(A14))*(YEAR('Statements (Raw)'!A$2:A$1000)=YEAR(A14))*('Statements (Raw)'!H$2:H$1000))</f>
        <v>0</v>
      </c>
      <c r="E14" s="128">
        <f t="shared" si="2"/>
        <v>1.1804824996851648E-2</v>
      </c>
      <c r="F14" s="127">
        <f t="shared" si="1"/>
        <v>7.6631852211988871E-2</v>
      </c>
    </row>
    <row r="15" spans="1:6" x14ac:dyDescent="0.3">
      <c r="A15" s="123">
        <f t="shared" si="0"/>
        <v>45961</v>
      </c>
      <c r="B15" s="124">
        <v>1277030.03</v>
      </c>
      <c r="C15" s="125" cm="1">
        <f t="array" ref="C15">SUMPRODUCT((ISNUMBER(SEARCH("Conferimento",'Statements (Raw)'!D$2:D$1000)))*(ISNUMBER('Statements (Raw)'!A$2:A$1000))*('Statements (Raw)'!A$2:A$1000&lt;=Holdings!$G$3)*(MONTH('Statements (Raw)'!A$2:A$1000)=MONTH(A15))*(YEAR('Statements (Raw)'!A$2:A$1000)=YEAR(A15))*('Statements (Raw)'!H$2:H$1000))</f>
        <v>400000</v>
      </c>
      <c r="D15" s="125" cm="1">
        <f t="array" ref="D15">SUMPRODUCT((ISNUMBER(SEARCH("Prelievo",'Statements (Raw)'!D$2:D$1000)))*(ISNUMBER('Statements (Raw)'!A$2:A$1000))*('Statements (Raw)'!A$2:A$1000&lt;=Holdings!$G$3)*(MONTH('Statements (Raw)'!A$2:A$1000)=MONTH(A15))*(YEAR('Statements (Raw)'!A$2:A$1000)=YEAR(A15))*('Statements (Raw)'!H$2:H$1000))</f>
        <v>0</v>
      </c>
      <c r="E15" s="128">
        <f t="shared" si="2"/>
        <v>-6.1266840989658844E-3</v>
      </c>
      <c r="F15" s="127">
        <f t="shared" si="1"/>
        <v>7.0035668962601383E-2</v>
      </c>
    </row>
    <row r="16" spans="1:6" x14ac:dyDescent="0.3">
      <c r="A16" s="123">
        <f t="shared" si="0"/>
        <v>45991</v>
      </c>
      <c r="B16" s="124">
        <v>1254727.1200000001</v>
      </c>
      <c r="C16" s="125" cm="1">
        <f t="array" ref="C16">SUMPRODUCT((ISNUMBER(SEARCH("Conferimento",'Statements (Raw)'!D$2:D$1000)))*(ISNUMBER('Statements (Raw)'!A$2:A$1000))*('Statements (Raw)'!A$2:A$1000&lt;=Holdings!$G$3)*(MONTH('Statements (Raw)'!A$2:A$1000)=MONTH(A16))*(YEAR('Statements (Raw)'!A$2:A$1000)=YEAR(A16))*('Statements (Raw)'!H$2:H$1000))</f>
        <v>0</v>
      </c>
      <c r="D16" s="125" cm="1">
        <f t="array" ref="D16">SUMPRODUCT((ISNUMBER(SEARCH("Prelievo",'Statements (Raw)'!D$2:D$1000)))*(ISNUMBER('Statements (Raw)'!A$2:A$1000))*('Statements (Raw)'!A$2:A$1000&lt;=Holdings!$G$3)*(MONTH('Statements (Raw)'!A$2:A$1000)=MONTH(A16))*(YEAR('Statements (Raw)'!A$2:A$1000)=YEAR(A16))*('Statements (Raw)'!H$2:H$1000))</f>
        <v>0</v>
      </c>
      <c r="E16" s="128">
        <f t="shared" si="2"/>
        <v>-1.746467152381681E-2</v>
      </c>
      <c r="F16" s="127">
        <f>IF(E16="","",IF(F15="",(1+E16)-1,(1+F15)*(1+E16)-1))</f>
        <v>5.1347847485401887E-2</v>
      </c>
    </row>
    <row r="17" spans="1:6" x14ac:dyDescent="0.3">
      <c r="A17" s="123">
        <f t="shared" si="0"/>
        <v>46022</v>
      </c>
      <c r="B17" s="124">
        <v>1228944.45</v>
      </c>
      <c r="C17" s="125" cm="1">
        <f t="array" ref="C17">SUMPRODUCT((ISNUMBER(SEARCH("Conferimento",'Statements (Raw)'!D$2:D$1000)))*(ISNUMBER('Statements (Raw)'!A$2:A$1000))*('Statements (Raw)'!A$2:A$1000&lt;=Holdings!$G$3)*(MONTH('Statements (Raw)'!A$2:A$1000)=MONTH(A17))*(YEAR('Statements (Raw)'!A$2:A$1000)=YEAR(A17))*('Statements (Raw)'!H$2:H$1000))</f>
        <v>0</v>
      </c>
      <c r="D17" s="125" cm="1">
        <f t="array" ref="D17">SUMPRODUCT((ISNUMBER(SEARCH("Prelievo",'Statements (Raw)'!D$2:D$1000)))*(ISNUMBER('Statements (Raw)'!A$2:A$1000))*('Statements (Raw)'!A$2:A$1000&lt;=Holdings!$G$3)*(MONTH('Statements (Raw)'!A$2:A$1000)=MONTH(A17))*(YEAR('Statements (Raw)'!A$2:A$1000)=YEAR(A17))*('Statements (Raw)'!H$2:H$1000))</f>
        <v>-30000</v>
      </c>
      <c r="E17" s="128">
        <f t="shared" si="2"/>
        <v>3.4434854353513344E-3</v>
      </c>
      <c r="F17" s="127">
        <f t="shared" si="1"/>
        <v>5.4968148485705859E-2</v>
      </c>
    </row>
    <row r="18" spans="1:6" x14ac:dyDescent="0.3">
      <c r="A18" s="123">
        <f t="shared" si="0"/>
        <v>46053</v>
      </c>
      <c r="B18" s="124">
        <v>1228867.1399999999</v>
      </c>
      <c r="C18" s="125" cm="1">
        <f t="array" ref="C18">SUMPRODUCT((ISNUMBER(SEARCH("Conferimento",'Statements (Raw)'!D$2:D$1000)))*(ISNUMBER('Statements (Raw)'!A$2:A$1000))*('Statements (Raw)'!A$2:A$1000&lt;=Holdings!$G$3)*(MONTH('Statements (Raw)'!A$2:A$1000)=MONTH(A18))*(YEAR('Statements (Raw)'!A$2:A$1000)=YEAR(A18))*('Statements (Raw)'!H$2:H$1000))</f>
        <v>0</v>
      </c>
      <c r="D18" s="125" cm="1">
        <f t="array" ref="D18">SUMPRODUCT((ISNUMBER(SEARCH("Prelievo",'Statements (Raw)'!D$2:D$1000)))*(ISNUMBER('Statements (Raw)'!A$2:A$1000))*('Statements (Raw)'!A$2:A$1000&lt;=Holdings!$G$3)*(MONTH('Statements (Raw)'!A$2:A$1000)=MONTH(A18))*(YEAR('Statements (Raw)'!A$2:A$1000)=YEAR(A18))*('Statements (Raw)'!H$2:H$1000))</f>
        <v>0</v>
      </c>
      <c r="E18" s="128">
        <f t="shared" si="2"/>
        <v>-6.2907644035492538E-5</v>
      </c>
      <c r="F18" s="127">
        <f t="shared" si="1"/>
        <v>5.4901782924952069E-2</v>
      </c>
    </row>
    <row r="19" spans="1:6" x14ac:dyDescent="0.3">
      <c r="A19" s="123">
        <f t="shared" si="0"/>
        <v>46081</v>
      </c>
      <c r="B19" s="124">
        <v>1278754.23</v>
      </c>
      <c r="C19" s="125" cm="1">
        <f t="array" ref="C19">SUMPRODUCT((ISNUMBER(SEARCH("Conferimento",'Statements (Raw)'!D$2:D$1000)))*(ISNUMBER('Statements (Raw)'!A$2:A$1000))*('Statements (Raw)'!A$2:A$1000&lt;=Holdings!$G$3)*(MONTH('Statements (Raw)'!A$2:A$1000)=MONTH(A19))*(YEAR('Statements (Raw)'!A$2:A$1000)=YEAR(A19))*('Statements (Raw)'!H$2:H$1000))</f>
        <v>0</v>
      </c>
      <c r="D19" s="125" cm="1">
        <f t="array" ref="D19">SUMPRODUCT((ISNUMBER(SEARCH("Prelievo",'Statements (Raw)'!D$2:D$1000)))*(ISNUMBER('Statements (Raw)'!A$2:A$1000))*('Statements (Raw)'!A$2:A$1000&lt;=Holdings!$G$3)*(MONTH('Statements (Raw)'!A$2:A$1000)=MONTH(A19))*(YEAR('Statements (Raw)'!A$2:A$1000)=YEAR(A19))*('Statements (Raw)'!H$2:H$1000))</f>
        <v>0</v>
      </c>
      <c r="E19" s="128">
        <f t="shared" si="2"/>
        <v>4.0595999661932503E-2</v>
      </c>
      <c r="F19" s="127">
        <f t="shared" si="1"/>
        <v>9.7726575347945488E-2</v>
      </c>
    </row>
    <row r="20" spans="1:6" x14ac:dyDescent="0.3">
      <c r="A20" s="123">
        <f t="shared" si="0"/>
        <v>46112</v>
      </c>
      <c r="B20" s="124">
        <v>1179642.0900000001</v>
      </c>
      <c r="C20" s="125" cm="1">
        <f t="array" ref="C20">SUMPRODUCT((ISNUMBER(SEARCH("Conferimento",'Statements (Raw)'!D$2:D$1000)))*(ISNUMBER('Statements (Raw)'!A$2:A$1000))*('Statements (Raw)'!A$2:A$1000&lt;=Holdings!$G$3)*(MONTH('Statements (Raw)'!A$2:A$1000)=MONTH(A20))*(YEAR('Statements (Raw)'!A$2:A$1000)=YEAR(A20))*('Statements (Raw)'!H$2:H$1000))</f>
        <v>0</v>
      </c>
      <c r="D20" s="125" cm="1">
        <f t="array" ref="D20">SUMPRODUCT((ISNUMBER(SEARCH("Prelievo",'Statements (Raw)'!D$2:D$1000)))*(ISNUMBER('Statements (Raw)'!A$2:A$1000))*('Statements (Raw)'!A$2:A$1000&lt;=Holdings!$G$3)*(MONTH('Statements (Raw)'!A$2:A$1000)=MONTH(A20))*(YEAR('Statements (Raw)'!A$2:A$1000)=YEAR(A20))*('Statements (Raw)'!H$2:H$1000))</f>
        <v>0</v>
      </c>
      <c r="E20" s="128">
        <f t="shared" si="2"/>
        <v>-7.7506793467263746E-2</v>
      </c>
      <c r="F20" s="127">
        <f t="shared" si="1"/>
        <v>1.2645308388925525E-2</v>
      </c>
    </row>
    <row r="21" spans="1:6" ht="2" customHeight="1" x14ac:dyDescent="0.3">
      <c r="A21" s="129"/>
      <c r="B21" s="129"/>
      <c r="C21" s="129"/>
      <c r="D21" s="129"/>
      <c r="E21" s="130"/>
      <c r="F21" s="129"/>
    </row>
    <row r="22" spans="1:6" x14ac:dyDescent="0.3">
      <c r="E22" s="7"/>
    </row>
    <row r="23" spans="1:6" x14ac:dyDescent="0.3">
      <c r="A23" s="131" t="s">
        <v>369</v>
      </c>
      <c r="B23" s="127" cm="1">
        <f t="array" ref="B23">IFERROR(IF(SUMPRODUCT((ISNUMBER(E6:E20))*(A6:A20&lt;=Holdings!$G$3)*1)&lt;1,"-",((1+LOOKUP(2,1/(A6:A20&lt;=Holdings!$G$3)/ISNUMBER(F6:F20),F6:F20))^(12/SUMPRODUCT((ISNUMBER(E6:E20))*(A6:A20&lt;=Holdings!$G$3)*1)))-1),"-")</f>
        <v>1.0103518663853395E-2</v>
      </c>
      <c r="E23" s="7"/>
    </row>
    <row r="24" spans="1:6" x14ac:dyDescent="0.3">
      <c r="A24" s="131" t="s">
        <v>370</v>
      </c>
      <c r="B24" s="127" cm="1">
        <f t="array" ref="B24">IFERROR(IF(SUMPRODUCT((ISNUMBER(E6:E20))*(A6:A20&lt;=Holdings!$G$3)*1)&lt;2,"-",STDEV(IF((ISNUMBER(E6:E20))*(A6:A20&lt;=Holdings!$G$3),E6:E20))),"-")</f>
        <v>2.7455328876202709E-2</v>
      </c>
      <c r="E24" s="7"/>
    </row>
    <row r="25" spans="1:6" x14ac:dyDescent="0.3">
      <c r="A25" s="131" t="s">
        <v>371</v>
      </c>
      <c r="B25" s="132">
        <v>3.5000000000000003E-2</v>
      </c>
      <c r="E25" s="7"/>
    </row>
    <row r="26" spans="1:6" x14ac:dyDescent="0.3">
      <c r="A26" s="133" t="s">
        <v>372</v>
      </c>
      <c r="B26" s="134">
        <f>IFERROR(IF(OR(B23="-",B24="-",B24=0),"-",(B23-B25)/(B24*SQRT(12))),"-")</f>
        <v>-0.26177049756190679</v>
      </c>
      <c r="E26" s="7"/>
    </row>
    <row r="27" spans="1:6" ht="4" customHeight="1" x14ac:dyDescent="0.3">
      <c r="A27" s="135"/>
      <c r="B27" s="136"/>
      <c r="E27" s="7"/>
    </row>
    <row r="28" spans="1:6" x14ac:dyDescent="0.3">
      <c r="A28" s="137" t="s">
        <v>431</v>
      </c>
      <c r="B28" s="138" cm="1">
        <f t="array" ref="B28">IFERROR(IF(SUMPRODUCT((ISNUMBER(E6:E20))*(A6:A20&lt;=Holdings!$G$3)*1)&lt;2,"-",MIN(IF((ISNUMBER(F6:F20))*(A6:A20&lt;=Holdings!$G$3),(1+F6:F20)/MAX(IF((ISNUMBER(F6:F20))*(A6:A20&lt;=Holdings!$G$3)*(ROW(F6:F20)&lt;=ROW(F6:F20)),1+F6:F20))-1))),"-")</f>
        <v>-8.9026336377953874E-2</v>
      </c>
      <c r="E28" s="7"/>
    </row>
    <row r="29" spans="1:6" x14ac:dyDescent="0.3">
      <c r="E29" s="7"/>
    </row>
    <row r="30" spans="1:6" x14ac:dyDescent="0.3">
      <c r="E30" s="7"/>
    </row>
    <row r="31" spans="1:6" x14ac:dyDescent="0.3">
      <c r="E31" s="7"/>
    </row>
    <row r="32" spans="1:6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5" x14ac:dyDescent="0.3">
      <c r="E337" s="7"/>
    </row>
    <row r="338" spans="5:5" x14ac:dyDescent="0.3">
      <c r="E338" s="7"/>
    </row>
    <row r="339" spans="5:5" x14ac:dyDescent="0.3">
      <c r="E339" s="7"/>
    </row>
    <row r="340" spans="5:5" x14ac:dyDescent="0.3">
      <c r="E340" s="7"/>
    </row>
    <row r="341" spans="5:5" x14ac:dyDescent="0.3">
      <c r="E341" s="7"/>
    </row>
    <row r="342" spans="5:5" x14ac:dyDescent="0.3">
      <c r="E342" s="7"/>
    </row>
    <row r="343" spans="5:5" x14ac:dyDescent="0.3">
      <c r="E343" s="7"/>
    </row>
    <row r="344" spans="5:5" x14ac:dyDescent="0.3">
      <c r="E344" s="7"/>
    </row>
    <row r="345" spans="5:5" x14ac:dyDescent="0.3">
      <c r="E345" s="7"/>
    </row>
    <row r="346" spans="5:5" x14ac:dyDescent="0.3">
      <c r="E346" s="7"/>
    </row>
    <row r="347" spans="5:5" x14ac:dyDescent="0.3">
      <c r="E347" s="7"/>
    </row>
    <row r="348" spans="5:5" x14ac:dyDescent="0.3">
      <c r="E348" s="7"/>
    </row>
    <row r="349" spans="5:5" x14ac:dyDescent="0.3">
      <c r="E349" s="7"/>
    </row>
    <row r="350" spans="5:5" x14ac:dyDescent="0.3">
      <c r="E350" s="7"/>
    </row>
    <row r="351" spans="5:5" x14ac:dyDescent="0.3">
      <c r="E351" s="7"/>
    </row>
    <row r="352" spans="5:5" x14ac:dyDescent="0.3">
      <c r="E352" s="7"/>
    </row>
    <row r="353" spans="5:5" x14ac:dyDescent="0.3">
      <c r="E353" s="7"/>
    </row>
    <row r="354" spans="5:5" x14ac:dyDescent="0.3">
      <c r="E354" s="7"/>
    </row>
    <row r="355" spans="5:5" x14ac:dyDescent="0.3">
      <c r="E355" s="7"/>
    </row>
    <row r="356" spans="5:5" x14ac:dyDescent="0.3">
      <c r="E356" s="7"/>
    </row>
    <row r="357" spans="5:5" x14ac:dyDescent="0.3">
      <c r="E357" s="7"/>
    </row>
    <row r="358" spans="5:5" x14ac:dyDescent="0.3">
      <c r="E358" s="7"/>
    </row>
    <row r="359" spans="5:5" x14ac:dyDescent="0.3">
      <c r="E359" s="7"/>
    </row>
    <row r="360" spans="5:5" x14ac:dyDescent="0.3">
      <c r="E360" s="7"/>
    </row>
    <row r="361" spans="5:5" x14ac:dyDescent="0.3">
      <c r="E361" s="7"/>
    </row>
    <row r="362" spans="5:5" x14ac:dyDescent="0.3">
      <c r="E362" s="7"/>
    </row>
    <row r="363" spans="5:5" x14ac:dyDescent="0.3">
      <c r="E363" s="7"/>
    </row>
    <row r="364" spans="5:5" x14ac:dyDescent="0.3">
      <c r="E364" s="7"/>
    </row>
    <row r="365" spans="5:5" x14ac:dyDescent="0.3">
      <c r="E365" s="7"/>
    </row>
    <row r="366" spans="5:5" x14ac:dyDescent="0.3">
      <c r="E366" s="7"/>
    </row>
    <row r="367" spans="5:5" x14ac:dyDescent="0.3">
      <c r="E367" s="7"/>
    </row>
    <row r="368" spans="5:5" x14ac:dyDescent="0.3">
      <c r="E368" s="7"/>
    </row>
    <row r="369" spans="5:5" x14ac:dyDescent="0.3">
      <c r="E369" s="7"/>
    </row>
    <row r="370" spans="5:5" x14ac:dyDescent="0.3">
      <c r="E370" s="7"/>
    </row>
    <row r="371" spans="5:5" x14ac:dyDescent="0.3">
      <c r="E371" s="7"/>
    </row>
    <row r="372" spans="5:5" x14ac:dyDescent="0.3">
      <c r="E372" s="7"/>
    </row>
    <row r="373" spans="5:5" x14ac:dyDescent="0.3">
      <c r="E373" s="7"/>
    </row>
    <row r="374" spans="5:5" x14ac:dyDescent="0.3">
      <c r="E374" s="7"/>
    </row>
    <row r="375" spans="5:5" x14ac:dyDescent="0.3">
      <c r="E375" s="7"/>
    </row>
    <row r="376" spans="5:5" x14ac:dyDescent="0.3">
      <c r="E376" s="7"/>
    </row>
    <row r="377" spans="5:5" x14ac:dyDescent="0.3">
      <c r="E377" s="7"/>
    </row>
    <row r="378" spans="5:5" x14ac:dyDescent="0.3">
      <c r="E378" s="7"/>
    </row>
    <row r="379" spans="5:5" x14ac:dyDescent="0.3">
      <c r="E379" s="7"/>
    </row>
    <row r="380" spans="5:5" x14ac:dyDescent="0.3">
      <c r="E380" s="7"/>
    </row>
    <row r="381" spans="5:5" x14ac:dyDescent="0.3">
      <c r="E381" s="7"/>
    </row>
    <row r="382" spans="5:5" x14ac:dyDescent="0.3">
      <c r="E382" s="7"/>
    </row>
    <row r="383" spans="5:5" x14ac:dyDescent="0.3">
      <c r="E383" s="7"/>
    </row>
    <row r="384" spans="5:5" x14ac:dyDescent="0.3">
      <c r="E384" s="7"/>
    </row>
    <row r="385" spans="5:5" x14ac:dyDescent="0.3">
      <c r="E385" s="7"/>
    </row>
    <row r="386" spans="5:5" x14ac:dyDescent="0.3">
      <c r="E386" s="7"/>
    </row>
    <row r="387" spans="5:5" x14ac:dyDescent="0.3">
      <c r="E387" s="7"/>
    </row>
    <row r="388" spans="5:5" x14ac:dyDescent="0.3">
      <c r="E388" s="7"/>
    </row>
    <row r="389" spans="5:5" x14ac:dyDescent="0.3">
      <c r="E389" s="7"/>
    </row>
    <row r="390" spans="5:5" x14ac:dyDescent="0.3">
      <c r="E390" s="7"/>
    </row>
    <row r="391" spans="5:5" x14ac:dyDescent="0.3">
      <c r="E391" s="7"/>
    </row>
    <row r="392" spans="5:5" x14ac:dyDescent="0.3">
      <c r="E392" s="7"/>
    </row>
    <row r="393" spans="5:5" x14ac:dyDescent="0.3">
      <c r="E393" s="7"/>
    </row>
    <row r="394" spans="5:5" x14ac:dyDescent="0.3">
      <c r="E394" s="7"/>
    </row>
    <row r="395" spans="5:5" x14ac:dyDescent="0.3">
      <c r="E395" s="7"/>
    </row>
    <row r="396" spans="5:5" x14ac:dyDescent="0.3">
      <c r="E396" s="7"/>
    </row>
    <row r="397" spans="5:5" x14ac:dyDescent="0.3">
      <c r="E397" s="7"/>
    </row>
    <row r="398" spans="5:5" x14ac:dyDescent="0.3">
      <c r="E398" s="7"/>
    </row>
    <row r="399" spans="5:5" x14ac:dyDescent="0.3">
      <c r="E399" s="7"/>
    </row>
    <row r="400" spans="5:5" x14ac:dyDescent="0.3">
      <c r="E400" s="7"/>
    </row>
    <row r="401" spans="5:5" x14ac:dyDescent="0.3">
      <c r="E401" s="7"/>
    </row>
    <row r="402" spans="5:5" x14ac:dyDescent="0.3">
      <c r="E402" s="7"/>
    </row>
    <row r="403" spans="5:5" x14ac:dyDescent="0.3">
      <c r="E403" s="7"/>
    </row>
    <row r="404" spans="5:5" x14ac:dyDescent="0.3">
      <c r="E404" s="7"/>
    </row>
    <row r="405" spans="5:5" x14ac:dyDescent="0.3">
      <c r="E405" s="7"/>
    </row>
    <row r="406" spans="5:5" x14ac:dyDescent="0.3">
      <c r="E406" s="7"/>
    </row>
    <row r="407" spans="5:5" x14ac:dyDescent="0.3">
      <c r="E407" s="7"/>
    </row>
    <row r="408" spans="5:5" x14ac:dyDescent="0.3">
      <c r="E408" s="7"/>
    </row>
    <row r="409" spans="5:5" x14ac:dyDescent="0.3">
      <c r="E409" s="7"/>
    </row>
    <row r="410" spans="5:5" x14ac:dyDescent="0.3">
      <c r="E410" s="7"/>
    </row>
    <row r="411" spans="5:5" x14ac:dyDescent="0.3">
      <c r="E411" s="7"/>
    </row>
    <row r="412" spans="5:5" x14ac:dyDescent="0.3">
      <c r="E412" s="7"/>
    </row>
    <row r="413" spans="5:5" x14ac:dyDescent="0.3">
      <c r="E413" s="7"/>
    </row>
    <row r="414" spans="5:5" x14ac:dyDescent="0.3">
      <c r="E414" s="7"/>
    </row>
    <row r="415" spans="5:5" x14ac:dyDescent="0.3">
      <c r="E415" s="7"/>
    </row>
    <row r="416" spans="5:5" x14ac:dyDescent="0.3">
      <c r="E416" s="7"/>
    </row>
    <row r="417" spans="5:5" x14ac:dyDescent="0.3">
      <c r="E417" s="7"/>
    </row>
    <row r="418" spans="5:5" x14ac:dyDescent="0.3">
      <c r="E418" s="7"/>
    </row>
    <row r="419" spans="5:5" x14ac:dyDescent="0.3">
      <c r="E419" s="7"/>
    </row>
    <row r="420" spans="5:5" x14ac:dyDescent="0.3">
      <c r="E420" s="7"/>
    </row>
    <row r="421" spans="5:5" x14ac:dyDescent="0.3">
      <c r="E421" s="7"/>
    </row>
    <row r="422" spans="5:5" x14ac:dyDescent="0.3">
      <c r="E422" s="7"/>
    </row>
    <row r="423" spans="5:5" x14ac:dyDescent="0.3">
      <c r="E423" s="7"/>
    </row>
    <row r="424" spans="5:5" x14ac:dyDescent="0.3">
      <c r="E424" s="7"/>
    </row>
    <row r="425" spans="5:5" x14ac:dyDescent="0.3">
      <c r="E425" s="7"/>
    </row>
    <row r="426" spans="5:5" x14ac:dyDescent="0.3">
      <c r="E426" s="7"/>
    </row>
    <row r="427" spans="5:5" x14ac:dyDescent="0.3">
      <c r="E427" s="7"/>
    </row>
    <row r="428" spans="5:5" x14ac:dyDescent="0.3">
      <c r="E428" s="7"/>
    </row>
    <row r="429" spans="5:5" x14ac:dyDescent="0.3">
      <c r="E429" s="7"/>
    </row>
    <row r="430" spans="5:5" x14ac:dyDescent="0.3">
      <c r="E430" s="7"/>
    </row>
    <row r="431" spans="5:5" x14ac:dyDescent="0.3">
      <c r="E431" s="7"/>
    </row>
    <row r="432" spans="5:5" x14ac:dyDescent="0.3">
      <c r="E432" s="7"/>
    </row>
    <row r="433" spans="5:5" x14ac:dyDescent="0.3">
      <c r="E433" s="7"/>
    </row>
    <row r="434" spans="5:5" x14ac:dyDescent="0.3">
      <c r="E434" s="7"/>
    </row>
    <row r="435" spans="5:5" x14ac:dyDescent="0.3">
      <c r="E435" s="7"/>
    </row>
    <row r="436" spans="5:5" x14ac:dyDescent="0.3">
      <c r="E436" s="7"/>
    </row>
    <row r="437" spans="5:5" x14ac:dyDescent="0.3">
      <c r="E437" s="7"/>
    </row>
    <row r="438" spans="5:5" x14ac:dyDescent="0.3">
      <c r="E438" s="7"/>
    </row>
    <row r="439" spans="5:5" x14ac:dyDescent="0.3">
      <c r="E439" s="7"/>
    </row>
    <row r="440" spans="5:5" x14ac:dyDescent="0.3">
      <c r="E440" s="7"/>
    </row>
    <row r="441" spans="5:5" x14ac:dyDescent="0.3">
      <c r="E441" s="7"/>
    </row>
    <row r="442" spans="5:5" x14ac:dyDescent="0.3">
      <c r="E442" s="7"/>
    </row>
    <row r="443" spans="5:5" x14ac:dyDescent="0.3">
      <c r="E443" s="7"/>
    </row>
    <row r="444" spans="5:5" x14ac:dyDescent="0.3">
      <c r="E444" s="7"/>
    </row>
    <row r="445" spans="5:5" x14ac:dyDescent="0.3">
      <c r="E445" s="7"/>
    </row>
    <row r="446" spans="5:5" x14ac:dyDescent="0.3">
      <c r="E446" s="7"/>
    </row>
    <row r="447" spans="5:5" x14ac:dyDescent="0.3">
      <c r="E447" s="7"/>
    </row>
    <row r="448" spans="5:5" x14ac:dyDescent="0.3">
      <c r="E448" s="7"/>
    </row>
    <row r="449" spans="5:5" x14ac:dyDescent="0.3">
      <c r="E449" s="7"/>
    </row>
    <row r="450" spans="5:5" x14ac:dyDescent="0.3">
      <c r="E450" s="7"/>
    </row>
    <row r="451" spans="5:5" x14ac:dyDescent="0.3">
      <c r="E451" s="7"/>
    </row>
    <row r="452" spans="5:5" x14ac:dyDescent="0.3">
      <c r="E452" s="7"/>
    </row>
    <row r="453" spans="5:5" x14ac:dyDescent="0.3">
      <c r="E453" s="7"/>
    </row>
    <row r="454" spans="5:5" x14ac:dyDescent="0.3">
      <c r="E454" s="7"/>
    </row>
    <row r="455" spans="5:5" x14ac:dyDescent="0.3">
      <c r="E455" s="7"/>
    </row>
    <row r="456" spans="5:5" x14ac:dyDescent="0.3">
      <c r="E456" s="7"/>
    </row>
    <row r="457" spans="5:5" x14ac:dyDescent="0.3">
      <c r="E457" s="7"/>
    </row>
    <row r="458" spans="5:5" x14ac:dyDescent="0.3">
      <c r="E458" s="7"/>
    </row>
    <row r="459" spans="5:5" x14ac:dyDescent="0.3">
      <c r="E459" s="7"/>
    </row>
    <row r="460" spans="5:5" x14ac:dyDescent="0.3">
      <c r="E460" s="7"/>
    </row>
    <row r="461" spans="5:5" x14ac:dyDescent="0.3">
      <c r="E461" s="7"/>
    </row>
    <row r="462" spans="5:5" x14ac:dyDescent="0.3">
      <c r="E462" s="7"/>
    </row>
    <row r="463" spans="5:5" x14ac:dyDescent="0.3">
      <c r="E463" s="7"/>
    </row>
    <row r="464" spans="5:5" x14ac:dyDescent="0.3">
      <c r="E464" s="7"/>
    </row>
    <row r="465" spans="5:5" x14ac:dyDescent="0.3">
      <c r="E465" s="7"/>
    </row>
    <row r="466" spans="5:5" x14ac:dyDescent="0.3">
      <c r="E466" s="7"/>
    </row>
    <row r="467" spans="5:5" x14ac:dyDescent="0.3">
      <c r="E467" s="7"/>
    </row>
    <row r="468" spans="5:5" x14ac:dyDescent="0.3">
      <c r="E468" s="7"/>
    </row>
    <row r="469" spans="5:5" x14ac:dyDescent="0.3">
      <c r="E469" s="7"/>
    </row>
    <row r="470" spans="5:5" x14ac:dyDescent="0.3">
      <c r="E470" s="7"/>
    </row>
    <row r="471" spans="5:5" x14ac:dyDescent="0.3">
      <c r="E471" s="7"/>
    </row>
    <row r="472" spans="5:5" x14ac:dyDescent="0.3">
      <c r="E472" s="7"/>
    </row>
    <row r="473" spans="5:5" x14ac:dyDescent="0.3">
      <c r="E473" s="7"/>
    </row>
    <row r="474" spans="5:5" x14ac:dyDescent="0.3">
      <c r="E474" s="7"/>
    </row>
  </sheetData>
  <mergeCells count="1">
    <mergeCell ref="A4:F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1AE6-0743-43F9-8D23-08CE6A71D00F}">
  <sheetPr>
    <tabColor rgb="FF1F4E79"/>
  </sheetPr>
  <dimension ref="A1:U57"/>
  <sheetViews>
    <sheetView showGridLines="0" zoomScale="130" zoomScaleNormal="130" workbookViewId="0">
      <selection activeCell="L6" sqref="L6"/>
    </sheetView>
  </sheetViews>
  <sheetFormatPr defaultRowHeight="14.5" outlineLevelCol="2" x14ac:dyDescent="0.35"/>
  <cols>
    <col min="1" max="1" width="33.6328125" customWidth="1"/>
    <col min="2" max="2" width="21.81640625" customWidth="1"/>
    <col min="3" max="3" width="17.26953125" customWidth="1"/>
    <col min="4" max="4" width="21.81640625" customWidth="1"/>
    <col min="5" max="5" width="2.7265625" customWidth="1"/>
    <col min="6" max="6" width="36.36328125" customWidth="1"/>
    <col min="7" max="7" width="15.453125" customWidth="1"/>
    <col min="8" max="8" width="18.1796875" customWidth="1"/>
    <col min="9" max="9" width="15.453125" customWidth="1"/>
    <col min="10" max="10" width="16.36328125" customWidth="1"/>
    <col min="12" max="12" width="16.36328125" customWidth="1"/>
    <col min="14" max="19" width="8.7265625" customWidth="1" outlineLevel="2"/>
    <col min="20" max="21" width="8.7265625" outlineLevel="1"/>
  </cols>
  <sheetData>
    <row r="1" spans="1:21" ht="23.5" x14ac:dyDescent="0.55000000000000004">
      <c r="A1" s="19" t="s">
        <v>387</v>
      </c>
      <c r="T1" t="s">
        <v>420</v>
      </c>
      <c r="U1">
        <f>B36</f>
        <v>12</v>
      </c>
    </row>
    <row r="2" spans="1:21" ht="18.5" x14ac:dyDescent="0.45">
      <c r="A2" s="20" t="s">
        <v>388</v>
      </c>
      <c r="T2" t="s">
        <v>421</v>
      </c>
      <c r="U2">
        <f>B37</f>
        <v>23</v>
      </c>
    </row>
    <row r="3" spans="1:21" x14ac:dyDescent="0.35">
      <c r="A3" s="21" t="str">
        <f>"As of "&amp;TEXT(Holdings!G3,"DD MMMM YYYY")</f>
        <v>As of 31 March 2026</v>
      </c>
    </row>
    <row r="5" spans="1:21" x14ac:dyDescent="0.35">
      <c r="B5" s="63" t="s">
        <v>341</v>
      </c>
      <c r="D5" s="63" t="s">
        <v>338</v>
      </c>
      <c r="F5" s="63" t="s">
        <v>346</v>
      </c>
      <c r="H5" s="63" t="s">
        <v>389</v>
      </c>
      <c r="J5" s="63" t="s">
        <v>382</v>
      </c>
      <c r="L5" s="63" t="s">
        <v>372</v>
      </c>
    </row>
    <row r="6" spans="1:21" ht="21.5" thickBot="1" x14ac:dyDescent="0.55000000000000004">
      <c r="B6" s="64">
        <f>'Portfolio Metrics'!B10</f>
        <v>1167851.6780000001</v>
      </c>
      <c r="D6" s="64">
        <f>'Portfolio Metrics'!B6</f>
        <v>1220000</v>
      </c>
      <c r="F6" s="65">
        <f>'Portfolio Metrics'!B16</f>
        <v>-52148.321999999927</v>
      </c>
      <c r="H6" s="66">
        <f>'Portfolio Metrics'!B18</f>
        <v>0.95725547377049192</v>
      </c>
      <c r="J6" s="67">
        <f>'Portfolio Metrics'!B32</f>
        <v>-6.1552175879478449E-2</v>
      </c>
      <c r="L6" s="68">
        <f>'Monthly Returns'!B26</f>
        <v>-0.26177049756190679</v>
      </c>
    </row>
    <row r="9" spans="1:21" ht="15.5" x14ac:dyDescent="0.35">
      <c r="A9" s="22" t="s">
        <v>390</v>
      </c>
      <c r="F9" s="22" t="s">
        <v>398</v>
      </c>
    </row>
    <row r="10" spans="1:21" x14ac:dyDescent="0.35">
      <c r="A10" s="30" t="s">
        <v>323</v>
      </c>
      <c r="B10" s="31" t="s">
        <v>391</v>
      </c>
      <c r="C10" s="32" t="s">
        <v>328</v>
      </c>
      <c r="D10" s="32" t="s">
        <v>392</v>
      </c>
      <c r="F10" s="36" t="s">
        <v>313</v>
      </c>
      <c r="G10" s="37" t="s">
        <v>323</v>
      </c>
      <c r="H10" s="38" t="s">
        <v>328</v>
      </c>
      <c r="I10" s="38" t="s">
        <v>392</v>
      </c>
      <c r="N10" t="s">
        <v>323</v>
      </c>
      <c r="O10" t="s">
        <v>328</v>
      </c>
      <c r="P10" t="s">
        <v>313</v>
      </c>
      <c r="Q10" t="s">
        <v>330</v>
      </c>
      <c r="S10" t="s">
        <v>364</v>
      </c>
    </row>
    <row r="11" spans="1:21" x14ac:dyDescent="0.35">
      <c r="A11" s="26" t="s">
        <v>393</v>
      </c>
      <c r="B11" s="27">
        <f>'Portfolio Metrics'!B23</f>
        <v>22</v>
      </c>
      <c r="C11" s="28">
        <f>'Portfolio Metrics'!D23</f>
        <v>620994.1939999999</v>
      </c>
      <c r="D11" s="29">
        <f>C11/$C$16</f>
        <v>0.53174063598853694</v>
      </c>
      <c r="F11" s="79" t="str">
        <f>IFERROR(INDEX(Holdings!$A$6:$A$51,MATCH(LARGE(Holdings!$H$6:$H$51,1),Holdings!$H$6:$H$51,0)),"")</f>
        <v>MONCLER</v>
      </c>
      <c r="G11" s="80" t="str">
        <f>IFERROR(INDEX(Holdings!$B$6:$B$51,MATCH(F11,Holdings!$A$6:$A$51,0)),"")</f>
        <v>Stock</v>
      </c>
      <c r="H11" s="81">
        <f>IFERROR(INDEX(Holdings!$H$6:$H$51,MATCH(F11,Holdings!$A$6:$A$51,0)),"")</f>
        <v>154200</v>
      </c>
      <c r="I11" s="82">
        <f>IFERROR(INDEX(Holdings!$K$6:$K$51,MATCH(F11,Holdings!$A$6:$A$51,0)),"")</f>
        <v>0.14407122549520132</v>
      </c>
      <c r="N11" t="str">
        <f>A11</f>
        <v>Stocks</v>
      </c>
      <c r="O11" s="24">
        <f>C11</f>
        <v>620994.1939999999</v>
      </c>
      <c r="P11" t="s">
        <v>162</v>
      </c>
      <c r="Q11" s="5">
        <f>B21</f>
        <v>0.72948243465500529</v>
      </c>
      <c r="S11">
        <f t="shared" ref="S11:S25" si="0">G25</f>
        <v>9246.42</v>
      </c>
    </row>
    <row r="12" spans="1:21" x14ac:dyDescent="0.35">
      <c r="A12" s="79" t="s">
        <v>394</v>
      </c>
      <c r="B12" s="80">
        <f>'Portfolio Metrics'!B24</f>
        <v>3</v>
      </c>
      <c r="C12" s="81">
        <f>'Portfolio Metrics'!D24</f>
        <v>220510</v>
      </c>
      <c r="D12" s="82">
        <f>C12/$C$16</f>
        <v>0.18881678568774554</v>
      </c>
      <c r="F12" s="83" t="str">
        <f>IFERROR(INDEX(Holdings!$A$6:$A$51,MATCH(LARGE(Holdings!$H$6:$H$51,2),Holdings!$H$6:$H$51,0)),"")</f>
        <v>BTP FX 3.1% AUG26 EUR</v>
      </c>
      <c r="G12" s="80" t="str">
        <f>IFERROR(INDEX(Holdings!$B$6:$B$51,MATCH(F12,Holdings!$A$6:$A$51,0)),"")</f>
        <v>Bond</v>
      </c>
      <c r="H12" s="81">
        <f>IFERROR(INDEX(Holdings!$H$6:$H$51,MATCH(F12,Holdings!$A$6:$A$51,0)),"")</f>
        <v>100303.00000000001</v>
      </c>
      <c r="I12" s="82">
        <f>IFERROR(INDEX(Holdings!$K$6:$K$51,MATCH(F12,Holdings!$A$6:$A$51,0)),"")</f>
        <v>9.3714501497050462E-2</v>
      </c>
      <c r="N12" t="str">
        <f>A12</f>
        <v>Bonds</v>
      </c>
      <c r="O12" s="24">
        <f>C12</f>
        <v>220510</v>
      </c>
      <c r="P12" t="s">
        <v>37</v>
      </c>
      <c r="Q12" s="5">
        <f>B22</f>
        <v>0.38919667590027701</v>
      </c>
      <c r="S12">
        <f t="shared" si="0"/>
        <v>9509.36</v>
      </c>
    </row>
    <row r="13" spans="1:21" x14ac:dyDescent="0.35">
      <c r="A13" s="26" t="s">
        <v>395</v>
      </c>
      <c r="B13" s="27">
        <f>'Portfolio Metrics'!B25</f>
        <v>6</v>
      </c>
      <c r="C13" s="28">
        <f>'Portfolio Metrics'!D25</f>
        <v>181704.69</v>
      </c>
      <c r="D13" s="29">
        <f>C13/$C$16</f>
        <v>0.15558884182208627</v>
      </c>
      <c r="F13" s="83" t="str">
        <f>IFERROR(INDEX(Holdings!$A$6:$A$51,MATCH(LARGE(Holdings!$H$6:$H$51,3),Holdings!$H$6:$H$51,0)),"")</f>
        <v>BOT ZC APR26 A EUR</v>
      </c>
      <c r="G13" s="80" t="str">
        <f>IFERROR(INDEX(Holdings!$B$6:$B$51,MATCH(F13,Holdings!$A$6:$A$51,0)),"")</f>
        <v>Bond</v>
      </c>
      <c r="H13" s="81">
        <f>IFERROR(INDEX(Holdings!$H$6:$H$51,MATCH(F13,Holdings!$A$6:$A$51,0)),"")</f>
        <v>99933</v>
      </c>
      <c r="I13" s="82">
        <f>IFERROR(INDEX(Holdings!$K$6:$K$51,MATCH(F13,Holdings!$A$6:$A$51,0)),"")</f>
        <v>9.3368805300985444E-2</v>
      </c>
      <c r="N13" t="str">
        <f>A13</f>
        <v>ETFs / ETCs</v>
      </c>
      <c r="O13" s="24">
        <f>C13</f>
        <v>181704.69</v>
      </c>
      <c r="P13" t="s">
        <v>160</v>
      </c>
      <c r="Q13" s="5">
        <f>B23</f>
        <v>0.24238733252131547</v>
      </c>
      <c r="S13">
        <f t="shared" si="0"/>
        <v>362517.02</v>
      </c>
    </row>
    <row r="14" spans="1:21" x14ac:dyDescent="0.35">
      <c r="A14" s="79" t="s">
        <v>396</v>
      </c>
      <c r="B14" s="80">
        <f>'Portfolio Metrics'!B26</f>
        <v>4</v>
      </c>
      <c r="C14" s="81">
        <f>'Portfolio Metrics'!D26</f>
        <v>47095.053999999996</v>
      </c>
      <c r="D14" s="82">
        <f>C14/$C$16</f>
        <v>4.0326228824410698E-2</v>
      </c>
      <c r="F14" s="83" t="str">
        <f>IFERROR(INDEX(Holdings!$A$6:$A$51,MATCH(LARGE(Holdings!$H$6:$H$51,4),Holdings!$H$6:$H$51,0)),"")</f>
        <v>FERRARI</v>
      </c>
      <c r="G14" s="80" t="str">
        <f>IFERROR(INDEX(Holdings!$B$6:$B$51,MATCH(F14,Holdings!$A$6:$A$51,0)),"")</f>
        <v>Stock</v>
      </c>
      <c r="H14" s="81">
        <f>IFERROR(INDEX(Holdings!$H$6:$H$51,MATCH(F14,Holdings!$A$6:$A$51,0)),"")</f>
        <v>86700</v>
      </c>
      <c r="I14" s="82">
        <f>IFERROR(INDEX(Holdings!$K$6:$K$51,MATCH(F14,Holdings!$A$6:$A$51,0)),"")</f>
        <v>8.1005027564422544E-2</v>
      </c>
      <c r="N14" t="str">
        <f>A14</f>
        <v>Crypto ETPs</v>
      </c>
      <c r="O14" s="24">
        <f>C14</f>
        <v>47095.053999999996</v>
      </c>
      <c r="P14" t="s">
        <v>301</v>
      </c>
      <c r="Q14" s="5">
        <f>B24</f>
        <v>0.2053354890864996</v>
      </c>
      <c r="S14">
        <f t="shared" si="0"/>
        <v>361744.98</v>
      </c>
    </row>
    <row r="15" spans="1:21" ht="15" thickBot="1" x14ac:dyDescent="0.4">
      <c r="A15" s="69" t="s">
        <v>350</v>
      </c>
      <c r="B15" s="70" t="s">
        <v>351</v>
      </c>
      <c r="C15" s="62">
        <f>'Portfolio Metrics'!D27</f>
        <v>97547.740000000049</v>
      </c>
      <c r="D15" s="71">
        <f>C15/$C$16</f>
        <v>8.3527507677220683E-2</v>
      </c>
      <c r="F15" s="83" t="str">
        <f>IFERROR(INDEX(Holdings!$A$6:$A$51,MATCH(LARGE(Holdings!$H$6:$H$51,5),Holdings!$H$6:$H$51,0)),"")</f>
        <v>ISHARES FTSE MIB UCITS ETF EUR</v>
      </c>
      <c r="G15" s="80" t="str">
        <f>IFERROR(INDEX(Holdings!$B$6:$B$51,MATCH(F15,Holdings!$A$6:$A$51,0)),"")</f>
        <v>ETF/ETC</v>
      </c>
      <c r="H15" s="81">
        <f>IFERROR(INDEX(Holdings!$H$6:$H$51,MATCH(F15,Holdings!$A$6:$A$51,0)),"")</f>
        <v>81288.900000000009</v>
      </c>
      <c r="I15" s="82">
        <f>IFERROR(INDEX(Holdings!$K$6:$K$51,MATCH(F15,Holdings!$A$6:$A$51,0)),"")</f>
        <v>7.5949360844078301E-2</v>
      </c>
      <c r="N15" t="str">
        <f>A15</f>
        <v>Cash</v>
      </c>
      <c r="O15" s="24">
        <f>C15</f>
        <v>97547.740000000049</v>
      </c>
      <c r="P15" t="s">
        <v>144</v>
      </c>
      <c r="Q15" s="5">
        <f>B25</f>
        <v>0.18422746748988705</v>
      </c>
      <c r="S15">
        <f t="shared" si="0"/>
        <v>362496.72</v>
      </c>
    </row>
    <row r="16" spans="1:21" ht="15" thickTop="1" x14ac:dyDescent="0.35">
      <c r="A16" s="72" t="s">
        <v>397</v>
      </c>
      <c r="B16" s="73">
        <f>SUM(B11:B14)</f>
        <v>35</v>
      </c>
      <c r="C16" s="74">
        <f>SUM(C11:C15)</f>
        <v>1167851.6779999998</v>
      </c>
      <c r="D16" s="75">
        <f>SUM(D11:D15)</f>
        <v>1.0000000000000002</v>
      </c>
      <c r="F16" s="83" t="str">
        <f>IFERROR(INDEX(Holdings!$A$6:$A$51,MATCH(LARGE(Holdings!$H$6:$H$51,6),Holdings!$H$6:$H$51,0)),"")</f>
        <v>INTESA SANPAOLO</v>
      </c>
      <c r="G16" s="80" t="str">
        <f>IFERROR(INDEX(Holdings!$B$6:$B$51,MATCH(F16,Holdings!$A$6:$A$51,0)),"")</f>
        <v>Stock</v>
      </c>
      <c r="H16" s="81">
        <f>IFERROR(INDEX(Holdings!$H$6:$H$51,MATCH(F16,Holdings!$A$6:$A$51,0)),"")</f>
        <v>51609.999999999993</v>
      </c>
      <c r="I16" s="82">
        <f>IFERROR(INDEX(Holdings!$K$6:$K$51,MATCH(F16,Holdings!$A$6:$A$51,0)),"")</f>
        <v>4.821994778085175E-2</v>
      </c>
      <c r="P16" t="s">
        <v>55</v>
      </c>
      <c r="Q16" s="5">
        <f>B28</f>
        <v>-0.51983059209043325</v>
      </c>
      <c r="S16">
        <f t="shared" si="0"/>
        <v>464207.34</v>
      </c>
    </row>
    <row r="17" spans="1:19" x14ac:dyDescent="0.35">
      <c r="F17" s="83" t="str">
        <f>IFERROR(INDEX(Holdings!$A$6:$A$51,MATCH(LARGE(Holdings!$H$6:$H$51,7),Holdings!$H$6:$H$51,0)),"")</f>
        <v>INTERPUMP GROUP</v>
      </c>
      <c r="G17" s="80" t="str">
        <f>IFERROR(INDEX(Holdings!$B$6:$B$51,MATCH(F17,Holdings!$A$6:$A$51,0)),"")</f>
        <v>Stock</v>
      </c>
      <c r="H17" s="81">
        <f>IFERROR(INDEX(Holdings!$H$6:$H$51,MATCH(F17,Holdings!$A$6:$A$51,0)),"")</f>
        <v>42120</v>
      </c>
      <c r="I17" s="82">
        <f>IFERROR(INDEX(Holdings!$K$6:$K$51,MATCH(F17,Holdings!$A$6:$A$51,0)),"")</f>
        <v>3.9353307508805967E-2</v>
      </c>
      <c r="N17" t="s">
        <v>313</v>
      </c>
      <c r="O17" t="s">
        <v>419</v>
      </c>
      <c r="P17" t="s">
        <v>126</v>
      </c>
      <c r="Q17" s="5">
        <f>B29</f>
        <v>-0.50655212783278158</v>
      </c>
      <c r="S17">
        <f t="shared" si="0"/>
        <v>457841.3</v>
      </c>
    </row>
    <row r="18" spans="1:19" x14ac:dyDescent="0.35">
      <c r="F18" s="83" t="str">
        <f>IFERROR(INDEX(Holdings!$A$6:$A$51,MATCH(LARGE(Holdings!$H$6:$H$51,8),Holdings!$H$6:$H$51,0)),"")</f>
        <v>WisdomTree Europe Defence UCIT</v>
      </c>
      <c r="G18" s="80" t="str">
        <f>IFERROR(INDEX(Holdings!$B$6:$B$51,MATCH(F18,Holdings!$A$6:$A$51,0)),"")</f>
        <v>ETF/ETC</v>
      </c>
      <c r="H18" s="81">
        <f>IFERROR(INDEX(Holdings!$H$6:$H$51,MATCH(F18,Holdings!$A$6:$A$51,0)),"")</f>
        <v>35669.79</v>
      </c>
      <c r="I18" s="82">
        <f>IFERROR(INDEX(Holdings!$K$6:$K$51,MATCH(F18,Holdings!$A$6:$A$51,0)),"")</f>
        <v>3.3326785722804654E-2</v>
      </c>
      <c r="N18" t="str">
        <f t="shared" ref="N18:N28" si="1">F11</f>
        <v>MONCLER</v>
      </c>
      <c r="O18">
        <f t="shared" ref="O18:O28" si="2">H11</f>
        <v>154200</v>
      </c>
      <c r="P18" t="s">
        <v>45</v>
      </c>
      <c r="Q18" s="5">
        <f>B30</f>
        <v>-0.34050306639409827</v>
      </c>
      <c r="S18">
        <f t="shared" si="0"/>
        <v>474577.98</v>
      </c>
    </row>
    <row r="19" spans="1:19" ht="15.5" x14ac:dyDescent="0.35">
      <c r="A19" s="22" t="s">
        <v>400</v>
      </c>
      <c r="F19" s="83" t="str">
        <f>IFERROR(INDEX(Holdings!$A$6:$A$51,MATCH(LARGE(Holdings!$H$6:$H$51,9),Holdings!$H$6:$H$51,0)),"")</f>
        <v>EXOR NV</v>
      </c>
      <c r="G19" s="80" t="str">
        <f>IFERROR(INDEX(Holdings!$B$6:$B$51,MATCH(F19,Holdings!$A$6:$A$51,0)),"")</f>
        <v>Stock</v>
      </c>
      <c r="H19" s="81">
        <f>IFERROR(INDEX(Holdings!$H$6:$H$51,MATCH(F19,Holdings!$A$6:$A$51,0)),"")</f>
        <v>34086</v>
      </c>
      <c r="I19" s="82">
        <f>IFERROR(INDEX(Holdings!$K$6:$K$51,MATCH(F19,Holdings!$A$6:$A$51,0)),"")</f>
        <v>3.1847028483978163E-2</v>
      </c>
      <c r="N19" t="str">
        <f t="shared" si="1"/>
        <v>BTP FX 3.1% AUG26 EUR</v>
      </c>
      <c r="O19">
        <f t="shared" si="2"/>
        <v>100303.00000000001</v>
      </c>
      <c r="P19" t="s">
        <v>53</v>
      </c>
      <c r="Q19" s="5">
        <f>B31</f>
        <v>-0.31450756919979173</v>
      </c>
      <c r="S19">
        <f t="shared" si="0"/>
        <v>884902.22</v>
      </c>
    </row>
    <row r="20" spans="1:19" x14ac:dyDescent="0.35">
      <c r="A20" s="43" t="s">
        <v>401</v>
      </c>
      <c r="B20" s="44" t="s">
        <v>330</v>
      </c>
      <c r="C20" s="44" t="s">
        <v>402</v>
      </c>
      <c r="F20" s="83" t="str">
        <f>IFERROR(INDEX(Holdings!$A$6:$A$51,MATCH(LARGE(Holdings!$H$6:$H$51,10),Holdings!$H$6:$H$51,0)),"")</f>
        <v>SANLORENZO</v>
      </c>
      <c r="G20" s="80" t="str">
        <f>IFERROR(INDEX(Holdings!$B$6:$B$51,MATCH(F20,Holdings!$A$6:$A$51,0)),"")</f>
        <v>Stock</v>
      </c>
      <c r="H20" s="81">
        <f>IFERROR(INDEX(Holdings!$H$6:$H$51,MATCH(F20,Holdings!$A$6:$A$51,0)),"")</f>
        <v>33880</v>
      </c>
      <c r="I20" s="82">
        <f>IFERROR(INDEX(Holdings!$K$6:$K$51,MATCH(F20,Holdings!$A$6:$A$51,0)),"")</f>
        <v>3.1654559791033862E-2</v>
      </c>
      <c r="N20" t="str">
        <f t="shared" si="1"/>
        <v>BOT ZC APR26 A EUR</v>
      </c>
      <c r="O20">
        <f t="shared" si="2"/>
        <v>99933</v>
      </c>
      <c r="P20" t="s">
        <v>158</v>
      </c>
      <c r="Q20" s="5">
        <f>B32</f>
        <v>-0.26922722741158622</v>
      </c>
      <c r="S20">
        <f t="shared" si="0"/>
        <v>1277030.03</v>
      </c>
    </row>
    <row r="21" spans="1:19" x14ac:dyDescent="0.35">
      <c r="A21" s="33" t="str" cm="1">
        <f t="array" ref="A21">IFERROR(INDEX(Holdings!$A$6:$A$51,MATCH(LARGE(IF(Holdings!$D$6:$D$51&gt;0,Holdings!$J$6:$J$51),1),Holdings!$J$6:$J$51,0)),"")</f>
        <v>D AMICO</v>
      </c>
      <c r="B21" s="39">
        <f>IFERROR(INDEX(Holdings!$J$6:$J$51,MATCH(A21,Holdings!$A$6:$A$51,0)),"")</f>
        <v>0.72948243465500529</v>
      </c>
      <c r="C21" s="40">
        <f>IFERROR(INDEX(Holdings!$I$6:$I$51,MATCH(A21,Holdings!$A$6:$A$51,0)),"")</f>
        <v>9465.02</v>
      </c>
      <c r="F21" s="84" t="s">
        <v>399</v>
      </c>
      <c r="G21" s="85"/>
      <c r="H21" s="86">
        <f>C16-SUM(H11:H20)</f>
        <v>448060.98799999978</v>
      </c>
      <c r="I21" s="87">
        <f>1-SUM(I11:I20)</f>
        <v>0.32748945001078766</v>
      </c>
      <c r="N21" t="str">
        <f t="shared" si="1"/>
        <v>FERRARI</v>
      </c>
      <c r="O21">
        <f t="shared" si="2"/>
        <v>86700</v>
      </c>
      <c r="R21" s="25">
        <f>F35</f>
        <v>45991</v>
      </c>
      <c r="S21">
        <f t="shared" si="0"/>
        <v>1254727.1200000001</v>
      </c>
    </row>
    <row r="22" spans="1:19" x14ac:dyDescent="0.35">
      <c r="A22" s="33" t="str" cm="1">
        <f t="array" ref="A22">IFERROR(INDEX(Holdings!$A$6:$A$51,MATCH(LARGE(IF(Holdings!$D$6:$D$51&gt;0,Holdings!$J$6:$J$51),2),Holdings!$J$6:$J$51,0)),"")</f>
        <v>ITALGAS</v>
      </c>
      <c r="B22" s="39">
        <f>IFERROR(INDEX(Holdings!$J$6:$J$51,MATCH(A22,Holdings!$A$6:$A$51,0)),"")</f>
        <v>0.38919667590027701</v>
      </c>
      <c r="C22" s="40">
        <f>IFERROR(INDEX(Holdings!$I$6:$I$51,MATCH(A22,Holdings!$A$6:$A$51,0)),"")</f>
        <v>2810</v>
      </c>
      <c r="N22" t="str">
        <f t="shared" si="1"/>
        <v>ISHARES FTSE MIB UCITS ETF EUR</v>
      </c>
      <c r="O22">
        <f t="shared" si="2"/>
        <v>81288.900000000009</v>
      </c>
      <c r="R22" s="25">
        <f>F36</f>
        <v>46022</v>
      </c>
      <c r="S22">
        <f t="shared" si="0"/>
        <v>1228944.45</v>
      </c>
    </row>
    <row r="23" spans="1:19" ht="15.5" x14ac:dyDescent="0.35">
      <c r="A23" s="33" t="str" cm="1">
        <f t="array" ref="A23">IFERROR(INDEX(Holdings!$A$6:$A$51,MATCH(LARGE(IF(Holdings!$D$6:$D$51&gt;0,Holdings!$J$6:$J$51),3),Holdings!$J$6:$J$51,0)),"")</f>
        <v>CY4GATE</v>
      </c>
      <c r="B23" s="39">
        <f>IFERROR(INDEX(Holdings!$J$6:$J$51,MATCH(A23,Holdings!$A$6:$A$51,0)),"")</f>
        <v>0.24238733252131547</v>
      </c>
      <c r="C23" s="40">
        <f>IFERROR(INDEX(Holdings!$I$6:$I$51,MATCH(A23,Holdings!$A$6:$A$51,0)),"")</f>
        <v>1990</v>
      </c>
      <c r="F23" s="22" t="s">
        <v>404</v>
      </c>
      <c r="N23" t="str">
        <f t="shared" si="1"/>
        <v>INTESA SANPAOLO</v>
      </c>
      <c r="O23">
        <f t="shared" si="2"/>
        <v>51609.999999999993</v>
      </c>
      <c r="R23" s="25">
        <f>F37</f>
        <v>46053</v>
      </c>
      <c r="S23">
        <f t="shared" si="0"/>
        <v>1228867.1399999999</v>
      </c>
    </row>
    <row r="24" spans="1:19" x14ac:dyDescent="0.35">
      <c r="A24" s="33" t="str" cm="1">
        <f t="array" ref="A24">IFERROR(INDEX(Holdings!$A$6:$A$51,MATCH(LARGE(IF(Holdings!$D$6:$D$51&gt;0,Holdings!$J$6:$J$51),4),Holdings!$J$6:$J$51,0)),"")</f>
        <v>ENI S.P.A.</v>
      </c>
      <c r="B24" s="39">
        <f>IFERROR(INDEX(Holdings!$J$6:$J$51,MATCH(A24,Holdings!$A$6:$A$51,0)),"")</f>
        <v>0.2053354890864996</v>
      </c>
      <c r="C24" s="40">
        <f>IFERROR(INDEX(Holdings!$I$6:$I$51,MATCH(A24,Holdings!$A$6:$A$51,0)),"")</f>
        <v>1270</v>
      </c>
      <c r="F24" s="36" t="s">
        <v>405</v>
      </c>
      <c r="G24" s="38" t="s">
        <v>364</v>
      </c>
      <c r="H24" s="38" t="s">
        <v>367</v>
      </c>
      <c r="I24" s="38" t="s">
        <v>406</v>
      </c>
      <c r="N24" t="str">
        <f t="shared" si="1"/>
        <v>INTERPUMP GROUP</v>
      </c>
      <c r="O24">
        <f t="shared" si="2"/>
        <v>42120</v>
      </c>
      <c r="Q24" t="s">
        <v>315</v>
      </c>
      <c r="R24" s="25" t="s">
        <v>408</v>
      </c>
      <c r="S24">
        <f t="shared" si="0"/>
        <v>1278754.23</v>
      </c>
    </row>
    <row r="25" spans="1:19" x14ac:dyDescent="0.35">
      <c r="A25" s="35" t="str" cm="1">
        <f t="array" ref="A25">IFERROR(INDEX(Holdings!$A$6:$A$51,MATCH(LARGE(IF(Holdings!$D$6:$D$51&gt;0,Holdings!$J$6:$J$51),5),Holdings!$J$6:$J$51,0)),"")</f>
        <v>IGD</v>
      </c>
      <c r="B25" s="41">
        <f>IFERROR(INDEX(Holdings!$J$6:$J$51,MATCH(A25,Holdings!$A$6:$A$51,0)),"")</f>
        <v>0.18422746748988705</v>
      </c>
      <c r="C25" s="42">
        <f>IFERROR(INDEX(Holdings!$I$6:$I$51,MATCH(A25,Holdings!$A$6:$A$51,0)),"")</f>
        <v>1845.8100000000013</v>
      </c>
      <c r="F25" s="88">
        <f>'Monthly Returns'!A6</f>
        <v>45688</v>
      </c>
      <c r="G25" s="81">
        <f>'Monthly Returns'!B6</f>
        <v>9246.42</v>
      </c>
      <c r="H25" s="89">
        <f>'Monthly Returns'!E6</f>
        <v>0</v>
      </c>
      <c r="I25" s="90">
        <f>'Monthly Returns'!F6</f>
        <v>0</v>
      </c>
      <c r="N25" t="str">
        <f t="shared" si="1"/>
        <v>WisdomTree Europe Defence UCIT</v>
      </c>
      <c r="O25">
        <f t="shared" si="2"/>
        <v>35669.79</v>
      </c>
      <c r="Q25" t="str">
        <f>"Winners ("&amp;B36&amp;")"</f>
        <v>Winners (12)</v>
      </c>
      <c r="R25" s="25">
        <f>B36</f>
        <v>12</v>
      </c>
      <c r="S25">
        <f t="shared" si="0"/>
        <v>1179642.0900000001</v>
      </c>
    </row>
    <row r="26" spans="1:19" x14ac:dyDescent="0.35">
      <c r="F26" s="88">
        <f>'Monthly Returns'!A7</f>
        <v>45716</v>
      </c>
      <c r="G26" s="81">
        <f>'Monthly Returns'!B7</f>
        <v>9509.36</v>
      </c>
      <c r="H26" s="89">
        <f>'Monthly Returns'!E7</f>
        <v>2.8436951814864608E-2</v>
      </c>
      <c r="I26" s="90">
        <f>'Monthly Returns'!F7</f>
        <v>2.8436951814864608E-2</v>
      </c>
      <c r="N26" t="str">
        <f t="shared" si="1"/>
        <v>EXOR NV</v>
      </c>
      <c r="O26">
        <f t="shared" si="2"/>
        <v>34086</v>
      </c>
      <c r="Q26" t="str">
        <f>"Losers ("&amp;B37&amp;")"</f>
        <v>Losers (23)</v>
      </c>
      <c r="R26">
        <f>B37</f>
        <v>23</v>
      </c>
    </row>
    <row r="27" spans="1:19" x14ac:dyDescent="0.35">
      <c r="A27" s="49" t="s">
        <v>403</v>
      </c>
      <c r="B27" s="50" t="s">
        <v>330</v>
      </c>
      <c r="C27" s="50" t="s">
        <v>402</v>
      </c>
      <c r="F27" s="88">
        <f>'Monthly Returns'!A8</f>
        <v>45747</v>
      </c>
      <c r="G27" s="81">
        <f>'Monthly Returns'!B8</f>
        <v>362517.02</v>
      </c>
      <c r="H27" s="89">
        <f>'Monthly Returns'!E8</f>
        <v>8.3660130573512959E-3</v>
      </c>
      <c r="I27" s="90">
        <f>'Monthly Returns'!F8</f>
        <v>3.7040868782410419E-2</v>
      </c>
      <c r="N27" t="str">
        <f t="shared" si="1"/>
        <v>SANLORENZO</v>
      </c>
      <c r="O27">
        <f t="shared" si="2"/>
        <v>33880</v>
      </c>
    </row>
    <row r="28" spans="1:19" x14ac:dyDescent="0.35">
      <c r="A28" s="33" t="str" cm="1">
        <f t="array" ref="A28">IFERROR(INDEX(Holdings!$A$6:$A$51,MATCH(SMALL(IF(Holdings!$D$6:$D$51&gt;0,Holdings!$J$6:$J$51),1),Holdings!$J$6:$J$51,0)),"")</f>
        <v>Bitwise Physical Ethereum ETP</v>
      </c>
      <c r="B28" s="45">
        <f>IFERROR(INDEX(Holdings!$J$6:$J$51,MATCH(A28,Holdings!$A$6:$A$51,0)),"")</f>
        <v>-0.51983059209043325</v>
      </c>
      <c r="C28" s="46">
        <f>IFERROR(INDEX(Holdings!$I$6:$I$51,MATCH(A28,Holdings!$A$6:$A$51,0)),"")</f>
        <v>-4035.7099999999991</v>
      </c>
      <c r="F28" s="88">
        <f>'Monthly Returns'!A9</f>
        <v>45777</v>
      </c>
      <c r="G28" s="81">
        <f>'Monthly Returns'!B9</f>
        <v>361744.98</v>
      </c>
      <c r="H28" s="89">
        <f>'Monthly Returns'!E9</f>
        <v>-2.1296655257732056E-3</v>
      </c>
      <c r="I28" s="90">
        <f>'Monthly Returns'!F9</f>
        <v>3.4832318595346523E-2</v>
      </c>
      <c r="N28" t="str">
        <f t="shared" si="1"/>
        <v>Other (25 holdings)</v>
      </c>
      <c r="O28">
        <f t="shared" si="2"/>
        <v>448060.98799999978</v>
      </c>
    </row>
    <row r="29" spans="1:19" x14ac:dyDescent="0.35">
      <c r="A29" s="33" t="str" cm="1">
        <f t="array" ref="A29">IFERROR(INDEX(Holdings!$A$6:$A$51,MATCH(SMALL(IF(Holdings!$D$6:$D$51&gt;0,Holdings!$J$6:$J$51),2),Holdings!$J$6:$J$51,0)),"")</f>
        <v>ORACLE CORP</v>
      </c>
      <c r="B29" s="45">
        <f>IFERROR(INDEX(Holdings!$J$6:$J$51,MATCH(A29,Holdings!$A$6:$A$51,0)),"")</f>
        <v>-0.50655212783278158</v>
      </c>
      <c r="C29" s="46">
        <f>IFERROR(INDEX(Holdings!$I$6:$I$51,MATCH(A29,Holdings!$A$6:$A$51,0)),"")</f>
        <v>-7186.9160000000011</v>
      </c>
      <c r="F29" s="88">
        <f>'Monthly Returns'!A10</f>
        <v>45808</v>
      </c>
      <c r="G29" s="81">
        <f>'Monthly Returns'!B10</f>
        <v>362496.72</v>
      </c>
      <c r="H29" s="89">
        <f>'Monthly Returns'!E10</f>
        <v>2.0780937996707216E-3</v>
      </c>
      <c r="I29" s="90">
        <f>'Monthly Returns'!F10</f>
        <v>3.6982797220318497E-2</v>
      </c>
      <c r="N29" t="str">
        <f>A25</f>
        <v>IGD</v>
      </c>
      <c r="O29">
        <f>B25</f>
        <v>0.18422746748988705</v>
      </c>
    </row>
    <row r="30" spans="1:19" x14ac:dyDescent="0.35">
      <c r="A30" s="33" t="str" cm="1">
        <f t="array" ref="A30">IFERROR(INDEX(Holdings!$A$6:$A$51,MATCH(SMALL(IF(Holdings!$D$6:$D$51&gt;0,Holdings!$J$6:$J$51),3),Holdings!$J$6:$J$51,0)),"")</f>
        <v>NEXI</v>
      </c>
      <c r="B30" s="45">
        <f>IFERROR(INDEX(Holdings!$J$6:$J$51,MATCH(A30,Holdings!$A$6:$A$51,0)),"")</f>
        <v>-0.34050306639409827</v>
      </c>
      <c r="C30" s="46">
        <f>IFERROR(INDEX(Holdings!$I$6:$I$51,MATCH(A30,Holdings!$A$6:$A$51,0)),"")</f>
        <v>-5746.5</v>
      </c>
      <c r="F30" s="88">
        <f>'Monthly Returns'!A11</f>
        <v>45838</v>
      </c>
      <c r="G30" s="81">
        <f>'Monthly Returns'!B11</f>
        <v>464207.34</v>
      </c>
      <c r="H30" s="89">
        <f>'Monthly Returns'!E11</f>
        <v>3.6986640683636107E-3</v>
      </c>
      <c r="I30" s="90">
        <f>'Monthly Returns'!F11</f>
        <v>4.0818248231908383E-2</v>
      </c>
      <c r="N30" t="s">
        <v>405</v>
      </c>
      <c r="O30" t="s">
        <v>367</v>
      </c>
      <c r="P30" t="s">
        <v>406</v>
      </c>
    </row>
    <row r="31" spans="1:19" x14ac:dyDescent="0.35">
      <c r="A31" s="33" t="str" cm="1">
        <f t="array" ref="A31">IFERROR(INDEX(Holdings!$A$6:$A$51,MATCH(SMALL(IF(Holdings!$D$6:$D$51&gt;0,Holdings!$J$6:$J$51),4),Holdings!$J$6:$J$51,0)),"")</f>
        <v>Bitwise Ethereum Staking ETP</v>
      </c>
      <c r="B31" s="45">
        <f>IFERROR(INDEX(Holdings!$J$6:$J$51,MATCH(A31,Holdings!$A$6:$A$51,0)),"")</f>
        <v>-0.31450756919979173</v>
      </c>
      <c r="C31" s="46">
        <f>IFERROR(INDEX(Holdings!$I$6:$I$51,MATCH(A31,Holdings!$A$6:$A$51,0)),"")</f>
        <v>-4523.4459999999999</v>
      </c>
      <c r="F31" s="88">
        <f>'Monthly Returns'!A12</f>
        <v>45869</v>
      </c>
      <c r="G31" s="81">
        <f>'Monthly Returns'!B12</f>
        <v>457841.3</v>
      </c>
      <c r="H31" s="89">
        <f>'Monthly Returns'!E12</f>
        <v>-1.3713785740656403E-2</v>
      </c>
      <c r="I31" s="90">
        <f>'Monthly Returns'!F12</f>
        <v>2.6544689780690689E-2</v>
      </c>
      <c r="N31" s="25">
        <f t="shared" ref="N31:N45" si="3">F25</f>
        <v>45688</v>
      </c>
      <c r="O31">
        <f t="shared" ref="O31:O45" si="4">H25</f>
        <v>0</v>
      </c>
      <c r="P31">
        <f t="shared" ref="P31:P45" si="5">I25</f>
        <v>0</v>
      </c>
    </row>
    <row r="32" spans="1:19" x14ac:dyDescent="0.35">
      <c r="A32" s="35" t="str" cm="1">
        <f t="array" ref="A32">IFERROR(INDEX(Holdings!$A$6:$A$51,MATCH(SMALL(IF(Holdings!$D$6:$D$51&gt;0,Holdings!$J$6:$J$51),5),Holdings!$J$6:$J$51,0)),"")</f>
        <v>BeC SPEAKERS</v>
      </c>
      <c r="B32" s="47">
        <f>IFERROR(INDEX(Holdings!$J$6:$J$51,MATCH(A32,Holdings!$A$6:$A$51,0)),"")</f>
        <v>-0.26922722741158622</v>
      </c>
      <c r="C32" s="48">
        <f>IFERROR(INDEX(Holdings!$I$6:$I$51,MATCH(A32,Holdings!$A$6:$A$51,0)),"")</f>
        <v>-4034.58</v>
      </c>
      <c r="F32" s="88">
        <f>'Monthly Returns'!A13</f>
        <v>45900</v>
      </c>
      <c r="G32" s="81">
        <f>'Monthly Returns'!B13</f>
        <v>474577.98</v>
      </c>
      <c r="H32" s="89">
        <f>'Monthly Returns'!E13</f>
        <v>3.6555636199705033E-2</v>
      </c>
      <c r="I32" s="90">
        <f>'Monthly Returns'!F13</f>
        <v>6.4070684003052714E-2</v>
      </c>
      <c r="N32" s="25">
        <f t="shared" si="3"/>
        <v>45716</v>
      </c>
      <c r="O32">
        <f t="shared" si="4"/>
        <v>2.8436951814864608E-2</v>
      </c>
      <c r="P32">
        <f t="shared" si="5"/>
        <v>2.8436951814864608E-2</v>
      </c>
    </row>
    <row r="33" spans="1:19" x14ac:dyDescent="0.35">
      <c r="F33" s="88">
        <f>'Monthly Returns'!A14</f>
        <v>45930</v>
      </c>
      <c r="G33" s="81">
        <f>'Monthly Returns'!B14</f>
        <v>884902.22</v>
      </c>
      <c r="H33" s="89">
        <f>'Monthly Returns'!E14</f>
        <v>1.1804824996851648E-2</v>
      </c>
      <c r="I33" s="90">
        <f>'Monthly Returns'!F14</f>
        <v>7.6631852211988871E-2</v>
      </c>
      <c r="N33" s="25">
        <f t="shared" si="3"/>
        <v>45747</v>
      </c>
      <c r="O33">
        <f t="shared" si="4"/>
        <v>8.3660130573512959E-3</v>
      </c>
      <c r="P33">
        <f t="shared" si="5"/>
        <v>3.7040868782410419E-2</v>
      </c>
    </row>
    <row r="34" spans="1:19" ht="15.5" x14ac:dyDescent="0.35">
      <c r="A34" s="22" t="s">
        <v>407</v>
      </c>
      <c r="F34" s="88">
        <f>'Monthly Returns'!A15</f>
        <v>45961</v>
      </c>
      <c r="G34" s="81">
        <f>'Monthly Returns'!B15</f>
        <v>1277030.03</v>
      </c>
      <c r="H34" s="89">
        <f>'Monthly Returns'!E15</f>
        <v>-6.1266840989658844E-3</v>
      </c>
      <c r="I34" s="90">
        <f>'Monthly Returns'!F15</f>
        <v>7.0035668962601383E-2</v>
      </c>
      <c r="N34" s="25">
        <f t="shared" si="3"/>
        <v>45777</v>
      </c>
      <c r="O34">
        <f t="shared" si="4"/>
        <v>-2.1296655257732056E-3</v>
      </c>
      <c r="P34">
        <f t="shared" si="5"/>
        <v>3.4832318595346523E-2</v>
      </c>
    </row>
    <row r="35" spans="1:19" x14ac:dyDescent="0.35">
      <c r="A35" s="36" t="s">
        <v>315</v>
      </c>
      <c r="B35" s="37" t="s">
        <v>408</v>
      </c>
      <c r="C35" s="38" t="s">
        <v>409</v>
      </c>
      <c r="F35" s="88">
        <f>'Monthly Returns'!A16</f>
        <v>45991</v>
      </c>
      <c r="G35" s="81">
        <f>'Monthly Returns'!B16</f>
        <v>1254727.1200000001</v>
      </c>
      <c r="H35" s="89">
        <f>'Monthly Returns'!E16</f>
        <v>-1.746467152381681E-2</v>
      </c>
      <c r="I35" s="90">
        <f>'Monthly Returns'!F16</f>
        <v>5.1347847485401887E-2</v>
      </c>
      <c r="N35" s="25">
        <f t="shared" si="3"/>
        <v>45808</v>
      </c>
      <c r="O35">
        <f t="shared" si="4"/>
        <v>2.0780937996707216E-3</v>
      </c>
      <c r="P35">
        <f t="shared" si="5"/>
        <v>3.6982797220318497E-2</v>
      </c>
    </row>
    <row r="36" spans="1:19" x14ac:dyDescent="0.35">
      <c r="A36" s="51" t="s">
        <v>410</v>
      </c>
      <c r="B36" s="52">
        <f>COUNTIF(Holdings!J6:J51,"&gt;0")</f>
        <v>12</v>
      </c>
      <c r="C36" s="53" cm="1">
        <f t="array" ref="C36">SUMPRODUCT((Holdings!D6:D51&gt;0)*(Holdings!I6:I51&gt;0)*Holdings!I6:I51)</f>
        <v>28121.070000000014</v>
      </c>
      <c r="F36" s="88">
        <f>'Monthly Returns'!A17</f>
        <v>46022</v>
      </c>
      <c r="G36" s="81">
        <f>'Monthly Returns'!B17</f>
        <v>1228944.45</v>
      </c>
      <c r="H36" s="89">
        <f>'Monthly Returns'!E17</f>
        <v>3.4434854353513344E-3</v>
      </c>
      <c r="I36" s="90">
        <f>'Monthly Returns'!F17</f>
        <v>5.4968148485705859E-2</v>
      </c>
      <c r="N36" s="25">
        <f t="shared" si="3"/>
        <v>45838</v>
      </c>
      <c r="O36">
        <f t="shared" si="4"/>
        <v>3.6986640683636107E-3</v>
      </c>
      <c r="P36">
        <f t="shared" si="5"/>
        <v>4.0818248231908383E-2</v>
      </c>
    </row>
    <row r="37" spans="1:19" x14ac:dyDescent="0.35">
      <c r="A37" s="54" t="s">
        <v>411</v>
      </c>
      <c r="B37" s="55">
        <f>COUNTIFS(Holdings!J6:J51,"&lt;0",Holdings!D6:D51,"&gt;0")</f>
        <v>23</v>
      </c>
      <c r="C37" s="56" cm="1">
        <f t="array" ref="C37">SUMPRODUCT((Holdings!D6:D51&gt;0)*(Holdings!I6:I51&lt;0)*Holdings!I6:I51)</f>
        <v>-105119.33199999999</v>
      </c>
      <c r="F37" s="88">
        <f>'Monthly Returns'!A18</f>
        <v>46053</v>
      </c>
      <c r="G37" s="81">
        <f>'Monthly Returns'!B18</f>
        <v>1228867.1399999999</v>
      </c>
      <c r="H37" s="89">
        <f>'Monthly Returns'!E18</f>
        <v>-6.2907644035492538E-5</v>
      </c>
      <c r="I37" s="90">
        <f>'Monthly Returns'!F18</f>
        <v>5.4901782924952069E-2</v>
      </c>
      <c r="N37" s="25">
        <f t="shared" si="3"/>
        <v>45869</v>
      </c>
      <c r="O37">
        <f t="shared" si="4"/>
        <v>-1.3713785740656403E-2</v>
      </c>
      <c r="P37">
        <f t="shared" si="5"/>
        <v>2.6544689780690689E-2</v>
      </c>
      <c r="Q37" t="s">
        <v>405</v>
      </c>
      <c r="R37" t="s">
        <v>367</v>
      </c>
      <c r="S37" t="s">
        <v>406</v>
      </c>
    </row>
    <row r="38" spans="1:19" x14ac:dyDescent="0.35">
      <c r="A38" s="57" t="s">
        <v>412</v>
      </c>
      <c r="B38" s="58">
        <f>COUNTIFS(Holdings!J6:J51,"=0",Holdings!D6:D51,"&gt;0")</f>
        <v>0</v>
      </c>
      <c r="C38" s="59">
        <v>0</v>
      </c>
      <c r="F38" s="88">
        <f>'Monthly Returns'!A19</f>
        <v>46081</v>
      </c>
      <c r="G38" s="81">
        <f>'Monthly Returns'!B19</f>
        <v>1278754.23</v>
      </c>
      <c r="H38" s="89">
        <f>'Monthly Returns'!E19</f>
        <v>4.0595999661932503E-2</v>
      </c>
      <c r="I38" s="90">
        <f>'Monthly Returns'!F19</f>
        <v>9.7726575347945488E-2</v>
      </c>
      <c r="N38" s="25">
        <f t="shared" si="3"/>
        <v>45900</v>
      </c>
      <c r="O38">
        <f t="shared" si="4"/>
        <v>3.6555636199705033E-2</v>
      </c>
      <c r="P38">
        <f t="shared" si="5"/>
        <v>6.4070684003052714E-2</v>
      </c>
      <c r="Q38" s="25">
        <f t="shared" ref="Q38:Q52" si="6">F25</f>
        <v>45688</v>
      </c>
      <c r="R38">
        <f t="shared" ref="R38:R52" si="7">H25</f>
        <v>0</v>
      </c>
      <c r="S38">
        <f t="shared" ref="S38:S52" si="8">I25</f>
        <v>0</v>
      </c>
    </row>
    <row r="39" spans="1:19" x14ac:dyDescent="0.35">
      <c r="F39" s="91">
        <f>'Monthly Returns'!A20</f>
        <v>46112</v>
      </c>
      <c r="G39" s="92">
        <f>'Monthly Returns'!B20</f>
        <v>1179642.0900000001</v>
      </c>
      <c r="H39" s="93">
        <f>'Monthly Returns'!E20</f>
        <v>-7.7506793467263746E-2</v>
      </c>
      <c r="I39" s="94">
        <f>'Monthly Returns'!F20</f>
        <v>1.2645308388925525E-2</v>
      </c>
      <c r="N39" s="25">
        <f t="shared" si="3"/>
        <v>45930</v>
      </c>
      <c r="O39">
        <f t="shared" si="4"/>
        <v>1.1804824996851648E-2</v>
      </c>
      <c r="P39">
        <f t="shared" si="5"/>
        <v>7.6631852211988871E-2</v>
      </c>
      <c r="Q39" s="25">
        <f t="shared" si="6"/>
        <v>45716</v>
      </c>
      <c r="R39">
        <f t="shared" si="7"/>
        <v>2.8436951814864608E-2</v>
      </c>
      <c r="S39">
        <f t="shared" si="8"/>
        <v>2.8436951814864608E-2</v>
      </c>
    </row>
    <row r="40" spans="1:19" ht="15.5" x14ac:dyDescent="0.35">
      <c r="A40" s="22" t="s">
        <v>413</v>
      </c>
      <c r="N40" s="25">
        <f t="shared" si="3"/>
        <v>45961</v>
      </c>
      <c r="O40">
        <f t="shared" si="4"/>
        <v>-6.1266840989658844E-3</v>
      </c>
      <c r="P40">
        <f t="shared" si="5"/>
        <v>7.0035668962601383E-2</v>
      </c>
      <c r="Q40" s="25">
        <f t="shared" si="6"/>
        <v>45747</v>
      </c>
      <c r="R40">
        <f t="shared" si="7"/>
        <v>8.3660130573512959E-3</v>
      </c>
      <c r="S40">
        <f t="shared" si="8"/>
        <v>3.7040868782410419E-2</v>
      </c>
    </row>
    <row r="41" spans="1:19" x14ac:dyDescent="0.35">
      <c r="A41" s="36" t="s">
        <v>414</v>
      </c>
      <c r="B41" s="61"/>
      <c r="C41" s="38" t="s">
        <v>415</v>
      </c>
      <c r="N41" s="25">
        <f t="shared" si="3"/>
        <v>45991</v>
      </c>
      <c r="O41">
        <f t="shared" si="4"/>
        <v>-1.746467152381681E-2</v>
      </c>
      <c r="P41">
        <f t="shared" si="5"/>
        <v>5.1347847485401887E-2</v>
      </c>
      <c r="Q41" s="25">
        <f t="shared" si="6"/>
        <v>45777</v>
      </c>
      <c r="R41">
        <f t="shared" si="7"/>
        <v>-2.1296655257732056E-3</v>
      </c>
      <c r="S41">
        <f t="shared" si="8"/>
        <v>3.4832318595346523E-2</v>
      </c>
    </row>
    <row r="42" spans="1:19" x14ac:dyDescent="0.35">
      <c r="A42" s="26" t="s">
        <v>329</v>
      </c>
      <c r="B42" s="33"/>
      <c r="C42" s="60">
        <f>'Portfolio Metrics'!B12</f>
        <v>-76998.261999999988</v>
      </c>
      <c r="N42" s="25">
        <f t="shared" si="3"/>
        <v>46022</v>
      </c>
      <c r="O42">
        <f t="shared" si="4"/>
        <v>3.4434854353513344E-3</v>
      </c>
      <c r="P42">
        <f t="shared" si="5"/>
        <v>5.4968148485705859E-2</v>
      </c>
      <c r="Q42" s="25">
        <f t="shared" si="6"/>
        <v>45808</v>
      </c>
      <c r="R42">
        <f t="shared" si="7"/>
        <v>2.0780937996707216E-3</v>
      </c>
      <c r="S42">
        <f t="shared" si="8"/>
        <v>3.6982797220318497E-2</v>
      </c>
    </row>
    <row r="43" spans="1:19" x14ac:dyDescent="0.35">
      <c r="A43" s="26" t="s">
        <v>416</v>
      </c>
      <c r="B43" s="33"/>
      <c r="C43" s="60">
        <f>'Portfolio Metrics'!B13</f>
        <v>23493.67000000006</v>
      </c>
      <c r="N43" s="25">
        <f t="shared" si="3"/>
        <v>46053</v>
      </c>
      <c r="O43">
        <f t="shared" si="4"/>
        <v>-6.2907644035492538E-5</v>
      </c>
      <c r="P43">
        <f t="shared" si="5"/>
        <v>5.4901782924952069E-2</v>
      </c>
      <c r="Q43" s="25">
        <f t="shared" si="6"/>
        <v>45838</v>
      </c>
      <c r="R43">
        <f t="shared" si="7"/>
        <v>3.6986640683636107E-3</v>
      </c>
      <c r="S43">
        <f t="shared" si="8"/>
        <v>4.0818248231908383E-2</v>
      </c>
    </row>
    <row r="44" spans="1:19" x14ac:dyDescent="0.35">
      <c r="A44" s="26" t="s">
        <v>417</v>
      </c>
      <c r="B44" s="33"/>
      <c r="C44" s="60">
        <f>'Portfolio Metrics'!B14</f>
        <v>4674.71</v>
      </c>
      <c r="N44" s="25">
        <f t="shared" si="3"/>
        <v>46081</v>
      </c>
      <c r="O44">
        <f t="shared" si="4"/>
        <v>4.0595999661932503E-2</v>
      </c>
      <c r="P44">
        <f t="shared" si="5"/>
        <v>9.7726575347945488E-2</v>
      </c>
      <c r="Q44" s="25">
        <f t="shared" si="6"/>
        <v>45869</v>
      </c>
      <c r="R44">
        <f t="shared" si="7"/>
        <v>-1.3713785740656403E-2</v>
      </c>
      <c r="S44">
        <f t="shared" si="8"/>
        <v>2.6544689780690689E-2</v>
      </c>
    </row>
    <row r="45" spans="1:19" ht="15" thickBot="1" x14ac:dyDescent="0.4">
      <c r="A45" s="69" t="s">
        <v>418</v>
      </c>
      <c r="B45" s="34"/>
      <c r="C45" s="76">
        <f>'Portfolio Metrics'!B15</f>
        <v>-3318.4399999999996</v>
      </c>
      <c r="N45" s="25">
        <f t="shared" si="3"/>
        <v>46112</v>
      </c>
      <c r="O45">
        <f t="shared" si="4"/>
        <v>-7.7506793467263746E-2</v>
      </c>
      <c r="P45">
        <f t="shared" si="5"/>
        <v>1.2645308388925525E-2</v>
      </c>
      <c r="Q45" s="25">
        <f t="shared" si="6"/>
        <v>45900</v>
      </c>
      <c r="R45">
        <f t="shared" si="7"/>
        <v>3.6555636199705033E-2</v>
      </c>
      <c r="S45">
        <f t="shared" si="8"/>
        <v>6.4070684003052714E-2</v>
      </c>
    </row>
    <row r="46" spans="1:19" ht="15" thickTop="1" x14ac:dyDescent="0.35">
      <c r="A46" s="72" t="s">
        <v>346</v>
      </c>
      <c r="B46" s="77"/>
      <c r="C46" s="78">
        <f>'Portfolio Metrics'!B16</f>
        <v>-52148.321999999927</v>
      </c>
      <c r="N46" s="25">
        <f t="shared" ref="N46:O52" si="9">F33</f>
        <v>45930</v>
      </c>
      <c r="O46">
        <f t="shared" si="9"/>
        <v>884902.22</v>
      </c>
      <c r="Q46" s="25">
        <f t="shared" si="6"/>
        <v>45930</v>
      </c>
      <c r="R46">
        <f t="shared" si="7"/>
        <v>1.1804824996851648E-2</v>
      </c>
      <c r="S46">
        <f t="shared" si="8"/>
        <v>7.6631852211988871E-2</v>
      </c>
    </row>
    <row r="47" spans="1:19" x14ac:dyDescent="0.35">
      <c r="N47" s="25">
        <f t="shared" si="9"/>
        <v>45961</v>
      </c>
      <c r="O47">
        <f t="shared" si="9"/>
        <v>1277030.03</v>
      </c>
      <c r="Q47" s="25">
        <f t="shared" si="6"/>
        <v>45961</v>
      </c>
      <c r="R47">
        <f t="shared" si="7"/>
        <v>-6.1266840989658844E-3</v>
      </c>
      <c r="S47">
        <f t="shared" si="8"/>
        <v>7.0035668962601383E-2</v>
      </c>
    </row>
    <row r="48" spans="1:19" x14ac:dyDescent="0.35">
      <c r="N48" s="25">
        <f t="shared" si="9"/>
        <v>45991</v>
      </c>
      <c r="O48">
        <f t="shared" si="9"/>
        <v>1254727.1200000001</v>
      </c>
      <c r="Q48" s="25">
        <f t="shared" si="6"/>
        <v>45991</v>
      </c>
      <c r="R48">
        <f t="shared" si="7"/>
        <v>-1.746467152381681E-2</v>
      </c>
      <c r="S48">
        <f t="shared" si="8"/>
        <v>5.1347847485401887E-2</v>
      </c>
    </row>
    <row r="49" spans="1:19" ht="18.5" x14ac:dyDescent="0.45">
      <c r="A49" s="95" t="s">
        <v>422</v>
      </c>
      <c r="N49" s="25">
        <f t="shared" si="9"/>
        <v>46022</v>
      </c>
      <c r="O49">
        <f t="shared" si="9"/>
        <v>1228944.45</v>
      </c>
      <c r="Q49" s="25">
        <f t="shared" si="6"/>
        <v>46022</v>
      </c>
      <c r="R49">
        <f t="shared" si="7"/>
        <v>3.4434854353513344E-3</v>
      </c>
      <c r="S49">
        <f t="shared" si="8"/>
        <v>5.4968148485705859E-2</v>
      </c>
    </row>
    <row r="50" spans="1:19" x14ac:dyDescent="0.35">
      <c r="A50" s="23" t="s">
        <v>423</v>
      </c>
      <c r="N50" s="25">
        <f t="shared" si="9"/>
        <v>46053</v>
      </c>
      <c r="O50">
        <f t="shared" si="9"/>
        <v>1228867.1399999999</v>
      </c>
      <c r="Q50" s="25">
        <f t="shared" si="6"/>
        <v>46053</v>
      </c>
      <c r="R50">
        <f t="shared" si="7"/>
        <v>-6.2907644035492538E-5</v>
      </c>
      <c r="S50">
        <f t="shared" si="8"/>
        <v>5.4901782924952069E-2</v>
      </c>
    </row>
    <row r="51" spans="1:19" x14ac:dyDescent="0.35">
      <c r="N51" s="25">
        <f t="shared" si="9"/>
        <v>46081</v>
      </c>
      <c r="O51">
        <f t="shared" si="9"/>
        <v>1278754.23</v>
      </c>
      <c r="Q51" s="25">
        <f t="shared" si="6"/>
        <v>46081</v>
      </c>
      <c r="R51">
        <f t="shared" si="7"/>
        <v>4.0595999661932503E-2</v>
      </c>
      <c r="S51">
        <f t="shared" si="8"/>
        <v>9.7726575347945488E-2</v>
      </c>
    </row>
    <row r="52" spans="1:19" x14ac:dyDescent="0.35">
      <c r="N52" s="25">
        <f t="shared" si="9"/>
        <v>46112</v>
      </c>
      <c r="O52">
        <f t="shared" si="9"/>
        <v>1179642.0900000001</v>
      </c>
      <c r="Q52" s="25">
        <f t="shared" si="6"/>
        <v>46112</v>
      </c>
      <c r="R52">
        <f t="shared" si="7"/>
        <v>-7.7506793467263746E-2</v>
      </c>
      <c r="S52">
        <f t="shared" si="8"/>
        <v>1.2645308388925525E-2</v>
      </c>
    </row>
    <row r="55" spans="1:19" x14ac:dyDescent="0.35">
      <c r="Q55" t="s">
        <v>315</v>
      </c>
      <c r="R55" t="s">
        <v>408</v>
      </c>
    </row>
    <row r="56" spans="1:19" x14ac:dyDescent="0.35">
      <c r="Q56" t="s">
        <v>420</v>
      </c>
      <c r="R56">
        <f>B36</f>
        <v>12</v>
      </c>
    </row>
    <row r="57" spans="1:19" x14ac:dyDescent="0.35">
      <c r="Q57" t="s">
        <v>421</v>
      </c>
      <c r="R57">
        <f>B37</f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Statements (Raw)</vt:lpstr>
      <vt:lpstr>Trade Log</vt:lpstr>
      <vt:lpstr>Holdings</vt:lpstr>
      <vt:lpstr>Portfolio Metrics</vt:lpstr>
      <vt:lpstr>IRR Analysis</vt:lpstr>
      <vt:lpstr>Monthly Returns</vt:lpstr>
      <vt:lpstr>Investor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Vasco Varao</dc:creator>
  <cp:lastModifiedBy>Vasco Varao</cp:lastModifiedBy>
  <dcterms:created xsi:type="dcterms:W3CDTF">2026-04-03T10:31:46Z</dcterms:created>
  <dcterms:modified xsi:type="dcterms:W3CDTF">2026-04-07T19:36:07Z</dcterms:modified>
</cp:coreProperties>
</file>