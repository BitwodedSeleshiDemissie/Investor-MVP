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dario/Documents/Claude/Projects/Ariete Capital Investor Relations/"/>
    </mc:Choice>
  </mc:AlternateContent>
  <xr:revisionPtr revIDLastSave="0" documentId="13_ncr:1_{D33C68CA-C7A9-9F42-B7EF-5C9347196E7E}" xr6:coauthVersionLast="47" xr6:coauthVersionMax="47" xr10:uidLastSave="{00000000-0000-0000-0000-000000000000}"/>
  <bookViews>
    <workbookView xWindow="0" yWindow="660" windowWidth="29400" windowHeight="17060" tabRatio="500" activeTab="5" xr2:uid="{00000000-000D-0000-FFFF-FFFF00000000}"/>
  </bookViews>
  <sheets>
    <sheet name="00_Dashboard" sheetId="1" r:id="rId1"/>
    <sheet name="01_Assumptions" sheetId="2" r:id="rId2"/>
    <sheet name="02_FX_Rates" sheetId="3" r:id="rId3"/>
    <sheet name="03_Investitori" sheetId="4" r:id="rId4"/>
    <sheet name="04_Trades" sheetId="5" r:id="rId5"/>
    <sheet name="05_Dividendi_Interessi" sheetId="6" r:id="rId6"/>
    <sheet name="06_Partecipazioni" sheetId="7" r:id="rId7"/>
    <sheet name="07_Prestiti" sheetId="8" r:id="rId8"/>
    <sheet name="08_PL_Operativa" sheetId="9" r:id="rId9"/>
    <sheet name="09_Posizioni" sheetId="10" r:id="rId10"/>
    <sheet name="10_NAV_Mensile" sheetId="11" r:id="rId11"/>
    <sheet name="11_Performance" sheetId="12" r:id="rId12"/>
    <sheet name="12_Perf_Investitori" sheetId="13" r:id="rId13"/>
    <sheet name="13_Waterfall" sheetId="14" r:id="rId14"/>
    <sheet name="99_Integrity" sheetId="15" r:id="rId15"/>
  </sheets>
  <definedNames>
    <definedName name="Capital_Tot">'11_Performance'!$B$6</definedName>
    <definedName name="CatchUpPct">'01_Assumptions'!$B$13</definedName>
    <definedName name="DataOggi">'01_Assumptions'!$B$6</definedName>
    <definedName name="GPCarry">'01_Assumptions'!$B$11</definedName>
    <definedName name="Hurdle">'01_Assumptions'!$B$10</definedName>
    <definedName name="Listed_Tot_Cost">'09_Posizioni'!$K$60</definedName>
    <definedName name="LPSplit">'01_Assumptions'!$B$12</definedName>
    <definedName name="MV_Listed_Tot">'09_Posizioni'!$O$60</definedName>
    <definedName name="NAV_Curr">'11_Performance'!$B$16</definedName>
    <definedName name="NAVperUnit_Curr">'11_Performance'!$B$18</definedName>
    <definedName name="RiskFree">'01_Assumptions'!$B$7</definedName>
    <definedName name="Subscription_Pricing_Policy">'01_Assumptions'!$B$8</definedName>
    <definedName name="Units_Curr">'11_Performance'!$B$17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5" l="1"/>
  <c r="D11" i="15"/>
  <c r="E10" i="15"/>
  <c r="D10" i="15"/>
  <c r="B127" i="14"/>
  <c r="A127" i="14"/>
  <c r="B126" i="14"/>
  <c r="A126" i="14"/>
  <c r="B125" i="14"/>
  <c r="A125" i="14"/>
  <c r="B124" i="14"/>
  <c r="A124" i="14"/>
  <c r="B123" i="14"/>
  <c r="A123" i="14"/>
  <c r="B122" i="14"/>
  <c r="A122" i="14"/>
  <c r="B121" i="14"/>
  <c r="A121" i="14"/>
  <c r="B120" i="14"/>
  <c r="A120" i="14"/>
  <c r="B119" i="14"/>
  <c r="A119" i="14"/>
  <c r="B118" i="14"/>
  <c r="A118" i="14"/>
  <c r="B117" i="14"/>
  <c r="A117" i="14"/>
  <c r="B116" i="14"/>
  <c r="A116" i="14"/>
  <c r="B115" i="14"/>
  <c r="A115" i="14"/>
  <c r="B114" i="14"/>
  <c r="A114" i="14"/>
  <c r="B113" i="14"/>
  <c r="A113" i="14"/>
  <c r="B112" i="14"/>
  <c r="A112" i="14"/>
  <c r="B111" i="14"/>
  <c r="A111" i="14"/>
  <c r="B110" i="14"/>
  <c r="A110" i="14"/>
  <c r="B109" i="14"/>
  <c r="A109" i="14"/>
  <c r="B108" i="14"/>
  <c r="A108" i="14"/>
  <c r="B107" i="14"/>
  <c r="A107" i="14"/>
  <c r="B106" i="14"/>
  <c r="A106" i="14"/>
  <c r="B105" i="14"/>
  <c r="A105" i="14"/>
  <c r="M104" i="14"/>
  <c r="K104" i="14"/>
  <c r="B104" i="14"/>
  <c r="A104" i="14"/>
  <c r="M103" i="14"/>
  <c r="K103" i="14"/>
  <c r="B103" i="14"/>
  <c r="A103" i="14"/>
  <c r="M102" i="14"/>
  <c r="K102" i="14"/>
  <c r="B102" i="14"/>
  <c r="A102" i="14"/>
  <c r="M101" i="14"/>
  <c r="K101" i="14"/>
  <c r="B101" i="14"/>
  <c r="A101" i="14"/>
  <c r="M100" i="14"/>
  <c r="K100" i="14"/>
  <c r="B100" i="14"/>
  <c r="A100" i="14"/>
  <c r="M99" i="14"/>
  <c r="K99" i="14"/>
  <c r="B99" i="14"/>
  <c r="A99" i="14"/>
  <c r="M98" i="14"/>
  <c r="K98" i="14"/>
  <c r="B98" i="14"/>
  <c r="A98" i="14"/>
  <c r="M97" i="14"/>
  <c r="K97" i="14"/>
  <c r="B97" i="14"/>
  <c r="A97" i="14"/>
  <c r="M96" i="14"/>
  <c r="K96" i="14"/>
  <c r="B96" i="14"/>
  <c r="A96" i="14"/>
  <c r="M95" i="14"/>
  <c r="K95" i="14"/>
  <c r="B95" i="14"/>
  <c r="A95" i="14"/>
  <c r="M94" i="14"/>
  <c r="K94" i="14"/>
  <c r="B94" i="14"/>
  <c r="A94" i="14"/>
  <c r="M93" i="14"/>
  <c r="K93" i="14"/>
  <c r="B93" i="14"/>
  <c r="A93" i="14"/>
  <c r="M92" i="14"/>
  <c r="K92" i="14"/>
  <c r="B92" i="14"/>
  <c r="A92" i="14"/>
  <c r="M91" i="14"/>
  <c r="K91" i="14"/>
  <c r="B91" i="14"/>
  <c r="A91" i="14"/>
  <c r="M90" i="14"/>
  <c r="K90" i="14"/>
  <c r="B90" i="14"/>
  <c r="A90" i="14"/>
  <c r="M89" i="14"/>
  <c r="K89" i="14"/>
  <c r="B89" i="14"/>
  <c r="A89" i="14"/>
  <c r="M88" i="14"/>
  <c r="K88" i="14"/>
  <c r="B88" i="14"/>
  <c r="A88" i="14"/>
  <c r="M87" i="14"/>
  <c r="K87" i="14"/>
  <c r="B87" i="14"/>
  <c r="A87" i="14"/>
  <c r="M86" i="14"/>
  <c r="K86" i="14"/>
  <c r="B86" i="14"/>
  <c r="A86" i="14"/>
  <c r="M85" i="14"/>
  <c r="K85" i="14"/>
  <c r="B85" i="14"/>
  <c r="A85" i="14"/>
  <c r="M84" i="14"/>
  <c r="K84" i="14"/>
  <c r="B84" i="14"/>
  <c r="A84" i="14"/>
  <c r="M83" i="14"/>
  <c r="K83" i="14"/>
  <c r="B83" i="14"/>
  <c r="A83" i="14"/>
  <c r="M82" i="14"/>
  <c r="K82" i="14"/>
  <c r="B82" i="14"/>
  <c r="A82" i="14"/>
  <c r="M81" i="14"/>
  <c r="K81" i="14"/>
  <c r="B81" i="14"/>
  <c r="A81" i="14"/>
  <c r="M80" i="14"/>
  <c r="K80" i="14"/>
  <c r="B80" i="14"/>
  <c r="A80" i="14"/>
  <c r="M79" i="14"/>
  <c r="K79" i="14"/>
  <c r="B79" i="14"/>
  <c r="A79" i="14"/>
  <c r="M78" i="14"/>
  <c r="K78" i="14"/>
  <c r="B78" i="14"/>
  <c r="A78" i="14"/>
  <c r="M77" i="14"/>
  <c r="K77" i="14"/>
  <c r="B77" i="14"/>
  <c r="A77" i="14"/>
  <c r="M76" i="14"/>
  <c r="K76" i="14"/>
  <c r="B76" i="14"/>
  <c r="A76" i="14"/>
  <c r="M75" i="14"/>
  <c r="K75" i="14"/>
  <c r="B75" i="14"/>
  <c r="A75" i="14"/>
  <c r="M74" i="14"/>
  <c r="K74" i="14"/>
  <c r="B74" i="14"/>
  <c r="A74" i="14"/>
  <c r="M73" i="14"/>
  <c r="K73" i="14"/>
  <c r="B73" i="14"/>
  <c r="A73" i="14"/>
  <c r="M72" i="14"/>
  <c r="K72" i="14"/>
  <c r="B72" i="14"/>
  <c r="A72" i="14"/>
  <c r="M71" i="14"/>
  <c r="K71" i="14"/>
  <c r="B71" i="14"/>
  <c r="A71" i="14"/>
  <c r="M70" i="14"/>
  <c r="K70" i="14"/>
  <c r="B70" i="14"/>
  <c r="A70" i="14"/>
  <c r="M69" i="14"/>
  <c r="K69" i="14"/>
  <c r="B69" i="14"/>
  <c r="A69" i="14"/>
  <c r="M68" i="14"/>
  <c r="K68" i="14"/>
  <c r="B68" i="14"/>
  <c r="A68" i="14"/>
  <c r="M67" i="14"/>
  <c r="K67" i="14"/>
  <c r="B67" i="14"/>
  <c r="A67" i="14"/>
  <c r="M66" i="14"/>
  <c r="K66" i="14"/>
  <c r="B66" i="14"/>
  <c r="A66" i="14"/>
  <c r="M65" i="14"/>
  <c r="K65" i="14"/>
  <c r="B65" i="14"/>
  <c r="A65" i="14"/>
  <c r="M64" i="14"/>
  <c r="K64" i="14"/>
  <c r="B64" i="14"/>
  <c r="A64" i="14"/>
  <c r="M63" i="14"/>
  <c r="K63" i="14"/>
  <c r="B63" i="14"/>
  <c r="A63" i="14"/>
  <c r="M62" i="14"/>
  <c r="K62" i="14"/>
  <c r="B62" i="14"/>
  <c r="A62" i="14"/>
  <c r="M61" i="14"/>
  <c r="K61" i="14"/>
  <c r="B61" i="14"/>
  <c r="A61" i="14"/>
  <c r="M60" i="14"/>
  <c r="K60" i="14"/>
  <c r="B60" i="14"/>
  <c r="A60" i="14"/>
  <c r="M59" i="14"/>
  <c r="K59" i="14"/>
  <c r="B59" i="14"/>
  <c r="A59" i="14"/>
  <c r="M58" i="14"/>
  <c r="K58" i="14"/>
  <c r="B58" i="14"/>
  <c r="A58" i="14"/>
  <c r="M57" i="14"/>
  <c r="K57" i="14"/>
  <c r="B57" i="14"/>
  <c r="A57" i="14"/>
  <c r="M56" i="14"/>
  <c r="K56" i="14"/>
  <c r="B56" i="14"/>
  <c r="A56" i="14"/>
  <c r="M55" i="14"/>
  <c r="K55" i="14"/>
  <c r="B55" i="14"/>
  <c r="A55" i="14"/>
  <c r="M54" i="14"/>
  <c r="K54" i="14"/>
  <c r="B54" i="14"/>
  <c r="A54" i="14"/>
  <c r="M53" i="14"/>
  <c r="K53" i="14"/>
  <c r="B53" i="14"/>
  <c r="A53" i="14"/>
  <c r="M52" i="14"/>
  <c r="K52" i="14"/>
  <c r="B52" i="14"/>
  <c r="A52" i="14"/>
  <c r="M51" i="14"/>
  <c r="K51" i="14"/>
  <c r="B51" i="14"/>
  <c r="A51" i="14"/>
  <c r="M50" i="14"/>
  <c r="K50" i="14"/>
  <c r="B50" i="14"/>
  <c r="A50" i="14"/>
  <c r="M49" i="14"/>
  <c r="K49" i="14"/>
  <c r="B49" i="14"/>
  <c r="A49" i="14"/>
  <c r="M48" i="14"/>
  <c r="K48" i="14"/>
  <c r="B48" i="14"/>
  <c r="A48" i="14"/>
  <c r="M47" i="14"/>
  <c r="K47" i="14"/>
  <c r="B47" i="14"/>
  <c r="A47" i="14"/>
  <c r="M46" i="14"/>
  <c r="K46" i="14"/>
  <c r="B46" i="14"/>
  <c r="A46" i="14"/>
  <c r="M45" i="14"/>
  <c r="K45" i="14"/>
  <c r="B45" i="14"/>
  <c r="A45" i="14"/>
  <c r="M44" i="14"/>
  <c r="K44" i="14"/>
  <c r="B44" i="14"/>
  <c r="A44" i="14"/>
  <c r="M43" i="14"/>
  <c r="K43" i="14"/>
  <c r="B43" i="14"/>
  <c r="A43" i="14"/>
  <c r="M42" i="14"/>
  <c r="K42" i="14"/>
  <c r="B42" i="14"/>
  <c r="A42" i="14"/>
  <c r="M41" i="14"/>
  <c r="K41" i="14"/>
  <c r="B41" i="14"/>
  <c r="A41" i="14"/>
  <c r="M40" i="14"/>
  <c r="K40" i="14"/>
  <c r="B40" i="14"/>
  <c r="A40" i="14"/>
  <c r="M39" i="14"/>
  <c r="K39" i="14"/>
  <c r="B39" i="14"/>
  <c r="A39" i="14"/>
  <c r="M38" i="14"/>
  <c r="K38" i="14"/>
  <c r="B38" i="14"/>
  <c r="A38" i="14"/>
  <c r="M37" i="14"/>
  <c r="K37" i="14"/>
  <c r="B37" i="14"/>
  <c r="A37" i="14"/>
  <c r="M36" i="14"/>
  <c r="K36" i="14"/>
  <c r="B36" i="14"/>
  <c r="A36" i="14"/>
  <c r="M35" i="14"/>
  <c r="K35" i="14"/>
  <c r="B35" i="14"/>
  <c r="A35" i="14"/>
  <c r="M34" i="14"/>
  <c r="K34" i="14"/>
  <c r="B34" i="14"/>
  <c r="A34" i="14"/>
  <c r="M33" i="14"/>
  <c r="K33" i="14"/>
  <c r="B33" i="14"/>
  <c r="A33" i="14"/>
  <c r="M32" i="14"/>
  <c r="K32" i="14"/>
  <c r="B32" i="14"/>
  <c r="A32" i="14"/>
  <c r="M31" i="14"/>
  <c r="K31" i="14"/>
  <c r="B31" i="14"/>
  <c r="A31" i="14"/>
  <c r="M30" i="14"/>
  <c r="K30" i="14"/>
  <c r="B30" i="14"/>
  <c r="A30" i="14"/>
  <c r="M29" i="14"/>
  <c r="K29" i="14"/>
  <c r="B29" i="14"/>
  <c r="A29" i="14"/>
  <c r="M28" i="14"/>
  <c r="K28" i="14"/>
  <c r="B28" i="14"/>
  <c r="A28" i="14"/>
  <c r="M27" i="14"/>
  <c r="K27" i="14"/>
  <c r="M26" i="14"/>
  <c r="K26" i="14"/>
  <c r="M25" i="14"/>
  <c r="K25" i="14"/>
  <c r="M24" i="14"/>
  <c r="K24" i="14"/>
  <c r="M23" i="14"/>
  <c r="K23" i="14"/>
  <c r="M22" i="14"/>
  <c r="K22" i="14"/>
  <c r="M21" i="14"/>
  <c r="K21" i="14"/>
  <c r="M20" i="14"/>
  <c r="K20" i="14"/>
  <c r="M19" i="14"/>
  <c r="K19" i="14"/>
  <c r="M18" i="14"/>
  <c r="K18" i="14"/>
  <c r="B18" i="14"/>
  <c r="M17" i="14"/>
  <c r="K17" i="14"/>
  <c r="M16" i="14"/>
  <c r="K16" i="14"/>
  <c r="C16" i="14"/>
  <c r="M15" i="14"/>
  <c r="K15" i="14"/>
  <c r="M14" i="14"/>
  <c r="K14" i="14"/>
  <c r="C14" i="14"/>
  <c r="M13" i="14"/>
  <c r="K13" i="14"/>
  <c r="M12" i="14"/>
  <c r="K12" i="14"/>
  <c r="M11" i="14"/>
  <c r="K11" i="14"/>
  <c r="M10" i="14"/>
  <c r="K10" i="14"/>
  <c r="M9" i="14"/>
  <c r="K9" i="14"/>
  <c r="K8" i="14"/>
  <c r="K7" i="14"/>
  <c r="K6" i="14"/>
  <c r="B6" i="14"/>
  <c r="K5" i="14"/>
  <c r="H104" i="13"/>
  <c r="G104" i="13"/>
  <c r="D104" i="13"/>
  <c r="C104" i="13"/>
  <c r="B104" i="13"/>
  <c r="A104" i="13"/>
  <c r="H103" i="13"/>
  <c r="G103" i="13"/>
  <c r="D103" i="13"/>
  <c r="C103" i="13"/>
  <c r="B103" i="13"/>
  <c r="A103" i="13"/>
  <c r="H102" i="13"/>
  <c r="G102" i="13"/>
  <c r="D102" i="13"/>
  <c r="C102" i="13"/>
  <c r="B102" i="13"/>
  <c r="A102" i="13"/>
  <c r="H101" i="13"/>
  <c r="G101" i="13"/>
  <c r="D101" i="13"/>
  <c r="C101" i="13"/>
  <c r="B101" i="13"/>
  <c r="A101" i="13"/>
  <c r="H100" i="13"/>
  <c r="G100" i="13"/>
  <c r="D100" i="13"/>
  <c r="C100" i="13"/>
  <c r="B100" i="13"/>
  <c r="A100" i="13"/>
  <c r="H99" i="13"/>
  <c r="G99" i="13"/>
  <c r="D99" i="13"/>
  <c r="C99" i="13"/>
  <c r="B99" i="13"/>
  <c r="A99" i="13"/>
  <c r="H98" i="13"/>
  <c r="G98" i="13"/>
  <c r="D98" i="13"/>
  <c r="C98" i="13"/>
  <c r="B98" i="13"/>
  <c r="A98" i="13"/>
  <c r="H97" i="13"/>
  <c r="G97" i="13"/>
  <c r="D97" i="13"/>
  <c r="C97" i="13"/>
  <c r="B97" i="13"/>
  <c r="A97" i="13"/>
  <c r="H96" i="13"/>
  <c r="G96" i="13"/>
  <c r="D96" i="13"/>
  <c r="C96" i="13"/>
  <c r="B96" i="13"/>
  <c r="A96" i="13"/>
  <c r="H95" i="13"/>
  <c r="G95" i="13"/>
  <c r="D95" i="13"/>
  <c r="C95" i="13"/>
  <c r="B95" i="13"/>
  <c r="A95" i="13"/>
  <c r="H94" i="13"/>
  <c r="G94" i="13"/>
  <c r="D94" i="13"/>
  <c r="C94" i="13"/>
  <c r="B94" i="13"/>
  <c r="A94" i="13"/>
  <c r="H93" i="13"/>
  <c r="G93" i="13"/>
  <c r="D93" i="13"/>
  <c r="C93" i="13"/>
  <c r="B93" i="13"/>
  <c r="A93" i="13"/>
  <c r="H92" i="13"/>
  <c r="G92" i="13"/>
  <c r="D92" i="13"/>
  <c r="C92" i="13"/>
  <c r="B92" i="13"/>
  <c r="A92" i="13"/>
  <c r="H91" i="13"/>
  <c r="G91" i="13"/>
  <c r="D91" i="13"/>
  <c r="C91" i="13"/>
  <c r="B91" i="13"/>
  <c r="A91" i="13"/>
  <c r="H90" i="13"/>
  <c r="G90" i="13"/>
  <c r="D90" i="13"/>
  <c r="C90" i="13"/>
  <c r="B90" i="13"/>
  <c r="A90" i="13"/>
  <c r="H89" i="13"/>
  <c r="G89" i="13"/>
  <c r="D89" i="13"/>
  <c r="C89" i="13"/>
  <c r="B89" i="13"/>
  <c r="A89" i="13"/>
  <c r="H88" i="13"/>
  <c r="G88" i="13"/>
  <c r="D88" i="13"/>
  <c r="C88" i="13"/>
  <c r="B88" i="13"/>
  <c r="A88" i="13"/>
  <c r="H87" i="13"/>
  <c r="G87" i="13"/>
  <c r="D87" i="13"/>
  <c r="C87" i="13"/>
  <c r="B87" i="13"/>
  <c r="A87" i="13"/>
  <c r="H86" i="13"/>
  <c r="G86" i="13"/>
  <c r="D86" i="13"/>
  <c r="C86" i="13"/>
  <c r="B86" i="13"/>
  <c r="A86" i="13"/>
  <c r="H85" i="13"/>
  <c r="G85" i="13"/>
  <c r="D85" i="13"/>
  <c r="C85" i="13"/>
  <c r="B85" i="13"/>
  <c r="A85" i="13"/>
  <c r="H84" i="13"/>
  <c r="G84" i="13"/>
  <c r="D84" i="13"/>
  <c r="C84" i="13"/>
  <c r="B84" i="13"/>
  <c r="A84" i="13"/>
  <c r="H83" i="13"/>
  <c r="G83" i="13"/>
  <c r="D83" i="13"/>
  <c r="C83" i="13"/>
  <c r="B83" i="13"/>
  <c r="A83" i="13"/>
  <c r="H82" i="13"/>
  <c r="G82" i="13"/>
  <c r="D82" i="13"/>
  <c r="C82" i="13"/>
  <c r="B82" i="13"/>
  <c r="A82" i="13"/>
  <c r="H81" i="13"/>
  <c r="G81" i="13"/>
  <c r="D81" i="13"/>
  <c r="C81" i="13"/>
  <c r="B81" i="13"/>
  <c r="A81" i="13"/>
  <c r="H80" i="13"/>
  <c r="G80" i="13"/>
  <c r="D80" i="13"/>
  <c r="C80" i="13"/>
  <c r="B80" i="13"/>
  <c r="A80" i="13"/>
  <c r="H79" i="13"/>
  <c r="G79" i="13"/>
  <c r="D79" i="13"/>
  <c r="C79" i="13"/>
  <c r="B79" i="13"/>
  <c r="A79" i="13"/>
  <c r="H78" i="13"/>
  <c r="G78" i="13"/>
  <c r="D78" i="13"/>
  <c r="C78" i="13"/>
  <c r="B78" i="13"/>
  <c r="A78" i="13"/>
  <c r="H77" i="13"/>
  <c r="G77" i="13"/>
  <c r="D77" i="13"/>
  <c r="C77" i="13"/>
  <c r="B77" i="13"/>
  <c r="A77" i="13"/>
  <c r="H76" i="13"/>
  <c r="G76" i="13"/>
  <c r="D76" i="13"/>
  <c r="C76" i="13"/>
  <c r="B76" i="13"/>
  <c r="A76" i="13"/>
  <c r="H75" i="13"/>
  <c r="G75" i="13"/>
  <c r="D75" i="13"/>
  <c r="C75" i="13"/>
  <c r="B75" i="13"/>
  <c r="A75" i="13"/>
  <c r="H74" i="13"/>
  <c r="G74" i="13"/>
  <c r="D74" i="13"/>
  <c r="C74" i="13"/>
  <c r="B74" i="13"/>
  <c r="A74" i="13"/>
  <c r="H73" i="13"/>
  <c r="G73" i="13"/>
  <c r="D73" i="13"/>
  <c r="C73" i="13"/>
  <c r="B73" i="13"/>
  <c r="A73" i="13"/>
  <c r="H72" i="13"/>
  <c r="G72" i="13"/>
  <c r="D72" i="13"/>
  <c r="C72" i="13"/>
  <c r="B72" i="13"/>
  <c r="A72" i="13"/>
  <c r="H71" i="13"/>
  <c r="G71" i="13"/>
  <c r="D71" i="13"/>
  <c r="C71" i="13"/>
  <c r="B71" i="13"/>
  <c r="A71" i="13"/>
  <c r="H70" i="13"/>
  <c r="G70" i="13"/>
  <c r="D70" i="13"/>
  <c r="C70" i="13"/>
  <c r="B70" i="13"/>
  <c r="A70" i="13"/>
  <c r="H69" i="13"/>
  <c r="G69" i="13"/>
  <c r="D69" i="13"/>
  <c r="C69" i="13"/>
  <c r="B69" i="13"/>
  <c r="A69" i="13"/>
  <c r="H68" i="13"/>
  <c r="G68" i="13"/>
  <c r="D68" i="13"/>
  <c r="C68" i="13"/>
  <c r="B68" i="13"/>
  <c r="A68" i="13"/>
  <c r="H67" i="13"/>
  <c r="G67" i="13"/>
  <c r="D67" i="13"/>
  <c r="C67" i="13"/>
  <c r="B67" i="13"/>
  <c r="A67" i="13"/>
  <c r="H66" i="13"/>
  <c r="G66" i="13"/>
  <c r="D66" i="13"/>
  <c r="C66" i="13"/>
  <c r="B66" i="13"/>
  <c r="A66" i="13"/>
  <c r="H65" i="13"/>
  <c r="G65" i="13"/>
  <c r="D65" i="13"/>
  <c r="C65" i="13"/>
  <c r="B65" i="13"/>
  <c r="A65" i="13"/>
  <c r="H64" i="13"/>
  <c r="G64" i="13"/>
  <c r="D64" i="13"/>
  <c r="C64" i="13"/>
  <c r="B64" i="13"/>
  <c r="A64" i="13"/>
  <c r="H63" i="13"/>
  <c r="G63" i="13"/>
  <c r="D63" i="13"/>
  <c r="C63" i="13"/>
  <c r="B63" i="13"/>
  <c r="A63" i="13"/>
  <c r="H62" i="13"/>
  <c r="G62" i="13"/>
  <c r="D62" i="13"/>
  <c r="C62" i="13"/>
  <c r="B62" i="13"/>
  <c r="A62" i="13"/>
  <c r="H61" i="13"/>
  <c r="G61" i="13"/>
  <c r="D61" i="13"/>
  <c r="C61" i="13"/>
  <c r="B61" i="13"/>
  <c r="A61" i="13"/>
  <c r="H60" i="13"/>
  <c r="G60" i="13"/>
  <c r="D60" i="13"/>
  <c r="C60" i="13"/>
  <c r="B60" i="13"/>
  <c r="A60" i="13"/>
  <c r="H59" i="13"/>
  <c r="G59" i="13"/>
  <c r="D59" i="13"/>
  <c r="C59" i="13"/>
  <c r="B59" i="13"/>
  <c r="A59" i="13"/>
  <c r="H58" i="13"/>
  <c r="G58" i="13"/>
  <c r="D58" i="13"/>
  <c r="C58" i="13"/>
  <c r="B58" i="13"/>
  <c r="A58" i="13"/>
  <c r="H57" i="13"/>
  <c r="G57" i="13"/>
  <c r="D57" i="13"/>
  <c r="C57" i="13"/>
  <c r="B57" i="13"/>
  <c r="A57" i="13"/>
  <c r="H56" i="13"/>
  <c r="G56" i="13"/>
  <c r="D56" i="13"/>
  <c r="C56" i="13"/>
  <c r="B56" i="13"/>
  <c r="A56" i="13"/>
  <c r="H55" i="13"/>
  <c r="G55" i="13"/>
  <c r="D55" i="13"/>
  <c r="C55" i="13"/>
  <c r="B55" i="13"/>
  <c r="A55" i="13"/>
  <c r="H54" i="13"/>
  <c r="G54" i="13"/>
  <c r="D54" i="13"/>
  <c r="C54" i="13"/>
  <c r="B54" i="13"/>
  <c r="A54" i="13"/>
  <c r="H53" i="13"/>
  <c r="G53" i="13"/>
  <c r="D53" i="13"/>
  <c r="C53" i="13"/>
  <c r="B53" i="13"/>
  <c r="A53" i="13"/>
  <c r="H52" i="13"/>
  <c r="G52" i="13"/>
  <c r="D52" i="13"/>
  <c r="C52" i="13"/>
  <c r="B52" i="13"/>
  <c r="A52" i="13"/>
  <c r="H51" i="13"/>
  <c r="G51" i="13"/>
  <c r="D51" i="13"/>
  <c r="C51" i="13"/>
  <c r="B51" i="13"/>
  <c r="A51" i="13"/>
  <c r="H50" i="13"/>
  <c r="G50" i="13"/>
  <c r="D50" i="13"/>
  <c r="C50" i="13"/>
  <c r="B50" i="13"/>
  <c r="A50" i="13"/>
  <c r="H49" i="13"/>
  <c r="G49" i="13"/>
  <c r="D49" i="13"/>
  <c r="C49" i="13"/>
  <c r="B49" i="13"/>
  <c r="A49" i="13"/>
  <c r="H48" i="13"/>
  <c r="G48" i="13"/>
  <c r="D48" i="13"/>
  <c r="C48" i="13"/>
  <c r="B48" i="13"/>
  <c r="A48" i="13"/>
  <c r="H47" i="13"/>
  <c r="G47" i="13"/>
  <c r="D47" i="13"/>
  <c r="C47" i="13"/>
  <c r="B47" i="13"/>
  <c r="A47" i="13"/>
  <c r="H46" i="13"/>
  <c r="G46" i="13"/>
  <c r="D46" i="13"/>
  <c r="C46" i="13"/>
  <c r="B46" i="13"/>
  <c r="A46" i="13"/>
  <c r="H45" i="13"/>
  <c r="G45" i="13"/>
  <c r="D45" i="13"/>
  <c r="C45" i="13"/>
  <c r="B45" i="13"/>
  <c r="A45" i="13"/>
  <c r="H44" i="13"/>
  <c r="G44" i="13"/>
  <c r="D44" i="13"/>
  <c r="C44" i="13"/>
  <c r="B44" i="13"/>
  <c r="A44" i="13"/>
  <c r="H43" i="13"/>
  <c r="G43" i="13"/>
  <c r="D43" i="13"/>
  <c r="C43" i="13"/>
  <c r="B43" i="13"/>
  <c r="A43" i="13"/>
  <c r="H42" i="13"/>
  <c r="G42" i="13"/>
  <c r="D42" i="13"/>
  <c r="C42" i="13"/>
  <c r="B42" i="13"/>
  <c r="A42" i="13"/>
  <c r="H41" i="13"/>
  <c r="G41" i="13"/>
  <c r="D41" i="13"/>
  <c r="C41" i="13"/>
  <c r="B41" i="13"/>
  <c r="A41" i="13"/>
  <c r="H40" i="13"/>
  <c r="G40" i="13"/>
  <c r="D40" i="13"/>
  <c r="C40" i="13"/>
  <c r="B40" i="13"/>
  <c r="A40" i="13"/>
  <c r="H39" i="13"/>
  <c r="G39" i="13"/>
  <c r="D39" i="13"/>
  <c r="C39" i="13"/>
  <c r="B39" i="13"/>
  <c r="A39" i="13"/>
  <c r="H38" i="13"/>
  <c r="G38" i="13"/>
  <c r="D38" i="13"/>
  <c r="C38" i="13"/>
  <c r="B38" i="13"/>
  <c r="A38" i="13"/>
  <c r="H37" i="13"/>
  <c r="G37" i="13"/>
  <c r="D37" i="13"/>
  <c r="C37" i="13"/>
  <c r="B37" i="13"/>
  <c r="A37" i="13"/>
  <c r="H36" i="13"/>
  <c r="G36" i="13"/>
  <c r="D36" i="13"/>
  <c r="C36" i="13"/>
  <c r="B36" i="13"/>
  <c r="A36" i="13"/>
  <c r="H35" i="13"/>
  <c r="G35" i="13"/>
  <c r="D35" i="13"/>
  <c r="C35" i="13"/>
  <c r="B35" i="13"/>
  <c r="A35" i="13"/>
  <c r="H34" i="13"/>
  <c r="G34" i="13"/>
  <c r="D34" i="13"/>
  <c r="C34" i="13"/>
  <c r="B34" i="13"/>
  <c r="A34" i="13"/>
  <c r="H33" i="13"/>
  <c r="G33" i="13"/>
  <c r="D33" i="13"/>
  <c r="C33" i="13"/>
  <c r="B33" i="13"/>
  <c r="A33" i="13"/>
  <c r="H32" i="13"/>
  <c r="G32" i="13"/>
  <c r="D32" i="13"/>
  <c r="C32" i="13"/>
  <c r="B32" i="13"/>
  <c r="A32" i="13"/>
  <c r="H31" i="13"/>
  <c r="G31" i="13"/>
  <c r="D31" i="13"/>
  <c r="C31" i="13"/>
  <c r="B31" i="13"/>
  <c r="A31" i="13"/>
  <c r="H30" i="13"/>
  <c r="G30" i="13"/>
  <c r="D30" i="13"/>
  <c r="C30" i="13"/>
  <c r="B30" i="13"/>
  <c r="A30" i="13"/>
  <c r="H29" i="13"/>
  <c r="G29" i="13"/>
  <c r="D29" i="13"/>
  <c r="C29" i="13"/>
  <c r="B29" i="13"/>
  <c r="A29" i="13"/>
  <c r="H28" i="13"/>
  <c r="G28" i="13"/>
  <c r="D28" i="13"/>
  <c r="C28" i="13"/>
  <c r="B28" i="13"/>
  <c r="A28" i="13"/>
  <c r="H27" i="13"/>
  <c r="G27" i="13"/>
  <c r="D27" i="13"/>
  <c r="C27" i="13"/>
  <c r="B27" i="13"/>
  <c r="A27" i="13"/>
  <c r="H26" i="13"/>
  <c r="G26" i="13"/>
  <c r="D26" i="13"/>
  <c r="C26" i="13"/>
  <c r="B26" i="13"/>
  <c r="A26" i="13"/>
  <c r="H25" i="13"/>
  <c r="G25" i="13"/>
  <c r="D25" i="13"/>
  <c r="C25" i="13"/>
  <c r="B25" i="13"/>
  <c r="A25" i="13"/>
  <c r="H24" i="13"/>
  <c r="G24" i="13"/>
  <c r="D24" i="13"/>
  <c r="C24" i="13"/>
  <c r="B24" i="13"/>
  <c r="A24" i="13"/>
  <c r="H23" i="13"/>
  <c r="G23" i="13"/>
  <c r="D23" i="13"/>
  <c r="C23" i="13"/>
  <c r="B23" i="13"/>
  <c r="A23" i="13"/>
  <c r="H22" i="13"/>
  <c r="G22" i="13"/>
  <c r="D22" i="13"/>
  <c r="C22" i="13"/>
  <c r="B22" i="13"/>
  <c r="A22" i="13"/>
  <c r="H21" i="13"/>
  <c r="G21" i="13"/>
  <c r="D21" i="13"/>
  <c r="C21" i="13"/>
  <c r="B21" i="13"/>
  <c r="A21" i="13"/>
  <c r="H20" i="13"/>
  <c r="G20" i="13"/>
  <c r="D20" i="13"/>
  <c r="C20" i="13"/>
  <c r="B20" i="13"/>
  <c r="A20" i="13"/>
  <c r="H19" i="13"/>
  <c r="G19" i="13"/>
  <c r="D19" i="13"/>
  <c r="C19" i="13"/>
  <c r="B19" i="13"/>
  <c r="A19" i="13"/>
  <c r="H18" i="13"/>
  <c r="G18" i="13"/>
  <c r="D18" i="13"/>
  <c r="C18" i="13"/>
  <c r="B18" i="13"/>
  <c r="A18" i="13"/>
  <c r="H17" i="13"/>
  <c r="G17" i="13"/>
  <c r="D17" i="13"/>
  <c r="C17" i="13"/>
  <c r="B17" i="13"/>
  <c r="A17" i="13"/>
  <c r="H16" i="13"/>
  <c r="G16" i="13"/>
  <c r="D16" i="13"/>
  <c r="C16" i="13"/>
  <c r="B16" i="13"/>
  <c r="A16" i="13"/>
  <c r="H15" i="13"/>
  <c r="G15" i="13"/>
  <c r="D15" i="13"/>
  <c r="C15" i="13"/>
  <c r="B15" i="13"/>
  <c r="A15" i="13"/>
  <c r="H14" i="13"/>
  <c r="G14" i="13"/>
  <c r="D14" i="13"/>
  <c r="C14" i="13"/>
  <c r="B14" i="13"/>
  <c r="A14" i="13"/>
  <c r="H13" i="13"/>
  <c r="G13" i="13"/>
  <c r="D13" i="13"/>
  <c r="C13" i="13"/>
  <c r="B13" i="13"/>
  <c r="A13" i="13"/>
  <c r="H12" i="13"/>
  <c r="G12" i="13"/>
  <c r="D12" i="13"/>
  <c r="C12" i="13"/>
  <c r="B12" i="13"/>
  <c r="A12" i="13"/>
  <c r="H11" i="13"/>
  <c r="G11" i="13"/>
  <c r="D11" i="13"/>
  <c r="C11" i="13"/>
  <c r="B11" i="13"/>
  <c r="A11" i="13"/>
  <c r="H10" i="13"/>
  <c r="G10" i="13"/>
  <c r="D10" i="13"/>
  <c r="C10" i="13"/>
  <c r="B10" i="13"/>
  <c r="A10" i="13"/>
  <c r="H9" i="13"/>
  <c r="G9" i="13"/>
  <c r="D9" i="13"/>
  <c r="C9" i="13"/>
  <c r="B9" i="13"/>
  <c r="A9" i="13"/>
  <c r="H8" i="13"/>
  <c r="D8" i="13"/>
  <c r="C8" i="13"/>
  <c r="B8" i="13"/>
  <c r="A8" i="13"/>
  <c r="H7" i="13"/>
  <c r="D7" i="13"/>
  <c r="C7" i="13"/>
  <c r="B7" i="13"/>
  <c r="A7" i="13"/>
  <c r="H6" i="13"/>
  <c r="D6" i="13"/>
  <c r="C6" i="13"/>
  <c r="B6" i="13"/>
  <c r="A6" i="13"/>
  <c r="H5" i="13"/>
  <c r="D5" i="13"/>
  <c r="C5" i="13"/>
  <c r="B5" i="13"/>
  <c r="A5" i="13"/>
  <c r="B14" i="12"/>
  <c r="D8" i="12"/>
  <c r="D7" i="12"/>
  <c r="D6" i="12"/>
  <c r="D5" i="12"/>
  <c r="H59" i="10"/>
  <c r="F59" i="10"/>
  <c r="E59" i="10"/>
  <c r="D59" i="10"/>
  <c r="I59" i="10" s="1"/>
  <c r="C59" i="10"/>
  <c r="A59" i="10"/>
  <c r="H58" i="10"/>
  <c r="J58" i="10" s="1"/>
  <c r="G58" i="10"/>
  <c r="F58" i="10"/>
  <c r="E58" i="10"/>
  <c r="D58" i="10"/>
  <c r="I58" i="10" s="1"/>
  <c r="C58" i="10"/>
  <c r="A58" i="10"/>
  <c r="H57" i="10"/>
  <c r="F57" i="10"/>
  <c r="G57" i="10" s="1"/>
  <c r="E57" i="10"/>
  <c r="D57" i="10"/>
  <c r="I57" i="10" s="1"/>
  <c r="C57" i="10"/>
  <c r="A57" i="10"/>
  <c r="H56" i="10"/>
  <c r="F56" i="10"/>
  <c r="E56" i="10"/>
  <c r="G56" i="10" s="1"/>
  <c r="D56" i="10"/>
  <c r="I56" i="10" s="1"/>
  <c r="C56" i="10"/>
  <c r="A56" i="10"/>
  <c r="H55" i="10"/>
  <c r="F55" i="10"/>
  <c r="E55" i="10"/>
  <c r="D55" i="10"/>
  <c r="I55" i="10" s="1"/>
  <c r="C55" i="10"/>
  <c r="A55" i="10"/>
  <c r="H54" i="10"/>
  <c r="F54" i="10"/>
  <c r="E54" i="10"/>
  <c r="G54" i="10" s="1"/>
  <c r="D54" i="10"/>
  <c r="I54" i="10" s="1"/>
  <c r="C54" i="10"/>
  <c r="A54" i="10"/>
  <c r="J53" i="10"/>
  <c r="K53" i="10" s="1"/>
  <c r="H53" i="10"/>
  <c r="F53" i="10"/>
  <c r="G53" i="10" s="1"/>
  <c r="O53" i="10" s="1"/>
  <c r="E53" i="10"/>
  <c r="D53" i="10"/>
  <c r="I53" i="10" s="1"/>
  <c r="C53" i="10"/>
  <c r="A53" i="10"/>
  <c r="H52" i="10"/>
  <c r="F52" i="10"/>
  <c r="E52" i="10"/>
  <c r="G52" i="10" s="1"/>
  <c r="D52" i="10"/>
  <c r="I52" i="10" s="1"/>
  <c r="C52" i="10"/>
  <c r="A52" i="10"/>
  <c r="J51" i="10"/>
  <c r="K51" i="10" s="1"/>
  <c r="H51" i="10"/>
  <c r="F51" i="10"/>
  <c r="G51" i="10" s="1"/>
  <c r="O51" i="10" s="1"/>
  <c r="E51" i="10"/>
  <c r="D51" i="10"/>
  <c r="I51" i="10" s="1"/>
  <c r="C51" i="10"/>
  <c r="A51" i="10"/>
  <c r="I50" i="10"/>
  <c r="H50" i="10"/>
  <c r="F50" i="10"/>
  <c r="E50" i="10"/>
  <c r="G50" i="10" s="1"/>
  <c r="D50" i="10"/>
  <c r="C50" i="10"/>
  <c r="A50" i="10"/>
  <c r="H49" i="10"/>
  <c r="F49" i="10"/>
  <c r="G49" i="10" s="1"/>
  <c r="E49" i="10"/>
  <c r="D49" i="10"/>
  <c r="I49" i="10" s="1"/>
  <c r="C49" i="10"/>
  <c r="A49" i="10"/>
  <c r="H48" i="10"/>
  <c r="F48" i="10"/>
  <c r="E48" i="10"/>
  <c r="G48" i="10" s="1"/>
  <c r="D48" i="10"/>
  <c r="I48" i="10" s="1"/>
  <c r="C48" i="10"/>
  <c r="A48" i="10"/>
  <c r="O47" i="10"/>
  <c r="J47" i="10"/>
  <c r="K47" i="10" s="1"/>
  <c r="H47" i="10"/>
  <c r="F47" i="10"/>
  <c r="G47" i="10" s="1"/>
  <c r="E47" i="10"/>
  <c r="D47" i="10"/>
  <c r="I47" i="10" s="1"/>
  <c r="C47" i="10"/>
  <c r="A47" i="10"/>
  <c r="H46" i="10"/>
  <c r="F46" i="10"/>
  <c r="E46" i="10"/>
  <c r="G46" i="10" s="1"/>
  <c r="D46" i="10"/>
  <c r="I46" i="10" s="1"/>
  <c r="C46" i="10"/>
  <c r="A46" i="10"/>
  <c r="H45" i="10"/>
  <c r="G45" i="10"/>
  <c r="F45" i="10"/>
  <c r="E45" i="10"/>
  <c r="D45" i="10"/>
  <c r="I45" i="10" s="1"/>
  <c r="C45" i="10"/>
  <c r="A45" i="10"/>
  <c r="I44" i="10"/>
  <c r="H44" i="10"/>
  <c r="F44" i="10"/>
  <c r="E44" i="10"/>
  <c r="D44" i="10"/>
  <c r="C44" i="10"/>
  <c r="A44" i="10"/>
  <c r="H43" i="10"/>
  <c r="G43" i="10"/>
  <c r="F43" i="10"/>
  <c r="E43" i="10"/>
  <c r="D43" i="10"/>
  <c r="I43" i="10" s="1"/>
  <c r="C43" i="10"/>
  <c r="A43" i="10"/>
  <c r="H42" i="10"/>
  <c r="F42" i="10"/>
  <c r="E42" i="10"/>
  <c r="G42" i="10" s="1"/>
  <c r="D42" i="10"/>
  <c r="I42" i="10" s="1"/>
  <c r="C42" i="10"/>
  <c r="A42" i="10"/>
  <c r="H41" i="10"/>
  <c r="F41" i="10"/>
  <c r="E41" i="10"/>
  <c r="G41" i="10" s="1"/>
  <c r="D41" i="10"/>
  <c r="I41" i="10" s="1"/>
  <c r="C41" i="10"/>
  <c r="A41" i="10"/>
  <c r="I40" i="10"/>
  <c r="H40" i="10"/>
  <c r="F40" i="10"/>
  <c r="E40" i="10"/>
  <c r="G40" i="10" s="1"/>
  <c r="D40" i="10"/>
  <c r="C40" i="10"/>
  <c r="A40" i="10"/>
  <c r="H39" i="10"/>
  <c r="F39" i="10"/>
  <c r="G39" i="10" s="1"/>
  <c r="E39" i="10"/>
  <c r="D39" i="10"/>
  <c r="I39" i="10" s="1"/>
  <c r="C39" i="10"/>
  <c r="A39" i="10"/>
  <c r="H38" i="10"/>
  <c r="F38" i="10"/>
  <c r="E38" i="10"/>
  <c r="G38" i="10" s="1"/>
  <c r="D38" i="10"/>
  <c r="I38" i="10" s="1"/>
  <c r="C38" i="10"/>
  <c r="A38" i="10"/>
  <c r="H37" i="10"/>
  <c r="F37" i="10"/>
  <c r="E37" i="10"/>
  <c r="G37" i="10" s="1"/>
  <c r="D37" i="10"/>
  <c r="I37" i="10" s="1"/>
  <c r="C37" i="10"/>
  <c r="A37" i="10"/>
  <c r="H36" i="10"/>
  <c r="F36" i="10"/>
  <c r="E36" i="10"/>
  <c r="D36" i="10"/>
  <c r="I36" i="10" s="1"/>
  <c r="C36" i="10"/>
  <c r="A36" i="10"/>
  <c r="I35" i="10"/>
  <c r="H35" i="10"/>
  <c r="F35" i="10"/>
  <c r="G35" i="10" s="1"/>
  <c r="E35" i="10"/>
  <c r="D35" i="10"/>
  <c r="C35" i="10"/>
  <c r="A35" i="10"/>
  <c r="H34" i="10"/>
  <c r="F34" i="10"/>
  <c r="E34" i="10"/>
  <c r="G34" i="10" s="1"/>
  <c r="D34" i="10"/>
  <c r="I34" i="10" s="1"/>
  <c r="C34" i="10"/>
  <c r="A34" i="10"/>
  <c r="H33" i="10"/>
  <c r="F33" i="10"/>
  <c r="E33" i="10"/>
  <c r="G33" i="10" s="1"/>
  <c r="D33" i="10"/>
  <c r="I33" i="10" s="1"/>
  <c r="C33" i="10"/>
  <c r="A33" i="10"/>
  <c r="I32" i="10"/>
  <c r="H32" i="10"/>
  <c r="F32" i="10"/>
  <c r="E32" i="10"/>
  <c r="G32" i="10" s="1"/>
  <c r="D32" i="10"/>
  <c r="C32" i="10"/>
  <c r="A32" i="10"/>
  <c r="H31" i="10"/>
  <c r="G31" i="10"/>
  <c r="J31" i="10" s="1"/>
  <c r="F31" i="10"/>
  <c r="E31" i="10"/>
  <c r="D31" i="10"/>
  <c r="I31" i="10" s="1"/>
  <c r="C31" i="10"/>
  <c r="A31" i="10"/>
  <c r="J30" i="10"/>
  <c r="H30" i="10"/>
  <c r="G30" i="10"/>
  <c r="F30" i="10"/>
  <c r="E30" i="10"/>
  <c r="D30" i="10"/>
  <c r="I30" i="10" s="1"/>
  <c r="C30" i="10"/>
  <c r="A30" i="10"/>
  <c r="H29" i="10"/>
  <c r="F29" i="10"/>
  <c r="E29" i="10"/>
  <c r="G29" i="10" s="1"/>
  <c r="D29" i="10"/>
  <c r="I29" i="10" s="1"/>
  <c r="C29" i="10"/>
  <c r="A29" i="10"/>
  <c r="I28" i="10"/>
  <c r="H28" i="10"/>
  <c r="F28" i="10"/>
  <c r="E28" i="10"/>
  <c r="D28" i="10"/>
  <c r="C28" i="10"/>
  <c r="A28" i="10"/>
  <c r="H27" i="10"/>
  <c r="F27" i="10"/>
  <c r="G27" i="10" s="1"/>
  <c r="E27" i="10"/>
  <c r="D27" i="10"/>
  <c r="I27" i="10" s="1"/>
  <c r="C27" i="10"/>
  <c r="A27" i="10"/>
  <c r="H26" i="10"/>
  <c r="G26" i="10"/>
  <c r="F26" i="10"/>
  <c r="E26" i="10"/>
  <c r="D26" i="10"/>
  <c r="I26" i="10" s="1"/>
  <c r="C26" i="10"/>
  <c r="A26" i="10"/>
  <c r="H25" i="10"/>
  <c r="F25" i="10"/>
  <c r="E25" i="10"/>
  <c r="G25" i="10" s="1"/>
  <c r="D25" i="10"/>
  <c r="I25" i="10" s="1"/>
  <c r="C25" i="10"/>
  <c r="A25" i="10"/>
  <c r="I24" i="10"/>
  <c r="H24" i="10"/>
  <c r="F24" i="10"/>
  <c r="E24" i="10"/>
  <c r="D24" i="10"/>
  <c r="C24" i="10"/>
  <c r="A24" i="10"/>
  <c r="I23" i="10"/>
  <c r="H23" i="10"/>
  <c r="F23" i="10"/>
  <c r="G23" i="10" s="1"/>
  <c r="E23" i="10"/>
  <c r="D23" i="10"/>
  <c r="C23" i="10"/>
  <c r="A23" i="10"/>
  <c r="J22" i="10"/>
  <c r="K22" i="10" s="1"/>
  <c r="H22" i="10"/>
  <c r="G22" i="10"/>
  <c r="F22" i="10"/>
  <c r="E22" i="10"/>
  <c r="D22" i="10"/>
  <c r="I22" i="10" s="1"/>
  <c r="C22" i="10"/>
  <c r="A22" i="10"/>
  <c r="J21" i="10"/>
  <c r="K21" i="10" s="1"/>
  <c r="H21" i="10"/>
  <c r="F21" i="10"/>
  <c r="E21" i="10"/>
  <c r="G21" i="10" s="1"/>
  <c r="D21" i="10"/>
  <c r="I21" i="10" s="1"/>
  <c r="C21" i="10"/>
  <c r="A21" i="10"/>
  <c r="H20" i="10"/>
  <c r="F20" i="10"/>
  <c r="E20" i="10"/>
  <c r="D20" i="10"/>
  <c r="I20" i="10" s="1"/>
  <c r="C20" i="10"/>
  <c r="A20" i="10"/>
  <c r="I19" i="10"/>
  <c r="O19" i="10" s="1"/>
  <c r="H19" i="10"/>
  <c r="F19" i="10"/>
  <c r="G19" i="10" s="1"/>
  <c r="J19" i="10" s="1"/>
  <c r="K19" i="10" s="1"/>
  <c r="E19" i="10"/>
  <c r="D19" i="10"/>
  <c r="C19" i="10"/>
  <c r="A19" i="10"/>
  <c r="H18" i="10"/>
  <c r="G18" i="10"/>
  <c r="F18" i="10"/>
  <c r="E18" i="10"/>
  <c r="D18" i="10"/>
  <c r="I18" i="10" s="1"/>
  <c r="C18" i="10"/>
  <c r="A18" i="10"/>
  <c r="H17" i="10"/>
  <c r="F17" i="10"/>
  <c r="E17" i="10"/>
  <c r="D17" i="10"/>
  <c r="I17" i="10" s="1"/>
  <c r="C17" i="10"/>
  <c r="A17" i="10"/>
  <c r="I16" i="10"/>
  <c r="H16" i="10"/>
  <c r="F16" i="10"/>
  <c r="E16" i="10"/>
  <c r="D16" i="10"/>
  <c r="C16" i="10"/>
  <c r="A16" i="10"/>
  <c r="J15" i="10"/>
  <c r="K15" i="10" s="1"/>
  <c r="H15" i="10"/>
  <c r="G15" i="10"/>
  <c r="F15" i="10"/>
  <c r="E15" i="10"/>
  <c r="D15" i="10"/>
  <c r="I15" i="10" s="1"/>
  <c r="C15" i="10"/>
  <c r="A15" i="10"/>
  <c r="H14" i="10"/>
  <c r="G14" i="10"/>
  <c r="F14" i="10"/>
  <c r="E14" i="10"/>
  <c r="D14" i="10"/>
  <c r="I14" i="10" s="1"/>
  <c r="C14" i="10"/>
  <c r="A14" i="10"/>
  <c r="H13" i="10"/>
  <c r="F13" i="10"/>
  <c r="E13" i="10"/>
  <c r="G13" i="10" s="1"/>
  <c r="D13" i="10"/>
  <c r="I13" i="10" s="1"/>
  <c r="C13" i="10"/>
  <c r="A13" i="10"/>
  <c r="I12" i="10"/>
  <c r="H12" i="10"/>
  <c r="F12" i="10"/>
  <c r="E12" i="10"/>
  <c r="G12" i="10" s="1"/>
  <c r="D12" i="10"/>
  <c r="C12" i="10"/>
  <c r="A12" i="10"/>
  <c r="O11" i="10"/>
  <c r="J11" i="10"/>
  <c r="K11" i="10" s="1"/>
  <c r="I11" i="10"/>
  <c r="H11" i="10"/>
  <c r="G11" i="10"/>
  <c r="F11" i="10"/>
  <c r="E11" i="10"/>
  <c r="D11" i="10"/>
  <c r="C11" i="10"/>
  <c r="A11" i="10"/>
  <c r="J10" i="10"/>
  <c r="K10" i="10" s="1"/>
  <c r="H10" i="10"/>
  <c r="G10" i="10"/>
  <c r="F10" i="10"/>
  <c r="E10" i="10"/>
  <c r="D10" i="10"/>
  <c r="I10" i="10" s="1"/>
  <c r="C10" i="10"/>
  <c r="A10" i="10"/>
  <c r="H9" i="10"/>
  <c r="G9" i="10"/>
  <c r="F9" i="10"/>
  <c r="E9" i="10"/>
  <c r="D9" i="10"/>
  <c r="I9" i="10" s="1"/>
  <c r="C9" i="10"/>
  <c r="A9" i="10"/>
  <c r="I8" i="10"/>
  <c r="H8" i="10"/>
  <c r="F8" i="10"/>
  <c r="E8" i="10"/>
  <c r="G8" i="10" s="1"/>
  <c r="D8" i="10"/>
  <c r="C8" i="10"/>
  <c r="A8" i="10"/>
  <c r="H7" i="10"/>
  <c r="F7" i="10"/>
  <c r="G7" i="10" s="1"/>
  <c r="E7" i="10"/>
  <c r="D7" i="10"/>
  <c r="I7" i="10" s="1"/>
  <c r="C7" i="10"/>
  <c r="A7" i="10"/>
  <c r="J6" i="10"/>
  <c r="K6" i="10" s="1"/>
  <c r="I6" i="10"/>
  <c r="H6" i="10"/>
  <c r="F6" i="10"/>
  <c r="E6" i="10"/>
  <c r="G6" i="10" s="1"/>
  <c r="O6" i="10" s="1"/>
  <c r="D6" i="10"/>
  <c r="C6" i="10"/>
  <c r="A6" i="10"/>
  <c r="H5" i="10"/>
  <c r="F5" i="10"/>
  <c r="E5" i="10"/>
  <c r="G5" i="10" s="1"/>
  <c r="D5" i="10"/>
  <c r="I5" i="10" s="1"/>
  <c r="C5" i="10"/>
  <c r="A5" i="10"/>
  <c r="H503" i="9"/>
  <c r="A503" i="9"/>
  <c r="H502" i="9"/>
  <c r="A502" i="9"/>
  <c r="H501" i="9"/>
  <c r="A501" i="9"/>
  <c r="H500" i="9"/>
  <c r="A500" i="9"/>
  <c r="H499" i="9"/>
  <c r="A499" i="9"/>
  <c r="H498" i="9"/>
  <c r="A498" i="9"/>
  <c r="H497" i="9"/>
  <c r="A497" i="9"/>
  <c r="H496" i="9"/>
  <c r="A496" i="9"/>
  <c r="H495" i="9"/>
  <c r="A495" i="9"/>
  <c r="H494" i="9"/>
  <c r="A494" i="9"/>
  <c r="H493" i="9"/>
  <c r="A493" i="9"/>
  <c r="H492" i="9"/>
  <c r="A492" i="9"/>
  <c r="H491" i="9"/>
  <c r="A491" i="9"/>
  <c r="H490" i="9"/>
  <c r="A490" i="9"/>
  <c r="H489" i="9"/>
  <c r="A489" i="9"/>
  <c r="H488" i="9"/>
  <c r="A488" i="9"/>
  <c r="H487" i="9"/>
  <c r="A487" i="9"/>
  <c r="H486" i="9"/>
  <c r="A486" i="9"/>
  <c r="H485" i="9"/>
  <c r="A485" i="9"/>
  <c r="H484" i="9"/>
  <c r="A484" i="9"/>
  <c r="H483" i="9"/>
  <c r="A483" i="9"/>
  <c r="H482" i="9"/>
  <c r="A482" i="9"/>
  <c r="H481" i="9"/>
  <c r="A481" i="9"/>
  <c r="H480" i="9"/>
  <c r="A480" i="9"/>
  <c r="H479" i="9"/>
  <c r="A479" i="9"/>
  <c r="H478" i="9"/>
  <c r="A478" i="9"/>
  <c r="H477" i="9"/>
  <c r="A477" i="9"/>
  <c r="H476" i="9"/>
  <c r="A476" i="9"/>
  <c r="H475" i="9"/>
  <c r="A475" i="9"/>
  <c r="H474" i="9"/>
  <c r="A474" i="9"/>
  <c r="H473" i="9"/>
  <c r="A473" i="9"/>
  <c r="H472" i="9"/>
  <c r="A472" i="9"/>
  <c r="H471" i="9"/>
  <c r="A471" i="9"/>
  <c r="H470" i="9"/>
  <c r="A470" i="9"/>
  <c r="H469" i="9"/>
  <c r="A469" i="9"/>
  <c r="H468" i="9"/>
  <c r="A468" i="9"/>
  <c r="H467" i="9"/>
  <c r="A467" i="9"/>
  <c r="H466" i="9"/>
  <c r="A466" i="9"/>
  <c r="H465" i="9"/>
  <c r="A465" i="9"/>
  <c r="H464" i="9"/>
  <c r="A464" i="9"/>
  <c r="H463" i="9"/>
  <c r="A463" i="9"/>
  <c r="H462" i="9"/>
  <c r="A462" i="9"/>
  <c r="H461" i="9"/>
  <c r="A461" i="9"/>
  <c r="H460" i="9"/>
  <c r="A460" i="9"/>
  <c r="H459" i="9"/>
  <c r="A459" i="9"/>
  <c r="H458" i="9"/>
  <c r="A458" i="9"/>
  <c r="H457" i="9"/>
  <c r="A457" i="9"/>
  <c r="H456" i="9"/>
  <c r="A456" i="9"/>
  <c r="H455" i="9"/>
  <c r="A455" i="9"/>
  <c r="H454" i="9"/>
  <c r="A454" i="9"/>
  <c r="H453" i="9"/>
  <c r="A453" i="9"/>
  <c r="H452" i="9"/>
  <c r="A452" i="9"/>
  <c r="H451" i="9"/>
  <c r="A451" i="9"/>
  <c r="H450" i="9"/>
  <c r="A450" i="9"/>
  <c r="H449" i="9"/>
  <c r="A449" i="9"/>
  <c r="H448" i="9"/>
  <c r="A448" i="9"/>
  <c r="H447" i="9"/>
  <c r="A447" i="9"/>
  <c r="H446" i="9"/>
  <c r="A446" i="9"/>
  <c r="H445" i="9"/>
  <c r="A445" i="9"/>
  <c r="H444" i="9"/>
  <c r="A444" i="9"/>
  <c r="H443" i="9"/>
  <c r="A443" i="9"/>
  <c r="H442" i="9"/>
  <c r="A442" i="9"/>
  <c r="H441" i="9"/>
  <c r="A441" i="9"/>
  <c r="H440" i="9"/>
  <c r="A440" i="9"/>
  <c r="H439" i="9"/>
  <c r="A439" i="9"/>
  <c r="H438" i="9"/>
  <c r="A438" i="9"/>
  <c r="H437" i="9"/>
  <c r="A437" i="9"/>
  <c r="H436" i="9"/>
  <c r="A436" i="9"/>
  <c r="H435" i="9"/>
  <c r="A435" i="9"/>
  <c r="H434" i="9"/>
  <c r="A434" i="9"/>
  <c r="H433" i="9"/>
  <c r="A433" i="9"/>
  <c r="H432" i="9"/>
  <c r="A432" i="9"/>
  <c r="H431" i="9"/>
  <c r="A431" i="9"/>
  <c r="H430" i="9"/>
  <c r="A430" i="9"/>
  <c r="H429" i="9"/>
  <c r="A429" i="9"/>
  <c r="H428" i="9"/>
  <c r="A428" i="9"/>
  <c r="H427" i="9"/>
  <c r="A427" i="9"/>
  <c r="H426" i="9"/>
  <c r="A426" i="9"/>
  <c r="H425" i="9"/>
  <c r="A425" i="9"/>
  <c r="H424" i="9"/>
  <c r="A424" i="9"/>
  <c r="H423" i="9"/>
  <c r="A423" i="9"/>
  <c r="H422" i="9"/>
  <c r="A422" i="9"/>
  <c r="H421" i="9"/>
  <c r="A421" i="9"/>
  <c r="H420" i="9"/>
  <c r="A420" i="9"/>
  <c r="H419" i="9"/>
  <c r="A419" i="9"/>
  <c r="H418" i="9"/>
  <c r="A418" i="9"/>
  <c r="H417" i="9"/>
  <c r="A417" i="9"/>
  <c r="H416" i="9"/>
  <c r="A416" i="9"/>
  <c r="H415" i="9"/>
  <c r="A415" i="9"/>
  <c r="H414" i="9"/>
  <c r="A414" i="9"/>
  <c r="H413" i="9"/>
  <c r="A413" i="9"/>
  <c r="H412" i="9"/>
  <c r="A412" i="9"/>
  <c r="H411" i="9"/>
  <c r="A411" i="9"/>
  <c r="H410" i="9"/>
  <c r="A410" i="9"/>
  <c r="H409" i="9"/>
  <c r="A409" i="9"/>
  <c r="H408" i="9"/>
  <c r="A408" i="9"/>
  <c r="H407" i="9"/>
  <c r="A407" i="9"/>
  <c r="H406" i="9"/>
  <c r="A406" i="9"/>
  <c r="H405" i="9"/>
  <c r="A405" i="9"/>
  <c r="H404" i="9"/>
  <c r="A404" i="9"/>
  <c r="H403" i="9"/>
  <c r="A403" i="9"/>
  <c r="H402" i="9"/>
  <c r="A402" i="9"/>
  <c r="H401" i="9"/>
  <c r="A401" i="9"/>
  <c r="H400" i="9"/>
  <c r="A400" i="9"/>
  <c r="H399" i="9"/>
  <c r="A399" i="9"/>
  <c r="H398" i="9"/>
  <c r="A398" i="9"/>
  <c r="H397" i="9"/>
  <c r="A397" i="9"/>
  <c r="H396" i="9"/>
  <c r="A396" i="9"/>
  <c r="H395" i="9"/>
  <c r="A395" i="9"/>
  <c r="H394" i="9"/>
  <c r="A394" i="9"/>
  <c r="H393" i="9"/>
  <c r="A393" i="9"/>
  <c r="H392" i="9"/>
  <c r="A392" i="9"/>
  <c r="H391" i="9"/>
  <c r="A391" i="9"/>
  <c r="H390" i="9"/>
  <c r="A390" i="9"/>
  <c r="H389" i="9"/>
  <c r="A389" i="9"/>
  <c r="H388" i="9"/>
  <c r="A388" i="9"/>
  <c r="H387" i="9"/>
  <c r="A387" i="9"/>
  <c r="H386" i="9"/>
  <c r="A386" i="9"/>
  <c r="H385" i="9"/>
  <c r="A385" i="9"/>
  <c r="H384" i="9"/>
  <c r="A384" i="9"/>
  <c r="H383" i="9"/>
  <c r="A383" i="9"/>
  <c r="H382" i="9"/>
  <c r="A382" i="9"/>
  <c r="H381" i="9"/>
  <c r="A381" i="9"/>
  <c r="H380" i="9"/>
  <c r="A380" i="9"/>
  <c r="H379" i="9"/>
  <c r="A379" i="9"/>
  <c r="H378" i="9"/>
  <c r="A378" i="9"/>
  <c r="H377" i="9"/>
  <c r="A377" i="9"/>
  <c r="H376" i="9"/>
  <c r="A376" i="9"/>
  <c r="H375" i="9"/>
  <c r="A375" i="9"/>
  <c r="H374" i="9"/>
  <c r="A374" i="9"/>
  <c r="H373" i="9"/>
  <c r="A373" i="9"/>
  <c r="H372" i="9"/>
  <c r="A372" i="9"/>
  <c r="H371" i="9"/>
  <c r="A371" i="9"/>
  <c r="H370" i="9"/>
  <c r="A370" i="9"/>
  <c r="H369" i="9"/>
  <c r="A369" i="9"/>
  <c r="H368" i="9"/>
  <c r="A368" i="9"/>
  <c r="H367" i="9"/>
  <c r="A367" i="9"/>
  <c r="H366" i="9"/>
  <c r="A366" i="9"/>
  <c r="H365" i="9"/>
  <c r="A365" i="9"/>
  <c r="H364" i="9"/>
  <c r="A364" i="9"/>
  <c r="H363" i="9"/>
  <c r="A363" i="9"/>
  <c r="H362" i="9"/>
  <c r="A362" i="9"/>
  <c r="H361" i="9"/>
  <c r="A361" i="9"/>
  <c r="H360" i="9"/>
  <c r="A360" i="9"/>
  <c r="H359" i="9"/>
  <c r="A359" i="9"/>
  <c r="H358" i="9"/>
  <c r="A358" i="9"/>
  <c r="H357" i="9"/>
  <c r="A357" i="9"/>
  <c r="H356" i="9"/>
  <c r="A356" i="9"/>
  <c r="H355" i="9"/>
  <c r="A355" i="9"/>
  <c r="H354" i="9"/>
  <c r="A354" i="9"/>
  <c r="H353" i="9"/>
  <c r="A353" i="9"/>
  <c r="H352" i="9"/>
  <c r="A352" i="9"/>
  <c r="H351" i="9"/>
  <c r="A351" i="9"/>
  <c r="H350" i="9"/>
  <c r="A350" i="9"/>
  <c r="H349" i="9"/>
  <c r="A349" i="9"/>
  <c r="H348" i="9"/>
  <c r="A348" i="9"/>
  <c r="H347" i="9"/>
  <c r="A347" i="9"/>
  <c r="H346" i="9"/>
  <c r="A346" i="9"/>
  <c r="H345" i="9"/>
  <c r="A345" i="9"/>
  <c r="H344" i="9"/>
  <c r="A344" i="9"/>
  <c r="H343" i="9"/>
  <c r="A343" i="9"/>
  <c r="H342" i="9"/>
  <c r="A342" i="9"/>
  <c r="H341" i="9"/>
  <c r="A341" i="9"/>
  <c r="H340" i="9"/>
  <c r="A340" i="9"/>
  <c r="H339" i="9"/>
  <c r="A339" i="9"/>
  <c r="H338" i="9"/>
  <c r="A338" i="9"/>
  <c r="H337" i="9"/>
  <c r="A337" i="9"/>
  <c r="H336" i="9"/>
  <c r="A336" i="9"/>
  <c r="H335" i="9"/>
  <c r="A335" i="9"/>
  <c r="H334" i="9"/>
  <c r="A334" i="9"/>
  <c r="H333" i="9"/>
  <c r="A333" i="9"/>
  <c r="H332" i="9"/>
  <c r="A332" i="9"/>
  <c r="H331" i="9"/>
  <c r="A331" i="9"/>
  <c r="H330" i="9"/>
  <c r="A330" i="9"/>
  <c r="H329" i="9"/>
  <c r="A329" i="9"/>
  <c r="H328" i="9"/>
  <c r="A328" i="9"/>
  <c r="H327" i="9"/>
  <c r="A327" i="9"/>
  <c r="H326" i="9"/>
  <c r="A326" i="9"/>
  <c r="H325" i="9"/>
  <c r="A325" i="9"/>
  <c r="H324" i="9"/>
  <c r="A324" i="9"/>
  <c r="H323" i="9"/>
  <c r="A323" i="9"/>
  <c r="H322" i="9"/>
  <c r="A322" i="9"/>
  <c r="H321" i="9"/>
  <c r="A321" i="9"/>
  <c r="H320" i="9"/>
  <c r="A320" i="9"/>
  <c r="H319" i="9"/>
  <c r="A319" i="9"/>
  <c r="H318" i="9"/>
  <c r="A318" i="9"/>
  <c r="H317" i="9"/>
  <c r="A317" i="9"/>
  <c r="H316" i="9"/>
  <c r="A316" i="9"/>
  <c r="H315" i="9"/>
  <c r="A315" i="9"/>
  <c r="H314" i="9"/>
  <c r="A314" i="9"/>
  <c r="H313" i="9"/>
  <c r="A313" i="9"/>
  <c r="H312" i="9"/>
  <c r="A312" i="9"/>
  <c r="H311" i="9"/>
  <c r="A311" i="9"/>
  <c r="H310" i="9"/>
  <c r="A310" i="9"/>
  <c r="H309" i="9"/>
  <c r="A309" i="9"/>
  <c r="H308" i="9"/>
  <c r="A308" i="9"/>
  <c r="H307" i="9"/>
  <c r="A307" i="9"/>
  <c r="H306" i="9"/>
  <c r="A306" i="9"/>
  <c r="H305" i="9"/>
  <c r="A305" i="9"/>
  <c r="H304" i="9"/>
  <c r="A304" i="9"/>
  <c r="H303" i="9"/>
  <c r="A303" i="9"/>
  <c r="H302" i="9"/>
  <c r="A302" i="9"/>
  <c r="H301" i="9"/>
  <c r="A301" i="9"/>
  <c r="H300" i="9"/>
  <c r="A300" i="9"/>
  <c r="H299" i="9"/>
  <c r="A299" i="9"/>
  <c r="H298" i="9"/>
  <c r="A298" i="9"/>
  <c r="H297" i="9"/>
  <c r="A297" i="9"/>
  <c r="H296" i="9"/>
  <c r="A296" i="9"/>
  <c r="H295" i="9"/>
  <c r="A295" i="9"/>
  <c r="H294" i="9"/>
  <c r="A294" i="9"/>
  <c r="H293" i="9"/>
  <c r="A293" i="9"/>
  <c r="H292" i="9"/>
  <c r="A292" i="9"/>
  <c r="H291" i="9"/>
  <c r="A291" i="9"/>
  <c r="H290" i="9"/>
  <c r="A290" i="9"/>
  <c r="H289" i="9"/>
  <c r="A289" i="9"/>
  <c r="H288" i="9"/>
  <c r="A288" i="9"/>
  <c r="H287" i="9"/>
  <c r="A287" i="9"/>
  <c r="H286" i="9"/>
  <c r="A286" i="9"/>
  <c r="H285" i="9"/>
  <c r="A285" i="9"/>
  <c r="H284" i="9"/>
  <c r="A284" i="9"/>
  <c r="H283" i="9"/>
  <c r="A283" i="9"/>
  <c r="H282" i="9"/>
  <c r="A282" i="9"/>
  <c r="H281" i="9"/>
  <c r="A281" i="9"/>
  <c r="H280" i="9"/>
  <c r="A280" i="9"/>
  <c r="H279" i="9"/>
  <c r="A279" i="9"/>
  <c r="H278" i="9"/>
  <c r="A278" i="9"/>
  <c r="H277" i="9"/>
  <c r="A277" i="9"/>
  <c r="H276" i="9"/>
  <c r="A276" i="9"/>
  <c r="H275" i="9"/>
  <c r="A275" i="9"/>
  <c r="H274" i="9"/>
  <c r="A274" i="9"/>
  <c r="H273" i="9"/>
  <c r="A273" i="9"/>
  <c r="H272" i="9"/>
  <c r="A272" i="9"/>
  <c r="H271" i="9"/>
  <c r="A271" i="9"/>
  <c r="H270" i="9"/>
  <c r="A270" i="9"/>
  <c r="H269" i="9"/>
  <c r="A269" i="9"/>
  <c r="H268" i="9"/>
  <c r="A268" i="9"/>
  <c r="H267" i="9"/>
  <c r="A267" i="9"/>
  <c r="H266" i="9"/>
  <c r="A266" i="9"/>
  <c r="H265" i="9"/>
  <c r="A265" i="9"/>
  <c r="H264" i="9"/>
  <c r="A264" i="9"/>
  <c r="H263" i="9"/>
  <c r="A263" i="9"/>
  <c r="H262" i="9"/>
  <c r="A262" i="9"/>
  <c r="H261" i="9"/>
  <c r="A261" i="9"/>
  <c r="H260" i="9"/>
  <c r="A260" i="9"/>
  <c r="H259" i="9"/>
  <c r="A259" i="9"/>
  <c r="H258" i="9"/>
  <c r="A258" i="9"/>
  <c r="H257" i="9"/>
  <c r="A257" i="9"/>
  <c r="H256" i="9"/>
  <c r="A256" i="9"/>
  <c r="H255" i="9"/>
  <c r="A255" i="9"/>
  <c r="H254" i="9"/>
  <c r="A254" i="9"/>
  <c r="H253" i="9"/>
  <c r="A253" i="9"/>
  <c r="H252" i="9"/>
  <c r="A252" i="9"/>
  <c r="H251" i="9"/>
  <c r="A251" i="9"/>
  <c r="H250" i="9"/>
  <c r="A250" i="9"/>
  <c r="H249" i="9"/>
  <c r="A249" i="9"/>
  <c r="H248" i="9"/>
  <c r="A248" i="9"/>
  <c r="H247" i="9"/>
  <c r="A247" i="9"/>
  <c r="H246" i="9"/>
  <c r="A246" i="9"/>
  <c r="H245" i="9"/>
  <c r="A245" i="9"/>
  <c r="H244" i="9"/>
  <c r="A244" i="9"/>
  <c r="H243" i="9"/>
  <c r="A243" i="9"/>
  <c r="H242" i="9"/>
  <c r="A242" i="9"/>
  <c r="H241" i="9"/>
  <c r="A241" i="9"/>
  <c r="H240" i="9"/>
  <c r="A240" i="9"/>
  <c r="H239" i="9"/>
  <c r="A239" i="9"/>
  <c r="H238" i="9"/>
  <c r="A238" i="9"/>
  <c r="H237" i="9"/>
  <c r="A237" i="9"/>
  <c r="H236" i="9"/>
  <c r="A236" i="9"/>
  <c r="H235" i="9"/>
  <c r="A235" i="9"/>
  <c r="H234" i="9"/>
  <c r="A234" i="9"/>
  <c r="H233" i="9"/>
  <c r="A233" i="9"/>
  <c r="H232" i="9"/>
  <c r="A232" i="9"/>
  <c r="H231" i="9"/>
  <c r="A231" i="9"/>
  <c r="H230" i="9"/>
  <c r="A230" i="9"/>
  <c r="H229" i="9"/>
  <c r="A229" i="9"/>
  <c r="H228" i="9"/>
  <c r="A228" i="9"/>
  <c r="H227" i="9"/>
  <c r="A227" i="9"/>
  <c r="H226" i="9"/>
  <c r="A226" i="9"/>
  <c r="H225" i="9"/>
  <c r="A225" i="9"/>
  <c r="H224" i="9"/>
  <c r="A224" i="9"/>
  <c r="H223" i="9"/>
  <c r="A223" i="9"/>
  <c r="H222" i="9"/>
  <c r="A222" i="9"/>
  <c r="H221" i="9"/>
  <c r="A221" i="9"/>
  <c r="H220" i="9"/>
  <c r="A220" i="9"/>
  <c r="H219" i="9"/>
  <c r="A219" i="9"/>
  <c r="H218" i="9"/>
  <c r="A218" i="9"/>
  <c r="H217" i="9"/>
  <c r="A217" i="9"/>
  <c r="H216" i="9"/>
  <c r="A216" i="9"/>
  <c r="H215" i="9"/>
  <c r="A215" i="9"/>
  <c r="H214" i="9"/>
  <c r="A214" i="9"/>
  <c r="H213" i="9"/>
  <c r="A213" i="9"/>
  <c r="H212" i="9"/>
  <c r="A212" i="9"/>
  <c r="H211" i="9"/>
  <c r="A211" i="9"/>
  <c r="H210" i="9"/>
  <c r="A210" i="9"/>
  <c r="H209" i="9"/>
  <c r="A209" i="9"/>
  <c r="H208" i="9"/>
  <c r="A208" i="9"/>
  <c r="H207" i="9"/>
  <c r="A207" i="9"/>
  <c r="H206" i="9"/>
  <c r="A206" i="9"/>
  <c r="H205" i="9"/>
  <c r="A205" i="9"/>
  <c r="H204" i="9"/>
  <c r="A204" i="9"/>
  <c r="H203" i="9"/>
  <c r="A203" i="9"/>
  <c r="H202" i="9"/>
  <c r="A202" i="9"/>
  <c r="H201" i="9"/>
  <c r="A201" i="9"/>
  <c r="H200" i="9"/>
  <c r="A200" i="9"/>
  <c r="H199" i="9"/>
  <c r="A199" i="9"/>
  <c r="H198" i="9"/>
  <c r="A198" i="9"/>
  <c r="H197" i="9"/>
  <c r="A197" i="9"/>
  <c r="H196" i="9"/>
  <c r="A196" i="9"/>
  <c r="H195" i="9"/>
  <c r="A195" i="9"/>
  <c r="H194" i="9"/>
  <c r="A194" i="9"/>
  <c r="H193" i="9"/>
  <c r="A193" i="9"/>
  <c r="H192" i="9"/>
  <c r="A192" i="9"/>
  <c r="H191" i="9"/>
  <c r="A191" i="9"/>
  <c r="H190" i="9"/>
  <c r="A190" i="9"/>
  <c r="H189" i="9"/>
  <c r="A189" i="9"/>
  <c r="H188" i="9"/>
  <c r="A188" i="9"/>
  <c r="H187" i="9"/>
  <c r="A187" i="9"/>
  <c r="H186" i="9"/>
  <c r="A186" i="9"/>
  <c r="H185" i="9"/>
  <c r="A185" i="9"/>
  <c r="H184" i="9"/>
  <c r="A184" i="9"/>
  <c r="H183" i="9"/>
  <c r="A183" i="9"/>
  <c r="H182" i="9"/>
  <c r="A182" i="9"/>
  <c r="H181" i="9"/>
  <c r="A181" i="9"/>
  <c r="H180" i="9"/>
  <c r="A180" i="9"/>
  <c r="H179" i="9"/>
  <c r="A179" i="9"/>
  <c r="H178" i="9"/>
  <c r="A178" i="9"/>
  <c r="H177" i="9"/>
  <c r="A177" i="9"/>
  <c r="H176" i="9"/>
  <c r="A176" i="9"/>
  <c r="H175" i="9"/>
  <c r="A175" i="9"/>
  <c r="H174" i="9"/>
  <c r="A174" i="9"/>
  <c r="H173" i="9"/>
  <c r="A173" i="9"/>
  <c r="H172" i="9"/>
  <c r="A172" i="9"/>
  <c r="H171" i="9"/>
  <c r="A171" i="9"/>
  <c r="H170" i="9"/>
  <c r="A170" i="9"/>
  <c r="H169" i="9"/>
  <c r="A169" i="9"/>
  <c r="H168" i="9"/>
  <c r="A168" i="9"/>
  <c r="H167" i="9"/>
  <c r="A167" i="9"/>
  <c r="H166" i="9"/>
  <c r="A166" i="9"/>
  <c r="H165" i="9"/>
  <c r="A165" i="9"/>
  <c r="H164" i="9"/>
  <c r="A164" i="9"/>
  <c r="H163" i="9"/>
  <c r="A163" i="9"/>
  <c r="H162" i="9"/>
  <c r="A162" i="9"/>
  <c r="H161" i="9"/>
  <c r="A161" i="9"/>
  <c r="H160" i="9"/>
  <c r="A160" i="9"/>
  <c r="H159" i="9"/>
  <c r="A159" i="9"/>
  <c r="H158" i="9"/>
  <c r="A158" i="9"/>
  <c r="H157" i="9"/>
  <c r="A157" i="9"/>
  <c r="H156" i="9"/>
  <c r="A156" i="9"/>
  <c r="H155" i="9"/>
  <c r="A155" i="9"/>
  <c r="H154" i="9"/>
  <c r="A154" i="9"/>
  <c r="H153" i="9"/>
  <c r="A153" i="9"/>
  <c r="H152" i="9"/>
  <c r="A152" i="9"/>
  <c r="H151" i="9"/>
  <c r="A151" i="9"/>
  <c r="H150" i="9"/>
  <c r="A150" i="9"/>
  <c r="H149" i="9"/>
  <c r="A149" i="9"/>
  <c r="H148" i="9"/>
  <c r="A148" i="9"/>
  <c r="H147" i="9"/>
  <c r="A147" i="9"/>
  <c r="H146" i="9"/>
  <c r="A146" i="9"/>
  <c r="H145" i="9"/>
  <c r="A145" i="9"/>
  <c r="H144" i="9"/>
  <c r="A144" i="9"/>
  <c r="H143" i="9"/>
  <c r="A143" i="9"/>
  <c r="H142" i="9"/>
  <c r="A142" i="9"/>
  <c r="H141" i="9"/>
  <c r="A141" i="9"/>
  <c r="H140" i="9"/>
  <c r="A140" i="9"/>
  <c r="H139" i="9"/>
  <c r="A139" i="9"/>
  <c r="H138" i="9"/>
  <c r="A138" i="9"/>
  <c r="H137" i="9"/>
  <c r="A137" i="9"/>
  <c r="H136" i="9"/>
  <c r="A136" i="9"/>
  <c r="H135" i="9"/>
  <c r="A135" i="9"/>
  <c r="H134" i="9"/>
  <c r="A134" i="9"/>
  <c r="H133" i="9"/>
  <c r="A133" i="9"/>
  <c r="H132" i="9"/>
  <c r="A132" i="9"/>
  <c r="H131" i="9"/>
  <c r="A131" i="9"/>
  <c r="H130" i="9"/>
  <c r="A130" i="9"/>
  <c r="H129" i="9"/>
  <c r="A129" i="9"/>
  <c r="H128" i="9"/>
  <c r="A128" i="9"/>
  <c r="H127" i="9"/>
  <c r="A127" i="9"/>
  <c r="H126" i="9"/>
  <c r="A126" i="9"/>
  <c r="H125" i="9"/>
  <c r="A125" i="9"/>
  <c r="H124" i="9"/>
  <c r="A124" i="9"/>
  <c r="H123" i="9"/>
  <c r="A123" i="9"/>
  <c r="H122" i="9"/>
  <c r="A122" i="9"/>
  <c r="H121" i="9"/>
  <c r="A121" i="9"/>
  <c r="H120" i="9"/>
  <c r="A120" i="9"/>
  <c r="H119" i="9"/>
  <c r="A119" i="9"/>
  <c r="H118" i="9"/>
  <c r="A118" i="9"/>
  <c r="H117" i="9"/>
  <c r="A117" i="9"/>
  <c r="H116" i="9"/>
  <c r="A116" i="9"/>
  <c r="H115" i="9"/>
  <c r="A115" i="9"/>
  <c r="H114" i="9"/>
  <c r="A114" i="9"/>
  <c r="H113" i="9"/>
  <c r="A113" i="9"/>
  <c r="H112" i="9"/>
  <c r="A112" i="9"/>
  <c r="H111" i="9"/>
  <c r="A111" i="9"/>
  <c r="H110" i="9"/>
  <c r="A110" i="9"/>
  <c r="H109" i="9"/>
  <c r="A109" i="9"/>
  <c r="H108" i="9"/>
  <c r="A108" i="9"/>
  <c r="H107" i="9"/>
  <c r="A107" i="9"/>
  <c r="H106" i="9"/>
  <c r="A106" i="9"/>
  <c r="H105" i="9"/>
  <c r="A105" i="9"/>
  <c r="H104" i="9"/>
  <c r="A104" i="9"/>
  <c r="H103" i="9"/>
  <c r="A103" i="9"/>
  <c r="H102" i="9"/>
  <c r="A102" i="9"/>
  <c r="H101" i="9"/>
  <c r="A101" i="9"/>
  <c r="H100" i="9"/>
  <c r="A100" i="9"/>
  <c r="H99" i="9"/>
  <c r="A99" i="9"/>
  <c r="H98" i="9"/>
  <c r="A98" i="9"/>
  <c r="H97" i="9"/>
  <c r="A97" i="9"/>
  <c r="H96" i="9"/>
  <c r="A96" i="9"/>
  <c r="H95" i="9"/>
  <c r="A95" i="9"/>
  <c r="H94" i="9"/>
  <c r="A94" i="9"/>
  <c r="H93" i="9"/>
  <c r="A93" i="9"/>
  <c r="H92" i="9"/>
  <c r="A92" i="9"/>
  <c r="H91" i="9"/>
  <c r="A91" i="9"/>
  <c r="H90" i="9"/>
  <c r="A90" i="9"/>
  <c r="H89" i="9"/>
  <c r="A89" i="9"/>
  <c r="H88" i="9"/>
  <c r="A88" i="9"/>
  <c r="H87" i="9"/>
  <c r="A87" i="9"/>
  <c r="H86" i="9"/>
  <c r="A86" i="9"/>
  <c r="H85" i="9"/>
  <c r="A85" i="9"/>
  <c r="H84" i="9"/>
  <c r="A84" i="9"/>
  <c r="H83" i="9"/>
  <c r="A83" i="9"/>
  <c r="H82" i="9"/>
  <c r="A82" i="9"/>
  <c r="H81" i="9"/>
  <c r="A81" i="9"/>
  <c r="H80" i="9"/>
  <c r="A80" i="9"/>
  <c r="H79" i="9"/>
  <c r="A79" i="9"/>
  <c r="H78" i="9"/>
  <c r="A78" i="9"/>
  <c r="H77" i="9"/>
  <c r="A77" i="9"/>
  <c r="H76" i="9"/>
  <c r="A76" i="9"/>
  <c r="H75" i="9"/>
  <c r="A75" i="9"/>
  <c r="H74" i="9"/>
  <c r="A74" i="9"/>
  <c r="H73" i="9"/>
  <c r="A73" i="9"/>
  <c r="H72" i="9"/>
  <c r="A72" i="9"/>
  <c r="H71" i="9"/>
  <c r="A71" i="9"/>
  <c r="H70" i="9"/>
  <c r="A70" i="9"/>
  <c r="H69" i="9"/>
  <c r="A69" i="9"/>
  <c r="H68" i="9"/>
  <c r="A68" i="9"/>
  <c r="H67" i="9"/>
  <c r="A67" i="9"/>
  <c r="H66" i="9"/>
  <c r="A66" i="9"/>
  <c r="H65" i="9"/>
  <c r="A65" i="9"/>
  <c r="H64" i="9"/>
  <c r="A64" i="9"/>
  <c r="H63" i="9"/>
  <c r="A63" i="9"/>
  <c r="H62" i="9"/>
  <c r="A62" i="9"/>
  <c r="H61" i="9"/>
  <c r="A61" i="9"/>
  <c r="H60" i="9"/>
  <c r="A60" i="9"/>
  <c r="H59" i="9"/>
  <c r="A59" i="9"/>
  <c r="H58" i="9"/>
  <c r="A58" i="9"/>
  <c r="H57" i="9"/>
  <c r="A57" i="9"/>
  <c r="H56" i="9"/>
  <c r="A56" i="9"/>
  <c r="H55" i="9"/>
  <c r="A55" i="9"/>
  <c r="H54" i="9"/>
  <c r="A54" i="9"/>
  <c r="H53" i="9"/>
  <c r="A53" i="9"/>
  <c r="H52" i="9"/>
  <c r="A52" i="9"/>
  <c r="H51" i="9"/>
  <c r="A51" i="9"/>
  <c r="H50" i="9"/>
  <c r="A50" i="9"/>
  <c r="H49" i="9"/>
  <c r="A49" i="9"/>
  <c r="H48" i="9"/>
  <c r="A48" i="9"/>
  <c r="H47" i="9"/>
  <c r="A47" i="9"/>
  <c r="H46" i="9"/>
  <c r="A46" i="9"/>
  <c r="H45" i="9"/>
  <c r="A45" i="9"/>
  <c r="H44" i="9"/>
  <c r="A44" i="9"/>
  <c r="H43" i="9"/>
  <c r="A43" i="9"/>
  <c r="H42" i="9"/>
  <c r="A42" i="9"/>
  <c r="H41" i="9"/>
  <c r="A41" i="9"/>
  <c r="H40" i="9"/>
  <c r="A40" i="9"/>
  <c r="H39" i="9"/>
  <c r="A39" i="9"/>
  <c r="H38" i="9"/>
  <c r="A38" i="9"/>
  <c r="H37" i="9"/>
  <c r="A37" i="9"/>
  <c r="H36" i="9"/>
  <c r="A36" i="9"/>
  <c r="H35" i="9"/>
  <c r="A35" i="9"/>
  <c r="H34" i="9"/>
  <c r="A34" i="9"/>
  <c r="H33" i="9"/>
  <c r="A33" i="9"/>
  <c r="H32" i="9"/>
  <c r="A32" i="9"/>
  <c r="H31" i="9"/>
  <c r="A31" i="9"/>
  <c r="H30" i="9"/>
  <c r="A30" i="9"/>
  <c r="H29" i="9"/>
  <c r="A29" i="9"/>
  <c r="H28" i="9"/>
  <c r="A28" i="9"/>
  <c r="H27" i="9"/>
  <c r="A27" i="9"/>
  <c r="H26" i="9"/>
  <c r="A26" i="9"/>
  <c r="H25" i="9"/>
  <c r="A25" i="9"/>
  <c r="H24" i="9"/>
  <c r="A24" i="9"/>
  <c r="H23" i="9"/>
  <c r="A23" i="9"/>
  <c r="H22" i="9"/>
  <c r="A22" i="9"/>
  <c r="H21" i="9"/>
  <c r="A21" i="9"/>
  <c r="H20" i="9"/>
  <c r="A20" i="9"/>
  <c r="H19" i="9"/>
  <c r="A19" i="9"/>
  <c r="H18" i="9"/>
  <c r="A18" i="9"/>
  <c r="H17" i="9"/>
  <c r="A17" i="9"/>
  <c r="H16" i="9"/>
  <c r="A16" i="9"/>
  <c r="H15" i="9"/>
  <c r="A15" i="9"/>
  <c r="H14" i="9"/>
  <c r="A14" i="9"/>
  <c r="H13" i="9"/>
  <c r="A13" i="9"/>
  <c r="H12" i="9"/>
  <c r="A12" i="9"/>
  <c r="H11" i="9"/>
  <c r="A11" i="9"/>
  <c r="H10" i="9"/>
  <c r="A10" i="9"/>
  <c r="H9" i="9"/>
  <c r="A9" i="9"/>
  <c r="H8" i="9"/>
  <c r="H19" i="11" s="1"/>
  <c r="A8" i="9"/>
  <c r="H7" i="9"/>
  <c r="A7" i="9"/>
  <c r="H6" i="9"/>
  <c r="A6" i="9"/>
  <c r="H5" i="9"/>
  <c r="H20" i="11" s="1"/>
  <c r="A5" i="9"/>
  <c r="H204" i="8"/>
  <c r="A204" i="8"/>
  <c r="H203" i="8"/>
  <c r="A203" i="8"/>
  <c r="H202" i="8"/>
  <c r="A202" i="8"/>
  <c r="H201" i="8"/>
  <c r="A201" i="8"/>
  <c r="H200" i="8"/>
  <c r="A200" i="8"/>
  <c r="H199" i="8"/>
  <c r="A199" i="8"/>
  <c r="H198" i="8"/>
  <c r="A198" i="8"/>
  <c r="H197" i="8"/>
  <c r="A197" i="8"/>
  <c r="H196" i="8"/>
  <c r="A196" i="8"/>
  <c r="H195" i="8"/>
  <c r="A195" i="8"/>
  <c r="H194" i="8"/>
  <c r="A194" i="8"/>
  <c r="H193" i="8"/>
  <c r="A193" i="8"/>
  <c r="H192" i="8"/>
  <c r="A192" i="8"/>
  <c r="H191" i="8"/>
  <c r="A191" i="8"/>
  <c r="H190" i="8"/>
  <c r="A190" i="8"/>
  <c r="H189" i="8"/>
  <c r="A189" i="8"/>
  <c r="H188" i="8"/>
  <c r="A188" i="8"/>
  <c r="H187" i="8"/>
  <c r="A187" i="8"/>
  <c r="H186" i="8"/>
  <c r="A186" i="8"/>
  <c r="H185" i="8"/>
  <c r="A185" i="8"/>
  <c r="H184" i="8"/>
  <c r="A184" i="8"/>
  <c r="H183" i="8"/>
  <c r="A183" i="8"/>
  <c r="H182" i="8"/>
  <c r="A182" i="8"/>
  <c r="H181" i="8"/>
  <c r="A181" i="8"/>
  <c r="H180" i="8"/>
  <c r="A180" i="8"/>
  <c r="H179" i="8"/>
  <c r="A179" i="8"/>
  <c r="H178" i="8"/>
  <c r="A178" i="8"/>
  <c r="H177" i="8"/>
  <c r="A177" i="8"/>
  <c r="H176" i="8"/>
  <c r="A176" i="8"/>
  <c r="H175" i="8"/>
  <c r="A175" i="8"/>
  <c r="H174" i="8"/>
  <c r="A174" i="8"/>
  <c r="H173" i="8"/>
  <c r="A173" i="8"/>
  <c r="H172" i="8"/>
  <c r="A172" i="8"/>
  <c r="H171" i="8"/>
  <c r="A171" i="8"/>
  <c r="H170" i="8"/>
  <c r="A170" i="8"/>
  <c r="H169" i="8"/>
  <c r="A169" i="8"/>
  <c r="H168" i="8"/>
  <c r="A168" i="8"/>
  <c r="H167" i="8"/>
  <c r="A167" i="8"/>
  <c r="H166" i="8"/>
  <c r="A166" i="8"/>
  <c r="H165" i="8"/>
  <c r="A165" i="8"/>
  <c r="H164" i="8"/>
  <c r="A164" i="8"/>
  <c r="H163" i="8"/>
  <c r="A163" i="8"/>
  <c r="H162" i="8"/>
  <c r="A162" i="8"/>
  <c r="H161" i="8"/>
  <c r="A161" i="8"/>
  <c r="H160" i="8"/>
  <c r="A160" i="8"/>
  <c r="H159" i="8"/>
  <c r="A159" i="8"/>
  <c r="H158" i="8"/>
  <c r="A158" i="8"/>
  <c r="H157" i="8"/>
  <c r="A157" i="8"/>
  <c r="H156" i="8"/>
  <c r="A156" i="8"/>
  <c r="H155" i="8"/>
  <c r="A155" i="8"/>
  <c r="H154" i="8"/>
  <c r="A154" i="8"/>
  <c r="H153" i="8"/>
  <c r="A153" i="8"/>
  <c r="H152" i="8"/>
  <c r="A152" i="8"/>
  <c r="H151" i="8"/>
  <c r="A151" i="8"/>
  <c r="H150" i="8"/>
  <c r="A150" i="8"/>
  <c r="H149" i="8"/>
  <c r="A149" i="8"/>
  <c r="H148" i="8"/>
  <c r="A148" i="8"/>
  <c r="H147" i="8"/>
  <c r="A147" i="8"/>
  <c r="H146" i="8"/>
  <c r="A146" i="8"/>
  <c r="H145" i="8"/>
  <c r="A145" i="8"/>
  <c r="H144" i="8"/>
  <c r="A144" i="8"/>
  <c r="H143" i="8"/>
  <c r="A143" i="8"/>
  <c r="H142" i="8"/>
  <c r="A142" i="8"/>
  <c r="H141" i="8"/>
  <c r="A141" i="8"/>
  <c r="H140" i="8"/>
  <c r="A140" i="8"/>
  <c r="H139" i="8"/>
  <c r="A139" i="8"/>
  <c r="H138" i="8"/>
  <c r="A138" i="8"/>
  <c r="H137" i="8"/>
  <c r="A137" i="8"/>
  <c r="H136" i="8"/>
  <c r="A136" i="8"/>
  <c r="H135" i="8"/>
  <c r="A135" i="8"/>
  <c r="H134" i="8"/>
  <c r="A134" i="8"/>
  <c r="H133" i="8"/>
  <c r="A133" i="8"/>
  <c r="H132" i="8"/>
  <c r="A132" i="8"/>
  <c r="H131" i="8"/>
  <c r="A131" i="8"/>
  <c r="H130" i="8"/>
  <c r="A130" i="8"/>
  <c r="H129" i="8"/>
  <c r="A129" i="8"/>
  <c r="H128" i="8"/>
  <c r="A128" i="8"/>
  <c r="H127" i="8"/>
  <c r="A127" i="8"/>
  <c r="H126" i="8"/>
  <c r="A126" i="8"/>
  <c r="H125" i="8"/>
  <c r="A125" i="8"/>
  <c r="H124" i="8"/>
  <c r="A124" i="8"/>
  <c r="H123" i="8"/>
  <c r="A123" i="8"/>
  <c r="H122" i="8"/>
  <c r="A122" i="8"/>
  <c r="H121" i="8"/>
  <c r="A121" i="8"/>
  <c r="H120" i="8"/>
  <c r="A120" i="8"/>
  <c r="H119" i="8"/>
  <c r="A119" i="8"/>
  <c r="H118" i="8"/>
  <c r="A118" i="8"/>
  <c r="H117" i="8"/>
  <c r="A117" i="8"/>
  <c r="H116" i="8"/>
  <c r="A116" i="8"/>
  <c r="H115" i="8"/>
  <c r="A115" i="8"/>
  <c r="H114" i="8"/>
  <c r="A114" i="8"/>
  <c r="H113" i="8"/>
  <c r="A113" i="8"/>
  <c r="H112" i="8"/>
  <c r="A112" i="8"/>
  <c r="H111" i="8"/>
  <c r="A111" i="8"/>
  <c r="H110" i="8"/>
  <c r="A110" i="8"/>
  <c r="H109" i="8"/>
  <c r="A109" i="8"/>
  <c r="H108" i="8"/>
  <c r="A108" i="8"/>
  <c r="H107" i="8"/>
  <c r="A107" i="8"/>
  <c r="H106" i="8"/>
  <c r="A106" i="8"/>
  <c r="H105" i="8"/>
  <c r="A105" i="8"/>
  <c r="H104" i="8"/>
  <c r="A104" i="8"/>
  <c r="H103" i="8"/>
  <c r="A103" i="8"/>
  <c r="H102" i="8"/>
  <c r="A102" i="8"/>
  <c r="H101" i="8"/>
  <c r="A101" i="8"/>
  <c r="H100" i="8"/>
  <c r="A100" i="8"/>
  <c r="H99" i="8"/>
  <c r="A99" i="8"/>
  <c r="H98" i="8"/>
  <c r="A98" i="8"/>
  <c r="H97" i="8"/>
  <c r="A97" i="8"/>
  <c r="H96" i="8"/>
  <c r="A96" i="8"/>
  <c r="H95" i="8"/>
  <c r="A95" i="8"/>
  <c r="H94" i="8"/>
  <c r="A94" i="8"/>
  <c r="H93" i="8"/>
  <c r="A93" i="8"/>
  <c r="H92" i="8"/>
  <c r="A92" i="8"/>
  <c r="H91" i="8"/>
  <c r="A91" i="8"/>
  <c r="H90" i="8"/>
  <c r="A90" i="8"/>
  <c r="H89" i="8"/>
  <c r="A89" i="8"/>
  <c r="H88" i="8"/>
  <c r="A88" i="8"/>
  <c r="H87" i="8"/>
  <c r="A87" i="8"/>
  <c r="H86" i="8"/>
  <c r="A86" i="8"/>
  <c r="H85" i="8"/>
  <c r="A85" i="8"/>
  <c r="H84" i="8"/>
  <c r="A84" i="8"/>
  <c r="H83" i="8"/>
  <c r="A83" i="8"/>
  <c r="H82" i="8"/>
  <c r="A82" i="8"/>
  <c r="H81" i="8"/>
  <c r="A81" i="8"/>
  <c r="H80" i="8"/>
  <c r="A80" i="8"/>
  <c r="H79" i="8"/>
  <c r="A79" i="8"/>
  <c r="H78" i="8"/>
  <c r="A78" i="8"/>
  <c r="H77" i="8"/>
  <c r="A77" i="8"/>
  <c r="H76" i="8"/>
  <c r="A76" i="8"/>
  <c r="H75" i="8"/>
  <c r="A75" i="8"/>
  <c r="H74" i="8"/>
  <c r="A74" i="8"/>
  <c r="H73" i="8"/>
  <c r="A73" i="8"/>
  <c r="H72" i="8"/>
  <c r="A72" i="8"/>
  <c r="H71" i="8"/>
  <c r="A71" i="8"/>
  <c r="H70" i="8"/>
  <c r="A70" i="8"/>
  <c r="H69" i="8"/>
  <c r="A69" i="8"/>
  <c r="H68" i="8"/>
  <c r="A68" i="8"/>
  <c r="H67" i="8"/>
  <c r="A67" i="8"/>
  <c r="H66" i="8"/>
  <c r="A66" i="8"/>
  <c r="H65" i="8"/>
  <c r="A65" i="8"/>
  <c r="H64" i="8"/>
  <c r="A64" i="8"/>
  <c r="H63" i="8"/>
  <c r="A63" i="8"/>
  <c r="H62" i="8"/>
  <c r="A62" i="8"/>
  <c r="H61" i="8"/>
  <c r="A61" i="8"/>
  <c r="H60" i="8"/>
  <c r="A60" i="8"/>
  <c r="H59" i="8"/>
  <c r="A59" i="8"/>
  <c r="H58" i="8"/>
  <c r="A58" i="8"/>
  <c r="H57" i="8"/>
  <c r="A57" i="8"/>
  <c r="H56" i="8"/>
  <c r="A56" i="8"/>
  <c r="H55" i="8"/>
  <c r="A55" i="8"/>
  <c r="H54" i="8"/>
  <c r="A54" i="8"/>
  <c r="H53" i="8"/>
  <c r="A53" i="8"/>
  <c r="H52" i="8"/>
  <c r="A52" i="8"/>
  <c r="H51" i="8"/>
  <c r="A51" i="8"/>
  <c r="H50" i="8"/>
  <c r="A50" i="8"/>
  <c r="H49" i="8"/>
  <c r="A49" i="8"/>
  <c r="H48" i="8"/>
  <c r="A48" i="8"/>
  <c r="H47" i="8"/>
  <c r="A47" i="8"/>
  <c r="H46" i="8"/>
  <c r="A46" i="8"/>
  <c r="H45" i="8"/>
  <c r="A45" i="8"/>
  <c r="H44" i="8"/>
  <c r="A44" i="8"/>
  <c r="H43" i="8"/>
  <c r="A43" i="8"/>
  <c r="H42" i="8"/>
  <c r="A42" i="8"/>
  <c r="H41" i="8"/>
  <c r="A41" i="8"/>
  <c r="H40" i="8"/>
  <c r="A40" i="8"/>
  <c r="H39" i="8"/>
  <c r="A39" i="8"/>
  <c r="H38" i="8"/>
  <c r="A38" i="8"/>
  <c r="H37" i="8"/>
  <c r="A37" i="8"/>
  <c r="H36" i="8"/>
  <c r="A36" i="8"/>
  <c r="H35" i="8"/>
  <c r="A35" i="8"/>
  <c r="H34" i="8"/>
  <c r="A34" i="8"/>
  <c r="H33" i="8"/>
  <c r="A33" i="8"/>
  <c r="H32" i="8"/>
  <c r="A32" i="8"/>
  <c r="H31" i="8"/>
  <c r="A31" i="8"/>
  <c r="H30" i="8"/>
  <c r="A30" i="8"/>
  <c r="H29" i="8"/>
  <c r="A29" i="8"/>
  <c r="H28" i="8"/>
  <c r="A28" i="8"/>
  <c r="H27" i="8"/>
  <c r="A27" i="8"/>
  <c r="H26" i="8"/>
  <c r="A26" i="8"/>
  <c r="H25" i="8"/>
  <c r="A25" i="8"/>
  <c r="H24" i="8"/>
  <c r="A24" i="8"/>
  <c r="H23" i="8"/>
  <c r="A23" i="8"/>
  <c r="H22" i="8"/>
  <c r="A22" i="8"/>
  <c r="H21" i="8"/>
  <c r="A21" i="8"/>
  <c r="H20" i="8"/>
  <c r="A20" i="8"/>
  <c r="H19" i="8"/>
  <c r="A19" i="8"/>
  <c r="H18" i="8"/>
  <c r="A18" i="8"/>
  <c r="H17" i="8"/>
  <c r="A17" i="8"/>
  <c r="H16" i="8"/>
  <c r="A16" i="8"/>
  <c r="H15" i="8"/>
  <c r="A15" i="8"/>
  <c r="H14" i="8"/>
  <c r="A14" i="8"/>
  <c r="H13" i="8"/>
  <c r="A13" i="8"/>
  <c r="H12" i="8"/>
  <c r="A12" i="8"/>
  <c r="H11" i="8"/>
  <c r="A11" i="8"/>
  <c r="H10" i="8"/>
  <c r="A10" i="8"/>
  <c r="H9" i="8"/>
  <c r="A9" i="8"/>
  <c r="H8" i="8"/>
  <c r="G19" i="11" s="1"/>
  <c r="A8" i="8"/>
  <c r="H7" i="8"/>
  <c r="A7" i="8"/>
  <c r="H6" i="8"/>
  <c r="A6" i="8"/>
  <c r="H5" i="8"/>
  <c r="A5" i="8"/>
  <c r="I204" i="7"/>
  <c r="A204" i="7"/>
  <c r="I203" i="7"/>
  <c r="A203" i="7"/>
  <c r="I202" i="7"/>
  <c r="A202" i="7"/>
  <c r="I201" i="7"/>
  <c r="A201" i="7"/>
  <c r="I200" i="7"/>
  <c r="A200" i="7"/>
  <c r="I199" i="7"/>
  <c r="A199" i="7"/>
  <c r="I198" i="7"/>
  <c r="A198" i="7"/>
  <c r="I197" i="7"/>
  <c r="A197" i="7"/>
  <c r="I196" i="7"/>
  <c r="A196" i="7"/>
  <c r="I195" i="7"/>
  <c r="A195" i="7"/>
  <c r="I194" i="7"/>
  <c r="A194" i="7"/>
  <c r="I193" i="7"/>
  <c r="A193" i="7"/>
  <c r="I192" i="7"/>
  <c r="A192" i="7"/>
  <c r="I191" i="7"/>
  <c r="A191" i="7"/>
  <c r="I190" i="7"/>
  <c r="A190" i="7"/>
  <c r="I189" i="7"/>
  <c r="A189" i="7"/>
  <c r="I188" i="7"/>
  <c r="A188" i="7"/>
  <c r="I187" i="7"/>
  <c r="A187" i="7"/>
  <c r="I186" i="7"/>
  <c r="A186" i="7"/>
  <c r="I185" i="7"/>
  <c r="A185" i="7"/>
  <c r="I184" i="7"/>
  <c r="A184" i="7"/>
  <c r="I183" i="7"/>
  <c r="A183" i="7"/>
  <c r="I182" i="7"/>
  <c r="A182" i="7"/>
  <c r="I181" i="7"/>
  <c r="A181" i="7"/>
  <c r="I180" i="7"/>
  <c r="A180" i="7"/>
  <c r="I179" i="7"/>
  <c r="A179" i="7"/>
  <c r="I178" i="7"/>
  <c r="A178" i="7"/>
  <c r="I177" i="7"/>
  <c r="A177" i="7"/>
  <c r="I176" i="7"/>
  <c r="A176" i="7"/>
  <c r="I175" i="7"/>
  <c r="A175" i="7"/>
  <c r="I174" i="7"/>
  <c r="A174" i="7"/>
  <c r="I173" i="7"/>
  <c r="A173" i="7"/>
  <c r="I172" i="7"/>
  <c r="A172" i="7"/>
  <c r="I171" i="7"/>
  <c r="A171" i="7"/>
  <c r="I170" i="7"/>
  <c r="A170" i="7"/>
  <c r="I169" i="7"/>
  <c r="A169" i="7"/>
  <c r="I168" i="7"/>
  <c r="A168" i="7"/>
  <c r="I167" i="7"/>
  <c r="A167" i="7"/>
  <c r="I166" i="7"/>
  <c r="A166" i="7"/>
  <c r="I165" i="7"/>
  <c r="A165" i="7"/>
  <c r="I164" i="7"/>
  <c r="A164" i="7"/>
  <c r="I163" i="7"/>
  <c r="A163" i="7"/>
  <c r="I162" i="7"/>
  <c r="A162" i="7"/>
  <c r="I161" i="7"/>
  <c r="A161" i="7"/>
  <c r="I160" i="7"/>
  <c r="A160" i="7"/>
  <c r="I159" i="7"/>
  <c r="A159" i="7"/>
  <c r="I158" i="7"/>
  <c r="A158" i="7"/>
  <c r="I157" i="7"/>
  <c r="A157" i="7"/>
  <c r="I156" i="7"/>
  <c r="A156" i="7"/>
  <c r="I155" i="7"/>
  <c r="A155" i="7"/>
  <c r="I154" i="7"/>
  <c r="A154" i="7"/>
  <c r="I153" i="7"/>
  <c r="A153" i="7"/>
  <c r="I152" i="7"/>
  <c r="A152" i="7"/>
  <c r="I151" i="7"/>
  <c r="A151" i="7"/>
  <c r="I150" i="7"/>
  <c r="A150" i="7"/>
  <c r="I149" i="7"/>
  <c r="A149" i="7"/>
  <c r="I148" i="7"/>
  <c r="A148" i="7"/>
  <c r="I147" i="7"/>
  <c r="A147" i="7"/>
  <c r="I146" i="7"/>
  <c r="A146" i="7"/>
  <c r="I145" i="7"/>
  <c r="A145" i="7"/>
  <c r="I144" i="7"/>
  <c r="A144" i="7"/>
  <c r="I143" i="7"/>
  <c r="A143" i="7"/>
  <c r="I142" i="7"/>
  <c r="A142" i="7"/>
  <c r="I141" i="7"/>
  <c r="A141" i="7"/>
  <c r="I140" i="7"/>
  <c r="A140" i="7"/>
  <c r="I139" i="7"/>
  <c r="A139" i="7"/>
  <c r="I138" i="7"/>
  <c r="A138" i="7"/>
  <c r="I137" i="7"/>
  <c r="A137" i="7"/>
  <c r="I136" i="7"/>
  <c r="A136" i="7"/>
  <c r="I135" i="7"/>
  <c r="A135" i="7"/>
  <c r="I134" i="7"/>
  <c r="A134" i="7"/>
  <c r="I133" i="7"/>
  <c r="A133" i="7"/>
  <c r="I132" i="7"/>
  <c r="A132" i="7"/>
  <c r="I131" i="7"/>
  <c r="A131" i="7"/>
  <c r="I130" i="7"/>
  <c r="A130" i="7"/>
  <c r="I129" i="7"/>
  <c r="A129" i="7"/>
  <c r="I128" i="7"/>
  <c r="A128" i="7"/>
  <c r="I127" i="7"/>
  <c r="A127" i="7"/>
  <c r="I126" i="7"/>
  <c r="A126" i="7"/>
  <c r="I125" i="7"/>
  <c r="A125" i="7"/>
  <c r="I124" i="7"/>
  <c r="A124" i="7"/>
  <c r="I123" i="7"/>
  <c r="A123" i="7"/>
  <c r="I122" i="7"/>
  <c r="A122" i="7"/>
  <c r="I121" i="7"/>
  <c r="A121" i="7"/>
  <c r="I120" i="7"/>
  <c r="A120" i="7"/>
  <c r="I119" i="7"/>
  <c r="A119" i="7"/>
  <c r="I118" i="7"/>
  <c r="A118" i="7"/>
  <c r="I117" i="7"/>
  <c r="A117" i="7"/>
  <c r="I116" i="7"/>
  <c r="A116" i="7"/>
  <c r="I115" i="7"/>
  <c r="A115" i="7"/>
  <c r="I114" i="7"/>
  <c r="A114" i="7"/>
  <c r="I113" i="7"/>
  <c r="A113" i="7"/>
  <c r="I112" i="7"/>
  <c r="A112" i="7"/>
  <c r="I111" i="7"/>
  <c r="A111" i="7"/>
  <c r="I110" i="7"/>
  <c r="A110" i="7"/>
  <c r="I109" i="7"/>
  <c r="A109" i="7"/>
  <c r="I108" i="7"/>
  <c r="A108" i="7"/>
  <c r="I107" i="7"/>
  <c r="A107" i="7"/>
  <c r="I106" i="7"/>
  <c r="A106" i="7"/>
  <c r="I105" i="7"/>
  <c r="A105" i="7"/>
  <c r="I104" i="7"/>
  <c r="A104" i="7"/>
  <c r="I103" i="7"/>
  <c r="A103" i="7"/>
  <c r="I102" i="7"/>
  <c r="A102" i="7"/>
  <c r="I101" i="7"/>
  <c r="A101" i="7"/>
  <c r="I100" i="7"/>
  <c r="A100" i="7"/>
  <c r="I99" i="7"/>
  <c r="A99" i="7"/>
  <c r="I98" i="7"/>
  <c r="A98" i="7"/>
  <c r="I97" i="7"/>
  <c r="A97" i="7"/>
  <c r="I96" i="7"/>
  <c r="A96" i="7"/>
  <c r="I95" i="7"/>
  <c r="A95" i="7"/>
  <c r="I94" i="7"/>
  <c r="A94" i="7"/>
  <c r="I93" i="7"/>
  <c r="A93" i="7"/>
  <c r="I92" i="7"/>
  <c r="A92" i="7"/>
  <c r="I91" i="7"/>
  <c r="A91" i="7"/>
  <c r="I90" i="7"/>
  <c r="A90" i="7"/>
  <c r="I89" i="7"/>
  <c r="A89" i="7"/>
  <c r="I88" i="7"/>
  <c r="A88" i="7"/>
  <c r="I87" i="7"/>
  <c r="A87" i="7"/>
  <c r="I86" i="7"/>
  <c r="A86" i="7"/>
  <c r="I85" i="7"/>
  <c r="A85" i="7"/>
  <c r="I84" i="7"/>
  <c r="A84" i="7"/>
  <c r="I83" i="7"/>
  <c r="A83" i="7"/>
  <c r="I82" i="7"/>
  <c r="A82" i="7"/>
  <c r="I81" i="7"/>
  <c r="A81" i="7"/>
  <c r="I80" i="7"/>
  <c r="A80" i="7"/>
  <c r="I79" i="7"/>
  <c r="A79" i="7"/>
  <c r="I78" i="7"/>
  <c r="A78" i="7"/>
  <c r="I77" i="7"/>
  <c r="A77" i="7"/>
  <c r="I76" i="7"/>
  <c r="A76" i="7"/>
  <c r="I75" i="7"/>
  <c r="A75" i="7"/>
  <c r="I74" i="7"/>
  <c r="A74" i="7"/>
  <c r="I73" i="7"/>
  <c r="A73" i="7"/>
  <c r="I72" i="7"/>
  <c r="A72" i="7"/>
  <c r="I71" i="7"/>
  <c r="A71" i="7"/>
  <c r="I70" i="7"/>
  <c r="A70" i="7"/>
  <c r="I69" i="7"/>
  <c r="A69" i="7"/>
  <c r="I68" i="7"/>
  <c r="A68" i="7"/>
  <c r="I67" i="7"/>
  <c r="A67" i="7"/>
  <c r="I66" i="7"/>
  <c r="A66" i="7"/>
  <c r="I65" i="7"/>
  <c r="A65" i="7"/>
  <c r="I64" i="7"/>
  <c r="A64" i="7"/>
  <c r="I63" i="7"/>
  <c r="A63" i="7"/>
  <c r="I62" i="7"/>
  <c r="A62" i="7"/>
  <c r="I61" i="7"/>
  <c r="A61" i="7"/>
  <c r="I60" i="7"/>
  <c r="A60" i="7"/>
  <c r="I59" i="7"/>
  <c r="A59" i="7"/>
  <c r="I58" i="7"/>
  <c r="A58" i="7"/>
  <c r="I57" i="7"/>
  <c r="A57" i="7"/>
  <c r="I56" i="7"/>
  <c r="A56" i="7"/>
  <c r="I55" i="7"/>
  <c r="A55" i="7"/>
  <c r="I54" i="7"/>
  <c r="A54" i="7"/>
  <c r="I53" i="7"/>
  <c r="A53" i="7"/>
  <c r="I52" i="7"/>
  <c r="A52" i="7"/>
  <c r="I51" i="7"/>
  <c r="A51" i="7"/>
  <c r="I50" i="7"/>
  <c r="A50" i="7"/>
  <c r="I49" i="7"/>
  <c r="A49" i="7"/>
  <c r="I48" i="7"/>
  <c r="A48" i="7"/>
  <c r="I47" i="7"/>
  <c r="A47" i="7"/>
  <c r="I46" i="7"/>
  <c r="A46" i="7"/>
  <c r="I45" i="7"/>
  <c r="A45" i="7"/>
  <c r="I44" i="7"/>
  <c r="A44" i="7"/>
  <c r="I43" i="7"/>
  <c r="A43" i="7"/>
  <c r="I42" i="7"/>
  <c r="A42" i="7"/>
  <c r="I41" i="7"/>
  <c r="A41" i="7"/>
  <c r="I40" i="7"/>
  <c r="A40" i="7"/>
  <c r="I39" i="7"/>
  <c r="A39" i="7"/>
  <c r="I38" i="7"/>
  <c r="A38" i="7"/>
  <c r="I37" i="7"/>
  <c r="A37" i="7"/>
  <c r="I36" i="7"/>
  <c r="A36" i="7"/>
  <c r="I35" i="7"/>
  <c r="A35" i="7"/>
  <c r="I34" i="7"/>
  <c r="A34" i="7"/>
  <c r="I33" i="7"/>
  <c r="A33" i="7"/>
  <c r="I32" i="7"/>
  <c r="A32" i="7"/>
  <c r="I31" i="7"/>
  <c r="A31" i="7"/>
  <c r="I30" i="7"/>
  <c r="A30" i="7"/>
  <c r="I29" i="7"/>
  <c r="A29" i="7"/>
  <c r="I28" i="7"/>
  <c r="A28" i="7"/>
  <c r="I27" i="7"/>
  <c r="A27" i="7"/>
  <c r="I26" i="7"/>
  <c r="A26" i="7"/>
  <c r="I25" i="7"/>
  <c r="A25" i="7"/>
  <c r="I24" i="7"/>
  <c r="A24" i="7"/>
  <c r="I23" i="7"/>
  <c r="A23" i="7"/>
  <c r="I22" i="7"/>
  <c r="A22" i="7"/>
  <c r="I21" i="7"/>
  <c r="A21" i="7"/>
  <c r="I20" i="7"/>
  <c r="A20" i="7"/>
  <c r="I19" i="7"/>
  <c r="A19" i="7"/>
  <c r="I18" i="7"/>
  <c r="A18" i="7"/>
  <c r="I17" i="7"/>
  <c r="A17" i="7"/>
  <c r="I16" i="7"/>
  <c r="A16" i="7"/>
  <c r="I15" i="7"/>
  <c r="A15" i="7"/>
  <c r="I14" i="7"/>
  <c r="A14" i="7"/>
  <c r="I13" i="7"/>
  <c r="A13" i="7"/>
  <c r="I12" i="7"/>
  <c r="A12" i="7"/>
  <c r="I11" i="7"/>
  <c r="A11" i="7"/>
  <c r="I10" i="7"/>
  <c r="A10" i="7"/>
  <c r="I9" i="7"/>
  <c r="A9" i="7"/>
  <c r="I8" i="7"/>
  <c r="A8" i="7"/>
  <c r="I7" i="7"/>
  <c r="A7" i="7"/>
  <c r="I6" i="7"/>
  <c r="A6" i="7"/>
  <c r="I5" i="7"/>
  <c r="F14" i="11" s="1"/>
  <c r="A5" i="7"/>
  <c r="I504" i="6"/>
  <c r="A504" i="6"/>
  <c r="I503" i="6"/>
  <c r="A503" i="6"/>
  <c r="I502" i="6"/>
  <c r="A502" i="6"/>
  <c r="I501" i="6"/>
  <c r="A501" i="6"/>
  <c r="I500" i="6"/>
  <c r="A500" i="6"/>
  <c r="I499" i="6"/>
  <c r="A499" i="6"/>
  <c r="I498" i="6"/>
  <c r="A498" i="6"/>
  <c r="I497" i="6"/>
  <c r="A497" i="6"/>
  <c r="I496" i="6"/>
  <c r="A496" i="6"/>
  <c r="I495" i="6"/>
  <c r="A495" i="6"/>
  <c r="I494" i="6"/>
  <c r="A494" i="6"/>
  <c r="I493" i="6"/>
  <c r="A493" i="6"/>
  <c r="I492" i="6"/>
  <c r="A492" i="6"/>
  <c r="I491" i="6"/>
  <c r="A491" i="6"/>
  <c r="I490" i="6"/>
  <c r="A490" i="6"/>
  <c r="I489" i="6"/>
  <c r="A489" i="6"/>
  <c r="I488" i="6"/>
  <c r="A488" i="6"/>
  <c r="I487" i="6"/>
  <c r="A487" i="6"/>
  <c r="I486" i="6"/>
  <c r="A486" i="6"/>
  <c r="I485" i="6"/>
  <c r="A485" i="6"/>
  <c r="I484" i="6"/>
  <c r="A484" i="6"/>
  <c r="I483" i="6"/>
  <c r="A483" i="6"/>
  <c r="I482" i="6"/>
  <c r="A482" i="6"/>
  <c r="I481" i="6"/>
  <c r="A481" i="6"/>
  <c r="I480" i="6"/>
  <c r="A480" i="6"/>
  <c r="I479" i="6"/>
  <c r="A479" i="6"/>
  <c r="I478" i="6"/>
  <c r="A478" i="6"/>
  <c r="I477" i="6"/>
  <c r="A477" i="6"/>
  <c r="I476" i="6"/>
  <c r="A476" i="6"/>
  <c r="I475" i="6"/>
  <c r="A475" i="6"/>
  <c r="I474" i="6"/>
  <c r="A474" i="6"/>
  <c r="I473" i="6"/>
  <c r="A473" i="6"/>
  <c r="I472" i="6"/>
  <c r="A472" i="6"/>
  <c r="I471" i="6"/>
  <c r="A471" i="6"/>
  <c r="I470" i="6"/>
  <c r="A470" i="6"/>
  <c r="I469" i="6"/>
  <c r="A469" i="6"/>
  <c r="I468" i="6"/>
  <c r="A468" i="6"/>
  <c r="I467" i="6"/>
  <c r="A467" i="6"/>
  <c r="I466" i="6"/>
  <c r="A466" i="6"/>
  <c r="I465" i="6"/>
  <c r="A465" i="6"/>
  <c r="I464" i="6"/>
  <c r="A464" i="6"/>
  <c r="I463" i="6"/>
  <c r="A463" i="6"/>
  <c r="I462" i="6"/>
  <c r="A462" i="6"/>
  <c r="I461" i="6"/>
  <c r="A461" i="6"/>
  <c r="I460" i="6"/>
  <c r="A460" i="6"/>
  <c r="I459" i="6"/>
  <c r="A459" i="6"/>
  <c r="I458" i="6"/>
  <c r="A458" i="6"/>
  <c r="I457" i="6"/>
  <c r="A457" i="6"/>
  <c r="I456" i="6"/>
  <c r="A456" i="6"/>
  <c r="I455" i="6"/>
  <c r="A455" i="6"/>
  <c r="I454" i="6"/>
  <c r="A454" i="6"/>
  <c r="I453" i="6"/>
  <c r="A453" i="6"/>
  <c r="I452" i="6"/>
  <c r="A452" i="6"/>
  <c r="I451" i="6"/>
  <c r="A451" i="6"/>
  <c r="I450" i="6"/>
  <c r="A450" i="6"/>
  <c r="I449" i="6"/>
  <c r="A449" i="6"/>
  <c r="I448" i="6"/>
  <c r="A448" i="6"/>
  <c r="I447" i="6"/>
  <c r="A447" i="6"/>
  <c r="I446" i="6"/>
  <c r="A446" i="6"/>
  <c r="I445" i="6"/>
  <c r="A445" i="6"/>
  <c r="I444" i="6"/>
  <c r="A444" i="6"/>
  <c r="I443" i="6"/>
  <c r="A443" i="6"/>
  <c r="I442" i="6"/>
  <c r="A442" i="6"/>
  <c r="I441" i="6"/>
  <c r="A441" i="6"/>
  <c r="I440" i="6"/>
  <c r="A440" i="6"/>
  <c r="I439" i="6"/>
  <c r="A439" i="6"/>
  <c r="I438" i="6"/>
  <c r="A438" i="6"/>
  <c r="I437" i="6"/>
  <c r="A437" i="6"/>
  <c r="I436" i="6"/>
  <c r="A436" i="6"/>
  <c r="I435" i="6"/>
  <c r="A435" i="6"/>
  <c r="I434" i="6"/>
  <c r="A434" i="6"/>
  <c r="I433" i="6"/>
  <c r="A433" i="6"/>
  <c r="I432" i="6"/>
  <c r="A432" i="6"/>
  <c r="I431" i="6"/>
  <c r="A431" i="6"/>
  <c r="I430" i="6"/>
  <c r="A430" i="6"/>
  <c r="I429" i="6"/>
  <c r="A429" i="6"/>
  <c r="I428" i="6"/>
  <c r="A428" i="6"/>
  <c r="I427" i="6"/>
  <c r="A427" i="6"/>
  <c r="I426" i="6"/>
  <c r="A426" i="6"/>
  <c r="I425" i="6"/>
  <c r="A425" i="6"/>
  <c r="I424" i="6"/>
  <c r="A424" i="6"/>
  <c r="I423" i="6"/>
  <c r="A423" i="6"/>
  <c r="I422" i="6"/>
  <c r="A422" i="6"/>
  <c r="I421" i="6"/>
  <c r="A421" i="6"/>
  <c r="I420" i="6"/>
  <c r="A420" i="6"/>
  <c r="I419" i="6"/>
  <c r="A419" i="6"/>
  <c r="I418" i="6"/>
  <c r="A418" i="6"/>
  <c r="I417" i="6"/>
  <c r="A417" i="6"/>
  <c r="I416" i="6"/>
  <c r="A416" i="6"/>
  <c r="I415" i="6"/>
  <c r="A415" i="6"/>
  <c r="I414" i="6"/>
  <c r="A414" i="6"/>
  <c r="I413" i="6"/>
  <c r="A413" i="6"/>
  <c r="I412" i="6"/>
  <c r="A412" i="6"/>
  <c r="I411" i="6"/>
  <c r="A411" i="6"/>
  <c r="I410" i="6"/>
  <c r="A410" i="6"/>
  <c r="I409" i="6"/>
  <c r="A409" i="6"/>
  <c r="I408" i="6"/>
  <c r="A408" i="6"/>
  <c r="I407" i="6"/>
  <c r="A407" i="6"/>
  <c r="I406" i="6"/>
  <c r="A406" i="6"/>
  <c r="I405" i="6"/>
  <c r="A405" i="6"/>
  <c r="I404" i="6"/>
  <c r="A404" i="6"/>
  <c r="I403" i="6"/>
  <c r="A403" i="6"/>
  <c r="I402" i="6"/>
  <c r="A402" i="6"/>
  <c r="I401" i="6"/>
  <c r="A401" i="6"/>
  <c r="I400" i="6"/>
  <c r="A400" i="6"/>
  <c r="I399" i="6"/>
  <c r="A399" i="6"/>
  <c r="I398" i="6"/>
  <c r="A398" i="6"/>
  <c r="I397" i="6"/>
  <c r="A397" i="6"/>
  <c r="I396" i="6"/>
  <c r="A396" i="6"/>
  <c r="I395" i="6"/>
  <c r="A395" i="6"/>
  <c r="I394" i="6"/>
  <c r="A394" i="6"/>
  <c r="I393" i="6"/>
  <c r="A393" i="6"/>
  <c r="I392" i="6"/>
  <c r="A392" i="6"/>
  <c r="I391" i="6"/>
  <c r="A391" i="6"/>
  <c r="I390" i="6"/>
  <c r="A390" i="6"/>
  <c r="I389" i="6"/>
  <c r="A389" i="6"/>
  <c r="I388" i="6"/>
  <c r="A388" i="6"/>
  <c r="I387" i="6"/>
  <c r="A387" i="6"/>
  <c r="I386" i="6"/>
  <c r="A386" i="6"/>
  <c r="I385" i="6"/>
  <c r="A385" i="6"/>
  <c r="I384" i="6"/>
  <c r="A384" i="6"/>
  <c r="I383" i="6"/>
  <c r="A383" i="6"/>
  <c r="I382" i="6"/>
  <c r="A382" i="6"/>
  <c r="I381" i="6"/>
  <c r="A381" i="6"/>
  <c r="I380" i="6"/>
  <c r="A380" i="6"/>
  <c r="I379" i="6"/>
  <c r="A379" i="6"/>
  <c r="I378" i="6"/>
  <c r="A378" i="6"/>
  <c r="I377" i="6"/>
  <c r="A377" i="6"/>
  <c r="I376" i="6"/>
  <c r="A376" i="6"/>
  <c r="I375" i="6"/>
  <c r="A375" i="6"/>
  <c r="I374" i="6"/>
  <c r="A374" i="6"/>
  <c r="I373" i="6"/>
  <c r="A373" i="6"/>
  <c r="I372" i="6"/>
  <c r="A372" i="6"/>
  <c r="I371" i="6"/>
  <c r="A371" i="6"/>
  <c r="I370" i="6"/>
  <c r="A370" i="6"/>
  <c r="I369" i="6"/>
  <c r="A369" i="6"/>
  <c r="I368" i="6"/>
  <c r="A368" i="6"/>
  <c r="I367" i="6"/>
  <c r="A367" i="6"/>
  <c r="I366" i="6"/>
  <c r="A366" i="6"/>
  <c r="I365" i="6"/>
  <c r="A365" i="6"/>
  <c r="I364" i="6"/>
  <c r="A364" i="6"/>
  <c r="I363" i="6"/>
  <c r="A363" i="6"/>
  <c r="I362" i="6"/>
  <c r="A362" i="6"/>
  <c r="I361" i="6"/>
  <c r="A361" i="6"/>
  <c r="I360" i="6"/>
  <c r="A360" i="6"/>
  <c r="I359" i="6"/>
  <c r="A359" i="6"/>
  <c r="I358" i="6"/>
  <c r="A358" i="6"/>
  <c r="I357" i="6"/>
  <c r="A357" i="6"/>
  <c r="I356" i="6"/>
  <c r="A356" i="6"/>
  <c r="I355" i="6"/>
  <c r="A355" i="6"/>
  <c r="I354" i="6"/>
  <c r="A354" i="6"/>
  <c r="I353" i="6"/>
  <c r="A353" i="6"/>
  <c r="I352" i="6"/>
  <c r="A352" i="6"/>
  <c r="I351" i="6"/>
  <c r="A351" i="6"/>
  <c r="I350" i="6"/>
  <c r="A350" i="6"/>
  <c r="I349" i="6"/>
  <c r="A349" i="6"/>
  <c r="I348" i="6"/>
  <c r="A348" i="6"/>
  <c r="I347" i="6"/>
  <c r="A347" i="6"/>
  <c r="I346" i="6"/>
  <c r="A346" i="6"/>
  <c r="I345" i="6"/>
  <c r="A345" i="6"/>
  <c r="I344" i="6"/>
  <c r="A344" i="6"/>
  <c r="I343" i="6"/>
  <c r="A343" i="6"/>
  <c r="I342" i="6"/>
  <c r="A342" i="6"/>
  <c r="I341" i="6"/>
  <c r="A341" i="6"/>
  <c r="I340" i="6"/>
  <c r="A340" i="6"/>
  <c r="I339" i="6"/>
  <c r="A339" i="6"/>
  <c r="I338" i="6"/>
  <c r="A338" i="6"/>
  <c r="I337" i="6"/>
  <c r="A337" i="6"/>
  <c r="I336" i="6"/>
  <c r="A336" i="6"/>
  <c r="I335" i="6"/>
  <c r="A335" i="6"/>
  <c r="I334" i="6"/>
  <c r="A334" i="6"/>
  <c r="I333" i="6"/>
  <c r="A333" i="6"/>
  <c r="I332" i="6"/>
  <c r="A332" i="6"/>
  <c r="I331" i="6"/>
  <c r="A331" i="6"/>
  <c r="I330" i="6"/>
  <c r="A330" i="6"/>
  <c r="I329" i="6"/>
  <c r="A329" i="6"/>
  <c r="I328" i="6"/>
  <c r="A328" i="6"/>
  <c r="I327" i="6"/>
  <c r="A327" i="6"/>
  <c r="I326" i="6"/>
  <c r="A326" i="6"/>
  <c r="I325" i="6"/>
  <c r="A325" i="6"/>
  <c r="I324" i="6"/>
  <c r="A324" i="6"/>
  <c r="I323" i="6"/>
  <c r="A323" i="6"/>
  <c r="I322" i="6"/>
  <c r="A322" i="6"/>
  <c r="I321" i="6"/>
  <c r="A321" i="6"/>
  <c r="I320" i="6"/>
  <c r="A320" i="6"/>
  <c r="I319" i="6"/>
  <c r="A319" i="6"/>
  <c r="I318" i="6"/>
  <c r="A318" i="6"/>
  <c r="I317" i="6"/>
  <c r="A317" i="6"/>
  <c r="I316" i="6"/>
  <c r="A316" i="6"/>
  <c r="I315" i="6"/>
  <c r="A315" i="6"/>
  <c r="I314" i="6"/>
  <c r="A314" i="6"/>
  <c r="I313" i="6"/>
  <c r="A313" i="6"/>
  <c r="I312" i="6"/>
  <c r="A312" i="6"/>
  <c r="I311" i="6"/>
  <c r="A311" i="6"/>
  <c r="I310" i="6"/>
  <c r="A310" i="6"/>
  <c r="I309" i="6"/>
  <c r="A309" i="6"/>
  <c r="I308" i="6"/>
  <c r="A308" i="6"/>
  <c r="I307" i="6"/>
  <c r="A307" i="6"/>
  <c r="I306" i="6"/>
  <c r="A306" i="6"/>
  <c r="I305" i="6"/>
  <c r="A305" i="6"/>
  <c r="I304" i="6"/>
  <c r="A304" i="6"/>
  <c r="I303" i="6"/>
  <c r="A303" i="6"/>
  <c r="I302" i="6"/>
  <c r="A302" i="6"/>
  <c r="I301" i="6"/>
  <c r="A301" i="6"/>
  <c r="I300" i="6"/>
  <c r="A300" i="6"/>
  <c r="I299" i="6"/>
  <c r="A299" i="6"/>
  <c r="I298" i="6"/>
  <c r="A298" i="6"/>
  <c r="I297" i="6"/>
  <c r="A297" i="6"/>
  <c r="I296" i="6"/>
  <c r="A296" i="6"/>
  <c r="I295" i="6"/>
  <c r="A295" i="6"/>
  <c r="I294" i="6"/>
  <c r="A294" i="6"/>
  <c r="I293" i="6"/>
  <c r="A293" i="6"/>
  <c r="I292" i="6"/>
  <c r="A292" i="6"/>
  <c r="I291" i="6"/>
  <c r="A291" i="6"/>
  <c r="I290" i="6"/>
  <c r="A290" i="6"/>
  <c r="I289" i="6"/>
  <c r="A289" i="6"/>
  <c r="I288" i="6"/>
  <c r="A288" i="6"/>
  <c r="I287" i="6"/>
  <c r="A287" i="6"/>
  <c r="I286" i="6"/>
  <c r="A286" i="6"/>
  <c r="I285" i="6"/>
  <c r="A285" i="6"/>
  <c r="I284" i="6"/>
  <c r="A284" i="6"/>
  <c r="I283" i="6"/>
  <c r="A283" i="6"/>
  <c r="I282" i="6"/>
  <c r="A282" i="6"/>
  <c r="I281" i="6"/>
  <c r="A281" i="6"/>
  <c r="I280" i="6"/>
  <c r="A280" i="6"/>
  <c r="I279" i="6"/>
  <c r="A279" i="6"/>
  <c r="I278" i="6"/>
  <c r="A278" i="6"/>
  <c r="I277" i="6"/>
  <c r="A277" i="6"/>
  <c r="I276" i="6"/>
  <c r="A276" i="6"/>
  <c r="I275" i="6"/>
  <c r="A275" i="6"/>
  <c r="I274" i="6"/>
  <c r="A274" i="6"/>
  <c r="I273" i="6"/>
  <c r="A273" i="6"/>
  <c r="I272" i="6"/>
  <c r="A272" i="6"/>
  <c r="I271" i="6"/>
  <c r="A271" i="6"/>
  <c r="I270" i="6"/>
  <c r="A270" i="6"/>
  <c r="I269" i="6"/>
  <c r="A269" i="6"/>
  <c r="I268" i="6"/>
  <c r="A268" i="6"/>
  <c r="I267" i="6"/>
  <c r="A267" i="6"/>
  <c r="I266" i="6"/>
  <c r="A266" i="6"/>
  <c r="I265" i="6"/>
  <c r="A265" i="6"/>
  <c r="I264" i="6"/>
  <c r="A264" i="6"/>
  <c r="I263" i="6"/>
  <c r="A263" i="6"/>
  <c r="I262" i="6"/>
  <c r="A262" i="6"/>
  <c r="I261" i="6"/>
  <c r="A261" i="6"/>
  <c r="I260" i="6"/>
  <c r="A260" i="6"/>
  <c r="I259" i="6"/>
  <c r="A259" i="6"/>
  <c r="I258" i="6"/>
  <c r="A258" i="6"/>
  <c r="I257" i="6"/>
  <c r="A257" i="6"/>
  <c r="I256" i="6"/>
  <c r="A256" i="6"/>
  <c r="I255" i="6"/>
  <c r="A255" i="6"/>
  <c r="I254" i="6"/>
  <c r="A254" i="6"/>
  <c r="I253" i="6"/>
  <c r="A253" i="6"/>
  <c r="I252" i="6"/>
  <c r="A252" i="6"/>
  <c r="I251" i="6"/>
  <c r="A251" i="6"/>
  <c r="I250" i="6"/>
  <c r="A250" i="6"/>
  <c r="I249" i="6"/>
  <c r="A249" i="6"/>
  <c r="I248" i="6"/>
  <c r="A248" i="6"/>
  <c r="I247" i="6"/>
  <c r="A247" i="6"/>
  <c r="I246" i="6"/>
  <c r="A246" i="6"/>
  <c r="I245" i="6"/>
  <c r="A245" i="6"/>
  <c r="I244" i="6"/>
  <c r="A244" i="6"/>
  <c r="I243" i="6"/>
  <c r="A243" i="6"/>
  <c r="I242" i="6"/>
  <c r="A242" i="6"/>
  <c r="I241" i="6"/>
  <c r="A241" i="6"/>
  <c r="I240" i="6"/>
  <c r="A240" i="6"/>
  <c r="I239" i="6"/>
  <c r="A239" i="6"/>
  <c r="I238" i="6"/>
  <c r="A238" i="6"/>
  <c r="I237" i="6"/>
  <c r="A237" i="6"/>
  <c r="I236" i="6"/>
  <c r="A236" i="6"/>
  <c r="I235" i="6"/>
  <c r="A235" i="6"/>
  <c r="I234" i="6"/>
  <c r="A234" i="6"/>
  <c r="I233" i="6"/>
  <c r="A233" i="6"/>
  <c r="I232" i="6"/>
  <c r="A232" i="6"/>
  <c r="I231" i="6"/>
  <c r="A231" i="6"/>
  <c r="I230" i="6"/>
  <c r="A230" i="6"/>
  <c r="I229" i="6"/>
  <c r="A229" i="6"/>
  <c r="I228" i="6"/>
  <c r="A228" i="6"/>
  <c r="I227" i="6"/>
  <c r="A227" i="6"/>
  <c r="I226" i="6"/>
  <c r="A226" i="6"/>
  <c r="I225" i="6"/>
  <c r="A225" i="6"/>
  <c r="I224" i="6"/>
  <c r="A224" i="6"/>
  <c r="I223" i="6"/>
  <c r="A223" i="6"/>
  <c r="I222" i="6"/>
  <c r="A222" i="6"/>
  <c r="I221" i="6"/>
  <c r="A221" i="6"/>
  <c r="I220" i="6"/>
  <c r="A220" i="6"/>
  <c r="I219" i="6"/>
  <c r="A219" i="6"/>
  <c r="I218" i="6"/>
  <c r="A218" i="6"/>
  <c r="I217" i="6"/>
  <c r="A217" i="6"/>
  <c r="I216" i="6"/>
  <c r="A216" i="6"/>
  <c r="I215" i="6"/>
  <c r="A215" i="6"/>
  <c r="I214" i="6"/>
  <c r="A214" i="6"/>
  <c r="I213" i="6"/>
  <c r="A213" i="6"/>
  <c r="I212" i="6"/>
  <c r="A212" i="6"/>
  <c r="I211" i="6"/>
  <c r="A211" i="6"/>
  <c r="I210" i="6"/>
  <c r="A210" i="6"/>
  <c r="I209" i="6"/>
  <c r="A209" i="6"/>
  <c r="I208" i="6"/>
  <c r="A208" i="6"/>
  <c r="I207" i="6"/>
  <c r="A207" i="6"/>
  <c r="I206" i="6"/>
  <c r="A206" i="6"/>
  <c r="I205" i="6"/>
  <c r="A205" i="6"/>
  <c r="I204" i="6"/>
  <c r="A204" i="6"/>
  <c r="I203" i="6"/>
  <c r="A203" i="6"/>
  <c r="I202" i="6"/>
  <c r="A202" i="6"/>
  <c r="I201" i="6"/>
  <c r="A201" i="6"/>
  <c r="I200" i="6"/>
  <c r="A200" i="6"/>
  <c r="I199" i="6"/>
  <c r="A199" i="6"/>
  <c r="I198" i="6"/>
  <c r="A198" i="6"/>
  <c r="I197" i="6"/>
  <c r="A197" i="6"/>
  <c r="I196" i="6"/>
  <c r="A196" i="6"/>
  <c r="I195" i="6"/>
  <c r="A195" i="6"/>
  <c r="I194" i="6"/>
  <c r="A194" i="6"/>
  <c r="I193" i="6"/>
  <c r="A193" i="6"/>
  <c r="I192" i="6"/>
  <c r="A192" i="6"/>
  <c r="I191" i="6"/>
  <c r="A191" i="6"/>
  <c r="I190" i="6"/>
  <c r="A190" i="6"/>
  <c r="I189" i="6"/>
  <c r="A189" i="6"/>
  <c r="I188" i="6"/>
  <c r="A188" i="6"/>
  <c r="I187" i="6"/>
  <c r="A187" i="6"/>
  <c r="I186" i="6"/>
  <c r="A186" i="6"/>
  <c r="I185" i="6"/>
  <c r="A185" i="6"/>
  <c r="I184" i="6"/>
  <c r="A184" i="6"/>
  <c r="I183" i="6"/>
  <c r="A183" i="6"/>
  <c r="I182" i="6"/>
  <c r="A182" i="6"/>
  <c r="I181" i="6"/>
  <c r="A181" i="6"/>
  <c r="I180" i="6"/>
  <c r="A180" i="6"/>
  <c r="I179" i="6"/>
  <c r="A179" i="6"/>
  <c r="I178" i="6"/>
  <c r="A178" i="6"/>
  <c r="I177" i="6"/>
  <c r="A177" i="6"/>
  <c r="I176" i="6"/>
  <c r="A176" i="6"/>
  <c r="I175" i="6"/>
  <c r="A175" i="6"/>
  <c r="I174" i="6"/>
  <c r="A174" i="6"/>
  <c r="I173" i="6"/>
  <c r="A173" i="6"/>
  <c r="I172" i="6"/>
  <c r="A172" i="6"/>
  <c r="I171" i="6"/>
  <c r="A171" i="6"/>
  <c r="I170" i="6"/>
  <c r="A170" i="6"/>
  <c r="I169" i="6"/>
  <c r="A169" i="6"/>
  <c r="I168" i="6"/>
  <c r="A168" i="6"/>
  <c r="I167" i="6"/>
  <c r="A167" i="6"/>
  <c r="I166" i="6"/>
  <c r="A166" i="6"/>
  <c r="I165" i="6"/>
  <c r="A165" i="6"/>
  <c r="I164" i="6"/>
  <c r="A164" i="6"/>
  <c r="I163" i="6"/>
  <c r="A163" i="6"/>
  <c r="I162" i="6"/>
  <c r="A162" i="6"/>
  <c r="I161" i="6"/>
  <c r="A161" i="6"/>
  <c r="I160" i="6"/>
  <c r="A160" i="6"/>
  <c r="I159" i="6"/>
  <c r="A159" i="6"/>
  <c r="I158" i="6"/>
  <c r="A158" i="6"/>
  <c r="I157" i="6"/>
  <c r="A157" i="6"/>
  <c r="I156" i="6"/>
  <c r="A156" i="6"/>
  <c r="I155" i="6"/>
  <c r="A155" i="6"/>
  <c r="I154" i="6"/>
  <c r="A154" i="6"/>
  <c r="I153" i="6"/>
  <c r="A153" i="6"/>
  <c r="I152" i="6"/>
  <c r="A152" i="6"/>
  <c r="I151" i="6"/>
  <c r="A151" i="6"/>
  <c r="I150" i="6"/>
  <c r="A150" i="6"/>
  <c r="I149" i="6"/>
  <c r="A149" i="6"/>
  <c r="I148" i="6"/>
  <c r="A148" i="6"/>
  <c r="I147" i="6"/>
  <c r="A147" i="6"/>
  <c r="I146" i="6"/>
  <c r="A146" i="6"/>
  <c r="I145" i="6"/>
  <c r="A145" i="6"/>
  <c r="I144" i="6"/>
  <c r="A144" i="6"/>
  <c r="I143" i="6"/>
  <c r="A143" i="6"/>
  <c r="I142" i="6"/>
  <c r="A142" i="6"/>
  <c r="I141" i="6"/>
  <c r="A141" i="6"/>
  <c r="I140" i="6"/>
  <c r="A140" i="6"/>
  <c r="I139" i="6"/>
  <c r="A139" i="6"/>
  <c r="I138" i="6"/>
  <c r="A138" i="6"/>
  <c r="I137" i="6"/>
  <c r="A137" i="6"/>
  <c r="I136" i="6"/>
  <c r="A136" i="6"/>
  <c r="I135" i="6"/>
  <c r="A135" i="6"/>
  <c r="I134" i="6"/>
  <c r="A134" i="6"/>
  <c r="I133" i="6"/>
  <c r="A133" i="6"/>
  <c r="I132" i="6"/>
  <c r="A132" i="6"/>
  <c r="I131" i="6"/>
  <c r="A131" i="6"/>
  <c r="I130" i="6"/>
  <c r="A130" i="6"/>
  <c r="I129" i="6"/>
  <c r="A129" i="6"/>
  <c r="I128" i="6"/>
  <c r="A128" i="6"/>
  <c r="I127" i="6"/>
  <c r="A127" i="6"/>
  <c r="I126" i="6"/>
  <c r="A126" i="6"/>
  <c r="I125" i="6"/>
  <c r="A125" i="6"/>
  <c r="I124" i="6"/>
  <c r="A124" i="6"/>
  <c r="I123" i="6"/>
  <c r="A123" i="6"/>
  <c r="I122" i="6"/>
  <c r="A122" i="6"/>
  <c r="I121" i="6"/>
  <c r="A121" i="6"/>
  <c r="I120" i="6"/>
  <c r="A120" i="6"/>
  <c r="I119" i="6"/>
  <c r="A119" i="6"/>
  <c r="I118" i="6"/>
  <c r="A118" i="6"/>
  <c r="I117" i="6"/>
  <c r="A117" i="6"/>
  <c r="I116" i="6"/>
  <c r="A116" i="6"/>
  <c r="I115" i="6"/>
  <c r="A115" i="6"/>
  <c r="I114" i="6"/>
  <c r="A114" i="6"/>
  <c r="I113" i="6"/>
  <c r="A113" i="6"/>
  <c r="I112" i="6"/>
  <c r="A112" i="6"/>
  <c r="I111" i="6"/>
  <c r="A111" i="6"/>
  <c r="I110" i="6"/>
  <c r="A110" i="6"/>
  <c r="I109" i="6"/>
  <c r="A109" i="6"/>
  <c r="I108" i="6"/>
  <c r="A108" i="6"/>
  <c r="I107" i="6"/>
  <c r="A107" i="6"/>
  <c r="I106" i="6"/>
  <c r="A106" i="6"/>
  <c r="I105" i="6"/>
  <c r="A105" i="6"/>
  <c r="I104" i="6"/>
  <c r="A104" i="6"/>
  <c r="I103" i="6"/>
  <c r="A103" i="6"/>
  <c r="I102" i="6"/>
  <c r="A102" i="6"/>
  <c r="I101" i="6"/>
  <c r="A101" i="6"/>
  <c r="I100" i="6"/>
  <c r="A100" i="6"/>
  <c r="I99" i="6"/>
  <c r="A99" i="6"/>
  <c r="I98" i="6"/>
  <c r="A98" i="6"/>
  <c r="I97" i="6"/>
  <c r="A97" i="6"/>
  <c r="I96" i="6"/>
  <c r="A96" i="6"/>
  <c r="I95" i="6"/>
  <c r="A95" i="6"/>
  <c r="I94" i="6"/>
  <c r="A94" i="6"/>
  <c r="I93" i="6"/>
  <c r="A93" i="6"/>
  <c r="I92" i="6"/>
  <c r="A92" i="6"/>
  <c r="I91" i="6"/>
  <c r="A91" i="6"/>
  <c r="I90" i="6"/>
  <c r="A90" i="6"/>
  <c r="I89" i="6"/>
  <c r="A89" i="6"/>
  <c r="I88" i="6"/>
  <c r="A88" i="6"/>
  <c r="I87" i="6"/>
  <c r="A87" i="6"/>
  <c r="I86" i="6"/>
  <c r="A86" i="6"/>
  <c r="I85" i="6"/>
  <c r="A85" i="6"/>
  <c r="I84" i="6"/>
  <c r="A84" i="6"/>
  <c r="I83" i="6"/>
  <c r="A83" i="6"/>
  <c r="I82" i="6"/>
  <c r="A82" i="6"/>
  <c r="I81" i="6"/>
  <c r="A81" i="6"/>
  <c r="I80" i="6"/>
  <c r="A80" i="6"/>
  <c r="I79" i="6"/>
  <c r="A79" i="6"/>
  <c r="I78" i="6"/>
  <c r="A78" i="6"/>
  <c r="I77" i="6"/>
  <c r="A77" i="6"/>
  <c r="I76" i="6"/>
  <c r="A76" i="6"/>
  <c r="I75" i="6"/>
  <c r="A75" i="6"/>
  <c r="I74" i="6"/>
  <c r="A74" i="6"/>
  <c r="I73" i="6"/>
  <c r="A73" i="6"/>
  <c r="I72" i="6"/>
  <c r="A72" i="6"/>
  <c r="I71" i="6"/>
  <c r="A71" i="6"/>
  <c r="I70" i="6"/>
  <c r="A70" i="6"/>
  <c r="I69" i="6"/>
  <c r="A69" i="6"/>
  <c r="I68" i="6"/>
  <c r="A68" i="6"/>
  <c r="I67" i="6"/>
  <c r="A67" i="6"/>
  <c r="I66" i="6"/>
  <c r="A66" i="6"/>
  <c r="I65" i="6"/>
  <c r="A65" i="6"/>
  <c r="I64" i="6"/>
  <c r="A64" i="6"/>
  <c r="I63" i="6"/>
  <c r="A63" i="6"/>
  <c r="I62" i="6"/>
  <c r="A62" i="6"/>
  <c r="I61" i="6"/>
  <c r="A61" i="6"/>
  <c r="I60" i="6"/>
  <c r="A60" i="6"/>
  <c r="I59" i="6"/>
  <c r="A59" i="6"/>
  <c r="I58" i="6"/>
  <c r="A58" i="6"/>
  <c r="I57" i="6"/>
  <c r="A57" i="6"/>
  <c r="I56" i="6"/>
  <c r="A56" i="6"/>
  <c r="I55" i="6"/>
  <c r="A55" i="6"/>
  <c r="I54" i="6"/>
  <c r="A54" i="6"/>
  <c r="I53" i="6"/>
  <c r="A53" i="6"/>
  <c r="I52" i="6"/>
  <c r="A52" i="6"/>
  <c r="I51" i="6"/>
  <c r="A51" i="6"/>
  <c r="I50" i="6"/>
  <c r="A50" i="6"/>
  <c r="I49" i="6"/>
  <c r="A49" i="6"/>
  <c r="I48" i="6"/>
  <c r="A48" i="6"/>
  <c r="I47" i="6"/>
  <c r="A47" i="6"/>
  <c r="I46" i="6"/>
  <c r="A46" i="6"/>
  <c r="I45" i="6"/>
  <c r="A45" i="6"/>
  <c r="I44" i="6"/>
  <c r="A44" i="6"/>
  <c r="I43" i="6"/>
  <c r="A43" i="6"/>
  <c r="I42" i="6"/>
  <c r="A42" i="6"/>
  <c r="I41" i="6"/>
  <c r="A41" i="6"/>
  <c r="I40" i="6"/>
  <c r="A40" i="6"/>
  <c r="I39" i="6"/>
  <c r="A39" i="6"/>
  <c r="I38" i="6"/>
  <c r="A38" i="6"/>
  <c r="I37" i="6"/>
  <c r="A37" i="6"/>
  <c r="I36" i="6"/>
  <c r="A36" i="6"/>
  <c r="I35" i="6"/>
  <c r="A35" i="6"/>
  <c r="I34" i="6"/>
  <c r="A34" i="6"/>
  <c r="I33" i="6"/>
  <c r="A33" i="6"/>
  <c r="I32" i="6"/>
  <c r="A32" i="6"/>
  <c r="I31" i="6"/>
  <c r="A31" i="6"/>
  <c r="I30" i="6"/>
  <c r="A30" i="6"/>
  <c r="I29" i="6"/>
  <c r="A29" i="6"/>
  <c r="I28" i="6"/>
  <c r="A28" i="6"/>
  <c r="I27" i="6"/>
  <c r="A27" i="6"/>
  <c r="I26" i="6"/>
  <c r="A26" i="6"/>
  <c r="I25" i="6"/>
  <c r="A25" i="6"/>
  <c r="I24" i="6"/>
  <c r="A24" i="6"/>
  <c r="I23" i="6"/>
  <c r="A23" i="6"/>
  <c r="I22" i="6"/>
  <c r="A22" i="6"/>
  <c r="I21" i="6"/>
  <c r="A21" i="6"/>
  <c r="I20" i="6"/>
  <c r="A20" i="6"/>
  <c r="I19" i="6"/>
  <c r="A19" i="6"/>
  <c r="I18" i="6"/>
  <c r="A18" i="6"/>
  <c r="I17" i="6"/>
  <c r="A17" i="6"/>
  <c r="I16" i="6"/>
  <c r="A16" i="6"/>
  <c r="I15" i="6"/>
  <c r="A15" i="6"/>
  <c r="I14" i="6"/>
  <c r="A14" i="6"/>
  <c r="I13" i="6"/>
  <c r="A13" i="6"/>
  <c r="I12" i="6"/>
  <c r="A12" i="6"/>
  <c r="I11" i="6"/>
  <c r="A11" i="6"/>
  <c r="I10" i="6"/>
  <c r="A10" i="6"/>
  <c r="I9" i="6"/>
  <c r="A9" i="6"/>
  <c r="I8" i="6"/>
  <c r="A8" i="6"/>
  <c r="I7" i="6"/>
  <c r="A7" i="6"/>
  <c r="I6" i="6"/>
  <c r="A6" i="6"/>
  <c r="I5" i="6"/>
  <c r="A5" i="6"/>
  <c r="K1004" i="5"/>
  <c r="I1004" i="5"/>
  <c r="A1004" i="5"/>
  <c r="I1003" i="5"/>
  <c r="K1003" i="5" s="1"/>
  <c r="A1003" i="5"/>
  <c r="I1002" i="5"/>
  <c r="K1002" i="5" s="1"/>
  <c r="A1002" i="5"/>
  <c r="I1001" i="5"/>
  <c r="K1001" i="5" s="1"/>
  <c r="A1001" i="5"/>
  <c r="I1000" i="5"/>
  <c r="K1000" i="5" s="1"/>
  <c r="A1000" i="5"/>
  <c r="K999" i="5"/>
  <c r="I999" i="5"/>
  <c r="A999" i="5"/>
  <c r="K998" i="5"/>
  <c r="I998" i="5"/>
  <c r="A998" i="5"/>
  <c r="I997" i="5"/>
  <c r="K997" i="5" s="1"/>
  <c r="A997" i="5"/>
  <c r="K996" i="5"/>
  <c r="I996" i="5"/>
  <c r="A996" i="5"/>
  <c r="I995" i="5"/>
  <c r="K995" i="5" s="1"/>
  <c r="A995" i="5"/>
  <c r="I994" i="5"/>
  <c r="K994" i="5" s="1"/>
  <c r="A994" i="5"/>
  <c r="I993" i="5"/>
  <c r="K993" i="5" s="1"/>
  <c r="A993" i="5"/>
  <c r="I992" i="5"/>
  <c r="K992" i="5" s="1"/>
  <c r="A992" i="5"/>
  <c r="K991" i="5"/>
  <c r="I991" i="5"/>
  <c r="A991" i="5"/>
  <c r="K990" i="5"/>
  <c r="I990" i="5"/>
  <c r="A990" i="5"/>
  <c r="I989" i="5"/>
  <c r="K989" i="5" s="1"/>
  <c r="A989" i="5"/>
  <c r="K988" i="5"/>
  <c r="I988" i="5"/>
  <c r="A988" i="5"/>
  <c r="K987" i="5"/>
  <c r="I987" i="5"/>
  <c r="A987" i="5"/>
  <c r="I986" i="5"/>
  <c r="K986" i="5" s="1"/>
  <c r="A986" i="5"/>
  <c r="I985" i="5"/>
  <c r="K985" i="5" s="1"/>
  <c r="A985" i="5"/>
  <c r="K984" i="5"/>
  <c r="I984" i="5"/>
  <c r="A984" i="5"/>
  <c r="I983" i="5"/>
  <c r="K983" i="5" s="1"/>
  <c r="A983" i="5"/>
  <c r="I982" i="5"/>
  <c r="K982" i="5" s="1"/>
  <c r="A982" i="5"/>
  <c r="I981" i="5"/>
  <c r="K981" i="5" s="1"/>
  <c r="A981" i="5"/>
  <c r="K980" i="5"/>
  <c r="I980" i="5"/>
  <c r="A980" i="5"/>
  <c r="I979" i="5"/>
  <c r="K979" i="5" s="1"/>
  <c r="A979" i="5"/>
  <c r="I978" i="5"/>
  <c r="K978" i="5" s="1"/>
  <c r="A978" i="5"/>
  <c r="I977" i="5"/>
  <c r="K977" i="5" s="1"/>
  <c r="A977" i="5"/>
  <c r="K976" i="5"/>
  <c r="I976" i="5"/>
  <c r="A976" i="5"/>
  <c r="I975" i="5"/>
  <c r="K975" i="5" s="1"/>
  <c r="A975" i="5"/>
  <c r="I974" i="5"/>
  <c r="K974" i="5" s="1"/>
  <c r="A974" i="5"/>
  <c r="K973" i="5"/>
  <c r="I973" i="5"/>
  <c r="A973" i="5"/>
  <c r="K972" i="5"/>
  <c r="I972" i="5"/>
  <c r="A972" i="5"/>
  <c r="I971" i="5"/>
  <c r="K971" i="5" s="1"/>
  <c r="A971" i="5"/>
  <c r="I970" i="5"/>
  <c r="K970" i="5" s="1"/>
  <c r="A970" i="5"/>
  <c r="I969" i="5"/>
  <c r="K969" i="5" s="1"/>
  <c r="A969" i="5"/>
  <c r="I968" i="5"/>
  <c r="K968" i="5" s="1"/>
  <c r="A968" i="5"/>
  <c r="I967" i="5"/>
  <c r="K967" i="5" s="1"/>
  <c r="A967" i="5"/>
  <c r="I966" i="5"/>
  <c r="K966" i="5" s="1"/>
  <c r="A966" i="5"/>
  <c r="I965" i="5"/>
  <c r="K965" i="5" s="1"/>
  <c r="A965" i="5"/>
  <c r="K964" i="5"/>
  <c r="I964" i="5"/>
  <c r="A964" i="5"/>
  <c r="K963" i="5"/>
  <c r="I963" i="5"/>
  <c r="A963" i="5"/>
  <c r="K962" i="5"/>
  <c r="I962" i="5"/>
  <c r="A962" i="5"/>
  <c r="I961" i="5"/>
  <c r="K961" i="5" s="1"/>
  <c r="A961" i="5"/>
  <c r="K960" i="5"/>
  <c r="I960" i="5"/>
  <c r="A960" i="5"/>
  <c r="K959" i="5"/>
  <c r="I959" i="5"/>
  <c r="A959" i="5"/>
  <c r="I958" i="5"/>
  <c r="K958" i="5" s="1"/>
  <c r="A958" i="5"/>
  <c r="I957" i="5"/>
  <c r="K957" i="5" s="1"/>
  <c r="A957" i="5"/>
  <c r="K956" i="5"/>
  <c r="I956" i="5"/>
  <c r="A956" i="5"/>
  <c r="I955" i="5"/>
  <c r="K955" i="5" s="1"/>
  <c r="A955" i="5"/>
  <c r="I954" i="5"/>
  <c r="K954" i="5" s="1"/>
  <c r="A954" i="5"/>
  <c r="I953" i="5"/>
  <c r="K953" i="5" s="1"/>
  <c r="A953" i="5"/>
  <c r="I952" i="5"/>
  <c r="K952" i="5" s="1"/>
  <c r="A952" i="5"/>
  <c r="I951" i="5"/>
  <c r="K951" i="5" s="1"/>
  <c r="A951" i="5"/>
  <c r="I950" i="5"/>
  <c r="K950" i="5" s="1"/>
  <c r="A950" i="5"/>
  <c r="I949" i="5"/>
  <c r="K949" i="5" s="1"/>
  <c r="A949" i="5"/>
  <c r="K948" i="5"/>
  <c r="I948" i="5"/>
  <c r="A948" i="5"/>
  <c r="K947" i="5"/>
  <c r="I947" i="5"/>
  <c r="A947" i="5"/>
  <c r="K946" i="5"/>
  <c r="I946" i="5"/>
  <c r="A946" i="5"/>
  <c r="I945" i="5"/>
  <c r="K945" i="5" s="1"/>
  <c r="A945" i="5"/>
  <c r="K944" i="5"/>
  <c r="I944" i="5"/>
  <c r="A944" i="5"/>
  <c r="K943" i="5"/>
  <c r="I943" i="5"/>
  <c r="A943" i="5"/>
  <c r="I942" i="5"/>
  <c r="K942" i="5" s="1"/>
  <c r="A942" i="5"/>
  <c r="K941" i="5"/>
  <c r="I941" i="5"/>
  <c r="A941" i="5"/>
  <c r="K940" i="5"/>
  <c r="I940" i="5"/>
  <c r="A940" i="5"/>
  <c r="I939" i="5"/>
  <c r="K939" i="5" s="1"/>
  <c r="A939" i="5"/>
  <c r="K938" i="5"/>
  <c r="I938" i="5"/>
  <c r="A938" i="5"/>
  <c r="I937" i="5"/>
  <c r="K937" i="5" s="1"/>
  <c r="A937" i="5"/>
  <c r="I936" i="5"/>
  <c r="K936" i="5" s="1"/>
  <c r="A936" i="5"/>
  <c r="K935" i="5"/>
  <c r="I935" i="5"/>
  <c r="A935" i="5"/>
  <c r="K934" i="5"/>
  <c r="I934" i="5"/>
  <c r="A934" i="5"/>
  <c r="I933" i="5"/>
  <c r="K933" i="5" s="1"/>
  <c r="A933" i="5"/>
  <c r="K932" i="5"/>
  <c r="I932" i="5"/>
  <c r="A932" i="5"/>
  <c r="I931" i="5"/>
  <c r="K931" i="5" s="1"/>
  <c r="A931" i="5"/>
  <c r="I930" i="5"/>
  <c r="K930" i="5" s="1"/>
  <c r="A930" i="5"/>
  <c r="I929" i="5"/>
  <c r="K929" i="5" s="1"/>
  <c r="A929" i="5"/>
  <c r="I928" i="5"/>
  <c r="K928" i="5" s="1"/>
  <c r="A928" i="5"/>
  <c r="I927" i="5"/>
  <c r="K927" i="5" s="1"/>
  <c r="A927" i="5"/>
  <c r="K926" i="5"/>
  <c r="I926" i="5"/>
  <c r="A926" i="5"/>
  <c r="I925" i="5"/>
  <c r="K925" i="5" s="1"/>
  <c r="A925" i="5"/>
  <c r="K924" i="5"/>
  <c r="I924" i="5"/>
  <c r="A924" i="5"/>
  <c r="K923" i="5"/>
  <c r="I923" i="5"/>
  <c r="A923" i="5"/>
  <c r="I922" i="5"/>
  <c r="K922" i="5" s="1"/>
  <c r="A922" i="5"/>
  <c r="I921" i="5"/>
  <c r="K921" i="5" s="1"/>
  <c r="A921" i="5"/>
  <c r="K920" i="5"/>
  <c r="I920" i="5"/>
  <c r="A920" i="5"/>
  <c r="I919" i="5"/>
  <c r="K919" i="5" s="1"/>
  <c r="A919" i="5"/>
  <c r="I918" i="5"/>
  <c r="K918" i="5" s="1"/>
  <c r="A918" i="5"/>
  <c r="I917" i="5"/>
  <c r="K917" i="5" s="1"/>
  <c r="A917" i="5"/>
  <c r="K916" i="5"/>
  <c r="I916" i="5"/>
  <c r="A916" i="5"/>
  <c r="I915" i="5"/>
  <c r="K915" i="5" s="1"/>
  <c r="A915" i="5"/>
  <c r="I914" i="5"/>
  <c r="K914" i="5" s="1"/>
  <c r="A914" i="5"/>
  <c r="I913" i="5"/>
  <c r="K913" i="5" s="1"/>
  <c r="A913" i="5"/>
  <c r="I912" i="5"/>
  <c r="K912" i="5" s="1"/>
  <c r="A912" i="5"/>
  <c r="I911" i="5"/>
  <c r="K911" i="5" s="1"/>
  <c r="A911" i="5"/>
  <c r="I910" i="5"/>
  <c r="K910" i="5" s="1"/>
  <c r="A910" i="5"/>
  <c r="K909" i="5"/>
  <c r="I909" i="5"/>
  <c r="A909" i="5"/>
  <c r="K908" i="5"/>
  <c r="I908" i="5"/>
  <c r="A908" i="5"/>
  <c r="I907" i="5"/>
  <c r="K907" i="5" s="1"/>
  <c r="A907" i="5"/>
  <c r="I906" i="5"/>
  <c r="K906" i="5" s="1"/>
  <c r="A906" i="5"/>
  <c r="I905" i="5"/>
  <c r="K905" i="5" s="1"/>
  <c r="A905" i="5"/>
  <c r="I904" i="5"/>
  <c r="K904" i="5" s="1"/>
  <c r="A904" i="5"/>
  <c r="I903" i="5"/>
  <c r="K903" i="5" s="1"/>
  <c r="A903" i="5"/>
  <c r="I902" i="5"/>
  <c r="K902" i="5" s="1"/>
  <c r="A902" i="5"/>
  <c r="I901" i="5"/>
  <c r="K901" i="5" s="1"/>
  <c r="A901" i="5"/>
  <c r="K900" i="5"/>
  <c r="I900" i="5"/>
  <c r="A900" i="5"/>
  <c r="K899" i="5"/>
  <c r="I899" i="5"/>
  <c r="A899" i="5"/>
  <c r="K898" i="5"/>
  <c r="I898" i="5"/>
  <c r="A898" i="5"/>
  <c r="I897" i="5"/>
  <c r="K897" i="5" s="1"/>
  <c r="A897" i="5"/>
  <c r="K896" i="5"/>
  <c r="I896" i="5"/>
  <c r="A896" i="5"/>
  <c r="K895" i="5"/>
  <c r="I895" i="5"/>
  <c r="A895" i="5"/>
  <c r="I894" i="5"/>
  <c r="K894" i="5" s="1"/>
  <c r="A894" i="5"/>
  <c r="K893" i="5"/>
  <c r="I893" i="5"/>
  <c r="A893" i="5"/>
  <c r="K892" i="5"/>
  <c r="I892" i="5"/>
  <c r="A892" i="5"/>
  <c r="I891" i="5"/>
  <c r="K891" i="5" s="1"/>
  <c r="A891" i="5"/>
  <c r="I890" i="5"/>
  <c r="K890" i="5" s="1"/>
  <c r="A890" i="5"/>
  <c r="I889" i="5"/>
  <c r="K889" i="5" s="1"/>
  <c r="A889" i="5"/>
  <c r="I888" i="5"/>
  <c r="K888" i="5" s="1"/>
  <c r="A888" i="5"/>
  <c r="I887" i="5"/>
  <c r="K887" i="5" s="1"/>
  <c r="A887" i="5"/>
  <c r="I886" i="5"/>
  <c r="K886" i="5" s="1"/>
  <c r="A886" i="5"/>
  <c r="I885" i="5"/>
  <c r="K885" i="5" s="1"/>
  <c r="A885" i="5"/>
  <c r="K884" i="5"/>
  <c r="I884" i="5"/>
  <c r="A884" i="5"/>
  <c r="I883" i="5"/>
  <c r="K883" i="5" s="1"/>
  <c r="A883" i="5"/>
  <c r="K882" i="5"/>
  <c r="I882" i="5"/>
  <c r="A882" i="5"/>
  <c r="I881" i="5"/>
  <c r="K881" i="5" s="1"/>
  <c r="A881" i="5"/>
  <c r="I880" i="5"/>
  <c r="K880" i="5" s="1"/>
  <c r="A880" i="5"/>
  <c r="K879" i="5"/>
  <c r="I879" i="5"/>
  <c r="A879" i="5"/>
  <c r="I878" i="5"/>
  <c r="K878" i="5" s="1"/>
  <c r="A878" i="5"/>
  <c r="I877" i="5"/>
  <c r="K877" i="5" s="1"/>
  <c r="A877" i="5"/>
  <c r="K876" i="5"/>
  <c r="I876" i="5"/>
  <c r="A876" i="5"/>
  <c r="I875" i="5"/>
  <c r="K875" i="5" s="1"/>
  <c r="A875" i="5"/>
  <c r="I874" i="5"/>
  <c r="K874" i="5" s="1"/>
  <c r="A874" i="5"/>
  <c r="I873" i="5"/>
  <c r="K873" i="5" s="1"/>
  <c r="A873" i="5"/>
  <c r="I872" i="5"/>
  <c r="K872" i="5" s="1"/>
  <c r="A872" i="5"/>
  <c r="K871" i="5"/>
  <c r="I871" i="5"/>
  <c r="A871" i="5"/>
  <c r="K870" i="5"/>
  <c r="I870" i="5"/>
  <c r="A870" i="5"/>
  <c r="I869" i="5"/>
  <c r="K869" i="5" s="1"/>
  <c r="A869" i="5"/>
  <c r="K868" i="5"/>
  <c r="I868" i="5"/>
  <c r="A868" i="5"/>
  <c r="I867" i="5"/>
  <c r="K867" i="5" s="1"/>
  <c r="A867" i="5"/>
  <c r="I866" i="5"/>
  <c r="K866" i="5" s="1"/>
  <c r="A866" i="5"/>
  <c r="I865" i="5"/>
  <c r="K865" i="5" s="1"/>
  <c r="A865" i="5"/>
  <c r="I864" i="5"/>
  <c r="K864" i="5" s="1"/>
  <c r="A864" i="5"/>
  <c r="K863" i="5"/>
  <c r="I863" i="5"/>
  <c r="A863" i="5"/>
  <c r="K862" i="5"/>
  <c r="I862" i="5"/>
  <c r="A862" i="5"/>
  <c r="I861" i="5"/>
  <c r="K861" i="5" s="1"/>
  <c r="A861" i="5"/>
  <c r="K860" i="5"/>
  <c r="I860" i="5"/>
  <c r="A860" i="5"/>
  <c r="K859" i="5"/>
  <c r="I859" i="5"/>
  <c r="A859" i="5"/>
  <c r="I858" i="5"/>
  <c r="K858" i="5" s="1"/>
  <c r="A858" i="5"/>
  <c r="I857" i="5"/>
  <c r="K857" i="5" s="1"/>
  <c r="A857" i="5"/>
  <c r="K856" i="5"/>
  <c r="I856" i="5"/>
  <c r="A856" i="5"/>
  <c r="I855" i="5"/>
  <c r="K855" i="5" s="1"/>
  <c r="A855" i="5"/>
  <c r="I854" i="5"/>
  <c r="K854" i="5" s="1"/>
  <c r="A854" i="5"/>
  <c r="I853" i="5"/>
  <c r="K853" i="5" s="1"/>
  <c r="A853" i="5"/>
  <c r="K852" i="5"/>
  <c r="I852" i="5"/>
  <c r="A852" i="5"/>
  <c r="I851" i="5"/>
  <c r="K851" i="5" s="1"/>
  <c r="A851" i="5"/>
  <c r="I850" i="5"/>
  <c r="K850" i="5" s="1"/>
  <c r="A850" i="5"/>
  <c r="I849" i="5"/>
  <c r="K849" i="5" s="1"/>
  <c r="A849" i="5"/>
  <c r="K848" i="5"/>
  <c r="I848" i="5"/>
  <c r="A848" i="5"/>
  <c r="I847" i="5"/>
  <c r="K847" i="5" s="1"/>
  <c r="A847" i="5"/>
  <c r="I846" i="5"/>
  <c r="K846" i="5" s="1"/>
  <c r="A846" i="5"/>
  <c r="K845" i="5"/>
  <c r="I845" i="5"/>
  <c r="A845" i="5"/>
  <c r="K844" i="5"/>
  <c r="I844" i="5"/>
  <c r="A844" i="5"/>
  <c r="K843" i="5"/>
  <c r="I843" i="5"/>
  <c r="A843" i="5"/>
  <c r="I842" i="5"/>
  <c r="K842" i="5" s="1"/>
  <c r="A842" i="5"/>
  <c r="I841" i="5"/>
  <c r="K841" i="5" s="1"/>
  <c r="A841" i="5"/>
  <c r="I840" i="5"/>
  <c r="K840" i="5" s="1"/>
  <c r="A840" i="5"/>
  <c r="I839" i="5"/>
  <c r="K839" i="5" s="1"/>
  <c r="A839" i="5"/>
  <c r="I838" i="5"/>
  <c r="K838" i="5" s="1"/>
  <c r="A838" i="5"/>
  <c r="I837" i="5"/>
  <c r="K837" i="5" s="1"/>
  <c r="A837" i="5"/>
  <c r="K836" i="5"/>
  <c r="I836" i="5"/>
  <c r="A836" i="5"/>
  <c r="K835" i="5"/>
  <c r="I835" i="5"/>
  <c r="A835" i="5"/>
  <c r="K834" i="5"/>
  <c r="I834" i="5"/>
  <c r="A834" i="5"/>
  <c r="I833" i="5"/>
  <c r="K833" i="5" s="1"/>
  <c r="A833" i="5"/>
  <c r="K832" i="5"/>
  <c r="I832" i="5"/>
  <c r="A832" i="5"/>
  <c r="K831" i="5"/>
  <c r="I831" i="5"/>
  <c r="A831" i="5"/>
  <c r="I830" i="5"/>
  <c r="K830" i="5" s="1"/>
  <c r="A830" i="5"/>
  <c r="I829" i="5"/>
  <c r="K829" i="5" s="1"/>
  <c r="A829" i="5"/>
  <c r="K828" i="5"/>
  <c r="I828" i="5"/>
  <c r="A828" i="5"/>
  <c r="I827" i="5"/>
  <c r="K827" i="5" s="1"/>
  <c r="A827" i="5"/>
  <c r="I826" i="5"/>
  <c r="K826" i="5" s="1"/>
  <c r="A826" i="5"/>
  <c r="I825" i="5"/>
  <c r="K825" i="5" s="1"/>
  <c r="A825" i="5"/>
  <c r="I824" i="5"/>
  <c r="K824" i="5" s="1"/>
  <c r="A824" i="5"/>
  <c r="I823" i="5"/>
  <c r="K823" i="5" s="1"/>
  <c r="A823" i="5"/>
  <c r="I822" i="5"/>
  <c r="K822" i="5" s="1"/>
  <c r="A822" i="5"/>
  <c r="I821" i="5"/>
  <c r="K821" i="5" s="1"/>
  <c r="A821" i="5"/>
  <c r="K820" i="5"/>
  <c r="I820" i="5"/>
  <c r="A820" i="5"/>
  <c r="K819" i="5"/>
  <c r="I819" i="5"/>
  <c r="A819" i="5"/>
  <c r="K818" i="5"/>
  <c r="I818" i="5"/>
  <c r="A818" i="5"/>
  <c r="I817" i="5"/>
  <c r="K817" i="5" s="1"/>
  <c r="A817" i="5"/>
  <c r="K816" i="5"/>
  <c r="I816" i="5"/>
  <c r="A816" i="5"/>
  <c r="K815" i="5"/>
  <c r="I815" i="5"/>
  <c r="A815" i="5"/>
  <c r="I814" i="5"/>
  <c r="K814" i="5" s="1"/>
  <c r="A814" i="5"/>
  <c r="K813" i="5"/>
  <c r="I813" i="5"/>
  <c r="A813" i="5"/>
  <c r="K812" i="5"/>
  <c r="I812" i="5"/>
  <c r="A812" i="5"/>
  <c r="I811" i="5"/>
  <c r="K811" i="5" s="1"/>
  <c r="A811" i="5"/>
  <c r="K810" i="5"/>
  <c r="I810" i="5"/>
  <c r="A810" i="5"/>
  <c r="I809" i="5"/>
  <c r="K809" i="5" s="1"/>
  <c r="A809" i="5"/>
  <c r="I808" i="5"/>
  <c r="K808" i="5" s="1"/>
  <c r="A808" i="5"/>
  <c r="K807" i="5"/>
  <c r="I807" i="5"/>
  <c r="A807" i="5"/>
  <c r="K806" i="5"/>
  <c r="I806" i="5"/>
  <c r="A806" i="5"/>
  <c r="I805" i="5"/>
  <c r="K805" i="5" s="1"/>
  <c r="A805" i="5"/>
  <c r="K804" i="5"/>
  <c r="I804" i="5"/>
  <c r="A804" i="5"/>
  <c r="I803" i="5"/>
  <c r="K803" i="5" s="1"/>
  <c r="A803" i="5"/>
  <c r="I802" i="5"/>
  <c r="K802" i="5" s="1"/>
  <c r="A802" i="5"/>
  <c r="I801" i="5"/>
  <c r="K801" i="5" s="1"/>
  <c r="A801" i="5"/>
  <c r="I800" i="5"/>
  <c r="K800" i="5" s="1"/>
  <c r="A800" i="5"/>
  <c r="I799" i="5"/>
  <c r="K799" i="5" s="1"/>
  <c r="A799" i="5"/>
  <c r="K798" i="5"/>
  <c r="I798" i="5"/>
  <c r="A798" i="5"/>
  <c r="I797" i="5"/>
  <c r="K797" i="5" s="1"/>
  <c r="A797" i="5"/>
  <c r="K796" i="5"/>
  <c r="I796" i="5"/>
  <c r="A796" i="5"/>
  <c r="K795" i="5"/>
  <c r="I795" i="5"/>
  <c r="A795" i="5"/>
  <c r="I794" i="5"/>
  <c r="K794" i="5" s="1"/>
  <c r="A794" i="5"/>
  <c r="I793" i="5"/>
  <c r="K793" i="5" s="1"/>
  <c r="A793" i="5"/>
  <c r="K792" i="5"/>
  <c r="I792" i="5"/>
  <c r="A792" i="5"/>
  <c r="I791" i="5"/>
  <c r="K791" i="5" s="1"/>
  <c r="A791" i="5"/>
  <c r="I790" i="5"/>
  <c r="K790" i="5" s="1"/>
  <c r="A790" i="5"/>
  <c r="I789" i="5"/>
  <c r="K789" i="5" s="1"/>
  <c r="A789" i="5"/>
  <c r="K788" i="5"/>
  <c r="I788" i="5"/>
  <c r="A788" i="5"/>
  <c r="I787" i="5"/>
  <c r="K787" i="5" s="1"/>
  <c r="A787" i="5"/>
  <c r="I786" i="5"/>
  <c r="K786" i="5" s="1"/>
  <c r="A786" i="5"/>
  <c r="I785" i="5"/>
  <c r="K785" i="5" s="1"/>
  <c r="A785" i="5"/>
  <c r="I784" i="5"/>
  <c r="K784" i="5" s="1"/>
  <c r="A784" i="5"/>
  <c r="K783" i="5"/>
  <c r="I783" i="5"/>
  <c r="A783" i="5"/>
  <c r="I782" i="5"/>
  <c r="K782" i="5" s="1"/>
  <c r="A782" i="5"/>
  <c r="K781" i="5"/>
  <c r="I781" i="5"/>
  <c r="A781" i="5"/>
  <c r="K780" i="5"/>
  <c r="I780" i="5"/>
  <c r="A780" i="5"/>
  <c r="K779" i="5"/>
  <c r="I779" i="5"/>
  <c r="A779" i="5"/>
  <c r="I778" i="5"/>
  <c r="K778" i="5" s="1"/>
  <c r="A778" i="5"/>
  <c r="I777" i="5"/>
  <c r="K777" i="5" s="1"/>
  <c r="A777" i="5"/>
  <c r="I776" i="5"/>
  <c r="K776" i="5" s="1"/>
  <c r="A776" i="5"/>
  <c r="I775" i="5"/>
  <c r="K775" i="5" s="1"/>
  <c r="A775" i="5"/>
  <c r="K774" i="5"/>
  <c r="I774" i="5"/>
  <c r="A774" i="5"/>
  <c r="I773" i="5"/>
  <c r="K773" i="5" s="1"/>
  <c r="A773" i="5"/>
  <c r="K772" i="5"/>
  <c r="I772" i="5"/>
  <c r="A772" i="5"/>
  <c r="K771" i="5"/>
  <c r="I771" i="5"/>
  <c r="A771" i="5"/>
  <c r="K770" i="5"/>
  <c r="I770" i="5"/>
  <c r="A770" i="5"/>
  <c r="I769" i="5"/>
  <c r="K769" i="5" s="1"/>
  <c r="A769" i="5"/>
  <c r="K768" i="5"/>
  <c r="I768" i="5"/>
  <c r="A768" i="5"/>
  <c r="K767" i="5"/>
  <c r="I767" i="5"/>
  <c r="A767" i="5"/>
  <c r="I766" i="5"/>
  <c r="K766" i="5" s="1"/>
  <c r="A766" i="5"/>
  <c r="I765" i="5"/>
  <c r="K765" i="5" s="1"/>
  <c r="A765" i="5"/>
  <c r="K764" i="5"/>
  <c r="I764" i="5"/>
  <c r="A764" i="5"/>
  <c r="K763" i="5"/>
  <c r="I763" i="5"/>
  <c r="A763" i="5"/>
  <c r="I762" i="5"/>
  <c r="K762" i="5" s="1"/>
  <c r="A762" i="5"/>
  <c r="I761" i="5"/>
  <c r="K761" i="5" s="1"/>
  <c r="A761" i="5"/>
  <c r="K760" i="5"/>
  <c r="I760" i="5"/>
  <c r="A760" i="5"/>
  <c r="I759" i="5"/>
  <c r="K759" i="5" s="1"/>
  <c r="A759" i="5"/>
  <c r="I758" i="5"/>
  <c r="K758" i="5" s="1"/>
  <c r="A758" i="5"/>
  <c r="K757" i="5"/>
  <c r="I757" i="5"/>
  <c r="A757" i="5"/>
  <c r="K756" i="5"/>
  <c r="I756" i="5"/>
  <c r="A756" i="5"/>
  <c r="I755" i="5"/>
  <c r="K755" i="5" s="1"/>
  <c r="A755" i="5"/>
  <c r="I754" i="5"/>
  <c r="K754" i="5" s="1"/>
  <c r="A754" i="5"/>
  <c r="I753" i="5"/>
  <c r="K753" i="5" s="1"/>
  <c r="A753" i="5"/>
  <c r="I752" i="5"/>
  <c r="K752" i="5" s="1"/>
  <c r="A752" i="5"/>
  <c r="I751" i="5"/>
  <c r="K751" i="5" s="1"/>
  <c r="A751" i="5"/>
  <c r="I750" i="5"/>
  <c r="K750" i="5" s="1"/>
  <c r="A750" i="5"/>
  <c r="I749" i="5"/>
  <c r="K749" i="5" s="1"/>
  <c r="A749" i="5"/>
  <c r="I748" i="5"/>
  <c r="K748" i="5" s="1"/>
  <c r="A748" i="5"/>
  <c r="I747" i="5"/>
  <c r="K747" i="5" s="1"/>
  <c r="A747" i="5"/>
  <c r="K746" i="5"/>
  <c r="I746" i="5"/>
  <c r="A746" i="5"/>
  <c r="K745" i="5"/>
  <c r="I745" i="5"/>
  <c r="A745" i="5"/>
  <c r="I744" i="5"/>
  <c r="K744" i="5" s="1"/>
  <c r="A744" i="5"/>
  <c r="K743" i="5"/>
  <c r="I743" i="5"/>
  <c r="A743" i="5"/>
  <c r="I742" i="5"/>
  <c r="K742" i="5" s="1"/>
  <c r="A742" i="5"/>
  <c r="I741" i="5"/>
  <c r="K741" i="5" s="1"/>
  <c r="A741" i="5"/>
  <c r="K740" i="5"/>
  <c r="I740" i="5"/>
  <c r="A740" i="5"/>
  <c r="K739" i="5"/>
  <c r="I739" i="5"/>
  <c r="A739" i="5"/>
  <c r="I738" i="5"/>
  <c r="K738" i="5" s="1"/>
  <c r="A738" i="5"/>
  <c r="K737" i="5"/>
  <c r="I737" i="5"/>
  <c r="A737" i="5"/>
  <c r="I736" i="5"/>
  <c r="K736" i="5" s="1"/>
  <c r="A736" i="5"/>
  <c r="K735" i="5"/>
  <c r="I735" i="5"/>
  <c r="A735" i="5"/>
  <c r="I734" i="5"/>
  <c r="K734" i="5" s="1"/>
  <c r="A734" i="5"/>
  <c r="I733" i="5"/>
  <c r="K733" i="5" s="1"/>
  <c r="A733" i="5"/>
  <c r="K732" i="5"/>
  <c r="I732" i="5"/>
  <c r="A732" i="5"/>
  <c r="I731" i="5"/>
  <c r="K731" i="5" s="1"/>
  <c r="A731" i="5"/>
  <c r="I730" i="5"/>
  <c r="K730" i="5" s="1"/>
  <c r="A730" i="5"/>
  <c r="K729" i="5"/>
  <c r="I729" i="5"/>
  <c r="A729" i="5"/>
  <c r="K728" i="5"/>
  <c r="I728" i="5"/>
  <c r="A728" i="5"/>
  <c r="I727" i="5"/>
  <c r="K727" i="5" s="1"/>
  <c r="A727" i="5"/>
  <c r="I726" i="5"/>
  <c r="K726" i="5" s="1"/>
  <c r="A726" i="5"/>
  <c r="K725" i="5"/>
  <c r="I725" i="5"/>
  <c r="A725" i="5"/>
  <c r="I724" i="5"/>
  <c r="K724" i="5" s="1"/>
  <c r="A724" i="5"/>
  <c r="I723" i="5"/>
  <c r="K723" i="5" s="1"/>
  <c r="A723" i="5"/>
  <c r="I722" i="5"/>
  <c r="K722" i="5" s="1"/>
  <c r="A722" i="5"/>
  <c r="K721" i="5"/>
  <c r="I721" i="5"/>
  <c r="A721" i="5"/>
  <c r="I720" i="5"/>
  <c r="K720" i="5" s="1"/>
  <c r="A720" i="5"/>
  <c r="I719" i="5"/>
  <c r="K719" i="5" s="1"/>
  <c r="A719" i="5"/>
  <c r="I718" i="5"/>
  <c r="K718" i="5" s="1"/>
  <c r="A718" i="5"/>
  <c r="I717" i="5"/>
  <c r="K717" i="5" s="1"/>
  <c r="A717" i="5"/>
  <c r="I716" i="5"/>
  <c r="K716" i="5" s="1"/>
  <c r="A716" i="5"/>
  <c r="K715" i="5"/>
  <c r="I715" i="5"/>
  <c r="A715" i="5"/>
  <c r="K714" i="5"/>
  <c r="I714" i="5"/>
  <c r="A714" i="5"/>
  <c r="K713" i="5"/>
  <c r="I713" i="5"/>
  <c r="A713" i="5"/>
  <c r="I712" i="5"/>
  <c r="K712" i="5" s="1"/>
  <c r="A712" i="5"/>
  <c r="I711" i="5"/>
  <c r="K711" i="5" s="1"/>
  <c r="A711" i="5"/>
  <c r="I710" i="5"/>
  <c r="K710" i="5" s="1"/>
  <c r="A710" i="5"/>
  <c r="I709" i="5"/>
  <c r="K709" i="5" s="1"/>
  <c r="A709" i="5"/>
  <c r="I708" i="5"/>
  <c r="K708" i="5" s="1"/>
  <c r="A708" i="5"/>
  <c r="K707" i="5"/>
  <c r="I707" i="5"/>
  <c r="A707" i="5"/>
  <c r="I706" i="5"/>
  <c r="K706" i="5" s="1"/>
  <c r="A706" i="5"/>
  <c r="K705" i="5"/>
  <c r="I705" i="5"/>
  <c r="A705" i="5"/>
  <c r="K704" i="5"/>
  <c r="I704" i="5"/>
  <c r="A704" i="5"/>
  <c r="K703" i="5"/>
  <c r="I703" i="5"/>
  <c r="A703" i="5"/>
  <c r="I702" i="5"/>
  <c r="K702" i="5" s="1"/>
  <c r="A702" i="5"/>
  <c r="K701" i="5"/>
  <c r="I701" i="5"/>
  <c r="A701" i="5"/>
  <c r="K700" i="5"/>
  <c r="I700" i="5"/>
  <c r="A700" i="5"/>
  <c r="I699" i="5"/>
  <c r="K699" i="5" s="1"/>
  <c r="A699" i="5"/>
  <c r="I698" i="5"/>
  <c r="K698" i="5" s="1"/>
  <c r="A698" i="5"/>
  <c r="K697" i="5"/>
  <c r="I697" i="5"/>
  <c r="A697" i="5"/>
  <c r="K696" i="5"/>
  <c r="I696" i="5"/>
  <c r="A696" i="5"/>
  <c r="I695" i="5"/>
  <c r="K695" i="5" s="1"/>
  <c r="A695" i="5"/>
  <c r="I694" i="5"/>
  <c r="K694" i="5" s="1"/>
  <c r="A694" i="5"/>
  <c r="K693" i="5"/>
  <c r="I693" i="5"/>
  <c r="A693" i="5"/>
  <c r="I692" i="5"/>
  <c r="K692" i="5" s="1"/>
  <c r="A692" i="5"/>
  <c r="I691" i="5"/>
  <c r="K691" i="5" s="1"/>
  <c r="A691" i="5"/>
  <c r="K690" i="5"/>
  <c r="I690" i="5"/>
  <c r="A690" i="5"/>
  <c r="K689" i="5"/>
  <c r="I689" i="5"/>
  <c r="A689" i="5"/>
  <c r="I688" i="5"/>
  <c r="K688" i="5" s="1"/>
  <c r="A688" i="5"/>
  <c r="I687" i="5"/>
  <c r="K687" i="5" s="1"/>
  <c r="A687" i="5"/>
  <c r="I686" i="5"/>
  <c r="K686" i="5" s="1"/>
  <c r="A686" i="5"/>
  <c r="I685" i="5"/>
  <c r="K685" i="5" s="1"/>
  <c r="A685" i="5"/>
  <c r="I684" i="5"/>
  <c r="K684" i="5" s="1"/>
  <c r="A684" i="5"/>
  <c r="I683" i="5"/>
  <c r="K683" i="5" s="1"/>
  <c r="A683" i="5"/>
  <c r="K682" i="5"/>
  <c r="I682" i="5"/>
  <c r="A682" i="5"/>
  <c r="K681" i="5"/>
  <c r="I681" i="5"/>
  <c r="A681" i="5"/>
  <c r="I680" i="5"/>
  <c r="K680" i="5" s="1"/>
  <c r="A680" i="5"/>
  <c r="K679" i="5"/>
  <c r="I679" i="5"/>
  <c r="A679" i="5"/>
  <c r="I678" i="5"/>
  <c r="K678" i="5" s="1"/>
  <c r="A678" i="5"/>
  <c r="I677" i="5"/>
  <c r="K677" i="5" s="1"/>
  <c r="A677" i="5"/>
  <c r="K676" i="5"/>
  <c r="I676" i="5"/>
  <c r="A676" i="5"/>
  <c r="K675" i="5"/>
  <c r="I675" i="5"/>
  <c r="A675" i="5"/>
  <c r="I674" i="5"/>
  <c r="K674" i="5" s="1"/>
  <c r="A674" i="5"/>
  <c r="K673" i="5"/>
  <c r="I673" i="5"/>
  <c r="A673" i="5"/>
  <c r="I672" i="5"/>
  <c r="K672" i="5" s="1"/>
  <c r="A672" i="5"/>
  <c r="K671" i="5"/>
  <c r="I671" i="5"/>
  <c r="A671" i="5"/>
  <c r="I670" i="5"/>
  <c r="K670" i="5" s="1"/>
  <c r="A670" i="5"/>
  <c r="I669" i="5"/>
  <c r="K669" i="5" s="1"/>
  <c r="A669" i="5"/>
  <c r="K668" i="5"/>
  <c r="I668" i="5"/>
  <c r="A668" i="5"/>
  <c r="I667" i="5"/>
  <c r="K667" i="5" s="1"/>
  <c r="A667" i="5"/>
  <c r="I666" i="5"/>
  <c r="K666" i="5" s="1"/>
  <c r="A666" i="5"/>
  <c r="K665" i="5"/>
  <c r="I665" i="5"/>
  <c r="A665" i="5"/>
  <c r="K664" i="5"/>
  <c r="I664" i="5"/>
  <c r="A664" i="5"/>
  <c r="I663" i="5"/>
  <c r="K663" i="5" s="1"/>
  <c r="A663" i="5"/>
  <c r="I662" i="5"/>
  <c r="K662" i="5" s="1"/>
  <c r="A662" i="5"/>
  <c r="K661" i="5"/>
  <c r="I661" i="5"/>
  <c r="A661" i="5"/>
  <c r="I660" i="5"/>
  <c r="K660" i="5" s="1"/>
  <c r="A660" i="5"/>
  <c r="I659" i="5"/>
  <c r="K659" i="5" s="1"/>
  <c r="A659" i="5"/>
  <c r="I658" i="5"/>
  <c r="K658" i="5" s="1"/>
  <c r="A658" i="5"/>
  <c r="K657" i="5"/>
  <c r="I657" i="5"/>
  <c r="A657" i="5"/>
  <c r="I656" i="5"/>
  <c r="K656" i="5" s="1"/>
  <c r="A656" i="5"/>
  <c r="I655" i="5"/>
  <c r="K655" i="5" s="1"/>
  <c r="A655" i="5"/>
  <c r="I654" i="5"/>
  <c r="K654" i="5" s="1"/>
  <c r="A654" i="5"/>
  <c r="I653" i="5"/>
  <c r="K653" i="5" s="1"/>
  <c r="A653" i="5"/>
  <c r="I652" i="5"/>
  <c r="K652" i="5" s="1"/>
  <c r="A652" i="5"/>
  <c r="K651" i="5"/>
  <c r="I651" i="5"/>
  <c r="A651" i="5"/>
  <c r="K650" i="5"/>
  <c r="I650" i="5"/>
  <c r="A650" i="5"/>
  <c r="K649" i="5"/>
  <c r="I649" i="5"/>
  <c r="A649" i="5"/>
  <c r="I648" i="5"/>
  <c r="K648" i="5" s="1"/>
  <c r="A648" i="5"/>
  <c r="I647" i="5"/>
  <c r="K647" i="5" s="1"/>
  <c r="A647" i="5"/>
  <c r="I646" i="5"/>
  <c r="K646" i="5" s="1"/>
  <c r="A646" i="5"/>
  <c r="I645" i="5"/>
  <c r="K645" i="5" s="1"/>
  <c r="A645" i="5"/>
  <c r="I644" i="5"/>
  <c r="K644" i="5" s="1"/>
  <c r="A644" i="5"/>
  <c r="K643" i="5"/>
  <c r="I643" i="5"/>
  <c r="A643" i="5"/>
  <c r="I642" i="5"/>
  <c r="K642" i="5" s="1"/>
  <c r="A642" i="5"/>
  <c r="K641" i="5"/>
  <c r="I641" i="5"/>
  <c r="A641" i="5"/>
  <c r="K640" i="5"/>
  <c r="I640" i="5"/>
  <c r="A640" i="5"/>
  <c r="K639" i="5"/>
  <c r="I639" i="5"/>
  <c r="A639" i="5"/>
  <c r="I638" i="5"/>
  <c r="K638" i="5" s="1"/>
  <c r="A638" i="5"/>
  <c r="K637" i="5"/>
  <c r="I637" i="5"/>
  <c r="A637" i="5"/>
  <c r="K636" i="5"/>
  <c r="I636" i="5"/>
  <c r="A636" i="5"/>
  <c r="I635" i="5"/>
  <c r="K635" i="5" s="1"/>
  <c r="A635" i="5"/>
  <c r="I634" i="5"/>
  <c r="K634" i="5" s="1"/>
  <c r="A634" i="5"/>
  <c r="K633" i="5"/>
  <c r="I633" i="5"/>
  <c r="A633" i="5"/>
  <c r="K632" i="5"/>
  <c r="I632" i="5"/>
  <c r="A632" i="5"/>
  <c r="I631" i="5"/>
  <c r="K631" i="5" s="1"/>
  <c r="A631" i="5"/>
  <c r="I630" i="5"/>
  <c r="K630" i="5" s="1"/>
  <c r="A630" i="5"/>
  <c r="K629" i="5"/>
  <c r="I629" i="5"/>
  <c r="A629" i="5"/>
  <c r="I628" i="5"/>
  <c r="K628" i="5" s="1"/>
  <c r="A628" i="5"/>
  <c r="I627" i="5"/>
  <c r="K627" i="5" s="1"/>
  <c r="A627" i="5"/>
  <c r="K626" i="5"/>
  <c r="I626" i="5"/>
  <c r="A626" i="5"/>
  <c r="K625" i="5"/>
  <c r="I625" i="5"/>
  <c r="A625" i="5"/>
  <c r="I624" i="5"/>
  <c r="K624" i="5" s="1"/>
  <c r="A624" i="5"/>
  <c r="I623" i="5"/>
  <c r="K623" i="5" s="1"/>
  <c r="A623" i="5"/>
  <c r="I622" i="5"/>
  <c r="K622" i="5" s="1"/>
  <c r="A622" i="5"/>
  <c r="I621" i="5"/>
  <c r="K621" i="5" s="1"/>
  <c r="A621" i="5"/>
  <c r="I620" i="5"/>
  <c r="K620" i="5" s="1"/>
  <c r="A620" i="5"/>
  <c r="I619" i="5"/>
  <c r="K619" i="5" s="1"/>
  <c r="A619" i="5"/>
  <c r="K618" i="5"/>
  <c r="I618" i="5"/>
  <c r="A618" i="5"/>
  <c r="K617" i="5"/>
  <c r="I617" i="5"/>
  <c r="A617" i="5"/>
  <c r="I616" i="5"/>
  <c r="K616" i="5" s="1"/>
  <c r="A616" i="5"/>
  <c r="K615" i="5"/>
  <c r="I615" i="5"/>
  <c r="A615" i="5"/>
  <c r="I614" i="5"/>
  <c r="K614" i="5" s="1"/>
  <c r="A614" i="5"/>
  <c r="I613" i="5"/>
  <c r="K613" i="5" s="1"/>
  <c r="A613" i="5"/>
  <c r="K612" i="5"/>
  <c r="I612" i="5"/>
  <c r="A612" i="5"/>
  <c r="K611" i="5"/>
  <c r="I611" i="5"/>
  <c r="A611" i="5"/>
  <c r="I610" i="5"/>
  <c r="K610" i="5" s="1"/>
  <c r="A610" i="5"/>
  <c r="K609" i="5"/>
  <c r="I609" i="5"/>
  <c r="A609" i="5"/>
  <c r="I608" i="5"/>
  <c r="K608" i="5" s="1"/>
  <c r="A608" i="5"/>
  <c r="K607" i="5"/>
  <c r="I607" i="5"/>
  <c r="A607" i="5"/>
  <c r="I606" i="5"/>
  <c r="K606" i="5" s="1"/>
  <c r="A606" i="5"/>
  <c r="I605" i="5"/>
  <c r="K605" i="5" s="1"/>
  <c r="A605" i="5"/>
  <c r="K604" i="5"/>
  <c r="I604" i="5"/>
  <c r="A604" i="5"/>
  <c r="I603" i="5"/>
  <c r="K603" i="5" s="1"/>
  <c r="A603" i="5"/>
  <c r="I602" i="5"/>
  <c r="K602" i="5" s="1"/>
  <c r="A602" i="5"/>
  <c r="K601" i="5"/>
  <c r="I601" i="5"/>
  <c r="A601" i="5"/>
  <c r="K600" i="5"/>
  <c r="I600" i="5"/>
  <c r="A600" i="5"/>
  <c r="I599" i="5"/>
  <c r="K599" i="5" s="1"/>
  <c r="A599" i="5"/>
  <c r="I598" i="5"/>
  <c r="K598" i="5" s="1"/>
  <c r="A598" i="5"/>
  <c r="K597" i="5"/>
  <c r="I597" i="5"/>
  <c r="A597" i="5"/>
  <c r="I596" i="5"/>
  <c r="K596" i="5" s="1"/>
  <c r="A596" i="5"/>
  <c r="I595" i="5"/>
  <c r="K595" i="5" s="1"/>
  <c r="A595" i="5"/>
  <c r="I594" i="5"/>
  <c r="K594" i="5" s="1"/>
  <c r="A594" i="5"/>
  <c r="K593" i="5"/>
  <c r="I593" i="5"/>
  <c r="A593" i="5"/>
  <c r="I592" i="5"/>
  <c r="K592" i="5" s="1"/>
  <c r="A592" i="5"/>
  <c r="I591" i="5"/>
  <c r="K591" i="5" s="1"/>
  <c r="A591" i="5"/>
  <c r="I590" i="5"/>
  <c r="K590" i="5" s="1"/>
  <c r="A590" i="5"/>
  <c r="I589" i="5"/>
  <c r="K589" i="5" s="1"/>
  <c r="A589" i="5"/>
  <c r="I588" i="5"/>
  <c r="K588" i="5" s="1"/>
  <c r="A588" i="5"/>
  <c r="K587" i="5"/>
  <c r="I587" i="5"/>
  <c r="A587" i="5"/>
  <c r="K586" i="5"/>
  <c r="I586" i="5"/>
  <c r="A586" i="5"/>
  <c r="K585" i="5"/>
  <c r="I585" i="5"/>
  <c r="A585" i="5"/>
  <c r="I584" i="5"/>
  <c r="K584" i="5" s="1"/>
  <c r="A584" i="5"/>
  <c r="I583" i="5"/>
  <c r="K583" i="5" s="1"/>
  <c r="A583" i="5"/>
  <c r="I582" i="5"/>
  <c r="K582" i="5" s="1"/>
  <c r="A582" i="5"/>
  <c r="I581" i="5"/>
  <c r="K581" i="5" s="1"/>
  <c r="A581" i="5"/>
  <c r="I580" i="5"/>
  <c r="K580" i="5" s="1"/>
  <c r="A580" i="5"/>
  <c r="K579" i="5"/>
  <c r="I579" i="5"/>
  <c r="A579" i="5"/>
  <c r="I578" i="5"/>
  <c r="K578" i="5" s="1"/>
  <c r="A578" i="5"/>
  <c r="K577" i="5"/>
  <c r="I577" i="5"/>
  <c r="A577" i="5"/>
  <c r="K576" i="5"/>
  <c r="I576" i="5"/>
  <c r="A576" i="5"/>
  <c r="K575" i="5"/>
  <c r="I575" i="5"/>
  <c r="A575" i="5"/>
  <c r="I574" i="5"/>
  <c r="K574" i="5" s="1"/>
  <c r="A574" i="5"/>
  <c r="K573" i="5"/>
  <c r="I573" i="5"/>
  <c r="A573" i="5"/>
  <c r="K572" i="5"/>
  <c r="I572" i="5"/>
  <c r="A572" i="5"/>
  <c r="I571" i="5"/>
  <c r="K571" i="5" s="1"/>
  <c r="A571" i="5"/>
  <c r="I570" i="5"/>
  <c r="K570" i="5" s="1"/>
  <c r="A570" i="5"/>
  <c r="K569" i="5"/>
  <c r="I569" i="5"/>
  <c r="A569" i="5"/>
  <c r="K568" i="5"/>
  <c r="I568" i="5"/>
  <c r="A568" i="5"/>
  <c r="I567" i="5"/>
  <c r="K567" i="5" s="1"/>
  <c r="A567" i="5"/>
  <c r="I566" i="5"/>
  <c r="K566" i="5" s="1"/>
  <c r="A566" i="5"/>
  <c r="K565" i="5"/>
  <c r="I565" i="5"/>
  <c r="A565" i="5"/>
  <c r="I564" i="5"/>
  <c r="K564" i="5" s="1"/>
  <c r="A564" i="5"/>
  <c r="I563" i="5"/>
  <c r="K563" i="5" s="1"/>
  <c r="A563" i="5"/>
  <c r="K562" i="5"/>
  <c r="I562" i="5"/>
  <c r="A562" i="5"/>
  <c r="K561" i="5"/>
  <c r="I561" i="5"/>
  <c r="A561" i="5"/>
  <c r="I560" i="5"/>
  <c r="K560" i="5" s="1"/>
  <c r="A560" i="5"/>
  <c r="I559" i="5"/>
  <c r="K559" i="5" s="1"/>
  <c r="A559" i="5"/>
  <c r="I558" i="5"/>
  <c r="K558" i="5" s="1"/>
  <c r="A558" i="5"/>
  <c r="I557" i="5"/>
  <c r="K557" i="5" s="1"/>
  <c r="A557" i="5"/>
  <c r="I556" i="5"/>
  <c r="K556" i="5" s="1"/>
  <c r="A556" i="5"/>
  <c r="I555" i="5"/>
  <c r="K555" i="5" s="1"/>
  <c r="A555" i="5"/>
  <c r="K554" i="5"/>
  <c r="I554" i="5"/>
  <c r="A554" i="5"/>
  <c r="K553" i="5"/>
  <c r="I553" i="5"/>
  <c r="A553" i="5"/>
  <c r="I552" i="5"/>
  <c r="K552" i="5" s="1"/>
  <c r="A552" i="5"/>
  <c r="K551" i="5"/>
  <c r="I551" i="5"/>
  <c r="A551" i="5"/>
  <c r="I550" i="5"/>
  <c r="K550" i="5" s="1"/>
  <c r="A550" i="5"/>
  <c r="I549" i="5"/>
  <c r="K549" i="5" s="1"/>
  <c r="A549" i="5"/>
  <c r="K548" i="5"/>
  <c r="I548" i="5"/>
  <c r="A548" i="5"/>
  <c r="K547" i="5"/>
  <c r="I547" i="5"/>
  <c r="A547" i="5"/>
  <c r="I546" i="5"/>
  <c r="K546" i="5" s="1"/>
  <c r="A546" i="5"/>
  <c r="K545" i="5"/>
  <c r="I545" i="5"/>
  <c r="A545" i="5"/>
  <c r="I544" i="5"/>
  <c r="K544" i="5" s="1"/>
  <c r="A544" i="5"/>
  <c r="K543" i="5"/>
  <c r="I543" i="5"/>
  <c r="A543" i="5"/>
  <c r="I542" i="5"/>
  <c r="K542" i="5" s="1"/>
  <c r="A542" i="5"/>
  <c r="I541" i="5"/>
  <c r="K541" i="5" s="1"/>
  <c r="A541" i="5"/>
  <c r="K540" i="5"/>
  <c r="I540" i="5"/>
  <c r="A540" i="5"/>
  <c r="I539" i="5"/>
  <c r="K539" i="5" s="1"/>
  <c r="A539" i="5"/>
  <c r="I538" i="5"/>
  <c r="K538" i="5" s="1"/>
  <c r="A538" i="5"/>
  <c r="K537" i="5"/>
  <c r="I537" i="5"/>
  <c r="A537" i="5"/>
  <c r="K536" i="5"/>
  <c r="I536" i="5"/>
  <c r="A536" i="5"/>
  <c r="I535" i="5"/>
  <c r="K535" i="5" s="1"/>
  <c r="A535" i="5"/>
  <c r="I534" i="5"/>
  <c r="K534" i="5" s="1"/>
  <c r="A534" i="5"/>
  <c r="K533" i="5"/>
  <c r="I533" i="5"/>
  <c r="A533" i="5"/>
  <c r="I532" i="5"/>
  <c r="K532" i="5" s="1"/>
  <c r="A532" i="5"/>
  <c r="I531" i="5"/>
  <c r="K531" i="5" s="1"/>
  <c r="A531" i="5"/>
  <c r="I530" i="5"/>
  <c r="K530" i="5" s="1"/>
  <c r="A530" i="5"/>
  <c r="K529" i="5"/>
  <c r="I529" i="5"/>
  <c r="A529" i="5"/>
  <c r="I528" i="5"/>
  <c r="K528" i="5" s="1"/>
  <c r="A528" i="5"/>
  <c r="I527" i="5"/>
  <c r="K527" i="5" s="1"/>
  <c r="A527" i="5"/>
  <c r="I526" i="5"/>
  <c r="K526" i="5" s="1"/>
  <c r="A526" i="5"/>
  <c r="I525" i="5"/>
  <c r="K525" i="5" s="1"/>
  <c r="A525" i="5"/>
  <c r="I524" i="5"/>
  <c r="K524" i="5" s="1"/>
  <c r="A524" i="5"/>
  <c r="K523" i="5"/>
  <c r="I523" i="5"/>
  <c r="A523" i="5"/>
  <c r="K522" i="5"/>
  <c r="I522" i="5"/>
  <c r="A522" i="5"/>
  <c r="K521" i="5"/>
  <c r="I521" i="5"/>
  <c r="A521" i="5"/>
  <c r="I520" i="5"/>
  <c r="K520" i="5" s="1"/>
  <c r="A520" i="5"/>
  <c r="I519" i="5"/>
  <c r="K519" i="5" s="1"/>
  <c r="A519" i="5"/>
  <c r="I518" i="5"/>
  <c r="K518" i="5" s="1"/>
  <c r="A518" i="5"/>
  <c r="I517" i="5"/>
  <c r="K517" i="5" s="1"/>
  <c r="A517" i="5"/>
  <c r="I516" i="5"/>
  <c r="K516" i="5" s="1"/>
  <c r="A516" i="5"/>
  <c r="K515" i="5"/>
  <c r="I515" i="5"/>
  <c r="A515" i="5"/>
  <c r="I514" i="5"/>
  <c r="K514" i="5" s="1"/>
  <c r="A514" i="5"/>
  <c r="K513" i="5"/>
  <c r="I513" i="5"/>
  <c r="A513" i="5"/>
  <c r="K512" i="5"/>
  <c r="I512" i="5"/>
  <c r="A512" i="5"/>
  <c r="K511" i="5"/>
  <c r="I511" i="5"/>
  <c r="A511" i="5"/>
  <c r="I510" i="5"/>
  <c r="K510" i="5" s="1"/>
  <c r="A510" i="5"/>
  <c r="K509" i="5"/>
  <c r="I509" i="5"/>
  <c r="A509" i="5"/>
  <c r="K508" i="5"/>
  <c r="I508" i="5"/>
  <c r="A508" i="5"/>
  <c r="I507" i="5"/>
  <c r="K507" i="5" s="1"/>
  <c r="A507" i="5"/>
  <c r="I506" i="5"/>
  <c r="K506" i="5" s="1"/>
  <c r="A506" i="5"/>
  <c r="K505" i="5"/>
  <c r="I505" i="5"/>
  <c r="A505" i="5"/>
  <c r="K504" i="5"/>
  <c r="I504" i="5"/>
  <c r="A504" i="5"/>
  <c r="I503" i="5"/>
  <c r="K503" i="5" s="1"/>
  <c r="A503" i="5"/>
  <c r="I502" i="5"/>
  <c r="K502" i="5" s="1"/>
  <c r="A502" i="5"/>
  <c r="K501" i="5"/>
  <c r="I501" i="5"/>
  <c r="A501" i="5"/>
  <c r="I500" i="5"/>
  <c r="K500" i="5" s="1"/>
  <c r="A500" i="5"/>
  <c r="I499" i="5"/>
  <c r="K499" i="5" s="1"/>
  <c r="A499" i="5"/>
  <c r="K498" i="5"/>
  <c r="I498" i="5"/>
  <c r="A498" i="5"/>
  <c r="K497" i="5"/>
  <c r="I497" i="5"/>
  <c r="A497" i="5"/>
  <c r="I496" i="5"/>
  <c r="K496" i="5" s="1"/>
  <c r="A496" i="5"/>
  <c r="I495" i="5"/>
  <c r="K495" i="5" s="1"/>
  <c r="A495" i="5"/>
  <c r="I494" i="5"/>
  <c r="K494" i="5" s="1"/>
  <c r="A494" i="5"/>
  <c r="I493" i="5"/>
  <c r="K493" i="5" s="1"/>
  <c r="A493" i="5"/>
  <c r="I492" i="5"/>
  <c r="K492" i="5" s="1"/>
  <c r="A492" i="5"/>
  <c r="I491" i="5"/>
  <c r="K491" i="5" s="1"/>
  <c r="A491" i="5"/>
  <c r="K490" i="5"/>
  <c r="I490" i="5"/>
  <c r="A490" i="5"/>
  <c r="K489" i="5"/>
  <c r="I489" i="5"/>
  <c r="A489" i="5"/>
  <c r="I488" i="5"/>
  <c r="K488" i="5" s="1"/>
  <c r="A488" i="5"/>
  <c r="K487" i="5"/>
  <c r="I487" i="5"/>
  <c r="A487" i="5"/>
  <c r="I486" i="5"/>
  <c r="K486" i="5" s="1"/>
  <c r="A486" i="5"/>
  <c r="I485" i="5"/>
  <c r="K485" i="5" s="1"/>
  <c r="A485" i="5"/>
  <c r="K484" i="5"/>
  <c r="I484" i="5"/>
  <c r="A484" i="5"/>
  <c r="K483" i="5"/>
  <c r="I483" i="5"/>
  <c r="A483" i="5"/>
  <c r="I482" i="5"/>
  <c r="K482" i="5" s="1"/>
  <c r="A482" i="5"/>
  <c r="K481" i="5"/>
  <c r="I481" i="5"/>
  <c r="A481" i="5"/>
  <c r="I480" i="5"/>
  <c r="K480" i="5" s="1"/>
  <c r="A480" i="5"/>
  <c r="K479" i="5"/>
  <c r="I479" i="5"/>
  <c r="A479" i="5"/>
  <c r="I478" i="5"/>
  <c r="K478" i="5" s="1"/>
  <c r="A478" i="5"/>
  <c r="I477" i="5"/>
  <c r="K477" i="5" s="1"/>
  <c r="A477" i="5"/>
  <c r="K476" i="5"/>
  <c r="I476" i="5"/>
  <c r="A476" i="5"/>
  <c r="I475" i="5"/>
  <c r="K475" i="5" s="1"/>
  <c r="A475" i="5"/>
  <c r="I474" i="5"/>
  <c r="K474" i="5" s="1"/>
  <c r="A474" i="5"/>
  <c r="K473" i="5"/>
  <c r="I473" i="5"/>
  <c r="A473" i="5"/>
  <c r="K472" i="5"/>
  <c r="I472" i="5"/>
  <c r="A472" i="5"/>
  <c r="I471" i="5"/>
  <c r="K471" i="5" s="1"/>
  <c r="A471" i="5"/>
  <c r="I470" i="5"/>
  <c r="K470" i="5" s="1"/>
  <c r="A470" i="5"/>
  <c r="K469" i="5"/>
  <c r="I469" i="5"/>
  <c r="A469" i="5"/>
  <c r="I468" i="5"/>
  <c r="K468" i="5" s="1"/>
  <c r="A468" i="5"/>
  <c r="I467" i="5"/>
  <c r="K467" i="5" s="1"/>
  <c r="A467" i="5"/>
  <c r="I466" i="5"/>
  <c r="K466" i="5" s="1"/>
  <c r="A466" i="5"/>
  <c r="K465" i="5"/>
  <c r="I465" i="5"/>
  <c r="A465" i="5"/>
  <c r="I464" i="5"/>
  <c r="K464" i="5" s="1"/>
  <c r="A464" i="5"/>
  <c r="I463" i="5"/>
  <c r="K463" i="5" s="1"/>
  <c r="A463" i="5"/>
  <c r="I462" i="5"/>
  <c r="K462" i="5" s="1"/>
  <c r="A462" i="5"/>
  <c r="I461" i="5"/>
  <c r="K461" i="5" s="1"/>
  <c r="A461" i="5"/>
  <c r="I460" i="5"/>
  <c r="K460" i="5" s="1"/>
  <c r="A460" i="5"/>
  <c r="K459" i="5"/>
  <c r="I459" i="5"/>
  <c r="A459" i="5"/>
  <c r="K458" i="5"/>
  <c r="I458" i="5"/>
  <c r="A458" i="5"/>
  <c r="K457" i="5"/>
  <c r="I457" i="5"/>
  <c r="A457" i="5"/>
  <c r="I456" i="5"/>
  <c r="K456" i="5" s="1"/>
  <c r="A456" i="5"/>
  <c r="I455" i="5"/>
  <c r="K455" i="5" s="1"/>
  <c r="A455" i="5"/>
  <c r="I454" i="5"/>
  <c r="K454" i="5" s="1"/>
  <c r="A454" i="5"/>
  <c r="I453" i="5"/>
  <c r="K453" i="5" s="1"/>
  <c r="A453" i="5"/>
  <c r="I452" i="5"/>
  <c r="K452" i="5" s="1"/>
  <c r="A452" i="5"/>
  <c r="K451" i="5"/>
  <c r="I451" i="5"/>
  <c r="A451" i="5"/>
  <c r="I450" i="5"/>
  <c r="K450" i="5" s="1"/>
  <c r="A450" i="5"/>
  <c r="K449" i="5"/>
  <c r="I449" i="5"/>
  <c r="A449" i="5"/>
  <c r="K448" i="5"/>
  <c r="I448" i="5"/>
  <c r="A448" i="5"/>
  <c r="K447" i="5"/>
  <c r="I447" i="5"/>
  <c r="A447" i="5"/>
  <c r="I446" i="5"/>
  <c r="K446" i="5" s="1"/>
  <c r="A446" i="5"/>
  <c r="K445" i="5"/>
  <c r="I445" i="5"/>
  <c r="A445" i="5"/>
  <c r="K444" i="5"/>
  <c r="I444" i="5"/>
  <c r="A444" i="5"/>
  <c r="I443" i="5"/>
  <c r="K443" i="5" s="1"/>
  <c r="A443" i="5"/>
  <c r="I442" i="5"/>
  <c r="K442" i="5" s="1"/>
  <c r="A442" i="5"/>
  <c r="K441" i="5"/>
  <c r="I441" i="5"/>
  <c r="A441" i="5"/>
  <c r="K440" i="5"/>
  <c r="I440" i="5"/>
  <c r="A440" i="5"/>
  <c r="I439" i="5"/>
  <c r="K439" i="5" s="1"/>
  <c r="A439" i="5"/>
  <c r="I438" i="5"/>
  <c r="K438" i="5" s="1"/>
  <c r="A438" i="5"/>
  <c r="K437" i="5"/>
  <c r="I437" i="5"/>
  <c r="A437" i="5"/>
  <c r="I436" i="5"/>
  <c r="K436" i="5" s="1"/>
  <c r="A436" i="5"/>
  <c r="I435" i="5"/>
  <c r="K435" i="5" s="1"/>
  <c r="A435" i="5"/>
  <c r="K434" i="5"/>
  <c r="I434" i="5"/>
  <c r="A434" i="5"/>
  <c r="K433" i="5"/>
  <c r="I433" i="5"/>
  <c r="A433" i="5"/>
  <c r="I432" i="5"/>
  <c r="K432" i="5" s="1"/>
  <c r="A432" i="5"/>
  <c r="I431" i="5"/>
  <c r="K431" i="5" s="1"/>
  <c r="A431" i="5"/>
  <c r="I430" i="5"/>
  <c r="K430" i="5" s="1"/>
  <c r="A430" i="5"/>
  <c r="I429" i="5"/>
  <c r="K429" i="5" s="1"/>
  <c r="A429" i="5"/>
  <c r="I428" i="5"/>
  <c r="K428" i="5" s="1"/>
  <c r="A428" i="5"/>
  <c r="I427" i="5"/>
  <c r="K427" i="5" s="1"/>
  <c r="A427" i="5"/>
  <c r="K426" i="5"/>
  <c r="I426" i="5"/>
  <c r="A426" i="5"/>
  <c r="K425" i="5"/>
  <c r="I425" i="5"/>
  <c r="A425" i="5"/>
  <c r="I424" i="5"/>
  <c r="K424" i="5" s="1"/>
  <c r="A424" i="5"/>
  <c r="K423" i="5"/>
  <c r="I423" i="5"/>
  <c r="A423" i="5"/>
  <c r="I422" i="5"/>
  <c r="K422" i="5" s="1"/>
  <c r="A422" i="5"/>
  <c r="I421" i="5"/>
  <c r="K421" i="5" s="1"/>
  <c r="A421" i="5"/>
  <c r="K420" i="5"/>
  <c r="I420" i="5"/>
  <c r="A420" i="5"/>
  <c r="K419" i="5"/>
  <c r="I419" i="5"/>
  <c r="A419" i="5"/>
  <c r="I418" i="5"/>
  <c r="K418" i="5" s="1"/>
  <c r="A418" i="5"/>
  <c r="K417" i="5"/>
  <c r="I417" i="5"/>
  <c r="A417" i="5"/>
  <c r="I416" i="5"/>
  <c r="K416" i="5" s="1"/>
  <c r="A416" i="5"/>
  <c r="K415" i="5"/>
  <c r="I415" i="5"/>
  <c r="A415" i="5"/>
  <c r="I414" i="5"/>
  <c r="K414" i="5" s="1"/>
  <c r="A414" i="5"/>
  <c r="I413" i="5"/>
  <c r="K413" i="5" s="1"/>
  <c r="A413" i="5"/>
  <c r="K412" i="5"/>
  <c r="I412" i="5"/>
  <c r="A412" i="5"/>
  <c r="I411" i="5"/>
  <c r="K411" i="5" s="1"/>
  <c r="A411" i="5"/>
  <c r="I410" i="5"/>
  <c r="K410" i="5" s="1"/>
  <c r="A410" i="5"/>
  <c r="K409" i="5"/>
  <c r="I409" i="5"/>
  <c r="A409" i="5"/>
  <c r="K408" i="5"/>
  <c r="I408" i="5"/>
  <c r="A408" i="5"/>
  <c r="I407" i="5"/>
  <c r="K407" i="5" s="1"/>
  <c r="A407" i="5"/>
  <c r="I406" i="5"/>
  <c r="K406" i="5" s="1"/>
  <c r="A406" i="5"/>
  <c r="K405" i="5"/>
  <c r="I405" i="5"/>
  <c r="A405" i="5"/>
  <c r="I404" i="5"/>
  <c r="K404" i="5" s="1"/>
  <c r="A404" i="5"/>
  <c r="I403" i="5"/>
  <c r="K403" i="5" s="1"/>
  <c r="A403" i="5"/>
  <c r="I402" i="5"/>
  <c r="K402" i="5" s="1"/>
  <c r="A402" i="5"/>
  <c r="K401" i="5"/>
  <c r="I401" i="5"/>
  <c r="A401" i="5"/>
  <c r="I400" i="5"/>
  <c r="K400" i="5" s="1"/>
  <c r="A400" i="5"/>
  <c r="I399" i="5"/>
  <c r="K399" i="5" s="1"/>
  <c r="A399" i="5"/>
  <c r="I398" i="5"/>
  <c r="K398" i="5" s="1"/>
  <c r="A398" i="5"/>
  <c r="I397" i="5"/>
  <c r="K397" i="5" s="1"/>
  <c r="A397" i="5"/>
  <c r="I396" i="5"/>
  <c r="K396" i="5" s="1"/>
  <c r="A396" i="5"/>
  <c r="K395" i="5"/>
  <c r="I395" i="5"/>
  <c r="A395" i="5"/>
  <c r="K394" i="5"/>
  <c r="I394" i="5"/>
  <c r="A394" i="5"/>
  <c r="K393" i="5"/>
  <c r="I393" i="5"/>
  <c r="A393" i="5"/>
  <c r="I392" i="5"/>
  <c r="K392" i="5" s="1"/>
  <c r="A392" i="5"/>
  <c r="I391" i="5"/>
  <c r="K391" i="5" s="1"/>
  <c r="A391" i="5"/>
  <c r="I390" i="5"/>
  <c r="K390" i="5" s="1"/>
  <c r="A390" i="5"/>
  <c r="I389" i="5"/>
  <c r="K389" i="5" s="1"/>
  <c r="A389" i="5"/>
  <c r="I388" i="5"/>
  <c r="K388" i="5" s="1"/>
  <c r="A388" i="5"/>
  <c r="K387" i="5"/>
  <c r="I387" i="5"/>
  <c r="A387" i="5"/>
  <c r="I386" i="5"/>
  <c r="K386" i="5" s="1"/>
  <c r="A386" i="5"/>
  <c r="K385" i="5"/>
  <c r="I385" i="5"/>
  <c r="A385" i="5"/>
  <c r="K384" i="5"/>
  <c r="I384" i="5"/>
  <c r="A384" i="5"/>
  <c r="K383" i="5"/>
  <c r="I383" i="5"/>
  <c r="A383" i="5"/>
  <c r="I382" i="5"/>
  <c r="K382" i="5" s="1"/>
  <c r="A382" i="5"/>
  <c r="K381" i="5"/>
  <c r="I381" i="5"/>
  <c r="A381" i="5"/>
  <c r="K380" i="5"/>
  <c r="I380" i="5"/>
  <c r="A380" i="5"/>
  <c r="I379" i="5"/>
  <c r="K379" i="5" s="1"/>
  <c r="A379" i="5"/>
  <c r="I378" i="5"/>
  <c r="K378" i="5" s="1"/>
  <c r="A378" i="5"/>
  <c r="K377" i="5"/>
  <c r="I377" i="5"/>
  <c r="A377" i="5"/>
  <c r="K376" i="5"/>
  <c r="I376" i="5"/>
  <c r="A376" i="5"/>
  <c r="I375" i="5"/>
  <c r="K375" i="5" s="1"/>
  <c r="A375" i="5"/>
  <c r="I374" i="5"/>
  <c r="K374" i="5" s="1"/>
  <c r="A374" i="5"/>
  <c r="K373" i="5"/>
  <c r="I373" i="5"/>
  <c r="A373" i="5"/>
  <c r="I372" i="5"/>
  <c r="K372" i="5" s="1"/>
  <c r="A372" i="5"/>
  <c r="I371" i="5"/>
  <c r="K371" i="5" s="1"/>
  <c r="A371" i="5"/>
  <c r="K370" i="5"/>
  <c r="I370" i="5"/>
  <c r="A370" i="5"/>
  <c r="K369" i="5"/>
  <c r="I369" i="5"/>
  <c r="A369" i="5"/>
  <c r="I368" i="5"/>
  <c r="K368" i="5" s="1"/>
  <c r="A368" i="5"/>
  <c r="I367" i="5"/>
  <c r="K367" i="5" s="1"/>
  <c r="A367" i="5"/>
  <c r="I366" i="5"/>
  <c r="K366" i="5" s="1"/>
  <c r="A366" i="5"/>
  <c r="I365" i="5"/>
  <c r="K365" i="5" s="1"/>
  <c r="A365" i="5"/>
  <c r="I364" i="5"/>
  <c r="K364" i="5" s="1"/>
  <c r="A364" i="5"/>
  <c r="I363" i="5"/>
  <c r="K363" i="5" s="1"/>
  <c r="A363" i="5"/>
  <c r="K362" i="5"/>
  <c r="I362" i="5"/>
  <c r="A362" i="5"/>
  <c r="K361" i="5"/>
  <c r="I361" i="5"/>
  <c r="A361" i="5"/>
  <c r="I360" i="5"/>
  <c r="K360" i="5" s="1"/>
  <c r="A360" i="5"/>
  <c r="K359" i="5"/>
  <c r="I359" i="5"/>
  <c r="A359" i="5"/>
  <c r="I358" i="5"/>
  <c r="K358" i="5" s="1"/>
  <c r="A358" i="5"/>
  <c r="I357" i="5"/>
  <c r="K357" i="5" s="1"/>
  <c r="A357" i="5"/>
  <c r="K356" i="5"/>
  <c r="I356" i="5"/>
  <c r="A356" i="5"/>
  <c r="K355" i="5"/>
  <c r="I355" i="5"/>
  <c r="A355" i="5"/>
  <c r="I354" i="5"/>
  <c r="K354" i="5" s="1"/>
  <c r="A354" i="5"/>
  <c r="K353" i="5"/>
  <c r="I353" i="5"/>
  <c r="A353" i="5"/>
  <c r="I352" i="5"/>
  <c r="K352" i="5" s="1"/>
  <c r="A352" i="5"/>
  <c r="K351" i="5"/>
  <c r="I351" i="5"/>
  <c r="A351" i="5"/>
  <c r="I350" i="5"/>
  <c r="K350" i="5" s="1"/>
  <c r="A350" i="5"/>
  <c r="I349" i="5"/>
  <c r="K349" i="5" s="1"/>
  <c r="A349" i="5"/>
  <c r="K348" i="5"/>
  <c r="I348" i="5"/>
  <c r="A348" i="5"/>
  <c r="I347" i="5"/>
  <c r="K347" i="5" s="1"/>
  <c r="A347" i="5"/>
  <c r="I346" i="5"/>
  <c r="K346" i="5" s="1"/>
  <c r="A346" i="5"/>
  <c r="K345" i="5"/>
  <c r="I345" i="5"/>
  <c r="A345" i="5"/>
  <c r="K344" i="5"/>
  <c r="I344" i="5"/>
  <c r="A344" i="5"/>
  <c r="I343" i="5"/>
  <c r="K343" i="5" s="1"/>
  <c r="A343" i="5"/>
  <c r="I342" i="5"/>
  <c r="K342" i="5" s="1"/>
  <c r="A342" i="5"/>
  <c r="K341" i="5"/>
  <c r="I341" i="5"/>
  <c r="A341" i="5"/>
  <c r="I340" i="5"/>
  <c r="K340" i="5" s="1"/>
  <c r="A340" i="5"/>
  <c r="I339" i="5"/>
  <c r="K339" i="5" s="1"/>
  <c r="A339" i="5"/>
  <c r="I338" i="5"/>
  <c r="K338" i="5" s="1"/>
  <c r="A338" i="5"/>
  <c r="K337" i="5"/>
  <c r="I337" i="5"/>
  <c r="A337" i="5"/>
  <c r="I336" i="5"/>
  <c r="K336" i="5" s="1"/>
  <c r="A336" i="5"/>
  <c r="I335" i="5"/>
  <c r="K335" i="5" s="1"/>
  <c r="A335" i="5"/>
  <c r="I334" i="5"/>
  <c r="K334" i="5" s="1"/>
  <c r="A334" i="5"/>
  <c r="I333" i="5"/>
  <c r="K333" i="5" s="1"/>
  <c r="A333" i="5"/>
  <c r="I332" i="5"/>
  <c r="K332" i="5" s="1"/>
  <c r="A332" i="5"/>
  <c r="K331" i="5"/>
  <c r="I331" i="5"/>
  <c r="A331" i="5"/>
  <c r="K330" i="5"/>
  <c r="I330" i="5"/>
  <c r="A330" i="5"/>
  <c r="K329" i="5"/>
  <c r="I329" i="5"/>
  <c r="A329" i="5"/>
  <c r="I328" i="5"/>
  <c r="K328" i="5" s="1"/>
  <c r="A328" i="5"/>
  <c r="I327" i="5"/>
  <c r="K327" i="5" s="1"/>
  <c r="A327" i="5"/>
  <c r="I326" i="5"/>
  <c r="K326" i="5" s="1"/>
  <c r="A326" i="5"/>
  <c r="I325" i="5"/>
  <c r="K325" i="5" s="1"/>
  <c r="A325" i="5"/>
  <c r="I324" i="5"/>
  <c r="K324" i="5" s="1"/>
  <c r="A324" i="5"/>
  <c r="K323" i="5"/>
  <c r="I323" i="5"/>
  <c r="A323" i="5"/>
  <c r="I322" i="5"/>
  <c r="K322" i="5" s="1"/>
  <c r="A322" i="5"/>
  <c r="K321" i="5"/>
  <c r="I321" i="5"/>
  <c r="A321" i="5"/>
  <c r="K320" i="5"/>
  <c r="I320" i="5"/>
  <c r="A320" i="5"/>
  <c r="K319" i="5"/>
  <c r="I319" i="5"/>
  <c r="A319" i="5"/>
  <c r="I318" i="5"/>
  <c r="K318" i="5" s="1"/>
  <c r="A318" i="5"/>
  <c r="K317" i="5"/>
  <c r="I317" i="5"/>
  <c r="A317" i="5"/>
  <c r="K316" i="5"/>
  <c r="I316" i="5"/>
  <c r="A316" i="5"/>
  <c r="I315" i="5"/>
  <c r="K315" i="5" s="1"/>
  <c r="A315" i="5"/>
  <c r="I314" i="5"/>
  <c r="K314" i="5" s="1"/>
  <c r="A314" i="5"/>
  <c r="K313" i="5"/>
  <c r="I313" i="5"/>
  <c r="A313" i="5"/>
  <c r="K312" i="5"/>
  <c r="I312" i="5"/>
  <c r="A312" i="5"/>
  <c r="I311" i="5"/>
  <c r="K311" i="5" s="1"/>
  <c r="A311" i="5"/>
  <c r="I310" i="5"/>
  <c r="K310" i="5" s="1"/>
  <c r="A310" i="5"/>
  <c r="K309" i="5"/>
  <c r="I309" i="5"/>
  <c r="A309" i="5"/>
  <c r="I308" i="5"/>
  <c r="K308" i="5" s="1"/>
  <c r="A308" i="5"/>
  <c r="I307" i="5"/>
  <c r="K307" i="5" s="1"/>
  <c r="A307" i="5"/>
  <c r="K306" i="5"/>
  <c r="I306" i="5"/>
  <c r="A306" i="5"/>
  <c r="K305" i="5"/>
  <c r="I305" i="5"/>
  <c r="A305" i="5"/>
  <c r="I304" i="5"/>
  <c r="K304" i="5" s="1"/>
  <c r="A304" i="5"/>
  <c r="I303" i="5"/>
  <c r="K303" i="5" s="1"/>
  <c r="A303" i="5"/>
  <c r="I302" i="5"/>
  <c r="K302" i="5" s="1"/>
  <c r="A302" i="5"/>
  <c r="I301" i="5"/>
  <c r="K301" i="5" s="1"/>
  <c r="A301" i="5"/>
  <c r="I300" i="5"/>
  <c r="K300" i="5" s="1"/>
  <c r="A300" i="5"/>
  <c r="I299" i="5"/>
  <c r="K299" i="5" s="1"/>
  <c r="A299" i="5"/>
  <c r="K298" i="5"/>
  <c r="I298" i="5"/>
  <c r="A298" i="5"/>
  <c r="K297" i="5"/>
  <c r="I297" i="5"/>
  <c r="A297" i="5"/>
  <c r="I296" i="5"/>
  <c r="K296" i="5" s="1"/>
  <c r="A296" i="5"/>
  <c r="K295" i="5"/>
  <c r="I295" i="5"/>
  <c r="A295" i="5"/>
  <c r="I294" i="5"/>
  <c r="K294" i="5" s="1"/>
  <c r="A294" i="5"/>
  <c r="I293" i="5"/>
  <c r="K293" i="5" s="1"/>
  <c r="A293" i="5"/>
  <c r="K292" i="5"/>
  <c r="I292" i="5"/>
  <c r="A292" i="5"/>
  <c r="K291" i="5"/>
  <c r="I291" i="5"/>
  <c r="A291" i="5"/>
  <c r="I290" i="5"/>
  <c r="K290" i="5" s="1"/>
  <c r="A290" i="5"/>
  <c r="K289" i="5"/>
  <c r="I289" i="5"/>
  <c r="A289" i="5"/>
  <c r="I288" i="5"/>
  <c r="K288" i="5" s="1"/>
  <c r="A288" i="5"/>
  <c r="K287" i="5"/>
  <c r="I287" i="5"/>
  <c r="A287" i="5"/>
  <c r="I286" i="5"/>
  <c r="K286" i="5" s="1"/>
  <c r="A286" i="5"/>
  <c r="I285" i="5"/>
  <c r="K285" i="5" s="1"/>
  <c r="A285" i="5"/>
  <c r="K284" i="5"/>
  <c r="I284" i="5"/>
  <c r="A284" i="5"/>
  <c r="I283" i="5"/>
  <c r="K283" i="5" s="1"/>
  <c r="A283" i="5"/>
  <c r="I282" i="5"/>
  <c r="K282" i="5" s="1"/>
  <c r="A282" i="5"/>
  <c r="K281" i="5"/>
  <c r="I281" i="5"/>
  <c r="A281" i="5"/>
  <c r="K280" i="5"/>
  <c r="I280" i="5"/>
  <c r="A280" i="5"/>
  <c r="I279" i="5"/>
  <c r="K279" i="5" s="1"/>
  <c r="A279" i="5"/>
  <c r="I278" i="5"/>
  <c r="K278" i="5" s="1"/>
  <c r="A278" i="5"/>
  <c r="K277" i="5"/>
  <c r="I277" i="5"/>
  <c r="A277" i="5"/>
  <c r="I276" i="5"/>
  <c r="K276" i="5" s="1"/>
  <c r="A276" i="5"/>
  <c r="I275" i="5"/>
  <c r="K275" i="5" s="1"/>
  <c r="A275" i="5"/>
  <c r="I274" i="5"/>
  <c r="K274" i="5" s="1"/>
  <c r="A274" i="5"/>
  <c r="K273" i="5"/>
  <c r="I273" i="5"/>
  <c r="A273" i="5"/>
  <c r="I272" i="5"/>
  <c r="K272" i="5" s="1"/>
  <c r="A272" i="5"/>
  <c r="I271" i="5"/>
  <c r="K271" i="5" s="1"/>
  <c r="A271" i="5"/>
  <c r="I270" i="5"/>
  <c r="K270" i="5" s="1"/>
  <c r="A270" i="5"/>
  <c r="I269" i="5"/>
  <c r="K269" i="5" s="1"/>
  <c r="A269" i="5"/>
  <c r="I268" i="5"/>
  <c r="K268" i="5" s="1"/>
  <c r="A268" i="5"/>
  <c r="K267" i="5"/>
  <c r="I267" i="5"/>
  <c r="A267" i="5"/>
  <c r="K266" i="5"/>
  <c r="I266" i="5"/>
  <c r="A266" i="5"/>
  <c r="K265" i="5"/>
  <c r="I265" i="5"/>
  <c r="A265" i="5"/>
  <c r="I264" i="5"/>
  <c r="K264" i="5" s="1"/>
  <c r="A264" i="5"/>
  <c r="I263" i="5"/>
  <c r="K263" i="5" s="1"/>
  <c r="A263" i="5"/>
  <c r="I262" i="5"/>
  <c r="K262" i="5" s="1"/>
  <c r="A262" i="5"/>
  <c r="I261" i="5"/>
  <c r="K261" i="5" s="1"/>
  <c r="A261" i="5"/>
  <c r="I260" i="5"/>
  <c r="K260" i="5" s="1"/>
  <c r="A260" i="5"/>
  <c r="K259" i="5"/>
  <c r="I259" i="5"/>
  <c r="A259" i="5"/>
  <c r="I258" i="5"/>
  <c r="K258" i="5" s="1"/>
  <c r="A258" i="5"/>
  <c r="K257" i="5"/>
  <c r="I257" i="5"/>
  <c r="A257" i="5"/>
  <c r="K256" i="5"/>
  <c r="I256" i="5"/>
  <c r="A256" i="5"/>
  <c r="K255" i="5"/>
  <c r="I255" i="5"/>
  <c r="A255" i="5"/>
  <c r="I254" i="5"/>
  <c r="K254" i="5" s="1"/>
  <c r="A254" i="5"/>
  <c r="K253" i="5"/>
  <c r="I253" i="5"/>
  <c r="A253" i="5"/>
  <c r="K252" i="5"/>
  <c r="I252" i="5"/>
  <c r="A252" i="5"/>
  <c r="I251" i="5"/>
  <c r="K251" i="5" s="1"/>
  <c r="A251" i="5"/>
  <c r="I250" i="5"/>
  <c r="K250" i="5" s="1"/>
  <c r="A250" i="5"/>
  <c r="K249" i="5"/>
  <c r="I249" i="5"/>
  <c r="A249" i="5"/>
  <c r="K248" i="5"/>
  <c r="I248" i="5"/>
  <c r="A248" i="5"/>
  <c r="I247" i="5"/>
  <c r="K247" i="5" s="1"/>
  <c r="A247" i="5"/>
  <c r="I246" i="5"/>
  <c r="K246" i="5" s="1"/>
  <c r="A246" i="5"/>
  <c r="K245" i="5"/>
  <c r="I245" i="5"/>
  <c r="A245" i="5"/>
  <c r="I244" i="5"/>
  <c r="K244" i="5" s="1"/>
  <c r="A244" i="5"/>
  <c r="I243" i="5"/>
  <c r="K243" i="5" s="1"/>
  <c r="A243" i="5"/>
  <c r="K242" i="5"/>
  <c r="I242" i="5"/>
  <c r="A242" i="5"/>
  <c r="K241" i="5"/>
  <c r="I241" i="5"/>
  <c r="A241" i="5"/>
  <c r="I240" i="5"/>
  <c r="K240" i="5" s="1"/>
  <c r="A240" i="5"/>
  <c r="I239" i="5"/>
  <c r="K239" i="5" s="1"/>
  <c r="A239" i="5"/>
  <c r="I238" i="5"/>
  <c r="K238" i="5" s="1"/>
  <c r="A238" i="5"/>
  <c r="I237" i="5"/>
  <c r="K237" i="5" s="1"/>
  <c r="A237" i="5"/>
  <c r="I236" i="5"/>
  <c r="K236" i="5" s="1"/>
  <c r="A236" i="5"/>
  <c r="I235" i="5"/>
  <c r="K235" i="5" s="1"/>
  <c r="A235" i="5"/>
  <c r="K234" i="5"/>
  <c r="I234" i="5"/>
  <c r="A234" i="5"/>
  <c r="K233" i="5"/>
  <c r="I233" i="5"/>
  <c r="A233" i="5"/>
  <c r="I232" i="5"/>
  <c r="K232" i="5" s="1"/>
  <c r="A232" i="5"/>
  <c r="K231" i="5"/>
  <c r="I231" i="5"/>
  <c r="A231" i="5"/>
  <c r="I230" i="5"/>
  <c r="K230" i="5" s="1"/>
  <c r="A230" i="5"/>
  <c r="I229" i="5"/>
  <c r="K229" i="5" s="1"/>
  <c r="A229" i="5"/>
  <c r="K228" i="5"/>
  <c r="I228" i="5"/>
  <c r="A228" i="5"/>
  <c r="K227" i="5"/>
  <c r="I227" i="5"/>
  <c r="A227" i="5"/>
  <c r="I226" i="5"/>
  <c r="K226" i="5" s="1"/>
  <c r="A226" i="5"/>
  <c r="K225" i="5"/>
  <c r="I225" i="5"/>
  <c r="A225" i="5"/>
  <c r="I224" i="5"/>
  <c r="K224" i="5" s="1"/>
  <c r="A224" i="5"/>
  <c r="K223" i="5"/>
  <c r="I223" i="5"/>
  <c r="A223" i="5"/>
  <c r="I222" i="5"/>
  <c r="K222" i="5" s="1"/>
  <c r="A222" i="5"/>
  <c r="I221" i="5"/>
  <c r="K221" i="5" s="1"/>
  <c r="A221" i="5"/>
  <c r="K220" i="5"/>
  <c r="I220" i="5"/>
  <c r="A220" i="5"/>
  <c r="I219" i="5"/>
  <c r="K219" i="5" s="1"/>
  <c r="A219" i="5"/>
  <c r="I218" i="5"/>
  <c r="K218" i="5" s="1"/>
  <c r="A218" i="5"/>
  <c r="K217" i="5"/>
  <c r="I217" i="5"/>
  <c r="A217" i="5"/>
  <c r="K216" i="5"/>
  <c r="I216" i="5"/>
  <c r="A216" i="5"/>
  <c r="I215" i="5"/>
  <c r="K215" i="5" s="1"/>
  <c r="L45" i="10" s="1"/>
  <c r="A215" i="5"/>
  <c r="I214" i="5"/>
  <c r="K214" i="5" s="1"/>
  <c r="A214" i="5"/>
  <c r="K213" i="5"/>
  <c r="I213" i="5"/>
  <c r="A213" i="5"/>
  <c r="I212" i="5"/>
  <c r="K212" i="5" s="1"/>
  <c r="L57" i="10" s="1"/>
  <c r="A212" i="5"/>
  <c r="I211" i="5"/>
  <c r="K211" i="5" s="1"/>
  <c r="L56" i="10" s="1"/>
  <c r="A211" i="5"/>
  <c r="I210" i="5"/>
  <c r="K210" i="5" s="1"/>
  <c r="A210" i="5"/>
  <c r="K209" i="5"/>
  <c r="L54" i="10" s="1"/>
  <c r="I209" i="5"/>
  <c r="A209" i="5"/>
  <c r="I208" i="5"/>
  <c r="K208" i="5" s="1"/>
  <c r="A208" i="5"/>
  <c r="I207" i="5"/>
  <c r="K207" i="5" s="1"/>
  <c r="L52" i="10" s="1"/>
  <c r="A207" i="5"/>
  <c r="I206" i="5"/>
  <c r="K206" i="5" s="1"/>
  <c r="A206" i="5"/>
  <c r="I205" i="5"/>
  <c r="K205" i="5" s="1"/>
  <c r="A205" i="5"/>
  <c r="I204" i="5"/>
  <c r="K204" i="5" s="1"/>
  <c r="A204" i="5"/>
  <c r="K203" i="5"/>
  <c r="I203" i="5"/>
  <c r="A203" i="5"/>
  <c r="K202" i="5"/>
  <c r="I202" i="5"/>
  <c r="A202" i="5"/>
  <c r="K201" i="5"/>
  <c r="I201" i="5"/>
  <c r="A201" i="5"/>
  <c r="I200" i="5"/>
  <c r="K200" i="5" s="1"/>
  <c r="A200" i="5"/>
  <c r="I199" i="5"/>
  <c r="K199" i="5" s="1"/>
  <c r="L47" i="10" s="1"/>
  <c r="A199" i="5"/>
  <c r="I198" i="5"/>
  <c r="K198" i="5" s="1"/>
  <c r="A198" i="5"/>
  <c r="I197" i="5"/>
  <c r="K197" i="5" s="1"/>
  <c r="A197" i="5"/>
  <c r="I196" i="5"/>
  <c r="K196" i="5" s="1"/>
  <c r="L51" i="10" s="1"/>
  <c r="A196" i="5"/>
  <c r="K195" i="5"/>
  <c r="I195" i="5"/>
  <c r="A195" i="5"/>
  <c r="I194" i="5"/>
  <c r="K194" i="5" s="1"/>
  <c r="A194" i="5"/>
  <c r="K193" i="5"/>
  <c r="I193" i="5"/>
  <c r="A193" i="5"/>
  <c r="K192" i="5"/>
  <c r="I192" i="5"/>
  <c r="A192" i="5"/>
  <c r="K191" i="5"/>
  <c r="I191" i="5"/>
  <c r="A191" i="5"/>
  <c r="I190" i="5"/>
  <c r="K190" i="5" s="1"/>
  <c r="A190" i="5"/>
  <c r="K189" i="5"/>
  <c r="I189" i="5"/>
  <c r="A189" i="5"/>
  <c r="K188" i="5"/>
  <c r="I188" i="5"/>
  <c r="A188" i="5"/>
  <c r="K187" i="5"/>
  <c r="I187" i="5"/>
  <c r="A187" i="5"/>
  <c r="I186" i="5"/>
  <c r="K186" i="5" s="1"/>
  <c r="A186" i="5"/>
  <c r="K185" i="5"/>
  <c r="L50" i="10" s="1"/>
  <c r="I185" i="5"/>
  <c r="A185" i="5"/>
  <c r="K184" i="5"/>
  <c r="I184" i="5"/>
  <c r="A184" i="5"/>
  <c r="I183" i="5"/>
  <c r="K183" i="5" s="1"/>
  <c r="A183" i="5"/>
  <c r="I182" i="5"/>
  <c r="K182" i="5" s="1"/>
  <c r="A182" i="5"/>
  <c r="K181" i="5"/>
  <c r="L48" i="10" s="1"/>
  <c r="I181" i="5"/>
  <c r="A181" i="5"/>
  <c r="I180" i="5"/>
  <c r="K180" i="5" s="1"/>
  <c r="L49" i="10" s="1"/>
  <c r="A180" i="5"/>
  <c r="I179" i="5"/>
  <c r="K179" i="5" s="1"/>
  <c r="A179" i="5"/>
  <c r="K178" i="5"/>
  <c r="I178" i="5"/>
  <c r="A178" i="5"/>
  <c r="K177" i="5"/>
  <c r="I177" i="5"/>
  <c r="A177" i="5"/>
  <c r="I176" i="5"/>
  <c r="K176" i="5" s="1"/>
  <c r="L46" i="10" s="1"/>
  <c r="A176" i="5"/>
  <c r="I175" i="5"/>
  <c r="K175" i="5" s="1"/>
  <c r="A175" i="5"/>
  <c r="I174" i="5"/>
  <c r="K174" i="5" s="1"/>
  <c r="A174" i="5"/>
  <c r="I173" i="5"/>
  <c r="K173" i="5" s="1"/>
  <c r="A173" i="5"/>
  <c r="I172" i="5"/>
  <c r="K172" i="5" s="1"/>
  <c r="A172" i="5"/>
  <c r="I171" i="5"/>
  <c r="K171" i="5" s="1"/>
  <c r="L44" i="10" s="1"/>
  <c r="A171" i="5"/>
  <c r="K170" i="5"/>
  <c r="I170" i="5"/>
  <c r="A170" i="5"/>
  <c r="K169" i="5"/>
  <c r="I169" i="5"/>
  <c r="A169" i="5"/>
  <c r="I168" i="5"/>
  <c r="K168" i="5" s="1"/>
  <c r="A168" i="5"/>
  <c r="K167" i="5"/>
  <c r="I167" i="5"/>
  <c r="A167" i="5"/>
  <c r="I166" i="5"/>
  <c r="K166" i="5" s="1"/>
  <c r="A166" i="5"/>
  <c r="I165" i="5"/>
  <c r="K165" i="5" s="1"/>
  <c r="A165" i="5"/>
  <c r="K164" i="5"/>
  <c r="I164" i="5"/>
  <c r="A164" i="5"/>
  <c r="K163" i="5"/>
  <c r="I163" i="5"/>
  <c r="A163" i="5"/>
  <c r="K162" i="5"/>
  <c r="I162" i="5"/>
  <c r="A162" i="5"/>
  <c r="K161" i="5"/>
  <c r="I161" i="5"/>
  <c r="A161" i="5"/>
  <c r="I160" i="5"/>
  <c r="K160" i="5" s="1"/>
  <c r="A160" i="5"/>
  <c r="K159" i="5"/>
  <c r="I159" i="5"/>
  <c r="A159" i="5"/>
  <c r="I158" i="5"/>
  <c r="K158" i="5" s="1"/>
  <c r="A158" i="5"/>
  <c r="I157" i="5"/>
  <c r="K157" i="5" s="1"/>
  <c r="A157" i="5"/>
  <c r="K156" i="5"/>
  <c r="L43" i="10" s="1"/>
  <c r="I156" i="5"/>
  <c r="A156" i="5"/>
  <c r="I155" i="5"/>
  <c r="K155" i="5" s="1"/>
  <c r="L42" i="10" s="1"/>
  <c r="A155" i="5"/>
  <c r="I154" i="5"/>
  <c r="K154" i="5" s="1"/>
  <c r="A154" i="5"/>
  <c r="K153" i="5"/>
  <c r="I153" i="5"/>
  <c r="A153" i="5"/>
  <c r="K152" i="5"/>
  <c r="L41" i="10" s="1"/>
  <c r="I152" i="5"/>
  <c r="A152" i="5"/>
  <c r="K151" i="5"/>
  <c r="L40" i="10" s="1"/>
  <c r="I151" i="5"/>
  <c r="A151" i="5"/>
  <c r="I150" i="5"/>
  <c r="K150" i="5" s="1"/>
  <c r="L39" i="10" s="1"/>
  <c r="A150" i="5"/>
  <c r="K149" i="5"/>
  <c r="I149" i="5"/>
  <c r="A149" i="5"/>
  <c r="K148" i="5"/>
  <c r="I148" i="5"/>
  <c r="A148" i="5"/>
  <c r="I147" i="5"/>
  <c r="K147" i="5" s="1"/>
  <c r="A147" i="5"/>
  <c r="I146" i="5"/>
  <c r="K146" i="5" s="1"/>
  <c r="A146" i="5"/>
  <c r="K145" i="5"/>
  <c r="I145" i="5"/>
  <c r="A145" i="5"/>
  <c r="I144" i="5"/>
  <c r="K144" i="5" s="1"/>
  <c r="A144" i="5"/>
  <c r="I143" i="5"/>
  <c r="K143" i="5" s="1"/>
  <c r="A143" i="5"/>
  <c r="I142" i="5"/>
  <c r="K142" i="5" s="1"/>
  <c r="A142" i="5"/>
  <c r="I141" i="5"/>
  <c r="K141" i="5" s="1"/>
  <c r="A141" i="5"/>
  <c r="K140" i="5"/>
  <c r="I140" i="5"/>
  <c r="A140" i="5"/>
  <c r="K139" i="5"/>
  <c r="I139" i="5"/>
  <c r="A139" i="5"/>
  <c r="K138" i="5"/>
  <c r="I138" i="5"/>
  <c r="A138" i="5"/>
  <c r="K137" i="5"/>
  <c r="I137" i="5"/>
  <c r="A137" i="5"/>
  <c r="I136" i="5"/>
  <c r="K136" i="5" s="1"/>
  <c r="A136" i="5"/>
  <c r="I135" i="5"/>
  <c r="K135" i="5" s="1"/>
  <c r="A135" i="5"/>
  <c r="I134" i="5"/>
  <c r="K134" i="5" s="1"/>
  <c r="A134" i="5"/>
  <c r="I133" i="5"/>
  <c r="K133" i="5" s="1"/>
  <c r="A133" i="5"/>
  <c r="I132" i="5"/>
  <c r="K132" i="5" s="1"/>
  <c r="A132" i="5"/>
  <c r="K131" i="5"/>
  <c r="I131" i="5"/>
  <c r="A131" i="5"/>
  <c r="I130" i="5"/>
  <c r="K130" i="5" s="1"/>
  <c r="A130" i="5"/>
  <c r="K129" i="5"/>
  <c r="I129" i="5"/>
  <c r="A129" i="5"/>
  <c r="K128" i="5"/>
  <c r="I128" i="5"/>
  <c r="A128" i="5"/>
  <c r="K127" i="5"/>
  <c r="I127" i="5"/>
  <c r="A127" i="5"/>
  <c r="I126" i="5"/>
  <c r="K126" i="5" s="1"/>
  <c r="A126" i="5"/>
  <c r="K125" i="5"/>
  <c r="I125" i="5"/>
  <c r="A125" i="5"/>
  <c r="K124" i="5"/>
  <c r="I124" i="5"/>
  <c r="A124" i="5"/>
  <c r="I123" i="5"/>
  <c r="K123" i="5" s="1"/>
  <c r="A123" i="5"/>
  <c r="I122" i="5"/>
  <c r="K122" i="5" s="1"/>
  <c r="A122" i="5"/>
  <c r="K121" i="5"/>
  <c r="I121" i="5"/>
  <c r="A121" i="5"/>
  <c r="K120" i="5"/>
  <c r="I120" i="5"/>
  <c r="A120" i="5"/>
  <c r="I119" i="5"/>
  <c r="K119" i="5" s="1"/>
  <c r="A119" i="5"/>
  <c r="I118" i="5"/>
  <c r="K118" i="5" s="1"/>
  <c r="A118" i="5"/>
  <c r="K117" i="5"/>
  <c r="I117" i="5"/>
  <c r="A117" i="5"/>
  <c r="I116" i="5"/>
  <c r="K116" i="5" s="1"/>
  <c r="L38" i="10" s="1"/>
  <c r="A116" i="5"/>
  <c r="K115" i="5"/>
  <c r="I115" i="5"/>
  <c r="A115" i="5"/>
  <c r="K114" i="5"/>
  <c r="I114" i="5"/>
  <c r="A114" i="5"/>
  <c r="K113" i="5"/>
  <c r="L37" i="10" s="1"/>
  <c r="I113" i="5"/>
  <c r="A113" i="5"/>
  <c r="I112" i="5"/>
  <c r="K112" i="5" s="1"/>
  <c r="L36" i="10" s="1"/>
  <c r="A112" i="5"/>
  <c r="I111" i="5"/>
  <c r="K111" i="5" s="1"/>
  <c r="A111" i="5"/>
  <c r="I110" i="5"/>
  <c r="K110" i="5" s="1"/>
  <c r="A110" i="5"/>
  <c r="K109" i="5"/>
  <c r="I109" i="5"/>
  <c r="A109" i="5"/>
  <c r="I108" i="5"/>
  <c r="K108" i="5" s="1"/>
  <c r="A108" i="5"/>
  <c r="I107" i="5"/>
  <c r="K107" i="5" s="1"/>
  <c r="L35" i="10" s="1"/>
  <c r="A107" i="5"/>
  <c r="K106" i="5"/>
  <c r="L34" i="10" s="1"/>
  <c r="I106" i="5"/>
  <c r="A106" i="5"/>
  <c r="K105" i="5"/>
  <c r="L33" i="10" s="1"/>
  <c r="I105" i="5"/>
  <c r="A105" i="5"/>
  <c r="K104" i="5"/>
  <c r="L32" i="10" s="1"/>
  <c r="I104" i="5"/>
  <c r="A104" i="5"/>
  <c r="K103" i="5"/>
  <c r="L31" i="10" s="1"/>
  <c r="I103" i="5"/>
  <c r="A103" i="5"/>
  <c r="I102" i="5"/>
  <c r="K102" i="5" s="1"/>
  <c r="L30" i="10" s="1"/>
  <c r="A102" i="5"/>
  <c r="K101" i="5"/>
  <c r="I101" i="5"/>
  <c r="A101" i="5"/>
  <c r="K100" i="5"/>
  <c r="I100" i="5"/>
  <c r="A100" i="5"/>
  <c r="K99" i="5"/>
  <c r="I99" i="5"/>
  <c r="A99" i="5"/>
  <c r="I98" i="5"/>
  <c r="K98" i="5" s="1"/>
  <c r="A98" i="5"/>
  <c r="K97" i="5"/>
  <c r="I97" i="5"/>
  <c r="A97" i="5"/>
  <c r="I96" i="5"/>
  <c r="K96" i="5" s="1"/>
  <c r="A96" i="5"/>
  <c r="I95" i="5"/>
  <c r="K95" i="5" s="1"/>
  <c r="A95" i="5"/>
  <c r="I94" i="5"/>
  <c r="K94" i="5" s="1"/>
  <c r="A94" i="5"/>
  <c r="I93" i="5"/>
  <c r="K93" i="5" s="1"/>
  <c r="L29" i="10" s="1"/>
  <c r="A93" i="5"/>
  <c r="K92" i="5"/>
  <c r="I92" i="5"/>
  <c r="A92" i="5"/>
  <c r="I91" i="5"/>
  <c r="K91" i="5" s="1"/>
  <c r="A91" i="5"/>
  <c r="I90" i="5"/>
  <c r="K90" i="5" s="1"/>
  <c r="A90" i="5"/>
  <c r="K89" i="5"/>
  <c r="I89" i="5"/>
  <c r="A89" i="5"/>
  <c r="K88" i="5"/>
  <c r="I88" i="5"/>
  <c r="A88" i="5"/>
  <c r="I87" i="5"/>
  <c r="K87" i="5" s="1"/>
  <c r="A87" i="5"/>
  <c r="I86" i="5"/>
  <c r="K86" i="5" s="1"/>
  <c r="A86" i="5"/>
  <c r="K85" i="5"/>
  <c r="I85" i="5"/>
  <c r="A85" i="5"/>
  <c r="I84" i="5"/>
  <c r="K84" i="5" s="1"/>
  <c r="A84" i="5"/>
  <c r="I83" i="5"/>
  <c r="K83" i="5" s="1"/>
  <c r="A83" i="5"/>
  <c r="I82" i="5"/>
  <c r="K82" i="5" s="1"/>
  <c r="A82" i="5"/>
  <c r="K81" i="5"/>
  <c r="I81" i="5"/>
  <c r="A81" i="5"/>
  <c r="I80" i="5"/>
  <c r="K80" i="5" s="1"/>
  <c r="A80" i="5"/>
  <c r="I79" i="5"/>
  <c r="K79" i="5" s="1"/>
  <c r="A79" i="5"/>
  <c r="I78" i="5"/>
  <c r="K78" i="5" s="1"/>
  <c r="A78" i="5"/>
  <c r="I77" i="5"/>
  <c r="K77" i="5" s="1"/>
  <c r="A77" i="5"/>
  <c r="I76" i="5"/>
  <c r="K76" i="5" s="1"/>
  <c r="A76" i="5"/>
  <c r="K75" i="5"/>
  <c r="I75" i="5"/>
  <c r="A75" i="5"/>
  <c r="K74" i="5"/>
  <c r="I74" i="5"/>
  <c r="A74" i="5"/>
  <c r="K73" i="5"/>
  <c r="I73" i="5"/>
  <c r="A73" i="5"/>
  <c r="I72" i="5"/>
  <c r="K72" i="5" s="1"/>
  <c r="A72" i="5"/>
  <c r="I71" i="5"/>
  <c r="K71" i="5" s="1"/>
  <c r="A71" i="5"/>
  <c r="I70" i="5"/>
  <c r="K70" i="5" s="1"/>
  <c r="A70" i="5"/>
  <c r="I69" i="5"/>
  <c r="K69" i="5" s="1"/>
  <c r="A69" i="5"/>
  <c r="I68" i="5"/>
  <c r="K68" i="5" s="1"/>
  <c r="A68" i="5"/>
  <c r="I67" i="5"/>
  <c r="K67" i="5" s="1"/>
  <c r="A67" i="5"/>
  <c r="I66" i="5"/>
  <c r="K66" i="5" s="1"/>
  <c r="A66" i="5"/>
  <c r="K65" i="5"/>
  <c r="I65" i="5"/>
  <c r="A65" i="5"/>
  <c r="K64" i="5"/>
  <c r="I64" i="5"/>
  <c r="A64" i="5"/>
  <c r="K63" i="5"/>
  <c r="I63" i="5"/>
  <c r="A63" i="5"/>
  <c r="I62" i="5"/>
  <c r="K62" i="5" s="1"/>
  <c r="A62" i="5"/>
  <c r="K61" i="5"/>
  <c r="I61" i="5"/>
  <c r="A61" i="5"/>
  <c r="K60" i="5"/>
  <c r="I60" i="5"/>
  <c r="A60" i="5"/>
  <c r="I59" i="5"/>
  <c r="K59" i="5" s="1"/>
  <c r="A59" i="5"/>
  <c r="I58" i="5"/>
  <c r="K58" i="5" s="1"/>
  <c r="A58" i="5"/>
  <c r="K57" i="5"/>
  <c r="I57" i="5"/>
  <c r="A57" i="5"/>
  <c r="I56" i="5"/>
  <c r="K56" i="5" s="1"/>
  <c r="A56" i="5"/>
  <c r="I55" i="5"/>
  <c r="K55" i="5" s="1"/>
  <c r="A55" i="5"/>
  <c r="I54" i="5"/>
  <c r="K54" i="5" s="1"/>
  <c r="A54" i="5"/>
  <c r="I53" i="5"/>
  <c r="K53" i="5" s="1"/>
  <c r="A53" i="5"/>
  <c r="I52" i="5"/>
  <c r="K52" i="5" s="1"/>
  <c r="A52" i="5"/>
  <c r="I51" i="5"/>
  <c r="K51" i="5" s="1"/>
  <c r="A51" i="5"/>
  <c r="K50" i="5"/>
  <c r="I50" i="5"/>
  <c r="A50" i="5"/>
  <c r="K49" i="5"/>
  <c r="I49" i="5"/>
  <c r="A49" i="5"/>
  <c r="I48" i="5"/>
  <c r="K48" i="5" s="1"/>
  <c r="A48" i="5"/>
  <c r="I47" i="5"/>
  <c r="K47" i="5" s="1"/>
  <c r="A47" i="5"/>
  <c r="I46" i="5"/>
  <c r="K46" i="5" s="1"/>
  <c r="A46" i="5"/>
  <c r="I45" i="5"/>
  <c r="K45" i="5" s="1"/>
  <c r="A45" i="5"/>
  <c r="I44" i="5"/>
  <c r="K44" i="5" s="1"/>
  <c r="A44" i="5"/>
  <c r="I43" i="5"/>
  <c r="K43" i="5" s="1"/>
  <c r="A43" i="5"/>
  <c r="K42" i="5"/>
  <c r="I42" i="5"/>
  <c r="A42" i="5"/>
  <c r="K41" i="5"/>
  <c r="I41" i="5"/>
  <c r="A41" i="5"/>
  <c r="I40" i="5"/>
  <c r="K40" i="5" s="1"/>
  <c r="A40" i="5"/>
  <c r="K39" i="5"/>
  <c r="I39" i="5"/>
  <c r="A39" i="5"/>
  <c r="I38" i="5"/>
  <c r="K38" i="5" s="1"/>
  <c r="A38" i="5"/>
  <c r="I37" i="5"/>
  <c r="K37" i="5" s="1"/>
  <c r="A37" i="5"/>
  <c r="K36" i="5"/>
  <c r="I36" i="5"/>
  <c r="A36" i="5"/>
  <c r="K35" i="5"/>
  <c r="I35" i="5"/>
  <c r="A35" i="5"/>
  <c r="I34" i="5"/>
  <c r="K34" i="5" s="1"/>
  <c r="A34" i="5"/>
  <c r="K33" i="5"/>
  <c r="I33" i="5"/>
  <c r="A33" i="5"/>
  <c r="I32" i="5"/>
  <c r="K32" i="5" s="1"/>
  <c r="A32" i="5"/>
  <c r="I31" i="5"/>
  <c r="K31" i="5" s="1"/>
  <c r="L24" i="10" s="1"/>
  <c r="A31" i="5"/>
  <c r="I30" i="5"/>
  <c r="K30" i="5" s="1"/>
  <c r="A30" i="5"/>
  <c r="I29" i="5"/>
  <c r="K29" i="5" s="1"/>
  <c r="A29" i="5"/>
  <c r="I28" i="5"/>
  <c r="K28" i="5" s="1"/>
  <c r="L22" i="10" s="1"/>
  <c r="A28" i="5"/>
  <c r="I27" i="5"/>
  <c r="K27" i="5" s="1"/>
  <c r="A27" i="5"/>
  <c r="K26" i="5"/>
  <c r="I26" i="5"/>
  <c r="A26" i="5"/>
  <c r="K25" i="5"/>
  <c r="I25" i="5"/>
  <c r="A25" i="5"/>
  <c r="K24" i="5"/>
  <c r="I24" i="5"/>
  <c r="A24" i="5"/>
  <c r="I23" i="5"/>
  <c r="K23" i="5" s="1"/>
  <c r="A23" i="5"/>
  <c r="I22" i="5"/>
  <c r="K22" i="5" s="1"/>
  <c r="A22" i="5"/>
  <c r="K21" i="5"/>
  <c r="L18" i="10" s="1"/>
  <c r="I21" i="5"/>
  <c r="A21" i="5"/>
  <c r="I20" i="5"/>
  <c r="K20" i="5" s="1"/>
  <c r="L17" i="10" s="1"/>
  <c r="A20" i="5"/>
  <c r="I19" i="5"/>
  <c r="K19" i="5" s="1"/>
  <c r="A19" i="5"/>
  <c r="I18" i="5"/>
  <c r="K18" i="5" s="1"/>
  <c r="L15" i="10" s="1"/>
  <c r="A18" i="5"/>
  <c r="K17" i="5"/>
  <c r="I17" i="5"/>
  <c r="A17" i="5"/>
  <c r="I16" i="5"/>
  <c r="K16" i="5" s="1"/>
  <c r="A16" i="5"/>
  <c r="I15" i="5"/>
  <c r="K15" i="5" s="1"/>
  <c r="L12" i="10" s="1"/>
  <c r="A15" i="5"/>
  <c r="I14" i="5"/>
  <c r="K14" i="5" s="1"/>
  <c r="A14" i="5"/>
  <c r="I13" i="5"/>
  <c r="K13" i="5" s="1"/>
  <c r="A13" i="5"/>
  <c r="I12" i="5"/>
  <c r="K12" i="5" s="1"/>
  <c r="A12" i="5"/>
  <c r="K11" i="5"/>
  <c r="I11" i="5"/>
  <c r="A11" i="5"/>
  <c r="K10" i="5"/>
  <c r="L8" i="10" s="1"/>
  <c r="I10" i="5"/>
  <c r="A10" i="5"/>
  <c r="K9" i="5"/>
  <c r="I9" i="5"/>
  <c r="A9" i="5"/>
  <c r="I8" i="5"/>
  <c r="K8" i="5" s="1"/>
  <c r="A8" i="5"/>
  <c r="I7" i="5"/>
  <c r="K7" i="5" s="1"/>
  <c r="A7" i="5"/>
  <c r="I6" i="5"/>
  <c r="K6" i="5" s="1"/>
  <c r="L6" i="10" s="1"/>
  <c r="A6" i="5"/>
  <c r="I5" i="5"/>
  <c r="K5" i="5" s="1"/>
  <c r="A5" i="5"/>
  <c r="F106" i="4"/>
  <c r="K104" i="4"/>
  <c r="J104" i="4"/>
  <c r="F104" i="13" s="1"/>
  <c r="I104" i="13" s="1"/>
  <c r="H104" i="4"/>
  <c r="A104" i="4"/>
  <c r="H103" i="4"/>
  <c r="A103" i="4"/>
  <c r="K102" i="4"/>
  <c r="J102" i="4"/>
  <c r="F102" i="13" s="1"/>
  <c r="I102" i="13" s="1"/>
  <c r="H102" i="4"/>
  <c r="A102" i="4"/>
  <c r="H101" i="4"/>
  <c r="A101" i="4"/>
  <c r="K100" i="4"/>
  <c r="J100" i="4"/>
  <c r="F100" i="13" s="1"/>
  <c r="I100" i="13" s="1"/>
  <c r="H100" i="4"/>
  <c r="A100" i="4"/>
  <c r="H99" i="4"/>
  <c r="A99" i="4"/>
  <c r="K98" i="4"/>
  <c r="J98" i="4"/>
  <c r="F98" i="13" s="1"/>
  <c r="I98" i="13" s="1"/>
  <c r="H98" i="4"/>
  <c r="A98" i="4"/>
  <c r="H97" i="4"/>
  <c r="A97" i="4"/>
  <c r="K96" i="4"/>
  <c r="J96" i="4"/>
  <c r="F96" i="13" s="1"/>
  <c r="I96" i="13" s="1"/>
  <c r="H96" i="4"/>
  <c r="A96" i="4"/>
  <c r="H95" i="4"/>
  <c r="A95" i="4"/>
  <c r="K94" i="4"/>
  <c r="J94" i="4"/>
  <c r="F94" i="13" s="1"/>
  <c r="I94" i="13" s="1"/>
  <c r="H94" i="4"/>
  <c r="A94" i="4"/>
  <c r="H93" i="4"/>
  <c r="A93" i="4"/>
  <c r="K92" i="4"/>
  <c r="J92" i="4"/>
  <c r="F92" i="13" s="1"/>
  <c r="I92" i="13" s="1"/>
  <c r="H92" i="4"/>
  <c r="A92" i="4"/>
  <c r="H91" i="4"/>
  <c r="A91" i="4"/>
  <c r="K90" i="4"/>
  <c r="J90" i="4"/>
  <c r="F90" i="13" s="1"/>
  <c r="I90" i="13" s="1"/>
  <c r="H90" i="4"/>
  <c r="A90" i="4"/>
  <c r="H89" i="4"/>
  <c r="A89" i="4"/>
  <c r="K88" i="4"/>
  <c r="J88" i="4"/>
  <c r="F88" i="13" s="1"/>
  <c r="I88" i="13" s="1"/>
  <c r="H88" i="4"/>
  <c r="A88" i="4"/>
  <c r="H87" i="4"/>
  <c r="A87" i="4"/>
  <c r="K86" i="4"/>
  <c r="J86" i="4"/>
  <c r="F86" i="13" s="1"/>
  <c r="I86" i="13" s="1"/>
  <c r="H86" i="4"/>
  <c r="A86" i="4"/>
  <c r="H85" i="4"/>
  <c r="A85" i="4"/>
  <c r="K84" i="4"/>
  <c r="J84" i="4"/>
  <c r="F84" i="13" s="1"/>
  <c r="I84" i="13" s="1"/>
  <c r="H84" i="4"/>
  <c r="A84" i="4"/>
  <c r="H83" i="4"/>
  <c r="A83" i="4"/>
  <c r="K82" i="4"/>
  <c r="J82" i="4"/>
  <c r="F82" i="13" s="1"/>
  <c r="I82" i="13" s="1"/>
  <c r="H82" i="4"/>
  <c r="A82" i="4"/>
  <c r="H81" i="4"/>
  <c r="A81" i="4"/>
  <c r="K80" i="4"/>
  <c r="J80" i="4"/>
  <c r="F80" i="13" s="1"/>
  <c r="I80" i="13" s="1"/>
  <c r="H80" i="4"/>
  <c r="A80" i="4"/>
  <c r="H79" i="4"/>
  <c r="A79" i="4"/>
  <c r="K78" i="4"/>
  <c r="J78" i="4"/>
  <c r="F78" i="13" s="1"/>
  <c r="I78" i="13" s="1"/>
  <c r="H78" i="4"/>
  <c r="A78" i="4"/>
  <c r="H77" i="4"/>
  <c r="A77" i="4"/>
  <c r="K76" i="4"/>
  <c r="J76" i="4"/>
  <c r="F76" i="13" s="1"/>
  <c r="I76" i="13" s="1"/>
  <c r="H76" i="4"/>
  <c r="A76" i="4"/>
  <c r="H75" i="4"/>
  <c r="A75" i="4"/>
  <c r="K74" i="4"/>
  <c r="J74" i="4"/>
  <c r="F74" i="13" s="1"/>
  <c r="I74" i="13" s="1"/>
  <c r="H74" i="4"/>
  <c r="A74" i="4"/>
  <c r="H73" i="4"/>
  <c r="A73" i="4"/>
  <c r="K72" i="4"/>
  <c r="J72" i="4"/>
  <c r="F72" i="13" s="1"/>
  <c r="I72" i="13" s="1"/>
  <c r="H72" i="4"/>
  <c r="A72" i="4"/>
  <c r="H71" i="4"/>
  <c r="A71" i="4"/>
  <c r="K70" i="4"/>
  <c r="J70" i="4"/>
  <c r="F70" i="13" s="1"/>
  <c r="I70" i="13" s="1"/>
  <c r="H70" i="4"/>
  <c r="A70" i="4"/>
  <c r="H69" i="4"/>
  <c r="A69" i="4"/>
  <c r="K68" i="4"/>
  <c r="J68" i="4"/>
  <c r="F68" i="13" s="1"/>
  <c r="I68" i="13" s="1"/>
  <c r="H68" i="4"/>
  <c r="A68" i="4"/>
  <c r="H67" i="4"/>
  <c r="A67" i="4"/>
  <c r="K66" i="4"/>
  <c r="J66" i="4"/>
  <c r="F66" i="13" s="1"/>
  <c r="I66" i="13" s="1"/>
  <c r="H66" i="4"/>
  <c r="A66" i="4"/>
  <c r="H65" i="4"/>
  <c r="A65" i="4"/>
  <c r="K64" i="4"/>
  <c r="J64" i="4"/>
  <c r="F64" i="13" s="1"/>
  <c r="I64" i="13" s="1"/>
  <c r="H64" i="4"/>
  <c r="A64" i="4"/>
  <c r="H63" i="4"/>
  <c r="A63" i="4"/>
  <c r="K62" i="4"/>
  <c r="J62" i="4"/>
  <c r="F62" i="13" s="1"/>
  <c r="I62" i="13" s="1"/>
  <c r="H62" i="4"/>
  <c r="A62" i="4"/>
  <c r="H61" i="4"/>
  <c r="A61" i="4"/>
  <c r="K60" i="4"/>
  <c r="J60" i="4"/>
  <c r="F60" i="13" s="1"/>
  <c r="I60" i="13" s="1"/>
  <c r="H60" i="4"/>
  <c r="A60" i="4"/>
  <c r="H59" i="4"/>
  <c r="A59" i="4"/>
  <c r="K58" i="4"/>
  <c r="J58" i="4"/>
  <c r="F58" i="13" s="1"/>
  <c r="I58" i="13" s="1"/>
  <c r="H58" i="4"/>
  <c r="A58" i="4"/>
  <c r="H57" i="4"/>
  <c r="A57" i="4"/>
  <c r="K56" i="4"/>
  <c r="J56" i="4"/>
  <c r="F56" i="13" s="1"/>
  <c r="I56" i="13" s="1"/>
  <c r="H56" i="4"/>
  <c r="A56" i="4"/>
  <c r="H55" i="4"/>
  <c r="A55" i="4"/>
  <c r="K54" i="4"/>
  <c r="J54" i="4"/>
  <c r="F54" i="13" s="1"/>
  <c r="I54" i="13" s="1"/>
  <c r="H54" i="4"/>
  <c r="A54" i="4"/>
  <c r="H53" i="4"/>
  <c r="A53" i="4"/>
  <c r="K52" i="4"/>
  <c r="J52" i="4"/>
  <c r="F52" i="13" s="1"/>
  <c r="I52" i="13" s="1"/>
  <c r="H52" i="4"/>
  <c r="A52" i="4"/>
  <c r="H51" i="4"/>
  <c r="A51" i="4"/>
  <c r="K50" i="4"/>
  <c r="J50" i="4"/>
  <c r="F50" i="13" s="1"/>
  <c r="I50" i="13" s="1"/>
  <c r="H50" i="4"/>
  <c r="A50" i="4"/>
  <c r="H49" i="4"/>
  <c r="A49" i="4"/>
  <c r="K48" i="4"/>
  <c r="J48" i="4"/>
  <c r="F48" i="13" s="1"/>
  <c r="I48" i="13" s="1"/>
  <c r="H48" i="4"/>
  <c r="A48" i="4"/>
  <c r="H47" i="4"/>
  <c r="A47" i="4"/>
  <c r="K46" i="4"/>
  <c r="J46" i="4"/>
  <c r="F46" i="13" s="1"/>
  <c r="I46" i="13" s="1"/>
  <c r="H46" i="4"/>
  <c r="A46" i="4"/>
  <c r="H45" i="4"/>
  <c r="A45" i="4"/>
  <c r="K44" i="4"/>
  <c r="J44" i="4"/>
  <c r="F44" i="13" s="1"/>
  <c r="I44" i="13" s="1"/>
  <c r="H44" i="4"/>
  <c r="A44" i="4"/>
  <c r="H43" i="4"/>
  <c r="A43" i="4"/>
  <c r="K42" i="4"/>
  <c r="J42" i="4"/>
  <c r="F42" i="13" s="1"/>
  <c r="I42" i="13" s="1"/>
  <c r="H42" i="4"/>
  <c r="A42" i="4"/>
  <c r="H41" i="4"/>
  <c r="A41" i="4"/>
  <c r="K40" i="4"/>
  <c r="J40" i="4"/>
  <c r="F40" i="13" s="1"/>
  <c r="I40" i="13" s="1"/>
  <c r="H40" i="4"/>
  <c r="A40" i="4"/>
  <c r="H39" i="4"/>
  <c r="A39" i="4"/>
  <c r="K38" i="4"/>
  <c r="J38" i="4"/>
  <c r="F38" i="13" s="1"/>
  <c r="I38" i="13" s="1"/>
  <c r="H38" i="4"/>
  <c r="A38" i="4"/>
  <c r="H37" i="4"/>
  <c r="A37" i="4"/>
  <c r="K36" i="4"/>
  <c r="J36" i="4"/>
  <c r="F36" i="13" s="1"/>
  <c r="I36" i="13" s="1"/>
  <c r="H36" i="4"/>
  <c r="A36" i="4"/>
  <c r="H35" i="4"/>
  <c r="A35" i="4"/>
  <c r="K34" i="4"/>
  <c r="J34" i="4"/>
  <c r="F34" i="13" s="1"/>
  <c r="I34" i="13" s="1"/>
  <c r="H34" i="4"/>
  <c r="A34" i="4"/>
  <c r="H33" i="4"/>
  <c r="A33" i="4"/>
  <c r="K32" i="4"/>
  <c r="J32" i="4"/>
  <c r="F32" i="13" s="1"/>
  <c r="I32" i="13" s="1"/>
  <c r="H32" i="4"/>
  <c r="A32" i="4"/>
  <c r="H31" i="4"/>
  <c r="A31" i="4"/>
  <c r="K30" i="4"/>
  <c r="J30" i="4"/>
  <c r="F30" i="13" s="1"/>
  <c r="I30" i="13" s="1"/>
  <c r="H30" i="4"/>
  <c r="A30" i="4"/>
  <c r="H29" i="4"/>
  <c r="A29" i="4"/>
  <c r="K28" i="4"/>
  <c r="J28" i="4"/>
  <c r="F28" i="13" s="1"/>
  <c r="I28" i="13" s="1"/>
  <c r="H28" i="4"/>
  <c r="A28" i="4"/>
  <c r="H27" i="4"/>
  <c r="A27" i="4"/>
  <c r="K26" i="4"/>
  <c r="J26" i="4"/>
  <c r="F26" i="13" s="1"/>
  <c r="I26" i="13" s="1"/>
  <c r="H26" i="4"/>
  <c r="A26" i="4"/>
  <c r="H25" i="4"/>
  <c r="A25" i="4"/>
  <c r="K24" i="4"/>
  <c r="J24" i="4"/>
  <c r="F24" i="13" s="1"/>
  <c r="I24" i="13" s="1"/>
  <c r="H24" i="4"/>
  <c r="A24" i="4"/>
  <c r="H23" i="4"/>
  <c r="A23" i="4"/>
  <c r="K22" i="4"/>
  <c r="J22" i="4"/>
  <c r="F22" i="13" s="1"/>
  <c r="I22" i="13" s="1"/>
  <c r="H22" i="4"/>
  <c r="A22" i="4"/>
  <c r="H21" i="4"/>
  <c r="A21" i="4"/>
  <c r="K20" i="4"/>
  <c r="J20" i="4"/>
  <c r="F20" i="13" s="1"/>
  <c r="I20" i="13" s="1"/>
  <c r="H20" i="4"/>
  <c r="A20" i="4"/>
  <c r="H19" i="4"/>
  <c r="A19" i="4"/>
  <c r="K18" i="4"/>
  <c r="J18" i="4"/>
  <c r="F18" i="13" s="1"/>
  <c r="I18" i="13" s="1"/>
  <c r="H18" i="4"/>
  <c r="A18" i="4"/>
  <c r="H17" i="4"/>
  <c r="A17" i="4"/>
  <c r="K16" i="4"/>
  <c r="J16" i="4"/>
  <c r="F16" i="13" s="1"/>
  <c r="I16" i="13" s="1"/>
  <c r="H16" i="4"/>
  <c r="A16" i="4"/>
  <c r="H15" i="4"/>
  <c r="A15" i="4"/>
  <c r="K14" i="4"/>
  <c r="J14" i="4"/>
  <c r="F14" i="13" s="1"/>
  <c r="I14" i="13" s="1"/>
  <c r="H14" i="4"/>
  <c r="A14" i="4"/>
  <c r="H13" i="4"/>
  <c r="A13" i="4"/>
  <c r="K12" i="4"/>
  <c r="J12" i="4"/>
  <c r="F12" i="13" s="1"/>
  <c r="I12" i="13" s="1"/>
  <c r="H12" i="4"/>
  <c r="A12" i="4"/>
  <c r="H11" i="4"/>
  <c r="A11" i="4"/>
  <c r="K10" i="4"/>
  <c r="J10" i="4"/>
  <c r="F10" i="13" s="1"/>
  <c r="I10" i="13" s="1"/>
  <c r="H10" i="4"/>
  <c r="A10" i="4"/>
  <c r="H9" i="4"/>
  <c r="A9" i="4"/>
  <c r="J8" i="4"/>
  <c r="F8" i="13" s="1"/>
  <c r="H8" i="4"/>
  <c r="A8" i="4"/>
  <c r="H7" i="4"/>
  <c r="A7" i="4"/>
  <c r="K6" i="4"/>
  <c r="J6" i="4"/>
  <c r="F6" i="13" s="1"/>
  <c r="H6" i="4"/>
  <c r="A6" i="4"/>
  <c r="H5" i="4"/>
  <c r="K8" i="4" s="1"/>
  <c r="A5" i="4"/>
  <c r="B12" i="2"/>
  <c r="B6" i="2"/>
  <c r="B18" i="1"/>
  <c r="P124" i="11"/>
  <c r="N124" i="11"/>
  <c r="O124" i="11" s="1"/>
  <c r="G124" i="12" s="1"/>
  <c r="H124" i="12" s="1"/>
  <c r="M124" i="11"/>
  <c r="I124" i="11"/>
  <c r="H124" i="11"/>
  <c r="G124" i="11"/>
  <c r="F124" i="11"/>
  <c r="E124" i="11"/>
  <c r="D124" i="11"/>
  <c r="C124" i="11"/>
  <c r="A124" i="11"/>
  <c r="O123" i="11"/>
  <c r="G123" i="12" s="1"/>
  <c r="H123" i="12" s="1"/>
  <c r="N123" i="11"/>
  <c r="M123" i="11"/>
  <c r="I123" i="11"/>
  <c r="H123" i="11"/>
  <c r="G123" i="11"/>
  <c r="F123" i="11"/>
  <c r="E123" i="11"/>
  <c r="D123" i="11"/>
  <c r="C123" i="11"/>
  <c r="A123" i="11"/>
  <c r="P122" i="11"/>
  <c r="N122" i="11"/>
  <c r="O122" i="11" s="1"/>
  <c r="M122" i="11"/>
  <c r="I122" i="11"/>
  <c r="H122" i="11"/>
  <c r="G122" i="11"/>
  <c r="F122" i="11"/>
  <c r="E122" i="11"/>
  <c r="D122" i="11"/>
  <c r="C122" i="11"/>
  <c r="A122" i="11"/>
  <c r="O121" i="11"/>
  <c r="G121" i="12" s="1"/>
  <c r="H121" i="12" s="1"/>
  <c r="N121" i="11"/>
  <c r="M121" i="11"/>
  <c r="I121" i="11"/>
  <c r="H121" i="11"/>
  <c r="G121" i="11"/>
  <c r="F121" i="11"/>
  <c r="E121" i="11"/>
  <c r="D121" i="11"/>
  <c r="C121" i="11"/>
  <c r="A121" i="11"/>
  <c r="P120" i="11"/>
  <c r="N120" i="11"/>
  <c r="O120" i="11" s="1"/>
  <c r="M120" i="11"/>
  <c r="I120" i="11"/>
  <c r="H120" i="11"/>
  <c r="G120" i="11"/>
  <c r="F120" i="11"/>
  <c r="E120" i="11"/>
  <c r="D120" i="11"/>
  <c r="C120" i="11"/>
  <c r="A120" i="11"/>
  <c r="O119" i="11"/>
  <c r="G119" i="12" s="1"/>
  <c r="H119" i="12" s="1"/>
  <c r="N119" i="11"/>
  <c r="M119" i="11"/>
  <c r="I119" i="11"/>
  <c r="H119" i="11"/>
  <c r="G119" i="11"/>
  <c r="F119" i="11"/>
  <c r="E119" i="11"/>
  <c r="D119" i="11"/>
  <c r="C119" i="11"/>
  <c r="A119" i="11"/>
  <c r="P118" i="11"/>
  <c r="N118" i="11"/>
  <c r="O118" i="11" s="1"/>
  <c r="M118" i="11"/>
  <c r="I118" i="11"/>
  <c r="H118" i="11"/>
  <c r="G118" i="11"/>
  <c r="F118" i="11"/>
  <c r="E118" i="11"/>
  <c r="D118" i="11"/>
  <c r="C118" i="11"/>
  <c r="A118" i="11"/>
  <c r="O117" i="11"/>
  <c r="G117" i="12" s="1"/>
  <c r="H117" i="12" s="1"/>
  <c r="N117" i="11"/>
  <c r="M117" i="11"/>
  <c r="I117" i="11"/>
  <c r="H117" i="11"/>
  <c r="G117" i="11"/>
  <c r="F117" i="11"/>
  <c r="E117" i="11"/>
  <c r="D117" i="11"/>
  <c r="C117" i="11"/>
  <c r="A117" i="11"/>
  <c r="P116" i="11"/>
  <c r="N116" i="11"/>
  <c r="O116" i="11" s="1"/>
  <c r="M116" i="11"/>
  <c r="I116" i="11"/>
  <c r="H116" i="11"/>
  <c r="G116" i="11"/>
  <c r="F116" i="11"/>
  <c r="E116" i="11"/>
  <c r="D116" i="11"/>
  <c r="C116" i="11"/>
  <c r="A116" i="11"/>
  <c r="O115" i="11"/>
  <c r="G115" i="12" s="1"/>
  <c r="H115" i="12" s="1"/>
  <c r="N115" i="11"/>
  <c r="M115" i="11"/>
  <c r="I115" i="11"/>
  <c r="H115" i="11"/>
  <c r="G115" i="11"/>
  <c r="F115" i="11"/>
  <c r="E115" i="11"/>
  <c r="D115" i="11"/>
  <c r="C115" i="11"/>
  <c r="A115" i="11"/>
  <c r="P114" i="11"/>
  <c r="N114" i="11"/>
  <c r="O114" i="11" s="1"/>
  <c r="M114" i="11"/>
  <c r="I114" i="11"/>
  <c r="H114" i="11"/>
  <c r="G114" i="11"/>
  <c r="F114" i="11"/>
  <c r="E114" i="11"/>
  <c r="D114" i="11"/>
  <c r="C114" i="11"/>
  <c r="A114" i="11"/>
  <c r="O113" i="11"/>
  <c r="G113" i="12" s="1"/>
  <c r="H113" i="12" s="1"/>
  <c r="N113" i="11"/>
  <c r="M113" i="11"/>
  <c r="I113" i="11"/>
  <c r="H113" i="11"/>
  <c r="G113" i="11"/>
  <c r="F113" i="11"/>
  <c r="E113" i="11"/>
  <c r="D113" i="11"/>
  <c r="C113" i="11"/>
  <c r="A113" i="11"/>
  <c r="P112" i="11"/>
  <c r="N112" i="11"/>
  <c r="O112" i="11" s="1"/>
  <c r="M112" i="11"/>
  <c r="I112" i="11"/>
  <c r="H112" i="11"/>
  <c r="G112" i="11"/>
  <c r="F112" i="11"/>
  <c r="E112" i="11"/>
  <c r="D112" i="11"/>
  <c r="C112" i="11"/>
  <c r="A112" i="11"/>
  <c r="O111" i="11"/>
  <c r="G111" i="12" s="1"/>
  <c r="H111" i="12" s="1"/>
  <c r="N111" i="11"/>
  <c r="M111" i="11"/>
  <c r="I111" i="11"/>
  <c r="H111" i="11"/>
  <c r="G111" i="11"/>
  <c r="F111" i="11"/>
  <c r="E111" i="11"/>
  <c r="D111" i="11"/>
  <c r="C111" i="11"/>
  <c r="A111" i="11"/>
  <c r="P110" i="11"/>
  <c r="N110" i="11"/>
  <c r="O110" i="11" s="1"/>
  <c r="M110" i="11"/>
  <c r="I110" i="11"/>
  <c r="H110" i="11"/>
  <c r="G110" i="11"/>
  <c r="F110" i="11"/>
  <c r="E110" i="11"/>
  <c r="D110" i="11"/>
  <c r="C110" i="11"/>
  <c r="A110" i="11"/>
  <c r="O109" i="11"/>
  <c r="G109" i="12" s="1"/>
  <c r="H109" i="12" s="1"/>
  <c r="N109" i="11"/>
  <c r="M109" i="11"/>
  <c r="I109" i="11"/>
  <c r="H109" i="11"/>
  <c r="G109" i="11"/>
  <c r="F109" i="11"/>
  <c r="E109" i="11"/>
  <c r="D109" i="11"/>
  <c r="C109" i="11"/>
  <c r="A109" i="11"/>
  <c r="P108" i="11"/>
  <c r="N108" i="11"/>
  <c r="O108" i="11" s="1"/>
  <c r="M108" i="11"/>
  <c r="I108" i="11"/>
  <c r="H108" i="11"/>
  <c r="G108" i="11"/>
  <c r="F108" i="11"/>
  <c r="E108" i="11"/>
  <c r="D108" i="11"/>
  <c r="C108" i="11"/>
  <c r="A108" i="11"/>
  <c r="O107" i="11"/>
  <c r="G107" i="12" s="1"/>
  <c r="H107" i="12" s="1"/>
  <c r="N107" i="11"/>
  <c r="M107" i="11"/>
  <c r="I107" i="11"/>
  <c r="H107" i="11"/>
  <c r="G107" i="11"/>
  <c r="F107" i="11"/>
  <c r="E107" i="11"/>
  <c r="D107" i="11"/>
  <c r="C107" i="11"/>
  <c r="A107" i="11"/>
  <c r="P106" i="11"/>
  <c r="N106" i="11"/>
  <c r="O106" i="11" s="1"/>
  <c r="M106" i="11"/>
  <c r="I106" i="11"/>
  <c r="H106" i="11"/>
  <c r="G106" i="11"/>
  <c r="F106" i="11"/>
  <c r="E106" i="11"/>
  <c r="D106" i="11"/>
  <c r="C106" i="11"/>
  <c r="A106" i="11"/>
  <c r="O105" i="11"/>
  <c r="G105" i="12" s="1"/>
  <c r="H105" i="12" s="1"/>
  <c r="N105" i="11"/>
  <c r="M105" i="11"/>
  <c r="I105" i="11"/>
  <c r="H105" i="11"/>
  <c r="G105" i="11"/>
  <c r="F105" i="11"/>
  <c r="E105" i="11"/>
  <c r="D105" i="11"/>
  <c r="C105" i="11"/>
  <c r="A105" i="11"/>
  <c r="P104" i="11"/>
  <c r="N104" i="11"/>
  <c r="O104" i="11" s="1"/>
  <c r="M104" i="11"/>
  <c r="I104" i="11"/>
  <c r="H104" i="11"/>
  <c r="G104" i="11"/>
  <c r="F104" i="11"/>
  <c r="E104" i="11"/>
  <c r="D104" i="11"/>
  <c r="C104" i="11"/>
  <c r="A104" i="11"/>
  <c r="O103" i="11"/>
  <c r="G103" i="12" s="1"/>
  <c r="H103" i="12" s="1"/>
  <c r="N103" i="11"/>
  <c r="M103" i="11"/>
  <c r="I103" i="11"/>
  <c r="H103" i="11"/>
  <c r="G103" i="11"/>
  <c r="F103" i="11"/>
  <c r="E103" i="11"/>
  <c r="D103" i="11"/>
  <c r="C103" i="11"/>
  <c r="A103" i="11"/>
  <c r="P102" i="11"/>
  <c r="N102" i="11"/>
  <c r="O102" i="11" s="1"/>
  <c r="M102" i="11"/>
  <c r="I102" i="11"/>
  <c r="H102" i="11"/>
  <c r="G102" i="11"/>
  <c r="F102" i="11"/>
  <c r="E102" i="11"/>
  <c r="D102" i="11"/>
  <c r="C102" i="11"/>
  <c r="A102" i="11"/>
  <c r="O101" i="11"/>
  <c r="G101" i="12" s="1"/>
  <c r="H101" i="12" s="1"/>
  <c r="N101" i="11"/>
  <c r="M101" i="11"/>
  <c r="I101" i="11"/>
  <c r="H101" i="11"/>
  <c r="G101" i="11"/>
  <c r="F101" i="11"/>
  <c r="E101" i="11"/>
  <c r="D101" i="11"/>
  <c r="C101" i="11"/>
  <c r="A101" i="11"/>
  <c r="P100" i="11"/>
  <c r="N100" i="11"/>
  <c r="O100" i="11" s="1"/>
  <c r="M100" i="11"/>
  <c r="I100" i="11"/>
  <c r="H100" i="11"/>
  <c r="G100" i="11"/>
  <c r="F100" i="11"/>
  <c r="E100" i="11"/>
  <c r="D100" i="11"/>
  <c r="C100" i="11"/>
  <c r="A100" i="11"/>
  <c r="O99" i="11"/>
  <c r="G99" i="12" s="1"/>
  <c r="H99" i="12" s="1"/>
  <c r="N99" i="11"/>
  <c r="M99" i="11"/>
  <c r="I99" i="11"/>
  <c r="H99" i="11"/>
  <c r="G99" i="11"/>
  <c r="F99" i="11"/>
  <c r="E99" i="11"/>
  <c r="D99" i="11"/>
  <c r="C99" i="11"/>
  <c r="A99" i="11"/>
  <c r="P98" i="11"/>
  <c r="N98" i="11"/>
  <c r="O98" i="11" s="1"/>
  <c r="M98" i="11"/>
  <c r="I98" i="11"/>
  <c r="H98" i="11"/>
  <c r="G98" i="11"/>
  <c r="F98" i="11"/>
  <c r="E98" i="11"/>
  <c r="D98" i="11"/>
  <c r="C98" i="11"/>
  <c r="A98" i="11"/>
  <c r="O97" i="11"/>
  <c r="G97" i="12" s="1"/>
  <c r="H97" i="12" s="1"/>
  <c r="N97" i="11"/>
  <c r="M97" i="11"/>
  <c r="I97" i="11"/>
  <c r="H97" i="11"/>
  <c r="G97" i="11"/>
  <c r="F97" i="11"/>
  <c r="E97" i="11"/>
  <c r="D97" i="11"/>
  <c r="C97" i="11"/>
  <c r="A97" i="11"/>
  <c r="P96" i="11"/>
  <c r="N96" i="11"/>
  <c r="O96" i="11" s="1"/>
  <c r="M96" i="11"/>
  <c r="I96" i="11"/>
  <c r="H96" i="11"/>
  <c r="G96" i="11"/>
  <c r="F96" i="11"/>
  <c r="E96" i="11"/>
  <c r="D96" i="11"/>
  <c r="C96" i="11"/>
  <c r="A96" i="11"/>
  <c r="O95" i="11"/>
  <c r="G95" i="12" s="1"/>
  <c r="H95" i="12" s="1"/>
  <c r="N95" i="11"/>
  <c r="M95" i="11"/>
  <c r="I95" i="11"/>
  <c r="H95" i="11"/>
  <c r="G95" i="11"/>
  <c r="F95" i="11"/>
  <c r="E95" i="11"/>
  <c r="D95" i="11"/>
  <c r="C95" i="11"/>
  <c r="A95" i="11"/>
  <c r="P94" i="11"/>
  <c r="N94" i="11"/>
  <c r="O94" i="11" s="1"/>
  <c r="M94" i="11"/>
  <c r="I94" i="11"/>
  <c r="H94" i="11"/>
  <c r="G94" i="11"/>
  <c r="F94" i="11"/>
  <c r="E94" i="11"/>
  <c r="D94" i="11"/>
  <c r="C94" i="11"/>
  <c r="A94" i="11"/>
  <c r="O93" i="11"/>
  <c r="G93" i="12" s="1"/>
  <c r="H93" i="12" s="1"/>
  <c r="N93" i="11"/>
  <c r="M93" i="11"/>
  <c r="I93" i="11"/>
  <c r="H93" i="11"/>
  <c r="G93" i="11"/>
  <c r="F93" i="11"/>
  <c r="E93" i="11"/>
  <c r="D93" i="11"/>
  <c r="C93" i="11"/>
  <c r="A93" i="11"/>
  <c r="P92" i="11"/>
  <c r="N92" i="11"/>
  <c r="O92" i="11" s="1"/>
  <c r="M92" i="11"/>
  <c r="I92" i="11"/>
  <c r="H92" i="11"/>
  <c r="G92" i="11"/>
  <c r="F92" i="11"/>
  <c r="E92" i="11"/>
  <c r="D92" i="11"/>
  <c r="C92" i="11"/>
  <c r="A92" i="11"/>
  <c r="O91" i="11"/>
  <c r="G91" i="12" s="1"/>
  <c r="H91" i="12" s="1"/>
  <c r="N91" i="11"/>
  <c r="M91" i="11"/>
  <c r="I91" i="11"/>
  <c r="H91" i="11"/>
  <c r="G91" i="11"/>
  <c r="F91" i="11"/>
  <c r="E91" i="11"/>
  <c r="D91" i="11"/>
  <c r="C91" i="11"/>
  <c r="A91" i="11"/>
  <c r="P90" i="11"/>
  <c r="N90" i="11"/>
  <c r="O90" i="11" s="1"/>
  <c r="M90" i="11"/>
  <c r="I90" i="11"/>
  <c r="H90" i="11"/>
  <c r="G90" i="11"/>
  <c r="F90" i="11"/>
  <c r="E90" i="11"/>
  <c r="D90" i="11"/>
  <c r="C90" i="11"/>
  <c r="A90" i="11"/>
  <c r="O89" i="11"/>
  <c r="G89" i="12" s="1"/>
  <c r="H89" i="12" s="1"/>
  <c r="N89" i="11"/>
  <c r="M89" i="11"/>
  <c r="I89" i="11"/>
  <c r="H89" i="11"/>
  <c r="G89" i="11"/>
  <c r="F89" i="11"/>
  <c r="E89" i="11"/>
  <c r="D89" i="11"/>
  <c r="C89" i="11"/>
  <c r="A89" i="11"/>
  <c r="P88" i="11"/>
  <c r="N88" i="11"/>
  <c r="O88" i="11" s="1"/>
  <c r="M88" i="11"/>
  <c r="I88" i="11"/>
  <c r="H88" i="11"/>
  <c r="G88" i="11"/>
  <c r="F88" i="11"/>
  <c r="E88" i="11"/>
  <c r="D88" i="11"/>
  <c r="C88" i="11"/>
  <c r="A88" i="11"/>
  <c r="O87" i="11"/>
  <c r="G87" i="12" s="1"/>
  <c r="H87" i="12" s="1"/>
  <c r="N87" i="11"/>
  <c r="M87" i="11"/>
  <c r="I87" i="11"/>
  <c r="H87" i="11"/>
  <c r="G87" i="11"/>
  <c r="F87" i="11"/>
  <c r="E87" i="11"/>
  <c r="D87" i="11"/>
  <c r="C87" i="11"/>
  <c r="A87" i="11"/>
  <c r="P86" i="11"/>
  <c r="N86" i="11"/>
  <c r="O86" i="11" s="1"/>
  <c r="M86" i="11"/>
  <c r="I86" i="11"/>
  <c r="H86" i="11"/>
  <c r="G86" i="11"/>
  <c r="F86" i="11"/>
  <c r="E86" i="11"/>
  <c r="D86" i="11"/>
  <c r="C86" i="11"/>
  <c r="A86" i="11"/>
  <c r="O85" i="11"/>
  <c r="G85" i="12" s="1"/>
  <c r="H85" i="12" s="1"/>
  <c r="N85" i="11"/>
  <c r="M85" i="11"/>
  <c r="I85" i="11"/>
  <c r="H85" i="11"/>
  <c r="G85" i="11"/>
  <c r="F85" i="11"/>
  <c r="E85" i="11"/>
  <c r="D85" i="11"/>
  <c r="C85" i="11"/>
  <c r="A85" i="11"/>
  <c r="P84" i="11"/>
  <c r="N84" i="11"/>
  <c r="O84" i="11" s="1"/>
  <c r="M84" i="11"/>
  <c r="I84" i="11"/>
  <c r="H84" i="11"/>
  <c r="G84" i="11"/>
  <c r="F84" i="11"/>
  <c r="E84" i="11"/>
  <c r="D84" i="11"/>
  <c r="C84" i="11"/>
  <c r="A84" i="11"/>
  <c r="O83" i="11"/>
  <c r="G83" i="12" s="1"/>
  <c r="H83" i="12" s="1"/>
  <c r="N83" i="11"/>
  <c r="M83" i="11"/>
  <c r="I83" i="11"/>
  <c r="H83" i="11"/>
  <c r="G83" i="11"/>
  <c r="F83" i="11"/>
  <c r="E83" i="11"/>
  <c r="D83" i="11"/>
  <c r="C83" i="11"/>
  <c r="A83" i="11"/>
  <c r="P82" i="11"/>
  <c r="N82" i="11"/>
  <c r="O82" i="11" s="1"/>
  <c r="M82" i="11"/>
  <c r="I82" i="11"/>
  <c r="H82" i="11"/>
  <c r="G82" i="11"/>
  <c r="F82" i="11"/>
  <c r="E82" i="11"/>
  <c r="D82" i="11"/>
  <c r="C82" i="11"/>
  <c r="A82" i="11"/>
  <c r="O81" i="11"/>
  <c r="G81" i="12" s="1"/>
  <c r="H81" i="12" s="1"/>
  <c r="N81" i="11"/>
  <c r="M81" i="11"/>
  <c r="I81" i="11"/>
  <c r="H81" i="11"/>
  <c r="G81" i="11"/>
  <c r="F81" i="11"/>
  <c r="E81" i="11"/>
  <c r="D81" i="11"/>
  <c r="C81" i="11"/>
  <c r="A81" i="11"/>
  <c r="P80" i="11"/>
  <c r="N80" i="11"/>
  <c r="O80" i="11" s="1"/>
  <c r="M80" i="11"/>
  <c r="I80" i="11"/>
  <c r="H80" i="11"/>
  <c r="G80" i="11"/>
  <c r="F80" i="11"/>
  <c r="E80" i="11"/>
  <c r="D80" i="11"/>
  <c r="C80" i="11"/>
  <c r="A80" i="11"/>
  <c r="O79" i="11"/>
  <c r="G79" i="12" s="1"/>
  <c r="H79" i="12" s="1"/>
  <c r="N79" i="11"/>
  <c r="M79" i="11"/>
  <c r="I79" i="11"/>
  <c r="H79" i="11"/>
  <c r="G79" i="11"/>
  <c r="F79" i="11"/>
  <c r="E79" i="11"/>
  <c r="D79" i="11"/>
  <c r="C79" i="11"/>
  <c r="A79" i="11"/>
  <c r="P78" i="11"/>
  <c r="N78" i="11"/>
  <c r="O78" i="11" s="1"/>
  <c r="M78" i="11"/>
  <c r="I78" i="11"/>
  <c r="H78" i="11"/>
  <c r="G78" i="11"/>
  <c r="F78" i="11"/>
  <c r="E78" i="11"/>
  <c r="D78" i="11"/>
  <c r="C78" i="11"/>
  <c r="A78" i="11"/>
  <c r="O77" i="11"/>
  <c r="G77" i="12" s="1"/>
  <c r="H77" i="12" s="1"/>
  <c r="N77" i="11"/>
  <c r="M77" i="11"/>
  <c r="I77" i="11"/>
  <c r="H77" i="11"/>
  <c r="G77" i="11"/>
  <c r="F77" i="11"/>
  <c r="E77" i="11"/>
  <c r="D77" i="11"/>
  <c r="C77" i="11"/>
  <c r="A77" i="11"/>
  <c r="P76" i="11"/>
  <c r="N76" i="11"/>
  <c r="O76" i="11" s="1"/>
  <c r="M76" i="11"/>
  <c r="I76" i="11"/>
  <c r="H76" i="11"/>
  <c r="G76" i="11"/>
  <c r="F76" i="11"/>
  <c r="E76" i="11"/>
  <c r="D76" i="11"/>
  <c r="C76" i="11"/>
  <c r="A76" i="11"/>
  <c r="O75" i="11"/>
  <c r="G75" i="12" s="1"/>
  <c r="H75" i="12" s="1"/>
  <c r="N75" i="11"/>
  <c r="M75" i="11"/>
  <c r="I75" i="11"/>
  <c r="H75" i="11"/>
  <c r="G75" i="11"/>
  <c r="F75" i="11"/>
  <c r="E75" i="11"/>
  <c r="D75" i="11"/>
  <c r="C75" i="11"/>
  <c r="A75" i="11"/>
  <c r="P74" i="11"/>
  <c r="N74" i="11"/>
  <c r="O74" i="11" s="1"/>
  <c r="M74" i="11"/>
  <c r="I74" i="11"/>
  <c r="H74" i="11"/>
  <c r="G74" i="11"/>
  <c r="F74" i="11"/>
  <c r="E74" i="11"/>
  <c r="D74" i="11"/>
  <c r="C74" i="11"/>
  <c r="A74" i="11"/>
  <c r="O73" i="11"/>
  <c r="G73" i="12" s="1"/>
  <c r="H73" i="12" s="1"/>
  <c r="N73" i="11"/>
  <c r="M73" i="11"/>
  <c r="I73" i="11"/>
  <c r="H73" i="11"/>
  <c r="G73" i="11"/>
  <c r="F73" i="11"/>
  <c r="E73" i="11"/>
  <c r="D73" i="11"/>
  <c r="C73" i="11"/>
  <c r="A73" i="11"/>
  <c r="P72" i="11"/>
  <c r="N72" i="11"/>
  <c r="O72" i="11" s="1"/>
  <c r="M72" i="11"/>
  <c r="I72" i="11"/>
  <c r="H72" i="11"/>
  <c r="G72" i="11"/>
  <c r="F72" i="11"/>
  <c r="E72" i="11"/>
  <c r="D72" i="11"/>
  <c r="C72" i="11"/>
  <c r="A72" i="11"/>
  <c r="O71" i="11"/>
  <c r="G71" i="12" s="1"/>
  <c r="H71" i="12" s="1"/>
  <c r="N71" i="11"/>
  <c r="M71" i="11"/>
  <c r="I71" i="11"/>
  <c r="H71" i="11"/>
  <c r="G71" i="11"/>
  <c r="F71" i="11"/>
  <c r="E71" i="11"/>
  <c r="D71" i="11"/>
  <c r="C71" i="11"/>
  <c r="A71" i="11"/>
  <c r="P70" i="11"/>
  <c r="N70" i="11"/>
  <c r="O70" i="11" s="1"/>
  <c r="M70" i="11"/>
  <c r="I70" i="11"/>
  <c r="H70" i="11"/>
  <c r="G70" i="11"/>
  <c r="F70" i="11"/>
  <c r="E70" i="11"/>
  <c r="D70" i="11"/>
  <c r="C70" i="11"/>
  <c r="A70" i="11"/>
  <c r="O69" i="11"/>
  <c r="G69" i="12" s="1"/>
  <c r="H69" i="12" s="1"/>
  <c r="N69" i="11"/>
  <c r="M69" i="11"/>
  <c r="I69" i="11"/>
  <c r="H69" i="11"/>
  <c r="G69" i="11"/>
  <c r="F69" i="11"/>
  <c r="E69" i="11"/>
  <c r="D69" i="11"/>
  <c r="C69" i="11"/>
  <c r="A69" i="11"/>
  <c r="P68" i="11"/>
  <c r="N68" i="11"/>
  <c r="O68" i="11" s="1"/>
  <c r="M68" i="11"/>
  <c r="I68" i="11"/>
  <c r="H68" i="11"/>
  <c r="G68" i="11"/>
  <c r="F68" i="11"/>
  <c r="E68" i="11"/>
  <c r="D68" i="11"/>
  <c r="C68" i="11"/>
  <c r="A68" i="11"/>
  <c r="O67" i="11"/>
  <c r="G67" i="12" s="1"/>
  <c r="H67" i="12" s="1"/>
  <c r="N67" i="11"/>
  <c r="M67" i="11"/>
  <c r="I67" i="11"/>
  <c r="H67" i="11"/>
  <c r="G67" i="11"/>
  <c r="F67" i="11"/>
  <c r="E67" i="11"/>
  <c r="D67" i="11"/>
  <c r="C67" i="11"/>
  <c r="A67" i="11"/>
  <c r="P66" i="11"/>
  <c r="N66" i="11"/>
  <c r="O66" i="11" s="1"/>
  <c r="M66" i="11"/>
  <c r="I66" i="11"/>
  <c r="H66" i="11"/>
  <c r="G66" i="11"/>
  <c r="F66" i="11"/>
  <c r="E66" i="11"/>
  <c r="D66" i="11"/>
  <c r="C66" i="11"/>
  <c r="A66" i="11"/>
  <c r="O65" i="11"/>
  <c r="G65" i="12" s="1"/>
  <c r="H65" i="12" s="1"/>
  <c r="N65" i="11"/>
  <c r="M65" i="11"/>
  <c r="I65" i="11"/>
  <c r="H65" i="11"/>
  <c r="G65" i="11"/>
  <c r="F65" i="11"/>
  <c r="E65" i="11"/>
  <c r="D65" i="11"/>
  <c r="C65" i="11"/>
  <c r="A65" i="11"/>
  <c r="P64" i="11"/>
  <c r="N64" i="11"/>
  <c r="O64" i="11" s="1"/>
  <c r="M64" i="11"/>
  <c r="I64" i="11"/>
  <c r="H64" i="11"/>
  <c r="G64" i="11"/>
  <c r="F64" i="11"/>
  <c r="E64" i="11"/>
  <c r="D64" i="11"/>
  <c r="C64" i="11"/>
  <c r="A64" i="11"/>
  <c r="O63" i="11"/>
  <c r="G63" i="12" s="1"/>
  <c r="H63" i="12" s="1"/>
  <c r="N63" i="11"/>
  <c r="M63" i="11"/>
  <c r="I63" i="11"/>
  <c r="H63" i="11"/>
  <c r="G63" i="11"/>
  <c r="F63" i="11"/>
  <c r="E63" i="11"/>
  <c r="D63" i="11"/>
  <c r="C63" i="11"/>
  <c r="A63" i="11"/>
  <c r="P62" i="11"/>
  <c r="N62" i="11"/>
  <c r="O62" i="11" s="1"/>
  <c r="M62" i="11"/>
  <c r="I62" i="11"/>
  <c r="H62" i="11"/>
  <c r="G62" i="11"/>
  <c r="F62" i="11"/>
  <c r="E62" i="11"/>
  <c r="D62" i="11"/>
  <c r="C62" i="11"/>
  <c r="A62" i="11"/>
  <c r="O61" i="11"/>
  <c r="G61" i="12" s="1"/>
  <c r="H61" i="12" s="1"/>
  <c r="N61" i="11"/>
  <c r="M61" i="11"/>
  <c r="I61" i="11"/>
  <c r="H61" i="11"/>
  <c r="G61" i="11"/>
  <c r="F61" i="11"/>
  <c r="E61" i="11"/>
  <c r="D61" i="11"/>
  <c r="C61" i="11"/>
  <c r="A61" i="11"/>
  <c r="P60" i="11"/>
  <c r="N60" i="11"/>
  <c r="O60" i="11" s="1"/>
  <c r="M60" i="11"/>
  <c r="I60" i="11"/>
  <c r="H60" i="11"/>
  <c r="G60" i="11"/>
  <c r="F60" i="11"/>
  <c r="E60" i="11"/>
  <c r="D60" i="11"/>
  <c r="C60" i="11"/>
  <c r="A60" i="11"/>
  <c r="O59" i="11"/>
  <c r="G59" i="12" s="1"/>
  <c r="H59" i="12" s="1"/>
  <c r="N59" i="11"/>
  <c r="M59" i="11"/>
  <c r="I59" i="11"/>
  <c r="H59" i="11"/>
  <c r="G59" i="11"/>
  <c r="F59" i="11"/>
  <c r="E59" i="11"/>
  <c r="D59" i="11"/>
  <c r="C59" i="11"/>
  <c r="A59" i="11"/>
  <c r="P58" i="11"/>
  <c r="N58" i="11"/>
  <c r="O58" i="11" s="1"/>
  <c r="M58" i="11"/>
  <c r="I58" i="11"/>
  <c r="H58" i="11"/>
  <c r="G58" i="11"/>
  <c r="F58" i="11"/>
  <c r="E58" i="11"/>
  <c r="D58" i="11"/>
  <c r="C58" i="11"/>
  <c r="A58" i="11"/>
  <c r="O57" i="11"/>
  <c r="G57" i="12" s="1"/>
  <c r="H57" i="12" s="1"/>
  <c r="N57" i="11"/>
  <c r="M57" i="11"/>
  <c r="I57" i="11"/>
  <c r="H57" i="11"/>
  <c r="G57" i="11"/>
  <c r="F57" i="11"/>
  <c r="E57" i="11"/>
  <c r="D57" i="11"/>
  <c r="C57" i="11"/>
  <c r="A57" i="11"/>
  <c r="P56" i="11"/>
  <c r="N56" i="11"/>
  <c r="O56" i="11" s="1"/>
  <c r="M56" i="11"/>
  <c r="I56" i="11"/>
  <c r="H56" i="11"/>
  <c r="G56" i="11"/>
  <c r="F56" i="11"/>
  <c r="E56" i="11"/>
  <c r="D56" i="11"/>
  <c r="C56" i="11"/>
  <c r="A56" i="11"/>
  <c r="O55" i="11"/>
  <c r="G55" i="12" s="1"/>
  <c r="H55" i="12" s="1"/>
  <c r="N55" i="11"/>
  <c r="M55" i="11"/>
  <c r="I55" i="11"/>
  <c r="H55" i="11"/>
  <c r="G55" i="11"/>
  <c r="F55" i="11"/>
  <c r="E55" i="11"/>
  <c r="D55" i="11"/>
  <c r="C55" i="11"/>
  <c r="A55" i="11"/>
  <c r="P54" i="11"/>
  <c r="N54" i="11"/>
  <c r="O54" i="11" s="1"/>
  <c r="M54" i="11"/>
  <c r="I54" i="11"/>
  <c r="H54" i="11"/>
  <c r="G54" i="11"/>
  <c r="F54" i="11"/>
  <c r="E54" i="11"/>
  <c r="D54" i="11"/>
  <c r="C54" i="11"/>
  <c r="A54" i="11"/>
  <c r="O53" i="11"/>
  <c r="G53" i="12" s="1"/>
  <c r="H53" i="12" s="1"/>
  <c r="N53" i="11"/>
  <c r="M53" i="11"/>
  <c r="I53" i="11"/>
  <c r="H53" i="11"/>
  <c r="G53" i="11"/>
  <c r="F53" i="11"/>
  <c r="E53" i="11"/>
  <c r="D53" i="11"/>
  <c r="C53" i="11"/>
  <c r="A53" i="11"/>
  <c r="P52" i="11"/>
  <c r="N52" i="11"/>
  <c r="O52" i="11" s="1"/>
  <c r="M52" i="11"/>
  <c r="I52" i="11"/>
  <c r="H52" i="11"/>
  <c r="G52" i="11"/>
  <c r="F52" i="11"/>
  <c r="E52" i="11"/>
  <c r="D52" i="11"/>
  <c r="C52" i="11"/>
  <c r="A52" i="11"/>
  <c r="O51" i="11"/>
  <c r="G51" i="12" s="1"/>
  <c r="H51" i="12" s="1"/>
  <c r="N51" i="11"/>
  <c r="M51" i="11"/>
  <c r="I51" i="11"/>
  <c r="H51" i="11"/>
  <c r="G51" i="11"/>
  <c r="F51" i="11"/>
  <c r="E51" i="11"/>
  <c r="D51" i="11"/>
  <c r="C51" i="11"/>
  <c r="A51" i="11"/>
  <c r="P50" i="11"/>
  <c r="N50" i="11"/>
  <c r="O50" i="11" s="1"/>
  <c r="M50" i="11"/>
  <c r="I50" i="11"/>
  <c r="H50" i="11"/>
  <c r="G50" i="11"/>
  <c r="F50" i="11"/>
  <c r="E50" i="11"/>
  <c r="D50" i="11"/>
  <c r="C50" i="11"/>
  <c r="A50" i="11"/>
  <c r="O49" i="11"/>
  <c r="G49" i="12" s="1"/>
  <c r="H49" i="12" s="1"/>
  <c r="N49" i="11"/>
  <c r="M49" i="11"/>
  <c r="I49" i="11"/>
  <c r="H49" i="11"/>
  <c r="G49" i="11"/>
  <c r="F49" i="11"/>
  <c r="E49" i="11"/>
  <c r="D49" i="11"/>
  <c r="C49" i="11"/>
  <c r="A49" i="11"/>
  <c r="P48" i="11"/>
  <c r="N48" i="11"/>
  <c r="O48" i="11" s="1"/>
  <c r="M48" i="11"/>
  <c r="I48" i="11"/>
  <c r="H48" i="11"/>
  <c r="G48" i="11"/>
  <c r="F48" i="11"/>
  <c r="E48" i="11"/>
  <c r="D48" i="11"/>
  <c r="C48" i="11"/>
  <c r="A48" i="11"/>
  <c r="O47" i="11"/>
  <c r="G47" i="12" s="1"/>
  <c r="H47" i="12" s="1"/>
  <c r="N47" i="11"/>
  <c r="M47" i="11"/>
  <c r="I47" i="11"/>
  <c r="H47" i="11"/>
  <c r="G47" i="11"/>
  <c r="F47" i="11"/>
  <c r="E47" i="11"/>
  <c r="D47" i="11"/>
  <c r="C47" i="11"/>
  <c r="A47" i="11"/>
  <c r="P46" i="11"/>
  <c r="N46" i="11"/>
  <c r="O46" i="11" s="1"/>
  <c r="M46" i="11"/>
  <c r="I46" i="11"/>
  <c r="H46" i="11"/>
  <c r="G46" i="11"/>
  <c r="F46" i="11"/>
  <c r="E46" i="11"/>
  <c r="D46" i="11"/>
  <c r="C46" i="11"/>
  <c r="A46" i="11"/>
  <c r="O45" i="11"/>
  <c r="G45" i="12" s="1"/>
  <c r="H45" i="12" s="1"/>
  <c r="N45" i="11"/>
  <c r="M45" i="11"/>
  <c r="I45" i="11"/>
  <c r="H45" i="11"/>
  <c r="G45" i="11"/>
  <c r="F45" i="11"/>
  <c r="E45" i="11"/>
  <c r="D45" i="11"/>
  <c r="C45" i="11"/>
  <c r="A45" i="11"/>
  <c r="P44" i="11"/>
  <c r="N44" i="11"/>
  <c r="O44" i="11" s="1"/>
  <c r="M44" i="11"/>
  <c r="I44" i="11"/>
  <c r="H44" i="11"/>
  <c r="G44" i="11"/>
  <c r="F44" i="11"/>
  <c r="E44" i="11"/>
  <c r="D44" i="11"/>
  <c r="C44" i="11"/>
  <c r="A44" i="11"/>
  <c r="O43" i="11"/>
  <c r="G43" i="12" s="1"/>
  <c r="H43" i="12" s="1"/>
  <c r="N43" i="11"/>
  <c r="M43" i="11"/>
  <c r="I43" i="11"/>
  <c r="H43" i="11"/>
  <c r="G43" i="11"/>
  <c r="F43" i="11"/>
  <c r="E43" i="11"/>
  <c r="D43" i="11"/>
  <c r="C43" i="11"/>
  <c r="A43" i="11"/>
  <c r="P42" i="11"/>
  <c r="N42" i="11"/>
  <c r="O42" i="11" s="1"/>
  <c r="M42" i="11"/>
  <c r="I42" i="11"/>
  <c r="H42" i="11"/>
  <c r="G42" i="11"/>
  <c r="F42" i="11"/>
  <c r="E42" i="11"/>
  <c r="D42" i="11"/>
  <c r="C42" i="11"/>
  <c r="A42" i="11"/>
  <c r="O41" i="11"/>
  <c r="G41" i="12" s="1"/>
  <c r="H41" i="12" s="1"/>
  <c r="N41" i="11"/>
  <c r="M41" i="11"/>
  <c r="I41" i="11"/>
  <c r="H41" i="11"/>
  <c r="G41" i="11"/>
  <c r="F41" i="11"/>
  <c r="E41" i="11"/>
  <c r="D41" i="11"/>
  <c r="C41" i="11"/>
  <c r="A41" i="11"/>
  <c r="P40" i="11"/>
  <c r="N40" i="11"/>
  <c r="O40" i="11" s="1"/>
  <c r="M40" i="11"/>
  <c r="I40" i="11"/>
  <c r="H40" i="11"/>
  <c r="G40" i="11"/>
  <c r="F40" i="11"/>
  <c r="E40" i="11"/>
  <c r="D40" i="11"/>
  <c r="C40" i="11"/>
  <c r="A40" i="11"/>
  <c r="O39" i="11"/>
  <c r="G39" i="12" s="1"/>
  <c r="H39" i="12" s="1"/>
  <c r="N39" i="11"/>
  <c r="M39" i="11"/>
  <c r="I39" i="11"/>
  <c r="H39" i="11"/>
  <c r="G39" i="11"/>
  <c r="F39" i="11"/>
  <c r="E39" i="11"/>
  <c r="D39" i="11"/>
  <c r="C39" i="11"/>
  <c r="A39" i="11"/>
  <c r="P38" i="11"/>
  <c r="N38" i="11"/>
  <c r="O38" i="11" s="1"/>
  <c r="M38" i="11"/>
  <c r="I38" i="11"/>
  <c r="H38" i="11"/>
  <c r="G38" i="11"/>
  <c r="F38" i="11"/>
  <c r="E38" i="11"/>
  <c r="D38" i="11"/>
  <c r="C38" i="11"/>
  <c r="A38" i="11"/>
  <c r="O37" i="11"/>
  <c r="G37" i="12" s="1"/>
  <c r="H37" i="12" s="1"/>
  <c r="N37" i="11"/>
  <c r="M37" i="11"/>
  <c r="I37" i="11"/>
  <c r="H37" i="11"/>
  <c r="G37" i="11"/>
  <c r="F37" i="11"/>
  <c r="E37" i="11"/>
  <c r="D37" i="11"/>
  <c r="C37" i="11"/>
  <c r="A37" i="11"/>
  <c r="P36" i="11"/>
  <c r="N36" i="11"/>
  <c r="O36" i="11" s="1"/>
  <c r="M36" i="11"/>
  <c r="I36" i="11"/>
  <c r="H36" i="11"/>
  <c r="G36" i="11"/>
  <c r="F36" i="11"/>
  <c r="E36" i="11"/>
  <c r="D36" i="11"/>
  <c r="C36" i="11"/>
  <c r="A36" i="11"/>
  <c r="O35" i="11"/>
  <c r="G35" i="12" s="1"/>
  <c r="H35" i="12" s="1"/>
  <c r="N35" i="11"/>
  <c r="M35" i="11"/>
  <c r="I35" i="11"/>
  <c r="H35" i="11"/>
  <c r="G35" i="11"/>
  <c r="F35" i="11"/>
  <c r="E35" i="11"/>
  <c r="D35" i="11"/>
  <c r="C35" i="11"/>
  <c r="A35" i="11"/>
  <c r="P34" i="11"/>
  <c r="N34" i="11"/>
  <c r="O34" i="11" s="1"/>
  <c r="M34" i="11"/>
  <c r="I34" i="11"/>
  <c r="H34" i="11"/>
  <c r="G34" i="11"/>
  <c r="F34" i="11"/>
  <c r="E34" i="11"/>
  <c r="D34" i="11"/>
  <c r="C34" i="11"/>
  <c r="A34" i="11"/>
  <c r="O33" i="11"/>
  <c r="G33" i="12" s="1"/>
  <c r="H33" i="12" s="1"/>
  <c r="N33" i="11"/>
  <c r="M33" i="11"/>
  <c r="I33" i="11"/>
  <c r="H33" i="11"/>
  <c r="G33" i="11"/>
  <c r="F33" i="11"/>
  <c r="E33" i="11"/>
  <c r="D33" i="11"/>
  <c r="C33" i="11"/>
  <c r="A33" i="11"/>
  <c r="P32" i="11"/>
  <c r="N32" i="11"/>
  <c r="O32" i="11" s="1"/>
  <c r="M32" i="11"/>
  <c r="I32" i="11"/>
  <c r="H32" i="11"/>
  <c r="G32" i="11"/>
  <c r="F32" i="11"/>
  <c r="E32" i="11"/>
  <c r="D32" i="11"/>
  <c r="C32" i="11"/>
  <c r="A32" i="11"/>
  <c r="O31" i="11"/>
  <c r="G31" i="12" s="1"/>
  <c r="H31" i="12" s="1"/>
  <c r="N31" i="11"/>
  <c r="M31" i="11"/>
  <c r="I31" i="11"/>
  <c r="H31" i="11"/>
  <c r="G31" i="11"/>
  <c r="F31" i="11"/>
  <c r="E31" i="11"/>
  <c r="D31" i="11"/>
  <c r="C31" i="11"/>
  <c r="A31" i="11"/>
  <c r="P30" i="11"/>
  <c r="N30" i="11"/>
  <c r="O30" i="11" s="1"/>
  <c r="M30" i="11"/>
  <c r="I30" i="11"/>
  <c r="H30" i="11"/>
  <c r="G30" i="11"/>
  <c r="F30" i="11"/>
  <c r="E30" i="11"/>
  <c r="D30" i="11"/>
  <c r="C30" i="11"/>
  <c r="A30" i="11"/>
  <c r="O29" i="11"/>
  <c r="G29" i="12" s="1"/>
  <c r="H29" i="12" s="1"/>
  <c r="N29" i="11"/>
  <c r="M29" i="11"/>
  <c r="I29" i="11"/>
  <c r="H29" i="11"/>
  <c r="G29" i="11"/>
  <c r="F29" i="11"/>
  <c r="E29" i="11"/>
  <c r="D29" i="11"/>
  <c r="C29" i="11"/>
  <c r="A29" i="11"/>
  <c r="P28" i="11"/>
  <c r="N28" i="11"/>
  <c r="O28" i="11" s="1"/>
  <c r="M28" i="11"/>
  <c r="I28" i="11"/>
  <c r="H28" i="11"/>
  <c r="G28" i="11"/>
  <c r="F28" i="11"/>
  <c r="E28" i="11"/>
  <c r="D28" i="11"/>
  <c r="C28" i="11"/>
  <c r="A28" i="11"/>
  <c r="O27" i="11"/>
  <c r="G27" i="12" s="1"/>
  <c r="H27" i="12" s="1"/>
  <c r="N27" i="11"/>
  <c r="M27" i="11"/>
  <c r="I27" i="11"/>
  <c r="H27" i="11"/>
  <c r="G27" i="11"/>
  <c r="F27" i="11"/>
  <c r="E27" i="11"/>
  <c r="D27" i="11"/>
  <c r="C27" i="11"/>
  <c r="A27" i="11"/>
  <c r="P26" i="11"/>
  <c r="N26" i="11"/>
  <c r="O26" i="11" s="1"/>
  <c r="M26" i="11"/>
  <c r="I26" i="11"/>
  <c r="H26" i="11"/>
  <c r="G26" i="11"/>
  <c r="F26" i="11"/>
  <c r="E26" i="11"/>
  <c r="D26" i="11"/>
  <c r="C26" i="11"/>
  <c r="A26" i="11"/>
  <c r="O25" i="11"/>
  <c r="G25" i="12" s="1"/>
  <c r="H25" i="12" s="1"/>
  <c r="N25" i="11"/>
  <c r="M25" i="11"/>
  <c r="I25" i="11"/>
  <c r="H25" i="11"/>
  <c r="G25" i="11"/>
  <c r="F25" i="11"/>
  <c r="E25" i="11"/>
  <c r="D25" i="11"/>
  <c r="C25" i="11"/>
  <c r="A25" i="11"/>
  <c r="P24" i="11"/>
  <c r="N24" i="11"/>
  <c r="O24" i="11" s="1"/>
  <c r="M24" i="11"/>
  <c r="I24" i="11"/>
  <c r="H24" i="11"/>
  <c r="G24" i="11"/>
  <c r="F24" i="11"/>
  <c r="E24" i="11"/>
  <c r="D24" i="11"/>
  <c r="C24" i="11"/>
  <c r="A24" i="11"/>
  <c r="O23" i="11"/>
  <c r="G23" i="12" s="1"/>
  <c r="H23" i="12" s="1"/>
  <c r="N23" i="11"/>
  <c r="M23" i="11"/>
  <c r="I23" i="11"/>
  <c r="H23" i="11"/>
  <c r="G23" i="11"/>
  <c r="F23" i="11"/>
  <c r="E23" i="11"/>
  <c r="D23" i="11"/>
  <c r="C23" i="11"/>
  <c r="A23" i="11"/>
  <c r="P22" i="11"/>
  <c r="N22" i="11"/>
  <c r="O22" i="11" s="1"/>
  <c r="M22" i="11"/>
  <c r="I22" i="11"/>
  <c r="H22" i="11"/>
  <c r="G22" i="11"/>
  <c r="F22" i="11"/>
  <c r="E22" i="11"/>
  <c r="D22" i="11"/>
  <c r="C22" i="11"/>
  <c r="A22" i="11"/>
  <c r="O21" i="11"/>
  <c r="G21" i="12" s="1"/>
  <c r="H21" i="12" s="1"/>
  <c r="N21" i="11"/>
  <c r="M21" i="11"/>
  <c r="I21" i="11"/>
  <c r="H21" i="11"/>
  <c r="G21" i="11"/>
  <c r="F21" i="11"/>
  <c r="E21" i="11"/>
  <c r="D21" i="11"/>
  <c r="C21" i="11"/>
  <c r="A21" i="11"/>
  <c r="A20" i="11"/>
  <c r="F19" i="11"/>
  <c r="E19" i="11"/>
  <c r="A19" i="11"/>
  <c r="H18" i="11"/>
  <c r="F18" i="11"/>
  <c r="E18" i="11"/>
  <c r="A18" i="11"/>
  <c r="H17" i="11"/>
  <c r="A17" i="11"/>
  <c r="F16" i="11"/>
  <c r="E16" i="11"/>
  <c r="A16" i="11"/>
  <c r="H15" i="11"/>
  <c r="G15" i="11"/>
  <c r="F15" i="11"/>
  <c r="E15" i="11"/>
  <c r="A15" i="11"/>
  <c r="H14" i="11"/>
  <c r="A14" i="11"/>
  <c r="G13" i="11"/>
  <c r="F13" i="11"/>
  <c r="E13" i="11"/>
  <c r="A13" i="11"/>
  <c r="H12" i="11"/>
  <c r="G12" i="11"/>
  <c r="F12" i="11"/>
  <c r="E12" i="11"/>
  <c r="A12" i="11"/>
  <c r="H11" i="11"/>
  <c r="G11" i="11"/>
  <c r="F11" i="11"/>
  <c r="E11" i="11"/>
  <c r="A11" i="11"/>
  <c r="H10" i="11"/>
  <c r="G10" i="11"/>
  <c r="F10" i="11"/>
  <c r="E10" i="11"/>
  <c r="A10" i="11"/>
  <c r="H9" i="11"/>
  <c r="G9" i="11"/>
  <c r="F9" i="11"/>
  <c r="E9" i="11"/>
  <c r="A9" i="11"/>
  <c r="G8" i="11"/>
  <c r="F8" i="11"/>
  <c r="E8" i="11"/>
  <c r="A8" i="11"/>
  <c r="P7" i="11"/>
  <c r="H7" i="11"/>
  <c r="G7" i="11"/>
  <c r="F7" i="11"/>
  <c r="E7" i="11"/>
  <c r="A7" i="11"/>
  <c r="N6" i="11"/>
  <c r="O6" i="11" s="1"/>
  <c r="G6" i="12" s="1"/>
  <c r="H6" i="12" s="1"/>
  <c r="H6" i="11"/>
  <c r="G6" i="11"/>
  <c r="F6" i="11"/>
  <c r="E6" i="11"/>
  <c r="C6" i="11"/>
  <c r="A6" i="11"/>
  <c r="N5" i="11"/>
  <c r="O5" i="11" s="1"/>
  <c r="G5" i="11"/>
  <c r="F5" i="11"/>
  <c r="E5" i="11"/>
  <c r="C5" i="11"/>
  <c r="A5" i="11"/>
  <c r="D19" i="11" l="1"/>
  <c r="G22" i="12"/>
  <c r="H22" i="12" s="1"/>
  <c r="P23" i="11"/>
  <c r="G30" i="12"/>
  <c r="H30" i="12" s="1"/>
  <c r="P31" i="11"/>
  <c r="G38" i="12"/>
  <c r="H38" i="12" s="1"/>
  <c r="P39" i="11"/>
  <c r="G46" i="12"/>
  <c r="H46" i="12" s="1"/>
  <c r="P47" i="11"/>
  <c r="G54" i="12"/>
  <c r="H54" i="12" s="1"/>
  <c r="P55" i="11"/>
  <c r="G62" i="12"/>
  <c r="H62" i="12" s="1"/>
  <c r="P63" i="11"/>
  <c r="G70" i="12"/>
  <c r="H70" i="12" s="1"/>
  <c r="P71" i="11"/>
  <c r="G78" i="12"/>
  <c r="H78" i="12" s="1"/>
  <c r="P79" i="11"/>
  <c r="G86" i="12"/>
  <c r="H86" i="12" s="1"/>
  <c r="P87" i="11"/>
  <c r="G94" i="12"/>
  <c r="H94" i="12" s="1"/>
  <c r="P95" i="11"/>
  <c r="G102" i="12"/>
  <c r="H102" i="12" s="1"/>
  <c r="P103" i="11"/>
  <c r="G110" i="12"/>
  <c r="H110" i="12" s="1"/>
  <c r="P111" i="11"/>
  <c r="G118" i="12"/>
  <c r="H118" i="12" s="1"/>
  <c r="P119" i="11"/>
  <c r="G36" i="12"/>
  <c r="H36" i="12" s="1"/>
  <c r="P37" i="11"/>
  <c r="G52" i="12"/>
  <c r="H52" i="12" s="1"/>
  <c r="P53" i="11"/>
  <c r="G26" i="12"/>
  <c r="H26" i="12" s="1"/>
  <c r="P27" i="11"/>
  <c r="G50" i="12"/>
  <c r="H50" i="12" s="1"/>
  <c r="P51" i="11"/>
  <c r="G74" i="12"/>
  <c r="H74" i="12" s="1"/>
  <c r="P75" i="11"/>
  <c r="G90" i="12"/>
  <c r="H90" i="12" s="1"/>
  <c r="P91" i="11"/>
  <c r="G98" i="12"/>
  <c r="H98" i="12" s="1"/>
  <c r="P99" i="11"/>
  <c r="G106" i="12"/>
  <c r="H106" i="12" s="1"/>
  <c r="P107" i="11"/>
  <c r="G122" i="12"/>
  <c r="H122" i="12" s="1"/>
  <c r="P123" i="11"/>
  <c r="G28" i="12"/>
  <c r="H28" i="12" s="1"/>
  <c r="P29" i="11"/>
  <c r="G44" i="12"/>
  <c r="H44" i="12" s="1"/>
  <c r="P45" i="11"/>
  <c r="G60" i="12"/>
  <c r="H60" i="12" s="1"/>
  <c r="P61" i="11"/>
  <c r="G68" i="12"/>
  <c r="H68" i="12" s="1"/>
  <c r="P69" i="11"/>
  <c r="G76" i="12"/>
  <c r="H76" i="12" s="1"/>
  <c r="P77" i="11"/>
  <c r="G84" i="12"/>
  <c r="H84" i="12" s="1"/>
  <c r="P85" i="11"/>
  <c r="G92" i="12"/>
  <c r="H92" i="12" s="1"/>
  <c r="P93" i="11"/>
  <c r="G100" i="12"/>
  <c r="H100" i="12" s="1"/>
  <c r="P101" i="11"/>
  <c r="G108" i="12"/>
  <c r="H108" i="12" s="1"/>
  <c r="P109" i="11"/>
  <c r="G116" i="12"/>
  <c r="H116" i="12" s="1"/>
  <c r="P117" i="11"/>
  <c r="G34" i="12"/>
  <c r="H34" i="12" s="1"/>
  <c r="P35" i="11"/>
  <c r="G42" i="12"/>
  <c r="H42" i="12" s="1"/>
  <c r="P43" i="11"/>
  <c r="G58" i="12"/>
  <c r="H58" i="12" s="1"/>
  <c r="P59" i="11"/>
  <c r="G66" i="12"/>
  <c r="H66" i="12" s="1"/>
  <c r="P67" i="11"/>
  <c r="G82" i="12"/>
  <c r="H82" i="12" s="1"/>
  <c r="P83" i="11"/>
  <c r="G114" i="12"/>
  <c r="H114" i="12" s="1"/>
  <c r="P115" i="11"/>
  <c r="L10" i="10"/>
  <c r="D16" i="11"/>
  <c r="G5" i="12"/>
  <c r="H5" i="12" s="1"/>
  <c r="P6" i="11"/>
  <c r="G24" i="12"/>
  <c r="H24" i="12" s="1"/>
  <c r="P25" i="11"/>
  <c r="G32" i="12"/>
  <c r="H32" i="12" s="1"/>
  <c r="P33" i="11"/>
  <c r="G40" i="12"/>
  <c r="H40" i="12" s="1"/>
  <c r="P41" i="11"/>
  <c r="G48" i="12"/>
  <c r="H48" i="12" s="1"/>
  <c r="P49" i="11"/>
  <c r="G56" i="12"/>
  <c r="H56" i="12" s="1"/>
  <c r="P57" i="11"/>
  <c r="G64" i="12"/>
  <c r="H64" i="12" s="1"/>
  <c r="P65" i="11"/>
  <c r="G72" i="12"/>
  <c r="H72" i="12" s="1"/>
  <c r="P73" i="11"/>
  <c r="G80" i="12"/>
  <c r="H80" i="12" s="1"/>
  <c r="P81" i="11"/>
  <c r="G88" i="12"/>
  <c r="H88" i="12" s="1"/>
  <c r="P89" i="11"/>
  <c r="G96" i="12"/>
  <c r="H96" i="12" s="1"/>
  <c r="P97" i="11"/>
  <c r="G104" i="12"/>
  <c r="H104" i="12" s="1"/>
  <c r="P105" i="11"/>
  <c r="G112" i="12"/>
  <c r="H112" i="12" s="1"/>
  <c r="P113" i="11"/>
  <c r="G120" i="12"/>
  <c r="H120" i="12" s="1"/>
  <c r="P121" i="11"/>
  <c r="L14" i="10"/>
  <c r="C32" i="14"/>
  <c r="L9" i="14"/>
  <c r="N9" i="14" s="1"/>
  <c r="D32" i="14" s="1"/>
  <c r="E9" i="13"/>
  <c r="E9" i="12"/>
  <c r="K9" i="4"/>
  <c r="J9" i="4"/>
  <c r="F9" i="13" s="1"/>
  <c r="I9" i="13" s="1"/>
  <c r="C40" i="14"/>
  <c r="E17" i="13"/>
  <c r="E17" i="12"/>
  <c r="L17" i="14"/>
  <c r="N17" i="14" s="1"/>
  <c r="D40" i="14" s="1"/>
  <c r="K17" i="4"/>
  <c r="J17" i="4"/>
  <c r="F17" i="13" s="1"/>
  <c r="I17" i="13" s="1"/>
  <c r="C48" i="14"/>
  <c r="L25" i="14"/>
  <c r="N25" i="14" s="1"/>
  <c r="D48" i="14" s="1"/>
  <c r="E25" i="13"/>
  <c r="E25" i="12"/>
  <c r="K25" i="4"/>
  <c r="J25" i="4"/>
  <c r="F25" i="13" s="1"/>
  <c r="I25" i="13" s="1"/>
  <c r="C56" i="14"/>
  <c r="E33" i="13"/>
  <c r="L33" i="14"/>
  <c r="N33" i="14" s="1"/>
  <c r="D56" i="14" s="1"/>
  <c r="E33" i="12"/>
  <c r="K33" i="4"/>
  <c r="J33" i="4"/>
  <c r="F33" i="13" s="1"/>
  <c r="I33" i="13" s="1"/>
  <c r="C64" i="14"/>
  <c r="L41" i="14"/>
  <c r="N41" i="14" s="1"/>
  <c r="D64" i="14" s="1"/>
  <c r="E41" i="13"/>
  <c r="E41" i="12"/>
  <c r="K41" i="4"/>
  <c r="J41" i="4"/>
  <c r="F41" i="13" s="1"/>
  <c r="I41" i="13" s="1"/>
  <c r="C72" i="14"/>
  <c r="L49" i="14"/>
  <c r="N49" i="14" s="1"/>
  <c r="D72" i="14" s="1"/>
  <c r="E49" i="13"/>
  <c r="E49" i="12"/>
  <c r="K49" i="4"/>
  <c r="J49" i="4"/>
  <c r="F49" i="13" s="1"/>
  <c r="I49" i="13" s="1"/>
  <c r="C80" i="14"/>
  <c r="L57" i="14"/>
  <c r="N57" i="14" s="1"/>
  <c r="D80" i="14" s="1"/>
  <c r="E57" i="13"/>
  <c r="E57" i="12"/>
  <c r="K57" i="4"/>
  <c r="J57" i="4"/>
  <c r="F57" i="13" s="1"/>
  <c r="I57" i="13" s="1"/>
  <c r="C88" i="14"/>
  <c r="E65" i="13"/>
  <c r="E65" i="12"/>
  <c r="L65" i="14"/>
  <c r="N65" i="14" s="1"/>
  <c r="D88" i="14" s="1"/>
  <c r="K65" i="4"/>
  <c r="J65" i="4"/>
  <c r="F65" i="13" s="1"/>
  <c r="I65" i="13" s="1"/>
  <c r="C112" i="14"/>
  <c r="E89" i="12"/>
  <c r="L89" i="14"/>
  <c r="N89" i="14" s="1"/>
  <c r="D112" i="14" s="1"/>
  <c r="E89" i="13"/>
  <c r="K89" i="4"/>
  <c r="J89" i="4"/>
  <c r="F89" i="13" s="1"/>
  <c r="I89" i="13" s="1"/>
  <c r="C120" i="14"/>
  <c r="L97" i="14"/>
  <c r="N97" i="14" s="1"/>
  <c r="D120" i="14" s="1"/>
  <c r="E97" i="13"/>
  <c r="E97" i="12"/>
  <c r="K97" i="4"/>
  <c r="J97" i="4"/>
  <c r="F97" i="13" s="1"/>
  <c r="I97" i="13" s="1"/>
  <c r="H106" i="4"/>
  <c r="L21" i="10"/>
  <c r="M21" i="10" s="1"/>
  <c r="L55" i="10"/>
  <c r="L9" i="10"/>
  <c r="P9" i="10" s="1"/>
  <c r="C30" i="14"/>
  <c r="L7" i="14"/>
  <c r="E7" i="13"/>
  <c r="E7" i="12"/>
  <c r="K7" i="4"/>
  <c r="J7" i="4"/>
  <c r="F7" i="13" s="1"/>
  <c r="C38" i="14"/>
  <c r="L15" i="14"/>
  <c r="N15" i="14" s="1"/>
  <c r="D38" i="14" s="1"/>
  <c r="E15" i="13"/>
  <c r="E15" i="12"/>
  <c r="K15" i="4"/>
  <c r="J15" i="4"/>
  <c r="F15" i="13" s="1"/>
  <c r="I15" i="13" s="1"/>
  <c r="C46" i="14"/>
  <c r="L23" i="14"/>
  <c r="N23" i="14" s="1"/>
  <c r="D46" i="14" s="1"/>
  <c r="E23" i="13"/>
  <c r="E23" i="12"/>
  <c r="K23" i="4"/>
  <c r="J23" i="4"/>
  <c r="F23" i="13" s="1"/>
  <c r="I23" i="13" s="1"/>
  <c r="C62" i="14"/>
  <c r="L39" i="14"/>
  <c r="N39" i="14" s="1"/>
  <c r="D62" i="14" s="1"/>
  <c r="E39" i="12"/>
  <c r="E39" i="13"/>
  <c r="K39" i="4"/>
  <c r="J39" i="4"/>
  <c r="F39" i="13" s="1"/>
  <c r="I39" i="13" s="1"/>
  <c r="C70" i="14"/>
  <c r="L47" i="14"/>
  <c r="N47" i="14" s="1"/>
  <c r="D70" i="14" s="1"/>
  <c r="E47" i="12"/>
  <c r="E47" i="13"/>
  <c r="K47" i="4"/>
  <c r="J47" i="4"/>
  <c r="F47" i="13" s="1"/>
  <c r="I47" i="13" s="1"/>
  <c r="C78" i="14"/>
  <c r="L55" i="14"/>
  <c r="N55" i="14" s="1"/>
  <c r="D78" i="14" s="1"/>
  <c r="E55" i="12"/>
  <c r="E55" i="13"/>
  <c r="K55" i="4"/>
  <c r="J55" i="4"/>
  <c r="F55" i="13" s="1"/>
  <c r="I55" i="13" s="1"/>
  <c r="C86" i="14"/>
  <c r="L63" i="14"/>
  <c r="N63" i="14" s="1"/>
  <c r="D86" i="14" s="1"/>
  <c r="E63" i="12"/>
  <c r="E63" i="13"/>
  <c r="K63" i="4"/>
  <c r="J63" i="4"/>
  <c r="F63" i="13" s="1"/>
  <c r="I63" i="13" s="1"/>
  <c r="C118" i="14"/>
  <c r="E95" i="13"/>
  <c r="L95" i="14"/>
  <c r="N95" i="14" s="1"/>
  <c r="D118" i="14" s="1"/>
  <c r="E95" i="12"/>
  <c r="K95" i="4"/>
  <c r="J95" i="4"/>
  <c r="F95" i="13" s="1"/>
  <c r="I95" i="13" s="1"/>
  <c r="L103" i="14"/>
  <c r="N103" i="14" s="1"/>
  <c r="D126" i="14" s="1"/>
  <c r="C126" i="14"/>
  <c r="E103" i="13"/>
  <c r="E103" i="12"/>
  <c r="K103" i="4"/>
  <c r="J103" i="4"/>
  <c r="F103" i="13" s="1"/>
  <c r="I103" i="13" s="1"/>
  <c r="D18" i="11"/>
  <c r="D15" i="11"/>
  <c r="D12" i="11"/>
  <c r="D9" i="11"/>
  <c r="D14" i="11"/>
  <c r="D6" i="11"/>
  <c r="I6" i="11" s="1"/>
  <c r="M6" i="11" s="1"/>
  <c r="D20" i="11"/>
  <c r="D17" i="11"/>
  <c r="D11" i="11"/>
  <c r="L5" i="10"/>
  <c r="M5" i="10" s="1"/>
  <c r="L16" i="10"/>
  <c r="L11" i="10"/>
  <c r="P11" i="10" s="1"/>
  <c r="C36" i="14"/>
  <c r="L13" i="14"/>
  <c r="N13" i="14" s="1"/>
  <c r="D36" i="14" s="1"/>
  <c r="E13" i="13"/>
  <c r="E13" i="12"/>
  <c r="K13" i="4"/>
  <c r="J13" i="4"/>
  <c r="F13" i="13" s="1"/>
  <c r="I13" i="13" s="1"/>
  <c r="L21" i="14"/>
  <c r="N21" i="14" s="1"/>
  <c r="D44" i="14" s="1"/>
  <c r="C44" i="14"/>
  <c r="E21" i="13"/>
  <c r="E21" i="12"/>
  <c r="K21" i="4"/>
  <c r="J21" i="4"/>
  <c r="F21" i="13" s="1"/>
  <c r="I21" i="13" s="1"/>
  <c r="C52" i="14"/>
  <c r="L29" i="14"/>
  <c r="N29" i="14" s="1"/>
  <c r="D52" i="14" s="1"/>
  <c r="E29" i="13"/>
  <c r="E29" i="12"/>
  <c r="K29" i="4"/>
  <c r="J29" i="4"/>
  <c r="F29" i="13" s="1"/>
  <c r="I29" i="13" s="1"/>
  <c r="C60" i="14"/>
  <c r="L37" i="14"/>
  <c r="N37" i="14" s="1"/>
  <c r="D60" i="14" s="1"/>
  <c r="E37" i="12"/>
  <c r="E37" i="13"/>
  <c r="K37" i="4"/>
  <c r="J37" i="4"/>
  <c r="F37" i="13" s="1"/>
  <c r="I37" i="13" s="1"/>
  <c r="C68" i="14"/>
  <c r="L45" i="14"/>
  <c r="N45" i="14" s="1"/>
  <c r="D68" i="14" s="1"/>
  <c r="E45" i="13"/>
  <c r="E45" i="12"/>
  <c r="K45" i="4"/>
  <c r="J45" i="4"/>
  <c r="F45" i="13" s="1"/>
  <c r="I45" i="13" s="1"/>
  <c r="C76" i="14"/>
  <c r="L53" i="14"/>
  <c r="N53" i="14" s="1"/>
  <c r="D76" i="14" s="1"/>
  <c r="E53" i="12"/>
  <c r="E53" i="13"/>
  <c r="K53" i="4"/>
  <c r="J53" i="4"/>
  <c r="F53" i="13" s="1"/>
  <c r="I53" i="13" s="1"/>
  <c r="C84" i="14"/>
  <c r="L61" i="14"/>
  <c r="N61" i="14" s="1"/>
  <c r="D84" i="14" s="1"/>
  <c r="E61" i="13"/>
  <c r="E61" i="12"/>
  <c r="K61" i="4"/>
  <c r="J61" i="4"/>
  <c r="F61" i="13" s="1"/>
  <c r="I61" i="13" s="1"/>
  <c r="C92" i="14"/>
  <c r="L69" i="14"/>
  <c r="N69" i="14" s="1"/>
  <c r="D92" i="14" s="1"/>
  <c r="E69" i="12"/>
  <c r="E69" i="13"/>
  <c r="K69" i="4"/>
  <c r="J69" i="4"/>
  <c r="F69" i="13" s="1"/>
  <c r="I69" i="13" s="1"/>
  <c r="L77" i="14"/>
  <c r="N77" i="14" s="1"/>
  <c r="D100" i="14" s="1"/>
  <c r="C100" i="14"/>
  <c r="E77" i="13"/>
  <c r="E77" i="12"/>
  <c r="K77" i="4"/>
  <c r="J77" i="4"/>
  <c r="F77" i="13" s="1"/>
  <c r="I77" i="13" s="1"/>
  <c r="C108" i="14"/>
  <c r="L85" i="14"/>
  <c r="N85" i="14" s="1"/>
  <c r="D108" i="14" s="1"/>
  <c r="E85" i="12"/>
  <c r="E85" i="13"/>
  <c r="K85" i="4"/>
  <c r="J85" i="4"/>
  <c r="F85" i="13" s="1"/>
  <c r="I85" i="13" s="1"/>
  <c r="L93" i="14"/>
  <c r="N93" i="14" s="1"/>
  <c r="D116" i="14" s="1"/>
  <c r="C116" i="14"/>
  <c r="E93" i="12"/>
  <c r="E93" i="13"/>
  <c r="K93" i="4"/>
  <c r="J93" i="4"/>
  <c r="F93" i="13" s="1"/>
  <c r="I93" i="13" s="1"/>
  <c r="C124" i="14"/>
  <c r="E101" i="13"/>
  <c r="L101" i="14"/>
  <c r="N101" i="14" s="1"/>
  <c r="D124" i="14" s="1"/>
  <c r="E101" i="12"/>
  <c r="K101" i="4"/>
  <c r="J101" i="4"/>
  <c r="F101" i="13" s="1"/>
  <c r="I101" i="13" s="1"/>
  <c r="C8" i="11"/>
  <c r="L53" i="10"/>
  <c r="E14" i="11"/>
  <c r="J5" i="10"/>
  <c r="K5" i="10" s="1"/>
  <c r="O5" i="10"/>
  <c r="C96" i="14"/>
  <c r="E73" i="13"/>
  <c r="L73" i="14"/>
  <c r="N73" i="14" s="1"/>
  <c r="D96" i="14" s="1"/>
  <c r="E73" i="12"/>
  <c r="K73" i="4"/>
  <c r="J73" i="4"/>
  <c r="F73" i="13" s="1"/>
  <c r="I73" i="13" s="1"/>
  <c r="C104" i="14"/>
  <c r="E81" i="13"/>
  <c r="L81" i="14"/>
  <c r="N81" i="14" s="1"/>
  <c r="D104" i="14" s="1"/>
  <c r="E81" i="12"/>
  <c r="K81" i="4"/>
  <c r="J81" i="4"/>
  <c r="F81" i="13" s="1"/>
  <c r="I81" i="13" s="1"/>
  <c r="L13" i="10"/>
  <c r="D8" i="11"/>
  <c r="C50" i="14"/>
  <c r="L27" i="14"/>
  <c r="N27" i="14" s="1"/>
  <c r="D50" i="14" s="1"/>
  <c r="E27" i="13"/>
  <c r="E27" i="12"/>
  <c r="K27" i="4"/>
  <c r="J27" i="4"/>
  <c r="F27" i="13" s="1"/>
  <c r="I27" i="13" s="1"/>
  <c r="C58" i="14"/>
  <c r="E35" i="12"/>
  <c r="L35" i="14"/>
  <c r="N35" i="14" s="1"/>
  <c r="D58" i="14" s="1"/>
  <c r="E35" i="13"/>
  <c r="K35" i="4"/>
  <c r="J35" i="4"/>
  <c r="F35" i="13" s="1"/>
  <c r="I35" i="13" s="1"/>
  <c r="L7" i="10"/>
  <c r="L26" i="10"/>
  <c r="L27" i="10"/>
  <c r="P27" i="10" s="1"/>
  <c r="M5" i="14"/>
  <c r="M8" i="14"/>
  <c r="M6" i="14"/>
  <c r="G8" i="13"/>
  <c r="D30" i="12"/>
  <c r="D22" i="12"/>
  <c r="D15" i="12"/>
  <c r="G5" i="13"/>
  <c r="D105" i="12"/>
  <c r="D103" i="12"/>
  <c r="D101" i="12"/>
  <c r="D99" i="12"/>
  <c r="D97" i="12"/>
  <c r="D95" i="12"/>
  <c r="D93" i="12"/>
  <c r="D91" i="12"/>
  <c r="D89" i="12"/>
  <c r="D87" i="12"/>
  <c r="D85" i="12"/>
  <c r="D83" i="12"/>
  <c r="D81" i="12"/>
  <c r="D79" i="12"/>
  <c r="D77" i="12"/>
  <c r="D75" i="12"/>
  <c r="D73" i="12"/>
  <c r="D71" i="12"/>
  <c r="D69" i="12"/>
  <c r="D67" i="12"/>
  <c r="D65" i="12"/>
  <c r="D63" i="12"/>
  <c r="D61" i="12"/>
  <c r="D59" i="12"/>
  <c r="D57" i="12"/>
  <c r="D55" i="12"/>
  <c r="D53" i="12"/>
  <c r="D51" i="12"/>
  <c r="D49" i="12"/>
  <c r="D47" i="12"/>
  <c r="D45" i="12"/>
  <c r="D43" i="12"/>
  <c r="D41" i="12"/>
  <c r="D39" i="12"/>
  <c r="D37" i="12"/>
  <c r="D35" i="12"/>
  <c r="D33" i="12"/>
  <c r="D25" i="12"/>
  <c r="D20" i="12"/>
  <c r="D18" i="12"/>
  <c r="D28" i="12"/>
  <c r="D104" i="12"/>
  <c r="D102" i="12"/>
  <c r="D100" i="12"/>
  <c r="D98" i="12"/>
  <c r="D96" i="12"/>
  <c r="D94" i="12"/>
  <c r="D92" i="12"/>
  <c r="D90" i="12"/>
  <c r="D88" i="12"/>
  <c r="D86" i="12"/>
  <c r="D84" i="12"/>
  <c r="D82" i="12"/>
  <c r="D80" i="12"/>
  <c r="D78" i="12"/>
  <c r="D76" i="12"/>
  <c r="D74" i="12"/>
  <c r="D72" i="12"/>
  <c r="D70" i="12"/>
  <c r="D68" i="12"/>
  <c r="D66" i="12"/>
  <c r="D64" i="12"/>
  <c r="D62" i="12"/>
  <c r="D60" i="12"/>
  <c r="D58" i="12"/>
  <c r="D56" i="12"/>
  <c r="D54" i="12"/>
  <c r="D52" i="12"/>
  <c r="D50" i="12"/>
  <c r="D48" i="12"/>
  <c r="D46" i="12"/>
  <c r="D44" i="12"/>
  <c r="D42" i="12"/>
  <c r="D40" i="12"/>
  <c r="D38" i="12"/>
  <c r="D36" i="12"/>
  <c r="D34" i="12"/>
  <c r="D29" i="12"/>
  <c r="D31" i="12"/>
  <c r="B10" i="12"/>
  <c r="M7" i="14"/>
  <c r="G7" i="13"/>
  <c r="B8" i="12"/>
  <c r="E17" i="1" s="1"/>
  <c r="G6" i="13"/>
  <c r="D24" i="12"/>
  <c r="D17" i="12"/>
  <c r="D13" i="12"/>
  <c r="D27" i="12"/>
  <c r="D19" i="12"/>
  <c r="D11" i="12"/>
  <c r="B6" i="12"/>
  <c r="B11" i="12"/>
  <c r="E20" i="1" s="1"/>
  <c r="D9" i="12"/>
  <c r="D26" i="12"/>
  <c r="D23" i="12"/>
  <c r="D21" i="12"/>
  <c r="D16" i="12"/>
  <c r="B9" i="12"/>
  <c r="E18" i="1" s="1"/>
  <c r="D32" i="12"/>
  <c r="D14" i="12"/>
  <c r="B7" i="12"/>
  <c r="E16" i="1" s="1"/>
  <c r="D12" i="12"/>
  <c r="D10" i="12"/>
  <c r="B5" i="12"/>
  <c r="N4" i="10"/>
  <c r="B4" i="1"/>
  <c r="C54" i="14"/>
  <c r="L31" i="14"/>
  <c r="N31" i="14" s="1"/>
  <c r="D54" i="14" s="1"/>
  <c r="E31" i="12"/>
  <c r="E31" i="13"/>
  <c r="K31" i="4"/>
  <c r="J31" i="4"/>
  <c r="F31" i="13" s="1"/>
  <c r="I31" i="13" s="1"/>
  <c r="L71" i="14"/>
  <c r="N71" i="14" s="1"/>
  <c r="D94" i="14" s="1"/>
  <c r="C94" i="14"/>
  <c r="E71" i="12"/>
  <c r="E71" i="13"/>
  <c r="K71" i="4"/>
  <c r="J71" i="4"/>
  <c r="F71" i="13" s="1"/>
  <c r="I71" i="13" s="1"/>
  <c r="C102" i="14"/>
  <c r="L79" i="14"/>
  <c r="N79" i="14" s="1"/>
  <c r="D102" i="14" s="1"/>
  <c r="E79" i="12"/>
  <c r="E79" i="13"/>
  <c r="K79" i="4"/>
  <c r="J79" i="4"/>
  <c r="F79" i="13" s="1"/>
  <c r="I79" i="13" s="1"/>
  <c r="L87" i="14"/>
  <c r="N87" i="14" s="1"/>
  <c r="D110" i="14" s="1"/>
  <c r="C110" i="14"/>
  <c r="E87" i="13"/>
  <c r="E87" i="12"/>
  <c r="K87" i="4"/>
  <c r="J87" i="4"/>
  <c r="F87" i="13" s="1"/>
  <c r="I87" i="13" s="1"/>
  <c r="L28" i="10"/>
  <c r="D6" i="15"/>
  <c r="C28" i="14"/>
  <c r="L5" i="14"/>
  <c r="E5" i="13"/>
  <c r="E5" i="12"/>
  <c r="C19" i="11"/>
  <c r="I19" i="11" s="1"/>
  <c r="M19" i="11" s="1"/>
  <c r="C17" i="11"/>
  <c r="C15" i="11"/>
  <c r="I15" i="11" s="1"/>
  <c r="M15" i="11" s="1"/>
  <c r="C13" i="11"/>
  <c r="C11" i="11"/>
  <c r="I11" i="11" s="1"/>
  <c r="M11" i="11" s="1"/>
  <c r="C9" i="11"/>
  <c r="I9" i="11" s="1"/>
  <c r="M9" i="11" s="1"/>
  <c r="C7" i="11"/>
  <c r="C18" i="11"/>
  <c r="C12" i="11"/>
  <c r="I12" i="11" s="1"/>
  <c r="M12" i="11" s="1"/>
  <c r="K5" i="4"/>
  <c r="J5" i="4"/>
  <c r="C14" i="11"/>
  <c r="D5" i="11"/>
  <c r="C10" i="11"/>
  <c r="D13" i="11"/>
  <c r="D7" i="11"/>
  <c r="D10" i="11"/>
  <c r="C34" i="14"/>
  <c r="L11" i="14"/>
  <c r="N11" i="14" s="1"/>
  <c r="D34" i="14" s="1"/>
  <c r="E11" i="13"/>
  <c r="E11" i="12"/>
  <c r="K11" i="4"/>
  <c r="J11" i="4"/>
  <c r="F11" i="13" s="1"/>
  <c r="I11" i="13" s="1"/>
  <c r="L19" i="14"/>
  <c r="N19" i="14" s="1"/>
  <c r="D42" i="14" s="1"/>
  <c r="C42" i="14"/>
  <c r="E19" i="13"/>
  <c r="E19" i="12"/>
  <c r="K19" i="4"/>
  <c r="J19" i="4"/>
  <c r="F19" i="13" s="1"/>
  <c r="I19" i="13" s="1"/>
  <c r="C66" i="14"/>
  <c r="L43" i="14"/>
  <c r="N43" i="14" s="1"/>
  <c r="D66" i="14" s="1"/>
  <c r="E43" i="12"/>
  <c r="E43" i="13"/>
  <c r="K43" i="4"/>
  <c r="J43" i="4"/>
  <c r="F43" i="13" s="1"/>
  <c r="I43" i="13" s="1"/>
  <c r="C74" i="14"/>
  <c r="L51" i="14"/>
  <c r="N51" i="14" s="1"/>
  <c r="D74" i="14" s="1"/>
  <c r="E51" i="12"/>
  <c r="E51" i="13"/>
  <c r="K51" i="4"/>
  <c r="J51" i="4"/>
  <c r="F51" i="13" s="1"/>
  <c r="I51" i="13" s="1"/>
  <c r="C82" i="14"/>
  <c r="E59" i="12"/>
  <c r="E59" i="13"/>
  <c r="L59" i="14"/>
  <c r="N59" i="14" s="1"/>
  <c r="D82" i="14" s="1"/>
  <c r="K59" i="4"/>
  <c r="J59" i="4"/>
  <c r="F59" i="13" s="1"/>
  <c r="I59" i="13" s="1"/>
  <c r="L67" i="14"/>
  <c r="N67" i="14" s="1"/>
  <c r="D90" i="14" s="1"/>
  <c r="C90" i="14"/>
  <c r="E67" i="12"/>
  <c r="E67" i="13"/>
  <c r="K67" i="4"/>
  <c r="J67" i="4"/>
  <c r="F67" i="13" s="1"/>
  <c r="I67" i="13" s="1"/>
  <c r="C98" i="14"/>
  <c r="L75" i="14"/>
  <c r="N75" i="14" s="1"/>
  <c r="D98" i="14" s="1"/>
  <c r="E75" i="12"/>
  <c r="E75" i="13"/>
  <c r="K75" i="4"/>
  <c r="J75" i="4"/>
  <c r="F75" i="13" s="1"/>
  <c r="I75" i="13" s="1"/>
  <c r="C106" i="14"/>
  <c r="L83" i="14"/>
  <c r="N83" i="14" s="1"/>
  <c r="D106" i="14" s="1"/>
  <c r="E83" i="12"/>
  <c r="E83" i="13"/>
  <c r="K83" i="4"/>
  <c r="J83" i="4"/>
  <c r="F83" i="13" s="1"/>
  <c r="I83" i="13" s="1"/>
  <c r="C114" i="14"/>
  <c r="L91" i="14"/>
  <c r="N91" i="14" s="1"/>
  <c r="D114" i="14" s="1"/>
  <c r="E91" i="13"/>
  <c r="E91" i="12"/>
  <c r="K91" i="4"/>
  <c r="J91" i="4"/>
  <c r="F91" i="13" s="1"/>
  <c r="I91" i="13" s="1"/>
  <c r="C122" i="14"/>
  <c r="L99" i="14"/>
  <c r="N99" i="14" s="1"/>
  <c r="D122" i="14" s="1"/>
  <c r="E99" i="12"/>
  <c r="E99" i="13"/>
  <c r="K99" i="4"/>
  <c r="J99" i="4"/>
  <c r="F99" i="13" s="1"/>
  <c r="I99" i="13" s="1"/>
  <c r="C16" i="11"/>
  <c r="C20" i="11"/>
  <c r="M7" i="10"/>
  <c r="P7" i="10"/>
  <c r="J7" i="10"/>
  <c r="K7" i="10" s="1"/>
  <c r="O14" i="10"/>
  <c r="P14" i="10" s="1"/>
  <c r="J14" i="10"/>
  <c r="K14" i="10" s="1"/>
  <c r="M14" i="10" s="1"/>
  <c r="O9" i="10"/>
  <c r="J9" i="10"/>
  <c r="K9" i="10" s="1"/>
  <c r="M9" i="10" s="1"/>
  <c r="G20" i="11"/>
  <c r="G18" i="11"/>
  <c r="G16" i="11"/>
  <c r="G14" i="11"/>
  <c r="O7" i="10"/>
  <c r="P18" i="10"/>
  <c r="H16" i="11"/>
  <c r="E17" i="11"/>
  <c r="E20" i="11"/>
  <c r="L20" i="10"/>
  <c r="L58" i="10"/>
  <c r="P58" i="10" s="1"/>
  <c r="H13" i="11"/>
  <c r="F20" i="11"/>
  <c r="L23" i="10"/>
  <c r="M6" i="10"/>
  <c r="P6" i="10"/>
  <c r="L25" i="10"/>
  <c r="P25" i="10" s="1"/>
  <c r="F17" i="11"/>
  <c r="H5" i="11"/>
  <c r="H8" i="11"/>
  <c r="G17" i="11"/>
  <c r="L6" i="14"/>
  <c r="N6" i="14" s="1"/>
  <c r="D29" i="14" s="1"/>
  <c r="C29" i="14"/>
  <c r="E6" i="13"/>
  <c r="E6" i="12"/>
  <c r="L8" i="14"/>
  <c r="N8" i="14" s="1"/>
  <c r="D31" i="14" s="1"/>
  <c r="C31" i="14"/>
  <c r="E8" i="13"/>
  <c r="E8" i="12"/>
  <c r="L10" i="14"/>
  <c r="N10" i="14" s="1"/>
  <c r="D33" i="14" s="1"/>
  <c r="C33" i="14"/>
  <c r="E10" i="12"/>
  <c r="E10" i="13"/>
  <c r="L12" i="14"/>
  <c r="N12" i="14" s="1"/>
  <c r="D35" i="14" s="1"/>
  <c r="C35" i="14"/>
  <c r="E12" i="13"/>
  <c r="E12" i="12"/>
  <c r="C37" i="14"/>
  <c r="E14" i="13"/>
  <c r="L14" i="14"/>
  <c r="N14" i="14" s="1"/>
  <c r="D37" i="14" s="1"/>
  <c r="E14" i="12"/>
  <c r="L16" i="14"/>
  <c r="N16" i="14" s="1"/>
  <c r="D39" i="14" s="1"/>
  <c r="C39" i="14"/>
  <c r="E16" i="13"/>
  <c r="E16" i="12"/>
  <c r="L18" i="14"/>
  <c r="N18" i="14" s="1"/>
  <c r="D41" i="14" s="1"/>
  <c r="C41" i="14"/>
  <c r="E18" i="12"/>
  <c r="E18" i="13"/>
  <c r="C43" i="14"/>
  <c r="E20" i="13"/>
  <c r="E20" i="12"/>
  <c r="L20" i="14"/>
  <c r="N20" i="14" s="1"/>
  <c r="D43" i="14" s="1"/>
  <c r="C45" i="14"/>
  <c r="L22" i="14"/>
  <c r="N22" i="14" s="1"/>
  <c r="D45" i="14" s="1"/>
  <c r="E22" i="13"/>
  <c r="E22" i="12"/>
  <c r="L24" i="14"/>
  <c r="N24" i="14" s="1"/>
  <c r="D47" i="14" s="1"/>
  <c r="C47" i="14"/>
  <c r="E24" i="12"/>
  <c r="E24" i="13"/>
  <c r="L26" i="14"/>
  <c r="N26" i="14" s="1"/>
  <c r="D49" i="14" s="1"/>
  <c r="C49" i="14"/>
  <c r="E26" i="13"/>
  <c r="E26" i="12"/>
  <c r="C51" i="14"/>
  <c r="L28" i="14"/>
  <c r="N28" i="14" s="1"/>
  <c r="D51" i="14" s="1"/>
  <c r="E28" i="13"/>
  <c r="E28" i="12"/>
  <c r="L30" i="14"/>
  <c r="N30" i="14" s="1"/>
  <c r="D53" i="14" s="1"/>
  <c r="E30" i="13"/>
  <c r="C53" i="14"/>
  <c r="E30" i="12"/>
  <c r="C55" i="14"/>
  <c r="L32" i="14"/>
  <c r="N32" i="14" s="1"/>
  <c r="D55" i="14" s="1"/>
  <c r="E32" i="12"/>
  <c r="E32" i="13"/>
  <c r="L34" i="14"/>
  <c r="N34" i="14" s="1"/>
  <c r="D57" i="14" s="1"/>
  <c r="C57" i="14"/>
  <c r="E34" i="13"/>
  <c r="E34" i="12"/>
  <c r="L36" i="14"/>
  <c r="N36" i="14" s="1"/>
  <c r="D59" i="14" s="1"/>
  <c r="C59" i="14"/>
  <c r="E36" i="13"/>
  <c r="E36" i="12"/>
  <c r="C61" i="14"/>
  <c r="L38" i="14"/>
  <c r="N38" i="14" s="1"/>
  <c r="D61" i="14" s="1"/>
  <c r="E38" i="13"/>
  <c r="E38" i="12"/>
  <c r="L40" i="14"/>
  <c r="N40" i="14" s="1"/>
  <c r="D63" i="14" s="1"/>
  <c r="C63" i="14"/>
  <c r="E40" i="13"/>
  <c r="E40" i="12"/>
  <c r="L42" i="14"/>
  <c r="N42" i="14" s="1"/>
  <c r="D65" i="14" s="1"/>
  <c r="C65" i="14"/>
  <c r="E42" i="13"/>
  <c r="E42" i="12"/>
  <c r="C67" i="14"/>
  <c r="L44" i="14"/>
  <c r="N44" i="14" s="1"/>
  <c r="D67" i="14" s="1"/>
  <c r="E44" i="13"/>
  <c r="E44" i="12"/>
  <c r="C69" i="14"/>
  <c r="E46" i="13"/>
  <c r="L46" i="14"/>
  <c r="N46" i="14" s="1"/>
  <c r="D69" i="14" s="1"/>
  <c r="E46" i="12"/>
  <c r="C71" i="14"/>
  <c r="L48" i="14"/>
  <c r="N48" i="14" s="1"/>
  <c r="D71" i="14" s="1"/>
  <c r="E48" i="13"/>
  <c r="E48" i="12"/>
  <c r="C73" i="14"/>
  <c r="L50" i="14"/>
  <c r="N50" i="14" s="1"/>
  <c r="D73" i="14" s="1"/>
  <c r="E50" i="13"/>
  <c r="E50" i="12"/>
  <c r="L52" i="14"/>
  <c r="N52" i="14" s="1"/>
  <c r="D75" i="14" s="1"/>
  <c r="C75" i="14"/>
  <c r="E52" i="13"/>
  <c r="E52" i="12"/>
  <c r="C77" i="14"/>
  <c r="E54" i="13"/>
  <c r="L54" i="14"/>
  <c r="N54" i="14" s="1"/>
  <c r="D77" i="14" s="1"/>
  <c r="E54" i="12"/>
  <c r="C79" i="14"/>
  <c r="L56" i="14"/>
  <c r="N56" i="14" s="1"/>
  <c r="D79" i="14" s="1"/>
  <c r="E56" i="12"/>
  <c r="E56" i="13"/>
  <c r="L58" i="14"/>
  <c r="N58" i="14" s="1"/>
  <c r="D81" i="14" s="1"/>
  <c r="C81" i="14"/>
  <c r="E58" i="13"/>
  <c r="E58" i="12"/>
  <c r="C83" i="14"/>
  <c r="E60" i="13"/>
  <c r="L60" i="14"/>
  <c r="N60" i="14" s="1"/>
  <c r="D83" i="14" s="1"/>
  <c r="E60" i="12"/>
  <c r="C85" i="14"/>
  <c r="L62" i="14"/>
  <c r="N62" i="14" s="1"/>
  <c r="D85" i="14" s="1"/>
  <c r="E62" i="13"/>
  <c r="E62" i="12"/>
  <c r="C87" i="14"/>
  <c r="L64" i="14"/>
  <c r="N64" i="14" s="1"/>
  <c r="D87" i="14" s="1"/>
  <c r="E64" i="13"/>
  <c r="E64" i="12"/>
  <c r="C89" i="14"/>
  <c r="E66" i="13"/>
  <c r="L66" i="14"/>
  <c r="N66" i="14" s="1"/>
  <c r="D89" i="14" s="1"/>
  <c r="E66" i="12"/>
  <c r="C91" i="14"/>
  <c r="E68" i="13"/>
  <c r="L68" i="14"/>
  <c r="N68" i="14" s="1"/>
  <c r="D91" i="14" s="1"/>
  <c r="E68" i="12"/>
  <c r="L70" i="14"/>
  <c r="N70" i="14" s="1"/>
  <c r="D93" i="14" s="1"/>
  <c r="C93" i="14"/>
  <c r="E70" i="13"/>
  <c r="E70" i="12"/>
  <c r="C95" i="14"/>
  <c r="L72" i="14"/>
  <c r="N72" i="14" s="1"/>
  <c r="D95" i="14" s="1"/>
  <c r="E72" i="13"/>
  <c r="E72" i="12"/>
  <c r="L74" i="14"/>
  <c r="N74" i="14" s="1"/>
  <c r="D97" i="14" s="1"/>
  <c r="C97" i="14"/>
  <c r="E74" i="13"/>
  <c r="E74" i="12"/>
  <c r="C99" i="14"/>
  <c r="E76" i="13"/>
  <c r="L76" i="14"/>
  <c r="N76" i="14" s="1"/>
  <c r="D99" i="14" s="1"/>
  <c r="E76" i="12"/>
  <c r="C101" i="14"/>
  <c r="E78" i="13"/>
  <c r="L78" i="14"/>
  <c r="N78" i="14" s="1"/>
  <c r="D101" i="14" s="1"/>
  <c r="E78" i="12"/>
  <c r="L80" i="14"/>
  <c r="N80" i="14" s="1"/>
  <c r="D103" i="14" s="1"/>
  <c r="C103" i="14"/>
  <c r="E80" i="13"/>
  <c r="E80" i="12"/>
  <c r="C105" i="14"/>
  <c r="L82" i="14"/>
  <c r="N82" i="14" s="1"/>
  <c r="D105" i="14" s="1"/>
  <c r="E82" i="13"/>
  <c r="E82" i="12"/>
  <c r="C107" i="14"/>
  <c r="E84" i="13"/>
  <c r="L84" i="14"/>
  <c r="N84" i="14" s="1"/>
  <c r="D107" i="14" s="1"/>
  <c r="E84" i="12"/>
  <c r="L86" i="14"/>
  <c r="N86" i="14" s="1"/>
  <c r="D109" i="14" s="1"/>
  <c r="C109" i="14"/>
  <c r="E86" i="12"/>
  <c r="E86" i="13"/>
  <c r="C111" i="14"/>
  <c r="E88" i="13"/>
  <c r="L88" i="14"/>
  <c r="N88" i="14" s="1"/>
  <c r="D111" i="14" s="1"/>
  <c r="E88" i="12"/>
  <c r="L90" i="14"/>
  <c r="N90" i="14" s="1"/>
  <c r="D113" i="14" s="1"/>
  <c r="C113" i="14"/>
  <c r="E90" i="13"/>
  <c r="E90" i="12"/>
  <c r="C115" i="14"/>
  <c r="E92" i="13"/>
  <c r="L92" i="14"/>
  <c r="N92" i="14" s="1"/>
  <c r="D115" i="14" s="1"/>
  <c r="E92" i="12"/>
  <c r="C117" i="14"/>
  <c r="L94" i="14"/>
  <c r="N94" i="14" s="1"/>
  <c r="D117" i="14" s="1"/>
  <c r="E94" i="12"/>
  <c r="E94" i="13"/>
  <c r="L96" i="14"/>
  <c r="N96" i="14" s="1"/>
  <c r="D119" i="14" s="1"/>
  <c r="E96" i="13"/>
  <c r="C119" i="14"/>
  <c r="E96" i="12"/>
  <c r="C121" i="14"/>
  <c r="E98" i="13"/>
  <c r="L98" i="14"/>
  <c r="N98" i="14" s="1"/>
  <c r="D121" i="14" s="1"/>
  <c r="E98" i="12"/>
  <c r="C123" i="14"/>
  <c r="L100" i="14"/>
  <c r="N100" i="14" s="1"/>
  <c r="D123" i="14" s="1"/>
  <c r="E100" i="13"/>
  <c r="E100" i="12"/>
  <c r="L102" i="14"/>
  <c r="N102" i="14" s="1"/>
  <c r="D125" i="14" s="1"/>
  <c r="C125" i="14"/>
  <c r="E102" i="13"/>
  <c r="E102" i="12"/>
  <c r="C127" i="14"/>
  <c r="L104" i="14"/>
  <c r="N104" i="14" s="1"/>
  <c r="D127" i="14" s="1"/>
  <c r="E104" i="13"/>
  <c r="E104" i="12"/>
  <c r="L19" i="10"/>
  <c r="P19" i="10" s="1"/>
  <c r="L59" i="10"/>
  <c r="M8" i="10"/>
  <c r="J13" i="10"/>
  <c r="K13" i="10" s="1"/>
  <c r="M13" i="10" s="1"/>
  <c r="O13" i="10"/>
  <c r="P13" i="10" s="1"/>
  <c r="P38" i="10"/>
  <c r="O38" i="10"/>
  <c r="J38" i="10"/>
  <c r="K38" i="10" s="1"/>
  <c r="M38" i="10" s="1"/>
  <c r="J12" i="10"/>
  <c r="K12" i="10" s="1"/>
  <c r="M12" i="10" s="1"/>
  <c r="G17" i="10"/>
  <c r="O22" i="10"/>
  <c r="P22" i="10" s="1"/>
  <c r="M22" i="10"/>
  <c r="O33" i="10"/>
  <c r="P33" i="10" s="1"/>
  <c r="J33" i="10"/>
  <c r="K33" i="10" s="1"/>
  <c r="M33" i="10" s="1"/>
  <c r="M42" i="10"/>
  <c r="J42" i="10"/>
  <c r="K42" i="10" s="1"/>
  <c r="P42" i="10"/>
  <c r="O42" i="10"/>
  <c r="J49" i="10"/>
  <c r="K49" i="10" s="1"/>
  <c r="M49" i="10" s="1"/>
  <c r="P49" i="10"/>
  <c r="O49" i="10"/>
  <c r="O8" i="10"/>
  <c r="P8" i="10" s="1"/>
  <c r="M10" i="10"/>
  <c r="M11" i="10"/>
  <c r="O15" i="10"/>
  <c r="P15" i="10" s="1"/>
  <c r="J23" i="10"/>
  <c r="K23" i="10" s="1"/>
  <c r="P23" i="10"/>
  <c r="M23" i="10"/>
  <c r="G24" i="10"/>
  <c r="M32" i="10"/>
  <c r="J32" i="10"/>
  <c r="K32" i="10" s="1"/>
  <c r="O32" i="10"/>
  <c r="P32" i="10" s="1"/>
  <c r="J37" i="10"/>
  <c r="K37" i="10" s="1"/>
  <c r="M37" i="10" s="1"/>
  <c r="P37" i="10"/>
  <c r="O37" i="10"/>
  <c r="O10" i="10"/>
  <c r="P10" i="10" s="1"/>
  <c r="O25" i="10"/>
  <c r="J41" i="10"/>
  <c r="K41" i="10" s="1"/>
  <c r="O41" i="10"/>
  <c r="P41" i="10" s="1"/>
  <c r="M41" i="10"/>
  <c r="G28" i="10"/>
  <c r="O12" i="10"/>
  <c r="P12" i="10" s="1"/>
  <c r="M15" i="10"/>
  <c r="O18" i="10"/>
  <c r="M18" i="10"/>
  <c r="O26" i="10"/>
  <c r="P26" i="10" s="1"/>
  <c r="M26" i="10"/>
  <c r="J27" i="10"/>
  <c r="K27" i="10" s="1"/>
  <c r="M27" i="10" s="1"/>
  <c r="O27" i="10"/>
  <c r="O29" i="10"/>
  <c r="P29" i="10" s="1"/>
  <c r="M29" i="10"/>
  <c r="J29" i="10"/>
  <c r="K29" i="10" s="1"/>
  <c r="P30" i="10"/>
  <c r="K31" i="10"/>
  <c r="J8" i="10"/>
  <c r="K8" i="10" s="1"/>
  <c r="M19" i="10"/>
  <c r="O23" i="10"/>
  <c r="J25" i="10"/>
  <c r="K25" i="10" s="1"/>
  <c r="M35" i="10"/>
  <c r="O35" i="10"/>
  <c r="P35" i="10" s="1"/>
  <c r="J35" i="10"/>
  <c r="K35" i="10" s="1"/>
  <c r="G16" i="10"/>
  <c r="J18" i="10"/>
  <c r="K18" i="10" s="1"/>
  <c r="G20" i="10"/>
  <c r="P21" i="10"/>
  <c r="O21" i="10"/>
  <c r="M25" i="10"/>
  <c r="J26" i="10"/>
  <c r="K26" i="10" s="1"/>
  <c r="K30" i="10"/>
  <c r="J34" i="10"/>
  <c r="K34" i="10" s="1"/>
  <c r="O34" i="10"/>
  <c r="P34" i="10" s="1"/>
  <c r="M34" i="10"/>
  <c r="J39" i="10"/>
  <c r="K39" i="10" s="1"/>
  <c r="M39" i="10" s="1"/>
  <c r="O39" i="10"/>
  <c r="P39" i="10" s="1"/>
  <c r="P45" i="10"/>
  <c r="O46" i="10"/>
  <c r="P46" i="10"/>
  <c r="M31" i="10"/>
  <c r="J45" i="10"/>
  <c r="K45" i="10" s="1"/>
  <c r="M45" i="10" s="1"/>
  <c r="O31" i="10"/>
  <c r="J43" i="10"/>
  <c r="K43" i="10" s="1"/>
  <c r="G44" i="10"/>
  <c r="P47" i="10"/>
  <c r="M47" i="10"/>
  <c r="M30" i="10"/>
  <c r="P31" i="10"/>
  <c r="J40" i="10"/>
  <c r="K40" i="10" s="1"/>
  <c r="M40" i="10" s="1"/>
  <c r="O45" i="10"/>
  <c r="J48" i="10"/>
  <c r="K48" i="10" s="1"/>
  <c r="M48" i="10" s="1"/>
  <c r="P48" i="10"/>
  <c r="O48" i="10"/>
  <c r="O30" i="10"/>
  <c r="G36" i="10"/>
  <c r="J46" i="10"/>
  <c r="K46" i="10" s="1"/>
  <c r="M46" i="10" s="1"/>
  <c r="G55" i="10"/>
  <c r="J56" i="10"/>
  <c r="K56" i="10" s="1"/>
  <c r="O56" i="10"/>
  <c r="P56" i="10" s="1"/>
  <c r="M56" i="10"/>
  <c r="J57" i="10"/>
  <c r="K57" i="10" s="1"/>
  <c r="P57" i="10"/>
  <c r="O57" i="10"/>
  <c r="M57" i="10"/>
  <c r="K58" i="10"/>
  <c r="O43" i="10"/>
  <c r="P43" i="10" s="1"/>
  <c r="O50" i="10"/>
  <c r="J50" i="10"/>
  <c r="K50" i="10" s="1"/>
  <c r="M50" i="10" s="1"/>
  <c r="P50" i="10"/>
  <c r="O54" i="10"/>
  <c r="P54" i="10" s="1"/>
  <c r="M54" i="10"/>
  <c r="J54" i="10"/>
  <c r="K54" i="10" s="1"/>
  <c r="P51" i="10"/>
  <c r="M51" i="10"/>
  <c r="J52" i="10"/>
  <c r="K52" i="10" s="1"/>
  <c r="P52" i="10"/>
  <c r="O52" i="10"/>
  <c r="M52" i="10"/>
  <c r="P53" i="10"/>
  <c r="M53" i="10"/>
  <c r="P40" i="10"/>
  <c r="O40" i="10"/>
  <c r="M43" i="10"/>
  <c r="G59" i="10"/>
  <c r="O58" i="10"/>
  <c r="J19" i="13" l="1"/>
  <c r="K19" i="13"/>
  <c r="D13" i="15"/>
  <c r="F5" i="13"/>
  <c r="N19" i="11"/>
  <c r="O19" i="11" s="1"/>
  <c r="N17" i="11"/>
  <c r="N15" i="11"/>
  <c r="O15" i="11" s="1"/>
  <c r="N13" i="11"/>
  <c r="N11" i="11"/>
  <c r="O11" i="11" s="1"/>
  <c r="N9" i="11"/>
  <c r="O9" i="11" s="1"/>
  <c r="N7" i="11"/>
  <c r="N12" i="11"/>
  <c r="O12" i="11" s="1"/>
  <c r="N18" i="11"/>
  <c r="J106" i="4"/>
  <c r="N10" i="11"/>
  <c r="N8" i="11"/>
  <c r="N14" i="11"/>
  <c r="N16" i="11"/>
  <c r="N20" i="11"/>
  <c r="E6" i="15"/>
  <c r="B12" i="12"/>
  <c r="B5" i="14"/>
  <c r="G34" i="14" s="1"/>
  <c r="B7" i="1"/>
  <c r="J27" i="13"/>
  <c r="K27" i="13"/>
  <c r="K93" i="13"/>
  <c r="J93" i="13"/>
  <c r="K103" i="13"/>
  <c r="J103" i="13"/>
  <c r="K41" i="13"/>
  <c r="J41" i="13"/>
  <c r="K9" i="13"/>
  <c r="J9" i="13"/>
  <c r="K60" i="13"/>
  <c r="J60" i="13"/>
  <c r="M58" i="10"/>
  <c r="M28" i="10"/>
  <c r="J28" i="10"/>
  <c r="K28" i="10" s="1"/>
  <c r="O28" i="10"/>
  <c r="P28" i="10" s="1"/>
  <c r="J24" i="10"/>
  <c r="K24" i="10" s="1"/>
  <c r="M24" i="10" s="1"/>
  <c r="P24" i="10"/>
  <c r="O24" i="10"/>
  <c r="P17" i="10"/>
  <c r="O17" i="10"/>
  <c r="J17" i="10"/>
  <c r="K17" i="10" s="1"/>
  <c r="M17" i="10" s="1"/>
  <c r="E123" i="14"/>
  <c r="G99" i="14"/>
  <c r="E95" i="14"/>
  <c r="G91" i="14"/>
  <c r="E71" i="14"/>
  <c r="G55" i="14"/>
  <c r="E55" i="14"/>
  <c r="J75" i="13"/>
  <c r="K75" i="13"/>
  <c r="E90" i="14"/>
  <c r="G90" i="14"/>
  <c r="J43" i="13"/>
  <c r="K43" i="13"/>
  <c r="I17" i="11"/>
  <c r="M17" i="11" s="1"/>
  <c r="K79" i="13"/>
  <c r="J79" i="13"/>
  <c r="G94" i="14"/>
  <c r="E94" i="14"/>
  <c r="J35" i="13"/>
  <c r="K35" i="13"/>
  <c r="K81" i="13"/>
  <c r="J81" i="13"/>
  <c r="E108" i="14"/>
  <c r="J61" i="13"/>
  <c r="K61" i="13"/>
  <c r="J29" i="13"/>
  <c r="K29" i="13"/>
  <c r="E126" i="14"/>
  <c r="K55" i="13"/>
  <c r="J55" i="13"/>
  <c r="N7" i="14"/>
  <c r="D30" i="14" s="1"/>
  <c r="B17" i="12"/>
  <c r="P5" i="10"/>
  <c r="G116" i="14"/>
  <c r="E116" i="14"/>
  <c r="J69" i="13"/>
  <c r="K69" i="13"/>
  <c r="J37" i="13"/>
  <c r="K37" i="13"/>
  <c r="K15" i="13"/>
  <c r="J15" i="13"/>
  <c r="K97" i="13"/>
  <c r="J97" i="13"/>
  <c r="K49" i="13"/>
  <c r="J49" i="13"/>
  <c r="G64" i="14"/>
  <c r="E64" i="14"/>
  <c r="E32" i="14"/>
  <c r="P59" i="10"/>
  <c r="J59" i="10"/>
  <c r="K59" i="10" s="1"/>
  <c r="M59" i="10" s="1"/>
  <c r="O59" i="10"/>
  <c r="P55" i="10"/>
  <c r="M55" i="10"/>
  <c r="J55" i="10"/>
  <c r="K55" i="10" s="1"/>
  <c r="O55" i="10"/>
  <c r="K76" i="13"/>
  <c r="J76" i="13"/>
  <c r="G35" i="14"/>
  <c r="E35" i="14"/>
  <c r="P36" i="10"/>
  <c r="O36" i="10"/>
  <c r="J36" i="10"/>
  <c r="K36" i="10" s="1"/>
  <c r="M36" i="10" s="1"/>
  <c r="K50" i="13"/>
  <c r="J50" i="13"/>
  <c r="K63" i="13"/>
  <c r="J63" i="13"/>
  <c r="K17" i="13"/>
  <c r="J17" i="13"/>
  <c r="K92" i="13"/>
  <c r="J92" i="13"/>
  <c r="K88" i="13"/>
  <c r="J88" i="13"/>
  <c r="K68" i="13"/>
  <c r="J68" i="13"/>
  <c r="G75" i="14"/>
  <c r="E75" i="14"/>
  <c r="K20" i="13"/>
  <c r="J20" i="13"/>
  <c r="K94" i="13"/>
  <c r="J94" i="13"/>
  <c r="K10" i="13"/>
  <c r="J10" i="13"/>
  <c r="I18" i="11"/>
  <c r="M18" i="11" s="1"/>
  <c r="G58" i="14"/>
  <c r="E58" i="14"/>
  <c r="K101" i="13"/>
  <c r="J101" i="13"/>
  <c r="K23" i="13"/>
  <c r="J23" i="13"/>
  <c r="G38" i="14"/>
  <c r="E38" i="14"/>
  <c r="E120" i="14"/>
  <c r="K57" i="13"/>
  <c r="J57" i="13"/>
  <c r="J25" i="13"/>
  <c r="K25" i="13"/>
  <c r="G40" i="14"/>
  <c r="K84" i="13"/>
  <c r="J84" i="13"/>
  <c r="G39" i="14"/>
  <c r="E39" i="14"/>
  <c r="J90" i="13"/>
  <c r="K90" i="13"/>
  <c r="K74" i="13"/>
  <c r="J74" i="13"/>
  <c r="K70" i="13"/>
  <c r="J70" i="13"/>
  <c r="J62" i="13"/>
  <c r="K62" i="13"/>
  <c r="K42" i="13"/>
  <c r="J42" i="13"/>
  <c r="K38" i="13"/>
  <c r="J38" i="13"/>
  <c r="K34" i="13"/>
  <c r="J34" i="13"/>
  <c r="G53" i="14"/>
  <c r="E53" i="14"/>
  <c r="K26" i="13"/>
  <c r="J26" i="13"/>
  <c r="K22" i="13"/>
  <c r="J22" i="13"/>
  <c r="I10" i="11"/>
  <c r="M10" i="11" s="1"/>
  <c r="N5" i="14"/>
  <c r="G110" i="14"/>
  <c r="E110" i="14"/>
  <c r="K31" i="13"/>
  <c r="J31" i="13"/>
  <c r="J77" i="13"/>
  <c r="K77" i="13"/>
  <c r="E92" i="14"/>
  <c r="G92" i="14"/>
  <c r="J45" i="13"/>
  <c r="K45" i="13"/>
  <c r="K13" i="13"/>
  <c r="J13" i="13"/>
  <c r="K39" i="13"/>
  <c r="J39" i="13"/>
  <c r="M20" i="10"/>
  <c r="J20" i="10"/>
  <c r="K20" i="10" s="1"/>
  <c r="P20" i="10"/>
  <c r="O20" i="10"/>
  <c r="I20" i="11"/>
  <c r="M20" i="11" s="1"/>
  <c r="D12" i="15" s="1"/>
  <c r="J83" i="13"/>
  <c r="K83" i="13"/>
  <c r="G125" i="14"/>
  <c r="E125" i="14"/>
  <c r="K98" i="13"/>
  <c r="J98" i="13"/>
  <c r="E109" i="14"/>
  <c r="J78" i="13"/>
  <c r="K78" i="13"/>
  <c r="K66" i="13"/>
  <c r="J66" i="13"/>
  <c r="G81" i="14"/>
  <c r="E81" i="14"/>
  <c r="K54" i="13"/>
  <c r="J54" i="13"/>
  <c r="J46" i="13"/>
  <c r="K46" i="13"/>
  <c r="E65" i="14"/>
  <c r="G57" i="14"/>
  <c r="E57" i="14"/>
  <c r="J30" i="13"/>
  <c r="K30" i="13"/>
  <c r="E41" i="14"/>
  <c r="K14" i="13"/>
  <c r="J14" i="13"/>
  <c r="I16" i="11"/>
  <c r="M16" i="11" s="1"/>
  <c r="E66" i="14"/>
  <c r="G66" i="14"/>
  <c r="I7" i="11"/>
  <c r="M7" i="11" s="1"/>
  <c r="E106" i="13"/>
  <c r="J87" i="13"/>
  <c r="K87" i="13"/>
  <c r="G117" i="14"/>
  <c r="E117" i="14"/>
  <c r="G73" i="14"/>
  <c r="I5" i="11"/>
  <c r="M5" i="11" s="1"/>
  <c r="K85" i="13"/>
  <c r="J85" i="13"/>
  <c r="E100" i="14"/>
  <c r="J53" i="13"/>
  <c r="K53" i="13"/>
  <c r="G80" i="14"/>
  <c r="G48" i="14"/>
  <c r="E48" i="14"/>
  <c r="K96" i="13"/>
  <c r="J96" i="13"/>
  <c r="K86" i="13"/>
  <c r="J86" i="13"/>
  <c r="K18" i="13"/>
  <c r="J18" i="13"/>
  <c r="E122" i="14"/>
  <c r="G122" i="14"/>
  <c r="K102" i="13"/>
  <c r="J102" i="13"/>
  <c r="K82" i="13"/>
  <c r="J82" i="13"/>
  <c r="K58" i="13"/>
  <c r="J58" i="13"/>
  <c r="J51" i="13"/>
  <c r="K51" i="13"/>
  <c r="B15" i="12"/>
  <c r="B19" i="1" s="1"/>
  <c r="E19" i="1"/>
  <c r="J44" i="10"/>
  <c r="K44" i="10" s="1"/>
  <c r="M44" i="10" s="1"/>
  <c r="O44" i="10"/>
  <c r="P44" i="10" s="1"/>
  <c r="M16" i="10"/>
  <c r="J16" i="10"/>
  <c r="K16" i="10" s="1"/>
  <c r="K60" i="10" s="1"/>
  <c r="P16" i="10"/>
  <c r="O16" i="10"/>
  <c r="O60" i="10" s="1"/>
  <c r="G121" i="14"/>
  <c r="G101" i="14"/>
  <c r="E89" i="14"/>
  <c r="G89" i="14"/>
  <c r="E85" i="14"/>
  <c r="G69" i="14"/>
  <c r="G61" i="14"/>
  <c r="E61" i="14"/>
  <c r="G45" i="14"/>
  <c r="K56" i="13"/>
  <c r="J56" i="13"/>
  <c r="K32" i="13"/>
  <c r="J32" i="13"/>
  <c r="K24" i="13"/>
  <c r="J24" i="13"/>
  <c r="J91" i="13"/>
  <c r="K91" i="13"/>
  <c r="G106" i="14"/>
  <c r="J59" i="13"/>
  <c r="K59" i="13"/>
  <c r="E74" i="14"/>
  <c r="K11" i="13"/>
  <c r="J11" i="13"/>
  <c r="K104" i="13"/>
  <c r="J104" i="13"/>
  <c r="K100" i="13"/>
  <c r="J100" i="13"/>
  <c r="G119" i="14"/>
  <c r="K80" i="13"/>
  <c r="J80" i="13"/>
  <c r="K72" i="13"/>
  <c r="J72" i="13"/>
  <c r="K64" i="13"/>
  <c r="J64" i="13"/>
  <c r="K52" i="13"/>
  <c r="J52" i="13"/>
  <c r="K48" i="13"/>
  <c r="J48" i="13"/>
  <c r="K44" i="13"/>
  <c r="J44" i="13"/>
  <c r="K40" i="13"/>
  <c r="J40" i="13"/>
  <c r="K36" i="13"/>
  <c r="J36" i="13"/>
  <c r="K28" i="13"/>
  <c r="J28" i="13"/>
  <c r="J16" i="13"/>
  <c r="K16" i="13"/>
  <c r="K12" i="13"/>
  <c r="J12" i="13"/>
  <c r="J99" i="13"/>
  <c r="K99" i="13"/>
  <c r="J67" i="13"/>
  <c r="K67" i="13"/>
  <c r="I14" i="11"/>
  <c r="M14" i="11" s="1"/>
  <c r="I13" i="11"/>
  <c r="M13" i="11" s="1"/>
  <c r="K71" i="13"/>
  <c r="J71" i="13"/>
  <c r="K73" i="13"/>
  <c r="J73" i="13"/>
  <c r="I8" i="11"/>
  <c r="M8" i="11" s="1"/>
  <c r="E68" i="14"/>
  <c r="J21" i="13"/>
  <c r="K21" i="13"/>
  <c r="E36" i="14"/>
  <c r="G36" i="14"/>
  <c r="J95" i="13"/>
  <c r="K95" i="13"/>
  <c r="K47" i="13"/>
  <c r="J47" i="13"/>
  <c r="K89" i="13"/>
  <c r="J89" i="13"/>
  <c r="K65" i="13"/>
  <c r="J65" i="13"/>
  <c r="K33" i="13"/>
  <c r="J33" i="13"/>
  <c r="E86" i="14" l="1"/>
  <c r="E73" i="14"/>
  <c r="G33" i="14"/>
  <c r="G97" i="14"/>
  <c r="E40" i="14"/>
  <c r="G120" i="14"/>
  <c r="G59" i="14"/>
  <c r="E76" i="14"/>
  <c r="G51" i="14"/>
  <c r="E91" i="14"/>
  <c r="G123" i="14"/>
  <c r="G103" i="14"/>
  <c r="G72" i="14"/>
  <c r="G52" i="14"/>
  <c r="G47" i="14"/>
  <c r="G70" i="14"/>
  <c r="E104" i="14"/>
  <c r="E79" i="14"/>
  <c r="G111" i="14"/>
  <c r="E105" i="14"/>
  <c r="E93" i="14"/>
  <c r="G37" i="14"/>
  <c r="E77" i="14"/>
  <c r="G105" i="14"/>
  <c r="E46" i="14"/>
  <c r="G49" i="14"/>
  <c r="G93" i="14"/>
  <c r="G113" i="14"/>
  <c r="E60" i="14"/>
  <c r="E124" i="14"/>
  <c r="E78" i="14"/>
  <c r="E84" i="14"/>
  <c r="E63" i="14"/>
  <c r="G112" i="14"/>
  <c r="G104" i="14"/>
  <c r="E42" i="14"/>
  <c r="G43" i="14"/>
  <c r="G83" i="14"/>
  <c r="E111" i="14"/>
  <c r="E106" i="14"/>
  <c r="E69" i="14"/>
  <c r="E101" i="14"/>
  <c r="E80" i="14"/>
  <c r="G100" i="14"/>
  <c r="G102" i="14"/>
  <c r="G98" i="14"/>
  <c r="G41" i="14"/>
  <c r="G65" i="14"/>
  <c r="G109" i="14"/>
  <c r="E103" i="14"/>
  <c r="E72" i="14"/>
  <c r="E52" i="14"/>
  <c r="E47" i="14"/>
  <c r="E70" i="14"/>
  <c r="G126" i="14"/>
  <c r="G108" i="14"/>
  <c r="G71" i="14"/>
  <c r="E99" i="14"/>
  <c r="E44" i="14"/>
  <c r="G68" i="14"/>
  <c r="E37" i="14"/>
  <c r="G77" i="14"/>
  <c r="G46" i="14"/>
  <c r="E102" i="14"/>
  <c r="E98" i="14"/>
  <c r="E49" i="14"/>
  <c r="E113" i="14"/>
  <c r="E119" i="14"/>
  <c r="G74" i="14"/>
  <c r="E45" i="14"/>
  <c r="G85" i="14"/>
  <c r="E121" i="14"/>
  <c r="G86" i="14"/>
  <c r="E33" i="14"/>
  <c r="E97" i="14"/>
  <c r="G60" i="14"/>
  <c r="G124" i="14"/>
  <c r="G78" i="14"/>
  <c r="G84" i="14"/>
  <c r="E59" i="14"/>
  <c r="G63" i="14"/>
  <c r="E112" i="14"/>
  <c r="G76" i="14"/>
  <c r="G42" i="14"/>
  <c r="E43" i="14"/>
  <c r="E83" i="14"/>
  <c r="E115" i="14"/>
  <c r="E8" i="15"/>
  <c r="D8" i="15"/>
  <c r="E9" i="15"/>
  <c r="E7" i="15"/>
  <c r="D9" i="15"/>
  <c r="D7" i="15"/>
  <c r="B13" i="12"/>
  <c r="B17" i="1" s="1"/>
  <c r="M60" i="10"/>
  <c r="E50" i="14"/>
  <c r="E67" i="14"/>
  <c r="G87" i="14"/>
  <c r="E107" i="14"/>
  <c r="E127" i="14"/>
  <c r="G44" i="14"/>
  <c r="O14" i="11"/>
  <c r="P12" i="11"/>
  <c r="E34" i="14"/>
  <c r="E13" i="15"/>
  <c r="B11" i="1"/>
  <c r="O8" i="11"/>
  <c r="O13" i="11"/>
  <c r="G56" i="14"/>
  <c r="E62" i="14"/>
  <c r="B16" i="1"/>
  <c r="O10" i="11"/>
  <c r="E51" i="14"/>
  <c r="G79" i="14"/>
  <c r="G95" i="14"/>
  <c r="G115" i="14"/>
  <c r="E56" i="14"/>
  <c r="G62" i="14"/>
  <c r="O17" i="11"/>
  <c r="G82" i="14"/>
  <c r="D28" i="14"/>
  <c r="B7" i="14"/>
  <c r="P60" i="10"/>
  <c r="E118" i="14"/>
  <c r="G96" i="14"/>
  <c r="E54" i="14"/>
  <c r="O18" i="11"/>
  <c r="P20" i="11"/>
  <c r="E82" i="14"/>
  <c r="G118" i="14"/>
  <c r="E96" i="14"/>
  <c r="G54" i="14"/>
  <c r="F106" i="13"/>
  <c r="G114" i="14"/>
  <c r="E88" i="14"/>
  <c r="O20" i="11"/>
  <c r="O7" i="11"/>
  <c r="E114" i="14"/>
  <c r="G32" i="14"/>
  <c r="G50" i="14"/>
  <c r="G67" i="14"/>
  <c r="E87" i="14"/>
  <c r="G107" i="14"/>
  <c r="G127" i="14"/>
  <c r="G88" i="14"/>
  <c r="O16" i="11"/>
  <c r="P14" i="11" l="1"/>
  <c r="P11" i="11"/>
  <c r="P9" i="11"/>
  <c r="P17" i="11"/>
  <c r="P15" i="11"/>
  <c r="B20" i="1"/>
  <c r="B25" i="1"/>
  <c r="P18" i="11"/>
  <c r="B16" i="12"/>
  <c r="G7" i="12"/>
  <c r="H7" i="12" s="1"/>
  <c r="P8" i="11"/>
  <c r="P19" i="11"/>
  <c r="P16" i="11"/>
  <c r="P10" i="11"/>
  <c r="P13" i="11"/>
  <c r="P21" i="11"/>
  <c r="B31" i="12" l="1"/>
  <c r="B33" i="12" s="1"/>
  <c r="B29" i="12"/>
  <c r="E11" i="1" s="1"/>
  <c r="B32" i="12"/>
  <c r="B27" i="12"/>
  <c r="G8" i="12"/>
  <c r="E12" i="15"/>
  <c r="B14" i="14"/>
  <c r="B15" i="14" s="1"/>
  <c r="B8" i="14"/>
  <c r="B9" i="14" s="1"/>
  <c r="E105" i="12"/>
  <c r="B25" i="12" s="1"/>
  <c r="E7" i="1" s="1"/>
  <c r="B22" i="12"/>
  <c r="B26" i="12"/>
  <c r="B24" i="12"/>
  <c r="B23" i="12"/>
  <c r="B18" i="12"/>
  <c r="B8" i="1"/>
  <c r="B10" i="1"/>
  <c r="B9" i="1"/>
  <c r="C18" i="1"/>
  <c r="C19" i="1"/>
  <c r="C16" i="1"/>
  <c r="C17" i="1"/>
  <c r="B16" i="14" l="1"/>
  <c r="H8" i="12"/>
  <c r="G9" i="12"/>
  <c r="E31" i="14"/>
  <c r="E28" i="14"/>
  <c r="E29" i="14"/>
  <c r="E30" i="14"/>
  <c r="C20" i="1"/>
  <c r="B12" i="1"/>
  <c r="I8" i="13"/>
  <c r="I6" i="13"/>
  <c r="I7" i="13"/>
  <c r="I5" i="13"/>
  <c r="B28" i="12"/>
  <c r="E10" i="1" s="1"/>
  <c r="E9" i="1"/>
  <c r="E14" i="15"/>
  <c r="D14" i="15"/>
  <c r="E8" i="1"/>
  <c r="J7" i="13" l="1"/>
  <c r="K7" i="13"/>
  <c r="I106" i="13"/>
  <c r="J106" i="13" s="1"/>
  <c r="K5" i="13"/>
  <c r="J5" i="13"/>
  <c r="K8" i="13"/>
  <c r="J8" i="13"/>
  <c r="F82" i="14"/>
  <c r="H82" i="14" s="1"/>
  <c r="F88" i="14"/>
  <c r="H88" i="14" s="1"/>
  <c r="F81" i="14"/>
  <c r="H81" i="14" s="1"/>
  <c r="F95" i="14"/>
  <c r="H95" i="14" s="1"/>
  <c r="F50" i="14"/>
  <c r="H50" i="14" s="1"/>
  <c r="F59" i="14"/>
  <c r="H59" i="14" s="1"/>
  <c r="F35" i="14"/>
  <c r="H35" i="14" s="1"/>
  <c r="F44" i="14"/>
  <c r="H44" i="14" s="1"/>
  <c r="F38" i="14"/>
  <c r="H38" i="14" s="1"/>
  <c r="F55" i="14"/>
  <c r="H55" i="14" s="1"/>
  <c r="F43" i="14"/>
  <c r="H43" i="14" s="1"/>
  <c r="F96" i="14"/>
  <c r="H96" i="14" s="1"/>
  <c r="F75" i="14"/>
  <c r="H75" i="14" s="1"/>
  <c r="F78" i="14"/>
  <c r="H78" i="14" s="1"/>
  <c r="F89" i="14"/>
  <c r="H89" i="14" s="1"/>
  <c r="F49" i="14"/>
  <c r="H49" i="14" s="1"/>
  <c r="F45" i="14"/>
  <c r="H45" i="14" s="1"/>
  <c r="F33" i="14"/>
  <c r="H33" i="14" s="1"/>
  <c r="F126" i="14"/>
  <c r="H126" i="14" s="1"/>
  <c r="F30" i="14"/>
  <c r="F122" i="14"/>
  <c r="H122" i="14" s="1"/>
  <c r="F34" i="14"/>
  <c r="H34" i="14" s="1"/>
  <c r="F28" i="14"/>
  <c r="F69" i="14"/>
  <c r="H69" i="14" s="1"/>
  <c r="F123" i="14"/>
  <c r="H123" i="14" s="1"/>
  <c r="F66" i="14"/>
  <c r="H66" i="14" s="1"/>
  <c r="F72" i="14"/>
  <c r="H72" i="14" s="1"/>
  <c r="F121" i="14"/>
  <c r="H121" i="14" s="1"/>
  <c r="F86" i="14"/>
  <c r="H86" i="14" s="1"/>
  <c r="F118" i="14"/>
  <c r="H118" i="14" s="1"/>
  <c r="F42" i="14"/>
  <c r="H42" i="14" s="1"/>
  <c r="F31" i="14"/>
  <c r="F99" i="14"/>
  <c r="H99" i="14" s="1"/>
  <c r="F120" i="14"/>
  <c r="H120" i="14" s="1"/>
  <c r="F56" i="14"/>
  <c r="H56" i="14" s="1"/>
  <c r="F112" i="14"/>
  <c r="H112" i="14" s="1"/>
  <c r="F84" i="14"/>
  <c r="H84" i="14" s="1"/>
  <c r="F115" i="14"/>
  <c r="H115" i="14" s="1"/>
  <c r="F124" i="14"/>
  <c r="H124" i="14" s="1"/>
  <c r="F125" i="14"/>
  <c r="H125" i="14" s="1"/>
  <c r="F113" i="14"/>
  <c r="H113" i="14" s="1"/>
  <c r="F80" i="14"/>
  <c r="H80" i="14" s="1"/>
  <c r="F92" i="14"/>
  <c r="H92" i="14" s="1"/>
  <c r="F76" i="14"/>
  <c r="H76" i="14" s="1"/>
  <c r="F29" i="14"/>
  <c r="F90" i="14"/>
  <c r="H90" i="14" s="1"/>
  <c r="F106" i="14"/>
  <c r="H106" i="14" s="1"/>
  <c r="F41" i="14"/>
  <c r="H41" i="14" s="1"/>
  <c r="F93" i="14"/>
  <c r="H93" i="14" s="1"/>
  <c r="F64" i="14"/>
  <c r="H64" i="14" s="1"/>
  <c r="F54" i="14"/>
  <c r="H54" i="14" s="1"/>
  <c r="F71" i="14"/>
  <c r="H71" i="14" s="1"/>
  <c r="F48" i="14"/>
  <c r="H48" i="14" s="1"/>
  <c r="F32" i="14"/>
  <c r="H32" i="14" s="1"/>
  <c r="F63" i="14"/>
  <c r="H63" i="14" s="1"/>
  <c r="F107" i="14"/>
  <c r="H107" i="14" s="1"/>
  <c r="F116" i="14"/>
  <c r="H116" i="14" s="1"/>
  <c r="F117" i="14"/>
  <c r="H117" i="14" s="1"/>
  <c r="F105" i="14"/>
  <c r="H105" i="14" s="1"/>
  <c r="F74" i="14"/>
  <c r="H74" i="14" s="1"/>
  <c r="F79" i="14"/>
  <c r="H79" i="14" s="1"/>
  <c r="F119" i="14"/>
  <c r="H119" i="14" s="1"/>
  <c r="F61" i="14"/>
  <c r="H61" i="14" s="1"/>
  <c r="F87" i="14"/>
  <c r="H87" i="14" s="1"/>
  <c r="F40" i="14"/>
  <c r="H40" i="14" s="1"/>
  <c r="F36" i="14"/>
  <c r="H36" i="14" s="1"/>
  <c r="F58" i="14"/>
  <c r="H58" i="14" s="1"/>
  <c r="F114" i="14"/>
  <c r="H114" i="14" s="1"/>
  <c r="F103" i="14"/>
  <c r="H103" i="14" s="1"/>
  <c r="F101" i="14"/>
  <c r="H101" i="14" s="1"/>
  <c r="F108" i="14"/>
  <c r="H108" i="14" s="1"/>
  <c r="F109" i="14"/>
  <c r="H109" i="14" s="1"/>
  <c r="F102" i="14"/>
  <c r="H102" i="14" s="1"/>
  <c r="F68" i="14"/>
  <c r="H68" i="14" s="1"/>
  <c r="F73" i="14"/>
  <c r="H73" i="14" s="1"/>
  <c r="F53" i="14"/>
  <c r="H53" i="14" s="1"/>
  <c r="F83" i="14"/>
  <c r="H83" i="14" s="1"/>
  <c r="F51" i="14"/>
  <c r="H51" i="14" s="1"/>
  <c r="F98" i="14"/>
  <c r="H98" i="14" s="1"/>
  <c r="F104" i="14"/>
  <c r="H104" i="14" s="1"/>
  <c r="F97" i="14"/>
  <c r="H97" i="14" s="1"/>
  <c r="F127" i="14"/>
  <c r="H127" i="14" s="1"/>
  <c r="F67" i="14"/>
  <c r="H67" i="14" s="1"/>
  <c r="F70" i="14"/>
  <c r="H70" i="14" s="1"/>
  <c r="F39" i="14"/>
  <c r="H39" i="14" s="1"/>
  <c r="F57" i="14"/>
  <c r="H57" i="14" s="1"/>
  <c r="F100" i="14"/>
  <c r="H100" i="14" s="1"/>
  <c r="F110" i="14"/>
  <c r="H110" i="14" s="1"/>
  <c r="F85" i="14"/>
  <c r="H85" i="14" s="1"/>
  <c r="F91" i="14"/>
  <c r="H91" i="14" s="1"/>
  <c r="F94" i="14"/>
  <c r="H94" i="14" s="1"/>
  <c r="F111" i="14"/>
  <c r="H111" i="14" s="1"/>
  <c r="F65" i="14"/>
  <c r="H65" i="14" s="1"/>
  <c r="F60" i="14"/>
  <c r="H60" i="14" s="1"/>
  <c r="F37" i="14"/>
  <c r="H37" i="14" s="1"/>
  <c r="F47" i="14"/>
  <c r="H47" i="14" s="1"/>
  <c r="F46" i="14"/>
  <c r="H46" i="14" s="1"/>
  <c r="F62" i="14"/>
  <c r="H62" i="14" s="1"/>
  <c r="F52" i="14"/>
  <c r="H52" i="14" s="1"/>
  <c r="F77" i="14"/>
  <c r="H77" i="14" s="1"/>
  <c r="K6" i="13"/>
  <c r="J6" i="13"/>
  <c r="H9" i="12"/>
  <c r="G10" i="12"/>
  <c r="B17" i="14"/>
  <c r="C18" i="14" l="1"/>
  <c r="H10" i="12"/>
  <c r="G11" i="12"/>
  <c r="H11" i="12" l="1"/>
  <c r="G12" i="12"/>
  <c r="B19" i="14"/>
  <c r="C20" i="14" l="1"/>
  <c r="C22" i="14" s="1"/>
  <c r="B27" i="1" s="1"/>
  <c r="B20" i="14"/>
  <c r="H12" i="12"/>
  <c r="G13" i="12"/>
  <c r="H13" i="12" l="1"/>
  <c r="G14" i="12"/>
  <c r="G28" i="14"/>
  <c r="H28" i="14" s="1"/>
  <c r="G29" i="14"/>
  <c r="H29" i="14" s="1"/>
  <c r="G30" i="14"/>
  <c r="H30" i="14" s="1"/>
  <c r="G31" i="14"/>
  <c r="H31" i="14" s="1"/>
  <c r="B22" i="14"/>
  <c r="E5" i="15" l="1"/>
  <c r="D5" i="15"/>
  <c r="B23" i="14"/>
  <c r="C23" i="14" s="1"/>
  <c r="B26" i="1"/>
  <c r="H14" i="12"/>
  <c r="G15" i="12"/>
  <c r="H15" i="12" l="1"/>
  <c r="G16" i="12"/>
  <c r="H16" i="12" l="1"/>
  <c r="G17" i="12"/>
  <c r="H17" i="12" l="1"/>
  <c r="G18" i="12"/>
  <c r="H18" i="12" l="1"/>
  <c r="G19" i="12"/>
  <c r="H19" i="12" l="1"/>
  <c r="G20" i="12"/>
  <c r="H20" i="12" s="1"/>
  <c r="B30" i="12" s="1"/>
  <c r="E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 2026-05-14</author>
  </authors>
  <commentList>
    <comment ref="I8" authorId="0" shapeId="0" xr:uid="{00000000-0006-0000-0300-000001000000}">
      <text>
        <r>
          <rPr>
            <sz val="11"/>
            <color theme="1"/>
            <rFont val="Calibri"/>
            <family val="2"/>
            <charset val="1"/>
          </rPr>
          <t>Sottoscrizione 16/3/2026 a NAV/Unit=1,0. NAV/Unit reale a quella data era circa 0,95. Diluizione LP esistenti circa 25k EUR. Vedi policy: 01_Assumptions Subscription_Pricing_Policy.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 2026-05-14</author>
  </authors>
  <commentList>
    <comment ref="E153" authorId="0" shapeId="0" xr:uid="{00000000-0006-0000-0400-000001000000}">
      <text>
        <r>
          <rPr>
            <sz val="11"/>
            <color theme="1"/>
            <rFont val="Calibri"/>
            <family val="2"/>
            <charset val="1"/>
          </rPr>
          <t>VERIFY-IHYG-5.82: anomalia Directa 04/12/2025. Da riconciliare con il broker. 5.821 EUR di outflow cassa senza ISIN valido, placeholder.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 2026-05-14</author>
  </authors>
  <commentList>
    <comment ref="A60" authorId="0" shapeId="0" xr:uid="{00000000-0006-0000-0900-000001000000}">
      <text>
        <r>
          <rPr>
            <sz val="11"/>
            <color theme="1"/>
            <rFont val="Calibri"/>
            <family val="2"/>
            <charset val="1"/>
          </rPr>
          <t>Riga TOTALE: aggrega tutti gli ISIN da riga 5 a 59. Etichetta hardcoded perche' rompe il pattern della colonna A formula.</t>
        </r>
      </text>
    </comment>
    <comment ref="K60" authorId="0" shapeId="0" xr:uid="{00000000-0006-0000-0900-000002000000}">
      <text>
        <r>
          <rPr>
            <sz val="11"/>
            <color theme="1"/>
            <rFont val="Calibri"/>
            <family val="2"/>
            <charset val="1"/>
          </rPr>
          <t>Corretto: ora usa SUM(K5:K59). Prima era SUMIF(K5:K54) che escludeva le righe 55-59.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 2026-05-14</author>
  </authors>
  <commentList>
    <comment ref="G5" authorId="0" shapeId="0" xr:uid="{00000000-0006-0000-0B00-000001000000}">
      <text>
        <r>
          <rPr>
            <sz val="11"/>
            <color theme="1"/>
            <rFont val="Calibri"/>
            <family val="2"/>
            <charset val="1"/>
          </rPr>
          <t>Anchor del running max NAV/Unit. Nessun MAX precedente perche' e' la prima riga.</t>
        </r>
      </text>
    </comment>
    <comment ref="B26" authorId="0" shapeId="0" xr:uid="{00000000-0006-0000-0B00-000002000000}">
      <text>
        <r>
          <rPr>
            <sz val="11"/>
            <color theme="1"/>
            <rFont val="Calibri"/>
            <family val="2"/>
            <charset val="1"/>
          </rPr>
          <t>CAGR corretto: usa MINIFS nativo di Excel. Prima conteneva _xludf.minifs (marker LibreOffice/Google) che Excel non risolveva.</t>
        </r>
      </text>
    </comment>
  </commentList>
</comments>
</file>

<file path=xl/sharedStrings.xml><?xml version="1.0" encoding="utf-8"?>
<sst xmlns="http://schemas.openxmlformats.org/spreadsheetml/2006/main" count="1690" uniqueCount="488">
  <si>
    <t>NAV Mensile</t>
  </si>
  <si>
    <t>Inserire la data fine mese in colonna B. Le formule calcolano cassa e NAV (modello al LORDO delle imposte). Per la valutazione di portafoglio quotato, partecipazioni e prestiti in date passate, inserire un override EUR (colonne J-L). Se vuoto, viene usato il costo storico.</t>
  </si>
  <si>
    <t>#</t>
  </si>
  <si>
    <t>Data Fine Mese</t>
  </si>
  <si>
    <t>Capitale Cum.</t>
  </si>
  <si>
    <t>Net Trade Cum.</t>
  </si>
  <si>
    <t>Div/Int Lordi Cum.</t>
  </si>
  <si>
    <t>Part. Net Cum.</t>
  </si>
  <si>
    <t>Loan Net Cum.</t>
  </si>
  <si>
    <t>P/L Op. Cum.</t>
  </si>
  <si>
    <t>Cassa</t>
  </si>
  <si>
    <t>Listed MV (override)</t>
  </si>
  <si>
    <t>Part. MV (override)</t>
  </si>
  <si>
    <t>Loan Outst. (override)</t>
  </si>
  <si>
    <t>NAV</t>
  </si>
  <si>
    <t>Quote Outst.</t>
  </si>
  <si>
    <t>NAV/Unit</t>
  </si>
  <si>
    <t>Ritorno Mensile</t>
  </si>
  <si>
    <t>Ariete Capital — Investment Dashboard</t>
  </si>
  <si>
    <t>Riepilogo aggiornato in tempo reale dai dati dei sheet di input. Tutti i valori sono in EUR.</t>
  </si>
  <si>
    <t>Data Snapshot</t>
  </si>
  <si>
    <t>Capitale e NAV</t>
  </si>
  <si>
    <t>Indicatori di Rendimento</t>
  </si>
  <si>
    <t>Capitale Raccolto EUR</t>
  </si>
  <si>
    <t>IRR (XIRR)</t>
  </si>
  <si>
    <t>NAV Corrente EUR</t>
  </si>
  <si>
    <t>CAGR</t>
  </si>
  <si>
    <t>Profitto Totale EUR</t>
  </si>
  <si>
    <t>Volatilità Annua</t>
  </si>
  <si>
    <t>MOIC</t>
  </si>
  <si>
    <t>Sharpe Ratio</t>
  </si>
  <si>
    <t>Quote Outstanding</t>
  </si>
  <si>
    <t>Sortino Ratio</t>
  </si>
  <si>
    <t>Max Drawdown</t>
  </si>
  <si>
    <t>Composizione NAV (EUR)</t>
  </si>
  <si>
    <t>Flussi Cumulativi (EUR)</t>
  </si>
  <si>
    <t>Cassa Non Remunerata</t>
  </si>
  <si>
    <t>Net Trade (Listed)</t>
  </si>
  <si>
    <t>Strumenti Quotati (MV)</t>
  </si>
  <si>
    <t>Dividendi/Interessi Lordi</t>
  </si>
  <si>
    <t>Partecipazioni Non Quotate</t>
  </si>
  <si>
    <t>Partecipazioni Net</t>
  </si>
  <si>
    <t>Prestiti Outstanding</t>
  </si>
  <si>
    <t>Prestiti Net</t>
  </si>
  <si>
    <t>TOTALE NAV</t>
  </si>
  <si>
    <t>P/L Operativa</t>
  </si>
  <si>
    <t>Sommario Waterfall (Ipotetico Oggi)</t>
  </si>
  <si>
    <t>Hurdle Amount Totale EUR</t>
  </si>
  <si>
    <t>Distribuito a LP+GP (capital+pref+split)</t>
  </si>
  <si>
    <t>Carry GP (catch-up + 20%)</t>
  </si>
  <si>
    <t>Ariete Capital — Investment Tracker | Parametri Generali</t>
  </si>
  <si>
    <t>Tutte le celle gialle in BLU sono input utente. Le celle in NERO sono formule. Le celle in VERDE sono link ad altri sheet.</t>
  </si>
  <si>
    <t>Parametri Generali</t>
  </si>
  <si>
    <t>Valuta Base</t>
  </si>
  <si>
    <t>EUR</t>
  </si>
  <si>
    <t>Data Odierna (per snapshot)</t>
  </si>
  <si>
    <t>Tasso Risk-Free Annuo</t>
  </si>
  <si>
    <t>Modificabile — usato per Sharpe ratio</t>
  </si>
  <si>
    <t>Subscription Pricing Policy</t>
  </si>
  <si>
    <t>NAV/Unit del mese precedente la sottoscrizione</t>
  </si>
  <si>
    <t>Politica di pricing per nuove sottoscrizioni LP</t>
  </si>
  <si>
    <t>Parametri Waterfall (European-style)</t>
  </si>
  <si>
    <t>Hurdle Rate (annuo)</t>
  </si>
  <si>
    <t>Preferred return LP</t>
  </si>
  <si>
    <t>GP Carry % (post catch-up)</t>
  </si>
  <si>
    <t>LP % (post catch-up)</t>
  </si>
  <si>
    <t>Catch-up GP Target %</t>
  </si>
  <si>
    <t>% del profitto totale che spetta al GP dopo catch-up</t>
  </si>
  <si>
    <t>Indice del Workbook</t>
  </si>
  <si>
    <t>00_Dashboard</t>
  </si>
  <si>
    <t>Riepilogo KPI principali</t>
  </si>
  <si>
    <t>01_Assumptions</t>
  </si>
  <si>
    <t>Parametri generali, risk-free, waterfall</t>
  </si>
  <si>
    <t>02_FX_Rates</t>
  </si>
  <si>
    <t>Tabella riferimento tassi di cambio</t>
  </si>
  <si>
    <t>03_Investitori</t>
  </si>
  <si>
    <t>Sottoscrizioni di capitale (LP)</t>
  </si>
  <si>
    <t>04_Trades</t>
  </si>
  <si>
    <t>Acquisti/vendite strumenti quotati</t>
  </si>
  <si>
    <t>05_Dividendi_Interessi</t>
  </si>
  <si>
    <t>Dividendi, cedole, interessi (importi LORDI)</t>
  </si>
  <si>
    <t>06_Partecipazioni</t>
  </si>
  <si>
    <t>Acquisti/vendite partecipazioni non quotate</t>
  </si>
  <si>
    <t>07_Prestiti</t>
  </si>
  <si>
    <t>Prestiti verso partecipate (principal)</t>
  </si>
  <si>
    <t>08_PL_Operativa</t>
  </si>
  <si>
    <t>P/L da attività operativa (input manuale)</t>
  </si>
  <si>
    <t>09_Posizioni</t>
  </si>
  <si>
    <t>Posizioni aperte computed</t>
  </si>
  <si>
    <t>10_NAV_Mensile</t>
  </si>
  <si>
    <t>NAV mensile con override valutazioni</t>
  </si>
  <si>
    <t>11_Performance</t>
  </si>
  <si>
    <t>IRR totale, MOIC, Sharpe, drawdown</t>
  </si>
  <si>
    <t>12_Perf_Investitori</t>
  </si>
  <si>
    <t>IRR e MOIC per singolo investitore</t>
  </si>
  <si>
    <t>13_Waterfall</t>
  </si>
  <si>
    <t>Distribuzione waterfall ipotetica oggi</t>
  </si>
  <si>
    <t>Tassi di Cambio — Riferimento</t>
  </si>
  <si>
    <t>Tabella di riferimento. Ogni transazione contiene la propria colonna FX→EUR per il tasso storico al trade date. Aggiorna questa tabella per facilitare l'inserimento futuro.</t>
  </si>
  <si>
    <t>Valuta</t>
  </si>
  <si>
    <t>EUR per 1 unità FX</t>
  </si>
  <si>
    <t>Ultima Data Aggiornamento</t>
  </si>
  <si>
    <t>Note</t>
  </si>
  <si>
    <t>Valuta base — sempre 1</t>
  </si>
  <si>
    <t>USD</t>
  </si>
  <si>
    <t>Esempio — aggiorna periodicamente</t>
  </si>
  <si>
    <t>GBP</t>
  </si>
  <si>
    <t>CHF</t>
  </si>
  <si>
    <t>JPY</t>
  </si>
  <si>
    <t>CNY</t>
  </si>
  <si>
    <t>Sottoscrizioni Capitale (LP)</t>
  </si>
  <si>
    <t>Ogni riga = una sottoscrizione di capitale da un socio. Per le quote (units), il default NAV/Unit a sottoscrizione è 1.0; per sottoscrizioni successive a movimenti di portafoglio, l'utente può sovrascrivere usando NAV/Unit corrente.</t>
  </si>
  <si>
    <t>ID</t>
  </si>
  <si>
    <t>Nome Investitore</t>
  </si>
  <si>
    <t>Data Sottoscrizione</t>
  </si>
  <si>
    <t>Tipo</t>
  </si>
  <si>
    <t>Importo Locale</t>
  </si>
  <si>
    <t>FX→EUR</t>
  </si>
  <si>
    <t>Importo EUR</t>
  </si>
  <si>
    <t>NAV/Unit @ Sub</t>
  </si>
  <si>
    <t>Quote (Units)</t>
  </si>
  <si>
    <t>% Capitale</t>
  </si>
  <si>
    <t>Osy Harrison</t>
  </si>
  <si>
    <t>LP</t>
  </si>
  <si>
    <t>Bradley Jackson</t>
  </si>
  <si>
    <t>Grant Kauffman</t>
  </si>
  <si>
    <t>Esra Sertoglu</t>
  </si>
  <si>
    <t>TOTALE</t>
  </si>
  <si>
    <t>Acquisti / Vendite Strumenti Quotati</t>
  </si>
  <si>
    <t>Tipo = BUY o SELL. Importo Locale = Quantità × Prezzo. Le commissioni sono incluse nell'importo (modello al lordo delle imposte). Per ogni trade indicare la valuta e l'FX→EUR al trade date.</t>
  </si>
  <si>
    <t>Data</t>
  </si>
  <si>
    <t>Nome Strumento</t>
  </si>
  <si>
    <t>ISIN</t>
  </si>
  <si>
    <t>Quantità</t>
  </si>
  <si>
    <t>Prezzo Loc.</t>
  </si>
  <si>
    <t>Importo Loc.</t>
  </si>
  <si>
    <t>BUY</t>
  </si>
  <si>
    <t>CELSIUS HOLDINGS</t>
  </si>
  <si>
    <t>US15118V2079</t>
  </si>
  <si>
    <t>Posizione di apertura al 01/01/2025 (pre-investitori). Registrato come BUY al valore di mercato 01/01/2025 da Situazione Patrimoniale Directa conto B6166 — questo è il costo di carico ai fini del modello. Liquidità di apertura €371,80 trascurata.</t>
  </si>
  <si>
    <t>SANLORENZO</t>
  </si>
  <si>
    <t>IT0003549422</t>
  </si>
  <si>
    <t>Acquisto 30/05/2025 (valuta 03/06/2025), aggregato di 16 eseguiti stesso prezzo. Commissioni €5,00 escluse dall'importo.</t>
  </si>
  <si>
    <t>WisdomTree Europe Defence UCITS ETF</t>
  </si>
  <si>
    <t>IE0002Y8CX98</t>
  </si>
  <si>
    <t>Acquisto 23/06/2025 (valuta 25/06/2025). ETF EUDF/WDEF, EUR Acc, accumulation.</t>
  </si>
  <si>
    <t>Acquisto 01/07 valuta 03/07. ETF EUDF/WDEF EUR Acc.</t>
  </si>
  <si>
    <t>Acquisto 08/07 valuta 10/07.</t>
  </si>
  <si>
    <t>CARRARO FINANCE 5.25% Apr30</t>
  </si>
  <si>
    <t>IT0006768151</t>
  </si>
  <si>
    <t>Bond Carraro Fin 5,25% scad. 17/04/2030, callable. Nominale €20.000 @ 101,74% = €20.348. Prezzo espresso come decimale (quotazione %/100) per coerenza con formula. Commissioni €5,00 e rateo cedolare €261,07 contabilizzati separatamente.</t>
  </si>
  <si>
    <t>BOT Zero Coupon Dec25</t>
  </si>
  <si>
    <t>IT0005627853</t>
  </si>
  <si>
    <t>BOT scad. 12/12/2025. Nominale €50.000 @ 99,228% = €49.614. Prezzo in decimale per coerenza formula.</t>
  </si>
  <si>
    <t>iShares EUR High Yield Corp Bond UCITS ETF</t>
  </si>
  <si>
    <t>IE00B66F4759</t>
  </si>
  <si>
    <t>ETF IHYG (Dist).</t>
  </si>
  <si>
    <t>iShares FTSE MIB UCITS ETF Acc</t>
  </si>
  <si>
    <t>IE00B53L4X51</t>
  </si>
  <si>
    <t>ETF SXRY (Acc).</t>
  </si>
  <si>
    <t>EXOR NV</t>
  </si>
  <si>
    <t>NL0012059018</t>
  </si>
  <si>
    <t>Commissioni €9,50.</t>
  </si>
  <si>
    <t>FERRARI NV</t>
  </si>
  <si>
    <t>NL0011585146</t>
  </si>
  <si>
    <t>Aggregato 6 eseguiti (prezzi 435,40-435,50). Prezzo medio ponderato. Importo totale €43.542,60. Commissioni €5,00.</t>
  </si>
  <si>
    <t>Bitwise Physical Bitcoin ETP</t>
  </si>
  <si>
    <t>DE000A27Z304</t>
  </si>
  <si>
    <t>ETP BTCE.</t>
  </si>
  <si>
    <t>ITALGAS</t>
  </si>
  <si>
    <t>IT0005211237</t>
  </si>
  <si>
    <t>ASML HOLDING NV</t>
  </si>
  <si>
    <t>NL0010273215</t>
  </si>
  <si>
    <t>PIAGGIO</t>
  </si>
  <si>
    <t>IT0003073266</t>
  </si>
  <si>
    <t>Aggregato 2 eseguiti (1,934 / 1,935). Importo totale €9.674.</t>
  </si>
  <si>
    <t>RAI WAY</t>
  </si>
  <si>
    <t>IT0005054967</t>
  </si>
  <si>
    <t>Aggregato 3 eseguiti (5,96-5,97). Importo totale €5.966,21.</t>
  </si>
  <si>
    <t>NEXI</t>
  </si>
  <si>
    <t>IT0005366767</t>
  </si>
  <si>
    <t>Nominale €50.000 @ 99,255% = €49.627,50. Prezzo in decimale.</t>
  </si>
  <si>
    <t>BOT Zero Coupon Jan26</t>
  </si>
  <si>
    <t>IT0005631533</t>
  </si>
  <si>
    <t>BOT scad. 14/01/2026. Nominale €20.000 @ 99,079% = €19.815,80.</t>
  </si>
  <si>
    <t>Bitwise Ethereum Staking ETP</t>
  </si>
  <si>
    <t>DE000A3G90G9</t>
  </si>
  <si>
    <t>ETP ET32.</t>
  </si>
  <si>
    <t>Bitwise Physical Ethereum ETP</t>
  </si>
  <si>
    <t>DE000A3GMKD7</t>
  </si>
  <si>
    <t>ETP ZETH.</t>
  </si>
  <si>
    <t>WisdomTree Core Physical Gold</t>
  </si>
  <si>
    <t>JE00BN2CJ301</t>
  </si>
  <si>
    <t>ETC WGLD.</t>
  </si>
  <si>
    <t>WisdomTree Physical Silver</t>
  </si>
  <si>
    <t>JE00B1VS3333</t>
  </si>
  <si>
    <t>Aggregato 3 eseguiti (371,80/371,90), prezzo medio ponderato. Importo €37.187,90. Commissioni €5,00.</t>
  </si>
  <si>
    <t>Aggregato 5 eseguiti stesso prezzo. Importo €10.044. Commissioni €19,00 (2x9,50).</t>
  </si>
  <si>
    <t>Prezzo medio ponderato (qty 17). Importo €497,85.</t>
  </si>
  <si>
    <t>Aggregato 3 eseguiti (90,22/90,25), prezzo medio ponderato. Importo €14.437.</t>
  </si>
  <si>
    <t>Bitwise Solana Staking ETP</t>
  </si>
  <si>
    <t>DE000A4A59D2</t>
  </si>
  <si>
    <t>ETP BSOL EU — prima apertura posizione.</t>
  </si>
  <si>
    <t>Aggregato 2 eseguiti stesso prezzo (7,7165/7,7155). Importo €3.086,40.</t>
  </si>
  <si>
    <t>Aggregato 2 eseguiti (34,95/34,97). Importo €6.992.</t>
  </si>
  <si>
    <t>Tamburi Investment Partners</t>
  </si>
  <si>
    <t>IT0003153621</t>
  </si>
  <si>
    <t>Aggregato 8 eseguiti (8,25/8,26), prezzo medio ponderato. Importo €20.630,63. Commissioni €5,00.</t>
  </si>
  <si>
    <t>ORACLE CORP</t>
  </si>
  <si>
    <t>US68389X1054</t>
  </si>
  <si>
    <t>Prima posizione USA. FX EUR/USD implicito 0,851861 (importo EUR 2.811,14 / 3.300 USD). Commissioni €7,67.</t>
  </si>
  <si>
    <t>Aggregato 2 eseguiti stesso prezzo. Commissioni €9,50.</t>
  </si>
  <si>
    <t>Aggregato 3 eseguiti (4,738/4,691). Prezzo medio ponderato. Commissioni €10.</t>
  </si>
  <si>
    <t>Aggregato 2 eseguiti USD (306,00/294,4745). Prezzo medio ponderato. FX EUR/USD implicito ~0,852008. Importo €3.812,52. Commissioni €15,34.</t>
  </si>
  <si>
    <t>FX EUR/USD implicito 0,843099. Importo €2.564,37. Commissioni €7,59.</t>
  </si>
  <si>
    <t>IGD - Immobiliare Grande Distribuzione SIIQ</t>
  </si>
  <si>
    <t>IT0005322612</t>
  </si>
  <si>
    <t>Aggregato 3 eseguiti stesso prezzo. Importo €3.340.</t>
  </si>
  <si>
    <t>WisdomTree New Economy Real Estate UCITS ETF</t>
  </si>
  <si>
    <t>IE000MO2MB07</t>
  </si>
  <si>
    <t>ETF WTRE USD Acc, ma trade su Borsa Italiana in EUR. Aggregato 2 eseguiti stesso prezzo. Importo €23.450.</t>
  </si>
  <si>
    <t>Aggregato 4 eseguiti (3,33/3,335/3,34). Prezzo medio ponderato. Importo €6.669,19. Commissioni €5.</t>
  </si>
  <si>
    <t>B&amp;C Speakers</t>
  </si>
  <si>
    <t>IT0001268561</t>
  </si>
  <si>
    <t>Aggregato 5 eseguiti stesso prezzo. Importo €7.128,60. Commissioni €2,18.</t>
  </si>
  <si>
    <t>CY4GATE</t>
  </si>
  <si>
    <t>IT0005412504</t>
  </si>
  <si>
    <t>Aggregato 2 eseguiti stesso prezzo. Importo €8.205. Commissioni €5.</t>
  </si>
  <si>
    <t>d'Amico International Shipping</t>
  </si>
  <si>
    <t>LU2592315662</t>
  </si>
  <si>
    <t>Aggregato 8 eseguiti (4,386-4,392). Prezzo medio ponderato. Importo €8.776,59. Commissioni €5.</t>
  </si>
  <si>
    <t>Azimut Holding</t>
  </si>
  <si>
    <t>IT0003261697</t>
  </si>
  <si>
    <t>Aggregato 3 eseguiti stesso prezzo. Importo €15.760. Commissioni €5.</t>
  </si>
  <si>
    <t>Brunello Cucinelli</t>
  </si>
  <si>
    <t>IT0004764699</t>
  </si>
  <si>
    <t>Aggregato 3 eseguiti (91,18/91,20). Prezzo medio ponderato. Importo €18.236,72. Commissioni €5.</t>
  </si>
  <si>
    <t>Interpump Group</t>
  </si>
  <si>
    <t>IT0001078911</t>
  </si>
  <si>
    <t>Aggregato 4 eseguiti stesso prezzo. Importo €11.664. Commissioni €5.</t>
  </si>
  <si>
    <t>BOT Zero Coupon Oct25</t>
  </si>
  <si>
    <t>IT0005617367</t>
  </si>
  <si>
    <t>BOT scad. 14/10/2025. Nominale €50.000 @ 99,974% = €49.987. Maturerà a scadenza il 14/10 (rimborso registrato come SELL).</t>
  </si>
  <si>
    <t>BOT Zero Coupon Nov25</t>
  </si>
  <si>
    <t>IT0005652554</t>
  </si>
  <si>
    <t>BOT scad. 28/11/2025. Nominale €50.000 @ 99,72% = €49.860.</t>
  </si>
  <si>
    <t>Aggregato 2 eseguiti (99,673/99,674). Prezzo medio ponderato. Importo €49.836,61.</t>
  </si>
  <si>
    <t>Aggregato 2 eseguiti stesso prezzo. Importo €49.738,50.</t>
  </si>
  <si>
    <t>BTP 3.2% Jan26</t>
  </si>
  <si>
    <t>IT0005584302</t>
  </si>
  <si>
    <t>BTP cedola 3,2% scad. Jan26. Nominale €40.000 @ 100,359% = €40.143,60. Rateo cedolare €243,48 contabilizzato in 08_PL_Op.</t>
  </si>
  <si>
    <t>FX EUR/USD implicito 0,853388. Importo €4.961,60.</t>
  </si>
  <si>
    <t>Aggregato 5 eseguiti (360,40/360,50). Prezzo medio ponderato. Importo €36.041,80. Commissioni €5.</t>
  </si>
  <si>
    <t>SELL</t>
  </si>
  <si>
    <t>Rimborso BOT a scadenza 14/10/2025. Nominale €50.000 rimborsato alla pari (100% = decimale 1,000000). Registrato come SELL.</t>
  </si>
  <si>
    <t>Aggregato 3 eseguiti stesso prezzo. Importo €7.850. Commissioni €5.</t>
  </si>
  <si>
    <t>Aggregato 5 eseguiti (75,90/75,95). Prezzo medio ponderato. Importo €15.182,95. Commissioni €9,50.</t>
  </si>
  <si>
    <t>Aggregato 3 eseguiti (4,188/4,190). Prezzo medio ponderato. Importo €4.188,39. Commissioni €5.</t>
  </si>
  <si>
    <t>Aggregato 2 eseguiti stesso prezzo. Importo €5.990. Commissioni €5.</t>
  </si>
  <si>
    <t>Aggregato 6 eseguiti stesso prezzo. Importo €3.420. Commissioni €5.</t>
  </si>
  <si>
    <t>Prima vendita parziale. Aggregato 8 eseguiti stesso prezzo, qty=-386 totali. Ricavo €14.936,29. Commissioni €5. Qty mantenuta positiva in modello, side=SELL.</t>
  </si>
  <si>
    <t>Aggregato 2 eseguiti stesso prezzo, qty=-56 totali. Ricavo €19.766,32. Commissioni €5.</t>
  </si>
  <si>
    <t>Rimborso BOT a scadenza 28/11/2025. Nominale €50.000 rimborsato alla pari (100%). Registrato come SELL.</t>
  </si>
  <si>
    <t>INTESA SANPAOLO</t>
  </si>
  <si>
    <t>IT0000072618</t>
  </si>
  <si>
    <t>MEDIOBANCA</t>
  </si>
  <si>
    <t>IT0000062957</t>
  </si>
  <si>
    <t>ENEL</t>
  </si>
  <si>
    <t>IT0003128367</t>
  </si>
  <si>
    <t>iShares High Yield Corp Bond (5,82)</t>
  </si>
  <si>
    <t>VERIFY-IHYG-5.82</t>
  </si>
  <si>
    <t>DATI ANOMALI dall'estratto Directa 04/12/2025: titolo 'iShares High Yield Corp Bond' qty 1000 @ €5,821 = €5.821. Lo stesso giorno c'è altro acquisto IHYG @ €92,90. Probabile errore di codifica Directa o ETF diverso (es. iShares $ HY Corp Bond GBp?). ISIN messo a placeholder per evitare distorsione del costo medio in 09_Posizioni. DA VERIFICARE con Directa.</t>
  </si>
  <si>
    <t>DE LONGHI</t>
  </si>
  <si>
    <t>IT0003115950</t>
  </si>
  <si>
    <t>Brembo NV</t>
  </si>
  <si>
    <t>NL0015001KT6</t>
  </si>
  <si>
    <t>MONCLER</t>
  </si>
  <si>
    <t>IT0004965148</t>
  </si>
  <si>
    <t>BTP 3.1% Aug26</t>
  </si>
  <si>
    <t>IT0005607269</t>
  </si>
  <si>
    <t>BOT Zero Coupon Apr26</t>
  </si>
  <si>
    <t>IT0005645509</t>
  </si>
  <si>
    <t>BOT Zero Coupon Mar26</t>
  </si>
  <si>
    <t>IT0005640666</t>
  </si>
  <si>
    <t>TRIGANO SA</t>
  </si>
  <si>
    <t>FR0005691656</t>
  </si>
  <si>
    <t>INTERPUMP GROUP</t>
  </si>
  <si>
    <t>iShares Global Aerospace &amp; Defence UCITS ETF</t>
  </si>
  <si>
    <t>IE000U9ODG19</t>
  </si>
  <si>
    <t>ENI SpA</t>
  </si>
  <si>
    <t>IT0003132476</t>
  </si>
  <si>
    <t>iShares Global High Yield Corp Bond UCITS ETF</t>
  </si>
  <si>
    <t>IE00B74DQ490</t>
  </si>
  <si>
    <t>iShares MSCI Japan Small Cap UCITS ETF</t>
  </si>
  <si>
    <t>IE00B2QWDY88</t>
  </si>
  <si>
    <t>iShares STOXX Europe Select Dividend 30</t>
  </si>
  <si>
    <t>DE0002635299</t>
  </si>
  <si>
    <t>iShares EURO STOXX Small UCITS ETF</t>
  </si>
  <si>
    <t>IE00B02KXM00</t>
  </si>
  <si>
    <t>iShares Digital Security UCITS ETF</t>
  </si>
  <si>
    <t>IE00BG0J4C88</t>
  </si>
  <si>
    <t>iShares Digitalisation UCITS ETF</t>
  </si>
  <si>
    <t>IE00BYZK4883</t>
  </si>
  <si>
    <t>Amundi FTSE EPRA Europe Real Estate</t>
  </si>
  <si>
    <t>LU1681039480</t>
  </si>
  <si>
    <t>VanEck Global Real Estate UCITS ETF</t>
  </si>
  <si>
    <t>NL0009690239</t>
  </si>
  <si>
    <t>iShares Global Corp Bond UCITS ETF</t>
  </si>
  <si>
    <t>IE00B7J7TB45</t>
  </si>
  <si>
    <t>Dividendi, Cedole, Interessi (al LORDO delle imposte)</t>
  </si>
  <si>
    <t>Include dividendi azionari, cedole obbligazionarie, interessi su prestiti privati. Tutti gli importi sono al LORDO di ritenute e imposte. Le ritenute non vengono tracciate.</t>
  </si>
  <si>
    <t>Strumento/Controparte</t>
  </si>
  <si>
    <t>Lordo Loc.</t>
  </si>
  <si>
    <t>Lordo EUR</t>
  </si>
  <si>
    <t>DIVIDEND</t>
  </si>
  <si>
    <t>iShares Core MSCI World</t>
  </si>
  <si>
    <t>IE00B4L5Y983</t>
  </si>
  <si>
    <t>INTEREST</t>
  </si>
  <si>
    <t>SANLORENZO — Interessi prestito titoli</t>
  </si>
  <si>
    <t>BOT ZC DEC25 — Interessi prestito titoli</t>
  </si>
  <si>
    <t>ASML Holding NV</t>
  </si>
  <si>
    <t>ETF_INCOME</t>
  </si>
  <si>
    <t>iShares EUR High Yield Corp Bond UCITS ETF (IHYG)</t>
  </si>
  <si>
    <t>COUPON</t>
  </si>
  <si>
    <t>Carraro Finance 5,25% Apr30 — cedola semestrale</t>
  </si>
  <si>
    <t>BTP 3.2% Jan26 — cedola finale</t>
  </si>
  <si>
    <t>BTP 3.1% Aug26 — cedola semestrale</t>
  </si>
  <si>
    <t>MONCLER — Interessi prestito titoli</t>
  </si>
  <si>
    <t>BTP 3.1% Aug26 — Interessi prestito titoli</t>
  </si>
  <si>
    <t>iShares STOXX Europe Select Dividend 30 (EXSH)</t>
  </si>
  <si>
    <t>IGD</t>
  </si>
  <si>
    <t>Acquisti/vendite di quote di società non quotate. 'Valore Corrente EUR' è la valutazione mark-to-market della partecipazione oggi (override manuale). Lasciare vuoto per usare il costo storico.</t>
  </si>
  <si>
    <t>Investee</t>
  </si>
  <si>
    <t>Quota %</t>
  </si>
  <si>
    <t>Valore Corrente EUR</t>
  </si>
  <si>
    <t>Ariete Tech Solutions</t>
  </si>
  <si>
    <t>BS2 Srl</t>
  </si>
  <si>
    <t>Bollette Republic</t>
  </si>
  <si>
    <t>Prestiti Privati verso Partecipate</t>
  </si>
  <si>
    <t>Solo principal (erogazioni e rimborsi). Gli interessi maturati e ricevuti sui prestiti vanno registrati in 05_Dividendi_Interessi con Tipo = LOAN_INT.</t>
  </si>
  <si>
    <t>Controparte</t>
  </si>
  <si>
    <t>Outstanding EUR Override</t>
  </si>
  <si>
    <t>DISBURSEMENT</t>
  </si>
  <si>
    <t>ATS</t>
  </si>
  <si>
    <t>P/L da Attività Operativa</t>
  </si>
  <si>
    <t>Input manuale. Inserire il P/L netto dell'attività operativa per periodo: positivo se utile, negativo se perdita. Tutti gli importi sono al LORDO delle imposte.</t>
  </si>
  <si>
    <t>Categoria</t>
  </si>
  <si>
    <t>Descrizione</t>
  </si>
  <si>
    <t>P/L Loc.</t>
  </si>
  <si>
    <t>P/L EUR</t>
  </si>
  <si>
    <t>Imposte e bolli</t>
  </si>
  <si>
    <t>Bollo portafoglio titoli (rif. 31/12/2024) — Directa B6166</t>
  </si>
  <si>
    <t>Bollo portafoglio titoli (rif. 30/06/2025) — Directa B6166</t>
  </si>
  <si>
    <t>Ratei passivi obbligazioni</t>
  </si>
  <si>
    <t>Rateo cedolare Carraro Finance 5.25% Apr30 acquisto</t>
  </si>
  <si>
    <t>Tobin Tax Italia (trade italiani del 21/07/2025)</t>
  </si>
  <si>
    <t>Tobin Tax Italia (acquisto Tamburi 28/08/2025)</t>
  </si>
  <si>
    <t>Ritenuta provento ETF IHYG (26%)</t>
  </si>
  <si>
    <t>Tobin Tax Italia (trade italiani del 11/09/2025)</t>
  </si>
  <si>
    <t>Tobin Tax Italia (trade italiani del 12/09/2025)</t>
  </si>
  <si>
    <t>Tobin Tax Italia (Tamburi/IGD/WTRE 17/09/2025)</t>
  </si>
  <si>
    <t>Tobin Tax Italia (acquisti 29/09/2025: B&amp;C, CY4, AMICO, AZM, BC, IP)</t>
  </si>
  <si>
    <t>Rateo cedolare BTP 3.2% Jan26 acquisto</t>
  </si>
  <si>
    <t>Bollo portafoglio titoli (rif. 30/09/2025) — Directa B6166</t>
  </si>
  <si>
    <t>Tobin Tax Italia (acquisti italiani 15/10/2025)</t>
  </si>
  <si>
    <t>Tobin Tax Italia (SANLORENZO 23/10/2025)</t>
  </si>
  <si>
    <t>Tobin Tax Italia (acquisti azioni 4/12)</t>
  </si>
  <si>
    <t>Annual statement</t>
  </si>
  <si>
    <t>Annual result 2025</t>
  </si>
  <si>
    <t>Bollo portafoglio titoli (rif. 31/12/2025) — Directa B6166</t>
  </si>
  <si>
    <t>Tobin Tax Italia (Moncler 22/01)</t>
  </si>
  <si>
    <t>Rateo cedolare BTP 3.1% Aug26 acquisto</t>
  </si>
  <si>
    <t>Tobin Tax Italia (Moncler 6/2)</t>
  </si>
  <si>
    <t>Tobin Tax Francia (Trigano 16/2)</t>
  </si>
  <si>
    <t>Tobin Tax Italia (Interpump 19/2)</t>
  </si>
  <si>
    <t>Tobin Tax Italia (ENI 9/3)</t>
  </si>
  <si>
    <t>Bollo portafoglio titoli (rif. 31/03/2026) — Directa B6166</t>
  </si>
  <si>
    <t>Ritenuta provento ETF EXSH (26%)</t>
  </si>
  <si>
    <t>Risultato</t>
  </si>
  <si>
    <t>Risultato primo trimestre 2026</t>
  </si>
  <si>
    <t>Posizioni Aperte (Strumenti Quotati)</t>
  </si>
  <si>
    <t>Inserire ogni ISIN una sola volta in colonna B. Le formule calcolano qty netta, market value all'ultimo prezzo di trade (metodologia di valutazione concordata), e P&amp;L. Nome/Valuta sono presi dall'ultimo trade per quell'ISIN.</t>
  </si>
  <si>
    <t>Nome (auto)</t>
  </si>
  <si>
    <t>Valuta (auto)</t>
  </si>
  <si>
    <t>Qty BUY</t>
  </si>
  <si>
    <t>Qty SELL</t>
  </si>
  <si>
    <t>Qty Netta</t>
  </si>
  <si>
    <t>Ultimo Prezzo Loc.</t>
  </si>
  <si>
    <t>Ultimo FX</t>
  </si>
  <si>
    <t>MV Loc.</t>
  </si>
  <si>
    <t>MV EUR</t>
  </si>
  <si>
    <t>Costo Medio EUR</t>
  </si>
  <si>
    <t>P&amp;L Non Realiz. EUR</t>
  </si>
  <si>
    <t>MV Spot EUR</t>
  </si>
  <si>
    <t>P&amp;L Spot EUR</t>
  </si>
  <si>
    <t>Performance Aggregata del Fondo</t>
  </si>
  <si>
    <t>Tutti gli indicatori sono calcolati alla data odierna. L'IRR usa XIRR sui flussi reali (sottoscrizioni + NAV oggi come terminal value). Sharpe usa rendimenti mensili annualizzati da 10_NAV_Mensile.</t>
  </si>
  <si>
    <t>Snapshot Corrente del Fondo</t>
  </si>
  <si>
    <t>CF Date (helper)</t>
  </si>
  <si>
    <t>CF Value (helper)</t>
  </si>
  <si>
    <t>Running Max NAV/Unit</t>
  </si>
  <si>
    <t>Drawdown</t>
  </si>
  <si>
    <t>Data Odierna</t>
  </si>
  <si>
    <t>Net Trade Cum. EUR (Listed)</t>
  </si>
  <si>
    <t>Div/Int Lordi Cum. EUR</t>
  </si>
  <si>
    <t>Part. Net Cum. EUR</t>
  </si>
  <si>
    <t>Loan Net Cum. EUR</t>
  </si>
  <si>
    <t>P/L Operativa Cum. EUR</t>
  </si>
  <si>
    <t>Cassa EUR</t>
  </si>
  <si>
    <t>Listed MV EUR (ultimo prezzo)</t>
  </si>
  <si>
    <t>Partecipazioni MV EUR</t>
  </si>
  <si>
    <t>Prestiti Outstanding EUR</t>
  </si>
  <si>
    <t>NAV TOTALE EUR</t>
  </si>
  <si>
    <t>NAV/Unit Corrente</t>
  </si>
  <si>
    <t>KPI di Fondo</t>
  </si>
  <si>
    <t>MOIC (Multiple on Invested Capital)</t>
  </si>
  <si>
    <t>Return Totale %</t>
  </si>
  <si>
    <t>IRR (XIRR sulle sottoscrizioni)</t>
  </si>
  <si>
    <t>CAGR Time-Weighted (NAV/Unit)</t>
  </si>
  <si>
    <t>Volatilità Annualizzata</t>
  </si>
  <si>
    <t># Mesi Positivi</t>
  </si>
  <si>
    <t># Mesi Totali</t>
  </si>
  <si>
    <t>Win Rate</t>
  </si>
  <si>
    <t>Performance per Investitore</t>
  </si>
  <si>
    <t>Current Value = Quote × NAV/Unit corrente. IRR annualizzato calcolato come (Current/Capital)^(1/anni)-1. Hurdle Amount = Capital × ((1+Hurdle)^anni − 1).</t>
  </si>
  <si>
    <t>Investitore</t>
  </si>
  <si>
    <t>Data Sottoscr.</t>
  </si>
  <si>
    <t>Capitale EUR</t>
  </si>
  <si>
    <t>Quote</t>
  </si>
  <si>
    <t>Anni Trascorsi</t>
  </si>
  <si>
    <t>Current Value EUR</t>
  </si>
  <si>
    <t>IRR Annualizz.</t>
  </si>
  <si>
    <t>TOTALE LP+GP</t>
  </si>
  <si>
    <t xml:space="preserve"> </t>
  </si>
  <si>
    <t>Assume distribuzione integrale del NAV corrente alla data odierna. Solo gli LP partecipano all'hurdle; il GP riceve solo il carry. Le quote GP nella tabella Investitori vengono trattate come LP nei tier 1 e 2 (return of capital + preferred).</t>
  </si>
  <si>
    <t>Parametri Aggregati</t>
  </si>
  <si>
    <t>Cap EUR</t>
  </si>
  <si>
    <t>Anni</t>
  </si>
  <si>
    <t>Hurdle Acc. EUR</t>
  </si>
  <si>
    <t>Capitale LP+GP Totale EUR</t>
  </si>
  <si>
    <t>Calcolo Waterfall</t>
  </si>
  <si>
    <t>Tier</t>
  </si>
  <si>
    <t>LP EUR</t>
  </si>
  <si>
    <t>GP EUR</t>
  </si>
  <si>
    <t>Beneficiari</t>
  </si>
  <si>
    <t>Tier 1 — Return of Capital LP+GP</t>
  </si>
  <si>
    <t>TUTTI</t>
  </si>
  <si>
    <t>Resta dopo Tier 1</t>
  </si>
  <si>
    <t>Tier 2 — Preferred 5% (hurdle)</t>
  </si>
  <si>
    <t>LP+GP</t>
  </si>
  <si>
    <t>Resta dopo Tier 2</t>
  </si>
  <si>
    <t>Tier 3 — GP Catch-up</t>
  </si>
  <si>
    <t>GP</t>
  </si>
  <si>
    <t>Resta dopo Tier 3</t>
  </si>
  <si>
    <t>Tier 4 — Split LP/GP</t>
  </si>
  <si>
    <t>80/20</t>
  </si>
  <si>
    <t>TOTALE DISTRIBUITO</t>
  </si>
  <si>
    <t>Check (LP+GP = NAV)</t>
  </si>
  <si>
    <t>Distribuzione per Investitore (pro-rata)</t>
  </si>
  <si>
    <t>T1 ROC</t>
  </si>
  <si>
    <t>T2 Preferred</t>
  </si>
  <si>
    <t>T4 Split LP</t>
  </si>
  <si>
    <t>Totale Distribuito</t>
  </si>
  <si>
    <t>Ariete Capital - Investment Tracker | Integrity Checks</t>
  </si>
  <si>
    <t>Controlli di integrita' automatici. OK = check passato, DIFF = scostamento da indagare.</t>
  </si>
  <si>
    <t>Check</t>
  </si>
  <si>
    <t>Expected</t>
  </si>
  <si>
    <t>Actual</t>
  </si>
  <si>
    <t>Status</t>
  </si>
  <si>
    <t>Waterfall total distribution = NAV corrente</t>
  </si>
  <si>
    <t>NAV_Curr</t>
  </si>
  <si>
    <t>Totale capitale Investitori = Capital_Tot</t>
  </si>
  <si>
    <t>Capital_Tot</t>
  </si>
  <si>
    <t>MV Listed Spot (O60) &gt; 0</t>
  </si>
  <si>
    <t>&gt; 0</t>
  </si>
  <si>
    <t>Listed_Tot_Cost (K60) &gt; 0</t>
  </si>
  <si>
    <t>MV Spot &gt;= Costo (K60) entro 30% in valore assoluto</t>
  </si>
  <si>
    <t>scostamento &lt; 30%</t>
  </si>
  <si>
    <t>ISIN VERIFY- placeholder in 04_Trades (deve essere riconciliato)</t>
  </si>
  <si>
    <t>0 ISIN VERIFY-</t>
  </si>
  <si>
    <t>FX Rates 02_FX_Rates: Ultima Data Aggiornamento popolata</t>
  </si>
  <si>
    <t>tutte le righe popolate</t>
  </si>
  <si>
    <t>NAV_Curr ricalcolato = NAV ultimo mese popolato in 10_NAV_Mensile</t>
  </si>
  <si>
    <t>Units_Curr ricalcolato = SOMMA Quote in 03_Investitori</t>
  </si>
  <si>
    <t>Units_Curr</t>
  </si>
  <si>
    <t>CAGR (B26) calcolato (non-zero in produzione)</t>
  </si>
  <si>
    <t>&lt;&gt; 0 quando NAV != Capital</t>
  </si>
  <si>
    <t>Generato dall'audit 2026-05-14. Aggiungere check secondo le necessita' future.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</si>
</sst>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/mm/yyyy"/>
    <numFmt numFmtId="165" formatCode="#,##0.00;[Red]\(#,##0.00\);\-"/>
    <numFmt numFmtId="166" formatCode="0.00%;[Red]\(0.00%\);\-"/>
    <numFmt numFmtId="167" formatCode="0.00\x"/>
    <numFmt numFmtId="168" formatCode="0.000000"/>
    <numFmt numFmtId="169" formatCode="#,##0.0000;[Red]\(#,##0.0000\);\-"/>
    <numFmt numFmtId="170" formatCode="#,##0;[Red]\(#,##0\);\-"/>
    <numFmt numFmtId="171" formatCode="#,##0.0000"/>
    <numFmt numFmtId="172" formatCode="#,##0.000000"/>
  </numFmts>
  <fonts count="2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1F4E78"/>
      <name val="Arial"/>
      <family val="2"/>
    </font>
    <font>
      <i/>
      <sz val="9"/>
      <color rgb="FF595959"/>
      <name val="Arial"/>
      <family val="2"/>
    </font>
    <font>
      <sz val="10"/>
      <color rgb="FF008000"/>
      <name val="Arial"/>
      <family val="2"/>
    </font>
    <font>
      <b/>
      <sz val="12"/>
      <color rgb="FF1F4E78"/>
      <name val="Arial"/>
      <family val="2"/>
    </font>
    <font>
      <b/>
      <sz val="10"/>
      <color rgb="FF1F4E78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b/>
      <sz val="10"/>
      <color rgb="FF008000"/>
      <name val="Arial"/>
      <family val="2"/>
    </font>
    <font>
      <sz val="10"/>
      <color rgb="FFFF0000"/>
      <name val="Arial"/>
      <family val="2"/>
    </font>
    <font>
      <sz val="11"/>
      <color rgb="FF0000FF"/>
      <name val="Calibri"/>
      <family val="2"/>
      <charset val="1"/>
    </font>
    <font>
      <b/>
      <sz val="11"/>
      <color rgb="FF0000FF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4"/>
      <color rgb="FF1F4E79"/>
      <name val="Calibri"/>
    </font>
    <font>
      <i/>
      <sz val="11"/>
      <color rgb="FF666666"/>
      <name val="Calibri"/>
    </font>
    <font>
      <b/>
      <sz val="12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D9E1F2"/>
        <bgColor rgb="FFEAEFF7"/>
      </patternFill>
    </fill>
    <fill>
      <patternFill patternType="solid">
        <fgColor rgb="FFEAEFF7"/>
        <bgColor rgb="FFF2F2F2"/>
      </patternFill>
    </fill>
    <fill>
      <patternFill patternType="solid">
        <fgColor rgb="FFC6E0B4"/>
        <bgColor rgb="FFD9E1F2"/>
      </patternFill>
    </fill>
    <fill>
      <patternFill patternType="solid">
        <fgColor rgb="FFFFFF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EAEFF7"/>
      </patternFill>
    </fill>
    <fill>
      <patternFill patternType="solid">
        <fgColor rgb="FFFFFF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1F4E79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medium">
        <color rgb="FF1F4E78"/>
      </left>
      <right style="medium">
        <color rgb="FF1F4E78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90">
    <xf numFmtId="0" fontId="0" fillId="0" borderId="0" xfId="0"/>
    <xf numFmtId="0" fontId="3" fillId="0" borderId="0" xfId="0" applyFont="1"/>
    <xf numFmtId="164" fontId="4" fillId="0" borderId="0" xfId="0" applyNumberFormat="1" applyFont="1"/>
    <xf numFmtId="0" fontId="6" fillId="3" borderId="1" xfId="0" applyFont="1" applyFill="1" applyBorder="1" applyAlignment="1">
      <alignment horizontal="left" vertical="center" wrapText="1"/>
    </xf>
    <xf numFmtId="165" fontId="7" fillId="3" borderId="1" xfId="0" applyNumberFormat="1" applyFont="1" applyFill="1" applyBorder="1" applyAlignment="1">
      <alignment horizontal="right" vertical="center"/>
    </xf>
    <xf numFmtId="166" fontId="7" fillId="3" borderId="1" xfId="0" applyNumberFormat="1" applyFont="1" applyFill="1" applyBorder="1" applyAlignment="1">
      <alignment horizontal="right" vertical="center"/>
    </xf>
    <xf numFmtId="167" fontId="7" fillId="3" borderId="1" xfId="0" applyNumberFormat="1" applyFont="1" applyFill="1" applyBorder="1" applyAlignment="1">
      <alignment horizontal="right" vertical="center"/>
    </xf>
    <xf numFmtId="168" fontId="7" fillId="3" borderId="1" xfId="0" applyNumberFormat="1" applyFont="1" applyFill="1" applyBorder="1" applyAlignment="1">
      <alignment horizontal="right" vertical="center"/>
    </xf>
    <xf numFmtId="169" fontId="7" fillId="3" borderId="1" xfId="0" applyNumberFormat="1" applyFont="1" applyFill="1" applyBorder="1" applyAlignment="1">
      <alignment horizontal="right" vertical="center"/>
    </xf>
    <xf numFmtId="0" fontId="8" fillId="0" borderId="1" xfId="0" applyFont="1" applyBorder="1"/>
    <xf numFmtId="165" fontId="4" fillId="0" borderId="1" xfId="0" applyNumberFormat="1" applyFont="1" applyBorder="1"/>
    <xf numFmtId="166" fontId="8" fillId="0" borderId="1" xfId="0" applyNumberFormat="1" applyFont="1" applyBorder="1"/>
    <xf numFmtId="0" fontId="9" fillId="4" borderId="1" xfId="0" applyFont="1" applyFill="1" applyBorder="1"/>
    <xf numFmtId="165" fontId="9" fillId="4" borderId="1" xfId="0" applyNumberFormat="1" applyFont="1" applyFill="1" applyBorder="1"/>
    <xf numFmtId="166" fontId="9" fillId="4" borderId="1" xfId="0" applyNumberFormat="1" applyFont="1" applyFill="1" applyBorder="1"/>
    <xf numFmtId="0" fontId="10" fillId="5" borderId="1" xfId="0" applyFont="1" applyFill="1" applyBorder="1"/>
    <xf numFmtId="164" fontId="8" fillId="0" borderId="1" xfId="0" applyNumberFormat="1" applyFont="1" applyBorder="1"/>
    <xf numFmtId="166" fontId="10" fillId="5" borderId="1" xfId="0" applyNumberFormat="1" applyFont="1" applyFill="1" applyBorder="1"/>
    <xf numFmtId="0" fontId="6" fillId="0" borderId="0" xfId="0" applyFont="1"/>
    <xf numFmtId="0" fontId="11" fillId="6" borderId="2" xfId="0" applyFont="1" applyFill="1" applyBorder="1" applyAlignment="1">
      <alignment horizontal="center" vertical="center" wrapText="1"/>
    </xf>
    <xf numFmtId="0" fontId="8" fillId="0" borderId="0" xfId="0" applyFont="1"/>
    <xf numFmtId="168" fontId="10" fillId="5" borderId="1" xfId="0" applyNumberFormat="1" applyFont="1" applyFill="1" applyBorder="1"/>
    <xf numFmtId="164" fontId="10" fillId="5" borderId="1" xfId="0" applyNumberFormat="1" applyFont="1" applyFill="1" applyBorder="1"/>
    <xf numFmtId="0" fontId="8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165" fontId="10" fillId="5" borderId="1" xfId="0" applyNumberFormat="1" applyFont="1" applyFill="1" applyBorder="1"/>
    <xf numFmtId="165" fontId="8" fillId="0" borderId="1" xfId="0" applyNumberFormat="1" applyFont="1" applyBorder="1"/>
    <xf numFmtId="169" fontId="8" fillId="0" borderId="1" xfId="0" applyNumberFormat="1" applyFont="1" applyBorder="1"/>
    <xf numFmtId="0" fontId="9" fillId="4" borderId="0" xfId="0" applyFont="1" applyFill="1"/>
    <xf numFmtId="169" fontId="9" fillId="4" borderId="1" xfId="0" applyNumberFormat="1" applyFont="1" applyFill="1" applyBorder="1"/>
    <xf numFmtId="169" fontId="10" fillId="5" borderId="1" xfId="0" applyNumberFormat="1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169" fontId="4" fillId="0" borderId="1" xfId="0" applyNumberFormat="1" applyFont="1" applyBorder="1"/>
    <xf numFmtId="168" fontId="4" fillId="0" borderId="1" xfId="0" applyNumberFormat="1" applyFont="1" applyBorder="1"/>
    <xf numFmtId="168" fontId="8" fillId="0" borderId="1" xfId="0" applyNumberFormat="1" applyFont="1" applyBorder="1"/>
    <xf numFmtId="0" fontId="8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/>
    <xf numFmtId="0" fontId="9" fillId="4" borderId="1" xfId="0" applyFont="1" applyFill="1" applyBorder="1" applyAlignment="1">
      <alignment horizontal="left" vertical="center" wrapText="1"/>
    </xf>
    <xf numFmtId="168" fontId="9" fillId="4" borderId="1" xfId="0" applyNumberFormat="1" applyFont="1" applyFill="1" applyBorder="1"/>
    <xf numFmtId="170" fontId="7" fillId="3" borderId="1" xfId="0" applyNumberFormat="1" applyFont="1" applyFill="1" applyBorder="1" applyAlignment="1">
      <alignment horizontal="right" vertical="center"/>
    </xf>
    <xf numFmtId="2" fontId="8" fillId="0" borderId="1" xfId="0" applyNumberFormat="1" applyFont="1" applyBorder="1"/>
    <xf numFmtId="167" fontId="8" fillId="0" borderId="1" xfId="0" applyNumberFormat="1" applyFont="1" applyBorder="1"/>
    <xf numFmtId="167" fontId="9" fillId="4" borderId="1" xfId="0" applyNumberFormat="1" applyFont="1" applyFill="1" applyBorder="1"/>
    <xf numFmtId="0" fontId="6" fillId="3" borderId="1" xfId="0" applyFont="1" applyFill="1" applyBorder="1"/>
    <xf numFmtId="165" fontId="7" fillId="3" borderId="1" xfId="0" applyNumberFormat="1" applyFont="1" applyFill="1" applyBorder="1"/>
    <xf numFmtId="166" fontId="7" fillId="3" borderId="1" xfId="0" applyNumberFormat="1" applyFont="1" applyFill="1" applyBorder="1"/>
    <xf numFmtId="0" fontId="3" fillId="7" borderId="1" xfId="0" applyFont="1" applyFill="1" applyBorder="1"/>
    <xf numFmtId="165" fontId="3" fillId="7" borderId="1" xfId="0" applyNumberFormat="1" applyFont="1" applyFill="1" applyBorder="1"/>
    <xf numFmtId="0" fontId="3" fillId="7" borderId="1" xfId="0" applyFont="1" applyFill="1" applyBorder="1" applyAlignment="1">
      <alignment horizontal="center" vertical="center" wrapText="1"/>
    </xf>
    <xf numFmtId="0" fontId="12" fillId="4" borderId="0" xfId="0" applyFont="1" applyFill="1"/>
    <xf numFmtId="165" fontId="12" fillId="4" borderId="1" xfId="0" applyNumberFormat="1" applyFont="1" applyFill="1" applyBorder="1"/>
    <xf numFmtId="165" fontId="0" fillId="0" borderId="0" xfId="0" applyNumberFormat="1"/>
    <xf numFmtId="0" fontId="13" fillId="0" borderId="0" xfId="0" applyFont="1"/>
    <xf numFmtId="164" fontId="10" fillId="8" borderId="1" xfId="0" applyNumberFormat="1" applyFont="1" applyFill="1" applyBorder="1"/>
    <xf numFmtId="0" fontId="10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/>
    <xf numFmtId="169" fontId="10" fillId="8" borderId="1" xfId="0" applyNumberFormat="1" applyFont="1" applyFill="1" applyBorder="1"/>
    <xf numFmtId="171" fontId="10" fillId="8" borderId="1" xfId="0" applyNumberFormat="1" applyFont="1" applyFill="1" applyBorder="1"/>
    <xf numFmtId="168" fontId="10" fillId="8" borderId="1" xfId="0" applyNumberFormat="1" applyFont="1" applyFill="1" applyBorder="1"/>
    <xf numFmtId="165" fontId="10" fillId="8" borderId="1" xfId="0" applyNumberFormat="1" applyFont="1" applyFill="1" applyBorder="1"/>
    <xf numFmtId="4" fontId="10" fillId="8" borderId="1" xfId="0" applyNumberFormat="1" applyFont="1" applyFill="1" applyBorder="1"/>
    <xf numFmtId="0" fontId="10" fillId="8" borderId="1" xfId="0" applyFont="1" applyFill="1" applyBorder="1" applyAlignment="1">
      <alignment wrapText="1"/>
    </xf>
    <xf numFmtId="0" fontId="10" fillId="5" borderId="1" xfId="0" applyFont="1" applyFill="1" applyBorder="1" applyAlignment="1">
      <alignment wrapText="1"/>
    </xf>
    <xf numFmtId="172" fontId="10" fillId="8" borderId="1" xfId="0" applyNumberFormat="1" applyFont="1" applyFill="1" applyBorder="1"/>
    <xf numFmtId="0" fontId="10" fillId="8" borderId="3" xfId="0" applyFont="1" applyFill="1" applyBorder="1"/>
    <xf numFmtId="0" fontId="8" fillId="0" borderId="3" xfId="0" applyFont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169" fontId="4" fillId="0" borderId="0" xfId="0" applyNumberFormat="1" applyFont="1"/>
    <xf numFmtId="169" fontId="8" fillId="0" borderId="0" xfId="0" applyNumberFormat="1" applyFont="1"/>
    <xf numFmtId="168" fontId="4" fillId="0" borderId="0" xfId="0" applyNumberFormat="1" applyFont="1"/>
    <xf numFmtId="165" fontId="8" fillId="0" borderId="0" xfId="0" applyNumberFormat="1" applyFont="1"/>
    <xf numFmtId="165" fontId="4" fillId="0" borderId="0" xfId="0" applyNumberFormat="1" applyFont="1"/>
    <xf numFmtId="0" fontId="14" fillId="8" borderId="1" xfId="0" applyFont="1" applyFill="1" applyBorder="1"/>
    <xf numFmtId="0" fontId="11" fillId="9" borderId="4" xfId="0" applyFont="1" applyFill="1" applyBorder="1" applyAlignment="1">
      <alignment horizontal="center" vertical="center" wrapText="1"/>
    </xf>
    <xf numFmtId="171" fontId="15" fillId="8" borderId="0" xfId="0" applyNumberFormat="1" applyFont="1" applyFill="1"/>
    <xf numFmtId="4" fontId="0" fillId="0" borderId="0" xfId="0" applyNumberFormat="1"/>
    <xf numFmtId="171" fontId="16" fillId="8" borderId="0" xfId="0" applyNumberFormat="1" applyFont="1" applyFill="1"/>
    <xf numFmtId="4" fontId="17" fillId="0" borderId="0" xfId="0" applyNumberFormat="1" applyFont="1"/>
    <xf numFmtId="0" fontId="18" fillId="0" borderId="0" xfId="0" applyFont="1"/>
    <xf numFmtId="0" fontId="19" fillId="0" borderId="0" xfId="0" applyFont="1"/>
    <xf numFmtId="0" fontId="20" fillId="10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2" fillId="0" borderId="0" xfId="0" applyFont="1" applyAlignment="1">
      <alignment horizontal="left" vertical="center"/>
    </xf>
    <xf numFmtId="0" fontId="0" fillId="0" borderId="0" xfId="0"/>
    <xf numFmtId="0" fontId="3" fillId="0" borderId="0" xfId="0" applyFont="1" applyAlignment="1">
      <alignment horizontal="left" vertical="top" wrapText="1"/>
    </xf>
    <xf numFmtId="0" fontId="5" fillId="2" borderId="0" xfId="0" applyFont="1" applyFill="1" applyAlignment="1">
      <alignment horizontal="left" vertical="center" indent="1"/>
    </xf>
    <xf numFmtId="0" fontId="3" fillId="0" borderId="0" xfId="0" applyFont="1"/>
  </cellXfs>
  <cellStyles count="2">
    <cellStyle name="DefaultArial" xfId="1" xr:uid="{00000000-0005-0000-0000-000001000000}"/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EF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0B4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H27"/>
  <sheetViews>
    <sheetView zoomScaleNormal="100" workbookViewId="0">
      <selection activeCell="B16" sqref="B16"/>
    </sheetView>
  </sheetViews>
  <sheetFormatPr baseColWidth="10" defaultColWidth="8.6640625" defaultRowHeight="15" x14ac:dyDescent="0.2"/>
  <cols>
    <col min="1" max="1" width="36" customWidth="1"/>
    <col min="2" max="2" width="20" customWidth="1"/>
    <col min="3" max="3" width="14" customWidth="1"/>
    <col min="4" max="4" width="32" customWidth="1"/>
    <col min="5" max="5" width="20" customWidth="1"/>
    <col min="6" max="6" width="4" customWidth="1"/>
  </cols>
  <sheetData>
    <row r="1" spans="1:8" ht="27.75" customHeight="1" x14ac:dyDescent="0.2">
      <c r="A1" s="85" t="s">
        <v>18</v>
      </c>
      <c r="B1" s="86"/>
      <c r="C1" s="86"/>
      <c r="D1" s="86"/>
      <c r="E1" s="86"/>
      <c r="F1" s="86"/>
      <c r="G1" s="86"/>
      <c r="H1" s="86"/>
    </row>
    <row r="2" spans="1:8" ht="15" customHeight="1" x14ac:dyDescent="0.2">
      <c r="A2" s="87" t="s">
        <v>19</v>
      </c>
      <c r="B2" s="86"/>
      <c r="C2" s="86"/>
      <c r="D2" s="86"/>
      <c r="E2" s="86"/>
      <c r="F2" s="86"/>
      <c r="G2" s="86"/>
      <c r="H2" s="86"/>
    </row>
    <row r="4" spans="1:8" x14ac:dyDescent="0.2">
      <c r="A4" t="s">
        <v>20</v>
      </c>
      <c r="B4" s="2">
        <f ca="1">DataOggi</f>
        <v>46160</v>
      </c>
    </row>
    <row r="6" spans="1:8" ht="21.75" customHeight="1" x14ac:dyDescent="0.2">
      <c r="A6" s="88" t="s">
        <v>21</v>
      </c>
      <c r="B6" s="86"/>
      <c r="C6" s="86"/>
      <c r="D6" s="88" t="s">
        <v>22</v>
      </c>
      <c r="E6" s="86"/>
      <c r="F6" s="86"/>
    </row>
    <row r="7" spans="1:8" ht="18" customHeight="1" x14ac:dyDescent="0.2">
      <c r="A7" s="3" t="s">
        <v>23</v>
      </c>
      <c r="B7" s="4">
        <f ca="1">Capital_Tot</f>
        <v>2000000</v>
      </c>
      <c r="D7" s="3" t="s">
        <v>24</v>
      </c>
      <c r="E7" s="5">
        <f ca="1">'11_Performance'!B25</f>
        <v>-2.0910069346427921E-2</v>
      </c>
    </row>
    <row r="8" spans="1:8" ht="18" customHeight="1" x14ac:dyDescent="0.2">
      <c r="A8" s="3" t="s">
        <v>25</v>
      </c>
      <c r="B8" s="4">
        <f ca="1">NAV_Curr</f>
        <v>1971514.4958473404</v>
      </c>
      <c r="D8" s="3" t="s">
        <v>26</v>
      </c>
      <c r="E8" s="5">
        <f ca="1">'11_Performance'!B26</f>
        <v>0</v>
      </c>
    </row>
    <row r="9" spans="1:8" ht="18" customHeight="1" x14ac:dyDescent="0.2">
      <c r="A9" s="3" t="s">
        <v>27</v>
      </c>
      <c r="B9" s="4">
        <f ca="1">NAV_Curr-Capital_Tot</f>
        <v>-28485.50415265956</v>
      </c>
      <c r="D9" s="3" t="s">
        <v>28</v>
      </c>
      <c r="E9" s="5">
        <f ca="1">'11_Performance'!B27</f>
        <v>6.8912979596029086E-2</v>
      </c>
    </row>
    <row r="10" spans="1:8" ht="18" customHeight="1" x14ac:dyDescent="0.2">
      <c r="A10" s="3" t="s">
        <v>29</v>
      </c>
      <c r="B10" s="6">
        <f ca="1">IFERROR(NAV_Curr/Capital_Tot,0)</f>
        <v>0.98575724792367025</v>
      </c>
      <c r="D10" s="3" t="s">
        <v>30</v>
      </c>
      <c r="E10" s="7">
        <f ca="1">'11_Performance'!B28</f>
        <v>-0.44360567038942361</v>
      </c>
    </row>
    <row r="11" spans="1:8" ht="18" customHeight="1" x14ac:dyDescent="0.2">
      <c r="A11" s="3" t="s">
        <v>31</v>
      </c>
      <c r="B11" s="8">
        <f ca="1">Units_Curr</f>
        <v>2000000</v>
      </c>
      <c r="D11" s="3" t="s">
        <v>32</v>
      </c>
      <c r="E11" s="7">
        <f ca="1">'11_Performance'!B29</f>
        <v>0</v>
      </c>
    </row>
    <row r="12" spans="1:8" ht="18" customHeight="1" x14ac:dyDescent="0.2">
      <c r="A12" s="3" t="s">
        <v>16</v>
      </c>
      <c r="B12" s="7">
        <f ca="1">NAVperUnit_Curr</f>
        <v>0.98575724792367025</v>
      </c>
      <c r="D12" s="3" t="s">
        <v>33</v>
      </c>
      <c r="E12" s="5">
        <f ca="1">'11_Performance'!B30</f>
        <v>-5.00294394169567E-2</v>
      </c>
    </row>
    <row r="15" spans="1:8" ht="21.75" customHeight="1" x14ac:dyDescent="0.2">
      <c r="A15" s="88" t="s">
        <v>34</v>
      </c>
      <c r="B15" s="86"/>
      <c r="C15" s="86"/>
      <c r="D15" s="88" t="s">
        <v>35</v>
      </c>
      <c r="E15" s="86"/>
      <c r="F15" s="86"/>
    </row>
    <row r="16" spans="1:8" x14ac:dyDescent="0.2">
      <c r="A16" s="9" t="s">
        <v>36</v>
      </c>
      <c r="B16" s="10">
        <f ca="1">'11_Performance'!B12</f>
        <v>611761.75184734049</v>
      </c>
      <c r="C16" s="11">
        <f ca="1">IFERROR(B16/NAV_Curr,0)</f>
        <v>0.31030040769972145</v>
      </c>
      <c r="D16" s="9" t="s">
        <v>37</v>
      </c>
      <c r="E16" s="10">
        <f ca="1">'11_Performance'!B7</f>
        <v>1082225.7181526595</v>
      </c>
    </row>
    <row r="17" spans="1:6" x14ac:dyDescent="0.2">
      <c r="A17" s="9" t="s">
        <v>38</v>
      </c>
      <c r="B17" s="10">
        <f>'11_Performance'!B13</f>
        <v>1069752.7439999999</v>
      </c>
      <c r="C17" s="11">
        <f ca="1">IFERROR(B17/NAV_Curr,0)</f>
        <v>0.542604554140105</v>
      </c>
      <c r="D17" s="9" t="s">
        <v>39</v>
      </c>
      <c r="E17" s="10">
        <f ca="1">'11_Performance'!B8</f>
        <v>8226.1999999999989</v>
      </c>
    </row>
    <row r="18" spans="1:6" x14ac:dyDescent="0.2">
      <c r="A18" s="9" t="s">
        <v>40</v>
      </c>
      <c r="B18" s="10">
        <f>'11_Performance'!B14</f>
        <v>155000</v>
      </c>
      <c r="C18" s="11">
        <f ca="1">IFERROR(B18/NAV_Curr,0)</f>
        <v>7.8619761775265209E-2</v>
      </c>
      <c r="D18" s="9" t="s">
        <v>41</v>
      </c>
      <c r="E18" s="10">
        <f ca="1">'11_Performance'!B9</f>
        <v>165000</v>
      </c>
    </row>
    <row r="19" spans="1:6" x14ac:dyDescent="0.2">
      <c r="A19" s="9" t="s">
        <v>42</v>
      </c>
      <c r="B19" s="10">
        <f ca="1">'11_Performance'!B15</f>
        <v>135000</v>
      </c>
      <c r="C19" s="11">
        <f ca="1">IFERROR(B19/NAV_Curr,0)</f>
        <v>6.8475276384908412E-2</v>
      </c>
      <c r="D19" s="9" t="s">
        <v>43</v>
      </c>
      <c r="E19" s="10">
        <f ca="1">'11_Performance'!B10</f>
        <v>135000</v>
      </c>
    </row>
    <row r="20" spans="1:6" x14ac:dyDescent="0.2">
      <c r="A20" s="12" t="s">
        <v>44</v>
      </c>
      <c r="B20" s="13">
        <f ca="1">SUM(B16:B19)</f>
        <v>1971514.4958473404</v>
      </c>
      <c r="C20" s="14">
        <f ca="1">SUM(C16:C19)</f>
        <v>1</v>
      </c>
      <c r="D20" s="9" t="s">
        <v>45</v>
      </c>
      <c r="E20" s="10">
        <f ca="1">'11_Performance'!B11</f>
        <v>-14238.73000000004</v>
      </c>
    </row>
    <row r="24" spans="1:6" ht="21.75" customHeight="1" x14ac:dyDescent="0.2">
      <c r="A24" s="88" t="s">
        <v>46</v>
      </c>
      <c r="B24" s="86"/>
      <c r="C24" s="86"/>
      <c r="D24" s="86"/>
      <c r="E24" s="86"/>
      <c r="F24" s="86"/>
    </row>
    <row r="25" spans="1:6" x14ac:dyDescent="0.2">
      <c r="A25" s="9" t="s">
        <v>47</v>
      </c>
      <c r="B25" s="10">
        <f ca="1">'13_Waterfall'!B7</f>
        <v>67735.291119057409</v>
      </c>
    </row>
    <row r="26" spans="1:6" x14ac:dyDescent="0.2">
      <c r="A26" s="9" t="s">
        <v>48</v>
      </c>
      <c r="B26" s="10">
        <f ca="1">'13_Waterfall'!B22</f>
        <v>1971514.4958473404</v>
      </c>
    </row>
    <row r="27" spans="1:6" x14ac:dyDescent="0.2">
      <c r="A27" s="9" t="s">
        <v>49</v>
      </c>
      <c r="B27" s="10">
        <f ca="1">'13_Waterfall'!C22</f>
        <v>0</v>
      </c>
    </row>
  </sheetData>
  <mergeCells count="7">
    <mergeCell ref="A24:F24"/>
    <mergeCell ref="A2:H2"/>
    <mergeCell ref="A6:C6"/>
    <mergeCell ref="A1:H1"/>
    <mergeCell ref="A15:C15"/>
    <mergeCell ref="D6:F6"/>
    <mergeCell ref="D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F29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38" customWidth="1"/>
    <col min="2" max="2" width="18" customWidth="1"/>
    <col min="3" max="3" width="50" customWidth="1"/>
    <col min="4" max="4" width="20" customWidth="1"/>
  </cols>
  <sheetData>
    <row r="1" spans="1:6" ht="27.75" customHeight="1" x14ac:dyDescent="0.2">
      <c r="A1" s="85" t="s">
        <v>50</v>
      </c>
      <c r="B1" s="86"/>
      <c r="C1" s="86"/>
      <c r="D1" s="86"/>
      <c r="E1" s="86"/>
      <c r="F1" s="86"/>
    </row>
    <row r="2" spans="1:6" ht="15" customHeight="1" x14ac:dyDescent="0.2">
      <c r="A2" s="87" t="s">
        <v>51</v>
      </c>
      <c r="B2" s="86"/>
      <c r="C2" s="86"/>
      <c r="D2" s="86"/>
      <c r="E2" s="86"/>
      <c r="F2" s="86"/>
    </row>
    <row r="4" spans="1:6" ht="21.75" customHeight="1" x14ac:dyDescent="0.2">
      <c r="A4" s="88" t="s">
        <v>52</v>
      </c>
      <c r="B4" s="86"/>
      <c r="C4" s="86"/>
      <c r="D4" s="86"/>
    </row>
    <row r="5" spans="1:6" x14ac:dyDescent="0.2">
      <c r="A5" t="s">
        <v>53</v>
      </c>
      <c r="B5" s="15" t="s">
        <v>54</v>
      </c>
    </row>
    <row r="6" spans="1:6" x14ac:dyDescent="0.2">
      <c r="A6" t="s">
        <v>55</v>
      </c>
      <c r="B6" s="16">
        <f ca="1">TODAY()</f>
        <v>46160</v>
      </c>
    </row>
    <row r="7" spans="1:6" x14ac:dyDescent="0.2">
      <c r="A7" t="s">
        <v>56</v>
      </c>
      <c r="B7" s="17">
        <v>0.03</v>
      </c>
      <c r="C7" s="1" t="s">
        <v>57</v>
      </c>
    </row>
    <row r="8" spans="1:6" x14ac:dyDescent="0.2">
      <c r="A8" t="s">
        <v>58</v>
      </c>
      <c r="B8" t="s">
        <v>59</v>
      </c>
      <c r="C8" t="s">
        <v>60</v>
      </c>
    </row>
    <row r="9" spans="1:6" ht="21.75" customHeight="1" x14ac:dyDescent="0.2">
      <c r="A9" s="88" t="s">
        <v>61</v>
      </c>
      <c r="B9" s="86"/>
      <c r="C9" s="86"/>
      <c r="D9" s="86"/>
    </row>
    <row r="10" spans="1:6" x14ac:dyDescent="0.2">
      <c r="A10" t="s">
        <v>62</v>
      </c>
      <c r="B10" s="17">
        <v>0.05</v>
      </c>
      <c r="C10" s="1" t="s">
        <v>63</v>
      </c>
    </row>
    <row r="11" spans="1:6" x14ac:dyDescent="0.2">
      <c r="A11" t="s">
        <v>64</v>
      </c>
      <c r="B11" s="17">
        <v>0.2</v>
      </c>
    </row>
    <row r="12" spans="1:6" x14ac:dyDescent="0.2">
      <c r="A12" t="s">
        <v>65</v>
      </c>
      <c r="B12" s="11">
        <f>1-B11</f>
        <v>0.8</v>
      </c>
    </row>
    <row r="13" spans="1:6" x14ac:dyDescent="0.2">
      <c r="A13" t="s">
        <v>66</v>
      </c>
      <c r="B13" s="17">
        <v>0.2</v>
      </c>
      <c r="C13" s="1" t="s">
        <v>67</v>
      </c>
    </row>
    <row r="15" spans="1:6" ht="21.75" customHeight="1" x14ac:dyDescent="0.2">
      <c r="A15" s="88" t="s">
        <v>68</v>
      </c>
      <c r="B15" s="86"/>
      <c r="C15" s="86"/>
      <c r="D15" s="86"/>
    </row>
    <row r="16" spans="1:6" x14ac:dyDescent="0.2">
      <c r="A16" s="18" t="s">
        <v>69</v>
      </c>
      <c r="B16" s="89" t="s">
        <v>70</v>
      </c>
      <c r="C16" s="86"/>
      <c r="D16" s="86"/>
      <c r="E16" s="86"/>
    </row>
    <row r="17" spans="1:5" x14ac:dyDescent="0.2">
      <c r="A17" s="18" t="s">
        <v>71</v>
      </c>
      <c r="B17" s="89" t="s">
        <v>72</v>
      </c>
      <c r="C17" s="86"/>
      <c r="D17" s="86"/>
      <c r="E17" s="86"/>
    </row>
    <row r="18" spans="1:5" x14ac:dyDescent="0.2">
      <c r="A18" s="18" t="s">
        <v>73</v>
      </c>
      <c r="B18" s="89" t="s">
        <v>74</v>
      </c>
      <c r="C18" s="86"/>
      <c r="D18" s="86"/>
      <c r="E18" s="86"/>
    </row>
    <row r="19" spans="1:5" x14ac:dyDescent="0.2">
      <c r="A19" s="18" t="s">
        <v>75</v>
      </c>
      <c r="B19" s="89" t="s">
        <v>76</v>
      </c>
      <c r="C19" s="86"/>
      <c r="D19" s="86"/>
      <c r="E19" s="86"/>
    </row>
    <row r="20" spans="1:5" x14ac:dyDescent="0.2">
      <c r="A20" s="18" t="s">
        <v>77</v>
      </c>
      <c r="B20" s="89" t="s">
        <v>78</v>
      </c>
      <c r="C20" s="86"/>
      <c r="D20" s="86"/>
      <c r="E20" s="86"/>
    </row>
    <row r="21" spans="1:5" x14ac:dyDescent="0.2">
      <c r="A21" s="18" t="s">
        <v>79</v>
      </c>
      <c r="B21" s="89" t="s">
        <v>80</v>
      </c>
      <c r="C21" s="86"/>
      <c r="D21" s="86"/>
      <c r="E21" s="86"/>
    </row>
    <row r="22" spans="1:5" x14ac:dyDescent="0.2">
      <c r="A22" s="18" t="s">
        <v>81</v>
      </c>
      <c r="B22" s="89" t="s">
        <v>82</v>
      </c>
      <c r="C22" s="86"/>
      <c r="D22" s="86"/>
      <c r="E22" s="86"/>
    </row>
    <row r="23" spans="1:5" x14ac:dyDescent="0.2">
      <c r="A23" s="18" t="s">
        <v>83</v>
      </c>
      <c r="B23" s="89" t="s">
        <v>84</v>
      </c>
      <c r="C23" s="86"/>
      <c r="D23" s="86"/>
      <c r="E23" s="86"/>
    </row>
    <row r="24" spans="1:5" x14ac:dyDescent="0.2">
      <c r="A24" s="18" t="s">
        <v>85</v>
      </c>
      <c r="B24" s="89" t="s">
        <v>86</v>
      </c>
      <c r="C24" s="86"/>
      <c r="D24" s="86"/>
      <c r="E24" s="86"/>
    </row>
    <row r="25" spans="1:5" x14ac:dyDescent="0.2">
      <c r="A25" s="18" t="s">
        <v>87</v>
      </c>
      <c r="B25" s="89" t="s">
        <v>88</v>
      </c>
      <c r="C25" s="86"/>
      <c r="D25" s="86"/>
      <c r="E25" s="86"/>
    </row>
    <row r="26" spans="1:5" x14ac:dyDescent="0.2">
      <c r="A26" s="18" t="s">
        <v>89</v>
      </c>
      <c r="B26" s="89" t="s">
        <v>90</v>
      </c>
      <c r="C26" s="86"/>
      <c r="D26" s="86"/>
      <c r="E26" s="86"/>
    </row>
    <row r="27" spans="1:5" x14ac:dyDescent="0.2">
      <c r="A27" s="18" t="s">
        <v>91</v>
      </c>
      <c r="B27" s="89" t="s">
        <v>92</v>
      </c>
      <c r="C27" s="86"/>
      <c r="D27" s="86"/>
      <c r="E27" s="86"/>
    </row>
    <row r="28" spans="1:5" x14ac:dyDescent="0.2">
      <c r="A28" s="18" t="s">
        <v>93</v>
      </c>
      <c r="B28" s="89" t="s">
        <v>94</v>
      </c>
      <c r="C28" s="86"/>
      <c r="D28" s="86"/>
      <c r="E28" s="86"/>
    </row>
    <row r="29" spans="1:5" x14ac:dyDescent="0.2">
      <c r="A29" s="18" t="s">
        <v>95</v>
      </c>
      <c r="B29" s="89" t="s">
        <v>96</v>
      </c>
      <c r="C29" s="86"/>
      <c r="D29" s="86"/>
      <c r="E29" s="86"/>
    </row>
  </sheetData>
  <mergeCells count="19">
    <mergeCell ref="A1:F1"/>
    <mergeCell ref="B29:E29"/>
    <mergeCell ref="B19:E19"/>
    <mergeCell ref="B28:E28"/>
    <mergeCell ref="B27:E27"/>
    <mergeCell ref="B18:E18"/>
    <mergeCell ref="B21:E21"/>
    <mergeCell ref="B23:E23"/>
    <mergeCell ref="B17:E17"/>
    <mergeCell ref="A4:D4"/>
    <mergeCell ref="B24:E24"/>
    <mergeCell ref="B20:E20"/>
    <mergeCell ref="A2:F2"/>
    <mergeCell ref="B26:E26"/>
    <mergeCell ref="A9:D9"/>
    <mergeCell ref="B16:E16"/>
    <mergeCell ref="A15:D15"/>
    <mergeCell ref="B25:E25"/>
    <mergeCell ref="B22:E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</sheetPr>
  <dimension ref="A1:F10"/>
  <sheetViews>
    <sheetView zoomScaleNormal="100" workbookViewId="0">
      <pane ySplit="4" topLeftCell="A5" activePane="bottomLeft" state="frozen"/>
      <selection pane="bottomLeft" sqref="A1:E1"/>
    </sheetView>
  </sheetViews>
  <sheetFormatPr baseColWidth="10" defaultColWidth="8.6640625" defaultRowHeight="15" x14ac:dyDescent="0.2"/>
  <cols>
    <col min="1" max="1" width="14" customWidth="1"/>
    <col min="2" max="2" width="22" customWidth="1"/>
    <col min="3" max="3" width="24" customWidth="1"/>
    <col min="4" max="4" width="50" customWidth="1"/>
  </cols>
  <sheetData>
    <row r="1" spans="1:6" ht="27.75" customHeight="1" x14ac:dyDescent="0.2">
      <c r="A1" s="85" t="s">
        <v>97</v>
      </c>
      <c r="B1" s="86"/>
      <c r="C1" s="86"/>
      <c r="D1" s="86"/>
      <c r="E1" s="86"/>
    </row>
    <row r="2" spans="1:6" ht="15" customHeight="1" x14ac:dyDescent="0.2">
      <c r="A2" s="87" t="s">
        <v>98</v>
      </c>
      <c r="B2" s="86"/>
      <c r="C2" s="86"/>
      <c r="D2" s="86"/>
      <c r="E2" s="86"/>
      <c r="F2" s="86"/>
    </row>
    <row r="4" spans="1:6" ht="31.5" customHeight="1" x14ac:dyDescent="0.2">
      <c r="A4" s="19" t="s">
        <v>99</v>
      </c>
      <c r="B4" s="19" t="s">
        <v>100</v>
      </c>
      <c r="C4" s="19" t="s">
        <v>101</v>
      </c>
      <c r="D4" s="19" t="s">
        <v>102</v>
      </c>
    </row>
    <row r="5" spans="1:6" x14ac:dyDescent="0.2">
      <c r="A5" s="20" t="s">
        <v>54</v>
      </c>
      <c r="B5" s="21">
        <v>1</v>
      </c>
      <c r="C5" s="22"/>
      <c r="D5" s="1" t="s">
        <v>103</v>
      </c>
    </row>
    <row r="6" spans="1:6" x14ac:dyDescent="0.2">
      <c r="A6" s="20" t="s">
        <v>104</v>
      </c>
      <c r="B6" s="21">
        <v>0.92</v>
      </c>
      <c r="C6" s="22"/>
      <c r="D6" s="1" t="s">
        <v>105</v>
      </c>
    </row>
    <row r="7" spans="1:6" x14ac:dyDescent="0.2">
      <c r="A7" s="20" t="s">
        <v>106</v>
      </c>
      <c r="B7" s="21">
        <v>1.17</v>
      </c>
      <c r="C7" s="22"/>
      <c r="D7" s="1"/>
    </row>
    <row r="8" spans="1:6" x14ac:dyDescent="0.2">
      <c r="A8" s="20" t="s">
        <v>107</v>
      </c>
      <c r="B8" s="21">
        <v>1.06</v>
      </c>
      <c r="C8" s="22"/>
      <c r="D8" s="1"/>
    </row>
    <row r="9" spans="1:6" x14ac:dyDescent="0.2">
      <c r="A9" s="20" t="s">
        <v>108</v>
      </c>
      <c r="B9" s="21">
        <v>6.1000000000000004E-3</v>
      </c>
      <c r="C9" s="22"/>
      <c r="D9" s="1"/>
    </row>
    <row r="10" spans="1:6" x14ac:dyDescent="0.2">
      <c r="A10" s="20" t="s">
        <v>109</v>
      </c>
      <c r="B10" s="21">
        <v>0.13</v>
      </c>
      <c r="C10" s="22"/>
      <c r="D10" s="1"/>
    </row>
  </sheetData>
  <mergeCells count="2">
    <mergeCell ref="A2:F2"/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K106"/>
  <sheetViews>
    <sheetView zoomScaleNormal="100" workbookViewId="0">
      <pane ySplit="4" topLeftCell="A5" activePane="bottomLeft" state="frozen"/>
      <selection pane="bottomLeft" activeCell="C9" sqref="C9"/>
    </sheetView>
  </sheetViews>
  <sheetFormatPr baseColWidth="10" defaultColWidth="8.6640625" defaultRowHeight="15" x14ac:dyDescent="0.2"/>
  <cols>
    <col min="1" max="1" width="6" customWidth="1"/>
    <col min="2" max="2" width="28" customWidth="1"/>
    <col min="3" max="3" width="18" customWidth="1"/>
    <col min="4" max="5" width="10" customWidth="1"/>
    <col min="6" max="6" width="16" customWidth="1"/>
    <col min="7" max="7" width="12" customWidth="1"/>
    <col min="8" max="10" width="16" customWidth="1"/>
    <col min="11" max="11" width="14" customWidth="1"/>
  </cols>
  <sheetData>
    <row r="1" spans="1:11" ht="27.75" customHeight="1" x14ac:dyDescent="0.2">
      <c r="A1" s="85" t="s">
        <v>110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ht="22.25" customHeight="1" x14ac:dyDescent="0.2">
      <c r="A2" s="87" t="s">
        <v>111</v>
      </c>
      <c r="B2" s="86"/>
      <c r="C2" s="86"/>
      <c r="D2" s="86"/>
      <c r="E2" s="86"/>
      <c r="F2" s="86"/>
      <c r="G2" s="86"/>
      <c r="H2" s="86"/>
      <c r="I2" s="86"/>
      <c r="J2" s="86"/>
      <c r="K2" s="86"/>
    </row>
    <row r="4" spans="1:11" ht="31.5" customHeight="1" x14ac:dyDescent="0.2">
      <c r="A4" s="19" t="s">
        <v>112</v>
      </c>
      <c r="B4" s="19" t="s">
        <v>113</v>
      </c>
      <c r="C4" s="19" t="s">
        <v>114</v>
      </c>
      <c r="D4" s="19" t="s">
        <v>115</v>
      </c>
      <c r="E4" s="19" t="s">
        <v>99</v>
      </c>
      <c r="F4" s="19" t="s">
        <v>116</v>
      </c>
      <c r="G4" s="19" t="s">
        <v>117</v>
      </c>
      <c r="H4" s="19" t="s">
        <v>118</v>
      </c>
      <c r="I4" s="19" t="s">
        <v>119</v>
      </c>
      <c r="J4" s="19" t="s">
        <v>120</v>
      </c>
      <c r="K4" s="19" t="s">
        <v>121</v>
      </c>
    </row>
    <row r="5" spans="1:11" x14ac:dyDescent="0.2">
      <c r="A5" s="23">
        <f t="shared" ref="A5:A36" si="0">IF(B5="","",ROW()-4)</f>
        <v>1</v>
      </c>
      <c r="B5" s="15" t="s">
        <v>122</v>
      </c>
      <c r="C5" s="22">
        <v>45736</v>
      </c>
      <c r="D5" s="24" t="s">
        <v>123</v>
      </c>
      <c r="E5" s="24" t="s">
        <v>54</v>
      </c>
      <c r="F5" s="25">
        <v>500000</v>
      </c>
      <c r="G5" s="21">
        <v>1</v>
      </c>
      <c r="H5" s="26">
        <f t="shared" ref="H5:H36" si="1">IF(F5="","",F5*G5)</f>
        <v>500000</v>
      </c>
      <c r="I5" s="21">
        <v>1</v>
      </c>
      <c r="J5" s="27">
        <f t="shared" ref="J5:J36" si="2">IF(OR(H5="",I5="",I5=0),"",H5/I5)</f>
        <v>500000</v>
      </c>
      <c r="K5" s="11">
        <f t="shared" ref="K5:K36" si="3">IF(H5="","",H5/SUM($H$5:$H$104))</f>
        <v>0.25</v>
      </c>
    </row>
    <row r="6" spans="1:11" x14ac:dyDescent="0.2">
      <c r="A6" s="23">
        <f t="shared" si="0"/>
        <v>2</v>
      </c>
      <c r="B6" s="15" t="s">
        <v>124</v>
      </c>
      <c r="C6" s="22">
        <v>45904</v>
      </c>
      <c r="D6" s="24" t="s">
        <v>123</v>
      </c>
      <c r="E6" s="24" t="s">
        <v>54</v>
      </c>
      <c r="F6" s="25">
        <v>500000</v>
      </c>
      <c r="G6" s="21">
        <v>1</v>
      </c>
      <c r="H6" s="26">
        <f t="shared" si="1"/>
        <v>500000</v>
      </c>
      <c r="I6" s="21">
        <v>1</v>
      </c>
      <c r="J6" s="27">
        <f t="shared" si="2"/>
        <v>500000</v>
      </c>
      <c r="K6" s="11">
        <f t="shared" si="3"/>
        <v>0.25</v>
      </c>
    </row>
    <row r="7" spans="1:11" x14ac:dyDescent="0.2">
      <c r="A7" s="23">
        <f t="shared" si="0"/>
        <v>3</v>
      </c>
      <c r="B7" s="15" t="s">
        <v>125</v>
      </c>
      <c r="C7" s="22">
        <v>45910</v>
      </c>
      <c r="D7" s="24" t="s">
        <v>123</v>
      </c>
      <c r="E7" s="24" t="s">
        <v>54</v>
      </c>
      <c r="F7" s="25">
        <v>500000</v>
      </c>
      <c r="G7" s="21">
        <v>1</v>
      </c>
      <c r="H7" s="26">
        <f t="shared" si="1"/>
        <v>500000</v>
      </c>
      <c r="I7" s="21">
        <v>1</v>
      </c>
      <c r="J7" s="27">
        <f t="shared" si="2"/>
        <v>500000</v>
      </c>
      <c r="K7" s="11">
        <f t="shared" si="3"/>
        <v>0.25</v>
      </c>
    </row>
    <row r="8" spans="1:11" x14ac:dyDescent="0.2">
      <c r="A8" s="23">
        <f t="shared" si="0"/>
        <v>4</v>
      </c>
      <c r="B8" s="15" t="s">
        <v>126</v>
      </c>
      <c r="C8" s="22">
        <v>46097</v>
      </c>
      <c r="D8" s="24" t="s">
        <v>123</v>
      </c>
      <c r="E8" s="24" t="s">
        <v>54</v>
      </c>
      <c r="F8" s="25">
        <v>500000</v>
      </c>
      <c r="G8" s="21">
        <v>1</v>
      </c>
      <c r="H8" s="26">
        <f t="shared" si="1"/>
        <v>500000</v>
      </c>
      <c r="I8" s="21">
        <v>1</v>
      </c>
      <c r="J8" s="27">
        <f t="shared" si="2"/>
        <v>500000</v>
      </c>
      <c r="K8" s="11">
        <f t="shared" si="3"/>
        <v>0.25</v>
      </c>
    </row>
    <row r="9" spans="1:11" x14ac:dyDescent="0.2">
      <c r="A9" s="23" t="str">
        <f t="shared" si="0"/>
        <v/>
      </c>
      <c r="B9" s="15"/>
      <c r="C9" s="22"/>
      <c r="D9" s="24"/>
      <c r="E9" s="24"/>
      <c r="F9" s="25"/>
      <c r="G9" s="21"/>
      <c r="H9" s="26" t="str">
        <f t="shared" si="1"/>
        <v/>
      </c>
      <c r="I9" s="21"/>
      <c r="J9" s="27" t="str">
        <f t="shared" si="2"/>
        <v/>
      </c>
      <c r="K9" s="11" t="str">
        <f t="shared" si="3"/>
        <v/>
      </c>
    </row>
    <row r="10" spans="1:11" x14ac:dyDescent="0.2">
      <c r="A10" s="23" t="str">
        <f t="shared" si="0"/>
        <v/>
      </c>
      <c r="B10" s="15"/>
      <c r="C10" s="22"/>
      <c r="D10" s="24"/>
      <c r="E10" s="24"/>
      <c r="F10" s="25"/>
      <c r="G10" s="21"/>
      <c r="H10" s="26" t="str">
        <f t="shared" si="1"/>
        <v/>
      </c>
      <c r="I10" s="21"/>
      <c r="J10" s="27" t="str">
        <f t="shared" si="2"/>
        <v/>
      </c>
      <c r="K10" s="11" t="str">
        <f t="shared" si="3"/>
        <v/>
      </c>
    </row>
    <row r="11" spans="1:11" x14ac:dyDescent="0.2">
      <c r="A11" s="23" t="str">
        <f t="shared" si="0"/>
        <v/>
      </c>
      <c r="B11" s="15"/>
      <c r="C11" s="22"/>
      <c r="D11" s="24"/>
      <c r="E11" s="24"/>
      <c r="F11" s="25"/>
      <c r="G11" s="21"/>
      <c r="H11" s="26" t="str">
        <f t="shared" si="1"/>
        <v/>
      </c>
      <c r="I11" s="21"/>
      <c r="J11" s="27" t="str">
        <f t="shared" si="2"/>
        <v/>
      </c>
      <c r="K11" s="11" t="str">
        <f t="shared" si="3"/>
        <v/>
      </c>
    </row>
    <row r="12" spans="1:11" x14ac:dyDescent="0.2">
      <c r="A12" s="23" t="str">
        <f t="shared" si="0"/>
        <v/>
      </c>
      <c r="B12" s="15"/>
      <c r="C12" s="22"/>
      <c r="D12" s="24"/>
      <c r="E12" s="24"/>
      <c r="F12" s="25"/>
      <c r="G12" s="21"/>
      <c r="H12" s="26" t="str">
        <f t="shared" si="1"/>
        <v/>
      </c>
      <c r="I12" s="21"/>
      <c r="J12" s="27" t="str">
        <f t="shared" si="2"/>
        <v/>
      </c>
      <c r="K12" s="11" t="str">
        <f t="shared" si="3"/>
        <v/>
      </c>
    </row>
    <row r="13" spans="1:11" x14ac:dyDescent="0.2">
      <c r="A13" s="23" t="str">
        <f t="shared" si="0"/>
        <v/>
      </c>
      <c r="B13" s="15"/>
      <c r="C13" s="22"/>
      <c r="D13" s="24"/>
      <c r="E13" s="24"/>
      <c r="F13" s="25"/>
      <c r="G13" s="21"/>
      <c r="H13" s="26" t="str">
        <f t="shared" si="1"/>
        <v/>
      </c>
      <c r="I13" s="21"/>
      <c r="J13" s="27" t="str">
        <f t="shared" si="2"/>
        <v/>
      </c>
      <c r="K13" s="11" t="str">
        <f t="shared" si="3"/>
        <v/>
      </c>
    </row>
    <row r="14" spans="1:11" x14ac:dyDescent="0.2">
      <c r="A14" s="23" t="str">
        <f t="shared" si="0"/>
        <v/>
      </c>
      <c r="B14" s="15"/>
      <c r="C14" s="22"/>
      <c r="D14" s="24"/>
      <c r="E14" s="24"/>
      <c r="F14" s="25"/>
      <c r="G14" s="21"/>
      <c r="H14" s="26" t="str">
        <f t="shared" si="1"/>
        <v/>
      </c>
      <c r="I14" s="21"/>
      <c r="J14" s="27" t="str">
        <f t="shared" si="2"/>
        <v/>
      </c>
      <c r="K14" s="11" t="str">
        <f t="shared" si="3"/>
        <v/>
      </c>
    </row>
    <row r="15" spans="1:11" x14ac:dyDescent="0.2">
      <c r="A15" s="23" t="str">
        <f t="shared" si="0"/>
        <v/>
      </c>
      <c r="B15" s="15"/>
      <c r="C15" s="22"/>
      <c r="D15" s="24"/>
      <c r="E15" s="24"/>
      <c r="F15" s="25"/>
      <c r="G15" s="21"/>
      <c r="H15" s="26" t="str">
        <f t="shared" si="1"/>
        <v/>
      </c>
      <c r="I15" s="21"/>
      <c r="J15" s="27" t="str">
        <f t="shared" si="2"/>
        <v/>
      </c>
      <c r="K15" s="11" t="str">
        <f t="shared" si="3"/>
        <v/>
      </c>
    </row>
    <row r="16" spans="1:11" x14ac:dyDescent="0.2">
      <c r="A16" s="23" t="str">
        <f t="shared" si="0"/>
        <v/>
      </c>
      <c r="B16" s="15"/>
      <c r="C16" s="22"/>
      <c r="D16" s="24"/>
      <c r="E16" s="24"/>
      <c r="F16" s="25"/>
      <c r="G16" s="21"/>
      <c r="H16" s="26" t="str">
        <f t="shared" si="1"/>
        <v/>
      </c>
      <c r="I16" s="21"/>
      <c r="J16" s="27" t="str">
        <f t="shared" si="2"/>
        <v/>
      </c>
      <c r="K16" s="11" t="str">
        <f t="shared" si="3"/>
        <v/>
      </c>
    </row>
    <row r="17" spans="1:11" x14ac:dyDescent="0.2">
      <c r="A17" s="23" t="str">
        <f t="shared" si="0"/>
        <v/>
      </c>
      <c r="B17" s="15"/>
      <c r="C17" s="22"/>
      <c r="D17" s="24"/>
      <c r="E17" s="24"/>
      <c r="F17" s="25"/>
      <c r="G17" s="21"/>
      <c r="H17" s="26" t="str">
        <f t="shared" si="1"/>
        <v/>
      </c>
      <c r="I17" s="21"/>
      <c r="J17" s="27" t="str">
        <f t="shared" si="2"/>
        <v/>
      </c>
      <c r="K17" s="11" t="str">
        <f t="shared" si="3"/>
        <v/>
      </c>
    </row>
    <row r="18" spans="1:11" x14ac:dyDescent="0.2">
      <c r="A18" s="23" t="str">
        <f t="shared" si="0"/>
        <v/>
      </c>
      <c r="B18" s="15"/>
      <c r="C18" s="22"/>
      <c r="D18" s="24"/>
      <c r="E18" s="24"/>
      <c r="F18" s="25"/>
      <c r="G18" s="21"/>
      <c r="H18" s="26" t="str">
        <f t="shared" si="1"/>
        <v/>
      </c>
      <c r="I18" s="21"/>
      <c r="J18" s="27" t="str">
        <f t="shared" si="2"/>
        <v/>
      </c>
      <c r="K18" s="11" t="str">
        <f t="shared" si="3"/>
        <v/>
      </c>
    </row>
    <row r="19" spans="1:11" x14ac:dyDescent="0.2">
      <c r="A19" s="23" t="str">
        <f t="shared" si="0"/>
        <v/>
      </c>
      <c r="B19" s="15"/>
      <c r="C19" s="22"/>
      <c r="D19" s="24"/>
      <c r="E19" s="24"/>
      <c r="F19" s="25"/>
      <c r="G19" s="21"/>
      <c r="H19" s="26" t="str">
        <f t="shared" si="1"/>
        <v/>
      </c>
      <c r="I19" s="21"/>
      <c r="J19" s="27" t="str">
        <f t="shared" si="2"/>
        <v/>
      </c>
      <c r="K19" s="11" t="str">
        <f t="shared" si="3"/>
        <v/>
      </c>
    </row>
    <row r="20" spans="1:11" x14ac:dyDescent="0.2">
      <c r="A20" s="23" t="str">
        <f t="shared" si="0"/>
        <v/>
      </c>
      <c r="B20" s="15"/>
      <c r="C20" s="22"/>
      <c r="D20" s="24"/>
      <c r="E20" s="24"/>
      <c r="F20" s="25"/>
      <c r="G20" s="21"/>
      <c r="H20" s="26" t="str">
        <f t="shared" si="1"/>
        <v/>
      </c>
      <c r="I20" s="21"/>
      <c r="J20" s="27" t="str">
        <f t="shared" si="2"/>
        <v/>
      </c>
      <c r="K20" s="11" t="str">
        <f t="shared" si="3"/>
        <v/>
      </c>
    </row>
    <row r="21" spans="1:11" x14ac:dyDescent="0.2">
      <c r="A21" s="23" t="str">
        <f t="shared" si="0"/>
        <v/>
      </c>
      <c r="B21" s="15"/>
      <c r="C21" s="22"/>
      <c r="D21" s="24"/>
      <c r="E21" s="24"/>
      <c r="F21" s="25"/>
      <c r="G21" s="21"/>
      <c r="H21" s="26" t="str">
        <f t="shared" si="1"/>
        <v/>
      </c>
      <c r="I21" s="21"/>
      <c r="J21" s="27" t="str">
        <f t="shared" si="2"/>
        <v/>
      </c>
      <c r="K21" s="11" t="str">
        <f t="shared" si="3"/>
        <v/>
      </c>
    </row>
    <row r="22" spans="1:11" x14ac:dyDescent="0.2">
      <c r="A22" s="23" t="str">
        <f t="shared" si="0"/>
        <v/>
      </c>
      <c r="B22" s="15"/>
      <c r="C22" s="22"/>
      <c r="D22" s="24"/>
      <c r="E22" s="24"/>
      <c r="F22" s="25"/>
      <c r="G22" s="21"/>
      <c r="H22" s="26" t="str">
        <f t="shared" si="1"/>
        <v/>
      </c>
      <c r="I22" s="21"/>
      <c r="J22" s="27" t="str">
        <f t="shared" si="2"/>
        <v/>
      </c>
      <c r="K22" s="11" t="str">
        <f t="shared" si="3"/>
        <v/>
      </c>
    </row>
    <row r="23" spans="1:11" x14ac:dyDescent="0.2">
      <c r="A23" s="23" t="str">
        <f t="shared" si="0"/>
        <v/>
      </c>
      <c r="B23" s="15"/>
      <c r="C23" s="22"/>
      <c r="D23" s="24"/>
      <c r="E23" s="24"/>
      <c r="F23" s="25"/>
      <c r="G23" s="21"/>
      <c r="H23" s="26" t="str">
        <f t="shared" si="1"/>
        <v/>
      </c>
      <c r="I23" s="21"/>
      <c r="J23" s="27" t="str">
        <f t="shared" si="2"/>
        <v/>
      </c>
      <c r="K23" s="11" t="str">
        <f t="shared" si="3"/>
        <v/>
      </c>
    </row>
    <row r="24" spans="1:11" x14ac:dyDescent="0.2">
      <c r="A24" s="23" t="str">
        <f t="shared" si="0"/>
        <v/>
      </c>
      <c r="B24" s="15"/>
      <c r="C24" s="22"/>
      <c r="D24" s="24"/>
      <c r="E24" s="24"/>
      <c r="F24" s="25"/>
      <c r="G24" s="21"/>
      <c r="H24" s="26" t="str">
        <f t="shared" si="1"/>
        <v/>
      </c>
      <c r="I24" s="21"/>
      <c r="J24" s="27" t="str">
        <f t="shared" si="2"/>
        <v/>
      </c>
      <c r="K24" s="11" t="str">
        <f t="shared" si="3"/>
        <v/>
      </c>
    </row>
    <row r="25" spans="1:11" x14ac:dyDescent="0.2">
      <c r="A25" s="23" t="str">
        <f t="shared" si="0"/>
        <v/>
      </c>
      <c r="B25" s="15"/>
      <c r="C25" s="22"/>
      <c r="D25" s="24"/>
      <c r="E25" s="24"/>
      <c r="F25" s="25"/>
      <c r="G25" s="21"/>
      <c r="H25" s="26" t="str">
        <f t="shared" si="1"/>
        <v/>
      </c>
      <c r="I25" s="21"/>
      <c r="J25" s="27" t="str">
        <f t="shared" si="2"/>
        <v/>
      </c>
      <c r="K25" s="11" t="str">
        <f t="shared" si="3"/>
        <v/>
      </c>
    </row>
    <row r="26" spans="1:11" x14ac:dyDescent="0.2">
      <c r="A26" s="23" t="str">
        <f t="shared" si="0"/>
        <v/>
      </c>
      <c r="B26" s="15"/>
      <c r="C26" s="22"/>
      <c r="D26" s="24"/>
      <c r="E26" s="24"/>
      <c r="F26" s="25"/>
      <c r="G26" s="21"/>
      <c r="H26" s="26" t="str">
        <f t="shared" si="1"/>
        <v/>
      </c>
      <c r="I26" s="21"/>
      <c r="J26" s="27" t="str">
        <f t="shared" si="2"/>
        <v/>
      </c>
      <c r="K26" s="11" t="str">
        <f t="shared" si="3"/>
        <v/>
      </c>
    </row>
    <row r="27" spans="1:11" x14ac:dyDescent="0.2">
      <c r="A27" s="23" t="str">
        <f t="shared" si="0"/>
        <v/>
      </c>
      <c r="B27" s="15"/>
      <c r="C27" s="22"/>
      <c r="D27" s="24"/>
      <c r="E27" s="24"/>
      <c r="F27" s="25"/>
      <c r="G27" s="21"/>
      <c r="H27" s="26" t="str">
        <f t="shared" si="1"/>
        <v/>
      </c>
      <c r="I27" s="21"/>
      <c r="J27" s="27" t="str">
        <f t="shared" si="2"/>
        <v/>
      </c>
      <c r="K27" s="11" t="str">
        <f t="shared" si="3"/>
        <v/>
      </c>
    </row>
    <row r="28" spans="1:11" x14ac:dyDescent="0.2">
      <c r="A28" s="23" t="str">
        <f t="shared" si="0"/>
        <v/>
      </c>
      <c r="B28" s="15"/>
      <c r="C28" s="22"/>
      <c r="D28" s="24"/>
      <c r="E28" s="24"/>
      <c r="F28" s="25"/>
      <c r="G28" s="21"/>
      <c r="H28" s="26" t="str">
        <f t="shared" si="1"/>
        <v/>
      </c>
      <c r="I28" s="21"/>
      <c r="J28" s="27" t="str">
        <f t="shared" si="2"/>
        <v/>
      </c>
      <c r="K28" s="11" t="str">
        <f t="shared" si="3"/>
        <v/>
      </c>
    </row>
    <row r="29" spans="1:11" x14ac:dyDescent="0.2">
      <c r="A29" s="23" t="str">
        <f t="shared" si="0"/>
        <v/>
      </c>
      <c r="B29" s="15"/>
      <c r="C29" s="22"/>
      <c r="D29" s="24"/>
      <c r="E29" s="24"/>
      <c r="F29" s="25"/>
      <c r="G29" s="21"/>
      <c r="H29" s="26" t="str">
        <f t="shared" si="1"/>
        <v/>
      </c>
      <c r="I29" s="21"/>
      <c r="J29" s="27" t="str">
        <f t="shared" si="2"/>
        <v/>
      </c>
      <c r="K29" s="11" t="str">
        <f t="shared" si="3"/>
        <v/>
      </c>
    </row>
    <row r="30" spans="1:11" x14ac:dyDescent="0.2">
      <c r="A30" s="23" t="str">
        <f t="shared" si="0"/>
        <v/>
      </c>
      <c r="B30" s="15"/>
      <c r="C30" s="22"/>
      <c r="D30" s="24"/>
      <c r="E30" s="24"/>
      <c r="F30" s="25"/>
      <c r="G30" s="21"/>
      <c r="H30" s="26" t="str">
        <f t="shared" si="1"/>
        <v/>
      </c>
      <c r="I30" s="21"/>
      <c r="J30" s="27" t="str">
        <f t="shared" si="2"/>
        <v/>
      </c>
      <c r="K30" s="11" t="str">
        <f t="shared" si="3"/>
        <v/>
      </c>
    </row>
    <row r="31" spans="1:11" x14ac:dyDescent="0.2">
      <c r="A31" s="23" t="str">
        <f t="shared" si="0"/>
        <v/>
      </c>
      <c r="B31" s="15"/>
      <c r="C31" s="22"/>
      <c r="D31" s="24"/>
      <c r="E31" s="24"/>
      <c r="F31" s="25"/>
      <c r="G31" s="21"/>
      <c r="H31" s="26" t="str">
        <f t="shared" si="1"/>
        <v/>
      </c>
      <c r="I31" s="21"/>
      <c r="J31" s="27" t="str">
        <f t="shared" si="2"/>
        <v/>
      </c>
      <c r="K31" s="11" t="str">
        <f t="shared" si="3"/>
        <v/>
      </c>
    </row>
    <row r="32" spans="1:11" x14ac:dyDescent="0.2">
      <c r="A32" s="23" t="str">
        <f t="shared" si="0"/>
        <v/>
      </c>
      <c r="B32" s="15"/>
      <c r="C32" s="22"/>
      <c r="D32" s="24"/>
      <c r="E32" s="24"/>
      <c r="F32" s="25"/>
      <c r="G32" s="21"/>
      <c r="H32" s="26" t="str">
        <f t="shared" si="1"/>
        <v/>
      </c>
      <c r="I32" s="21"/>
      <c r="J32" s="27" t="str">
        <f t="shared" si="2"/>
        <v/>
      </c>
      <c r="K32" s="11" t="str">
        <f t="shared" si="3"/>
        <v/>
      </c>
    </row>
    <row r="33" spans="1:11" x14ac:dyDescent="0.2">
      <c r="A33" s="23" t="str">
        <f t="shared" si="0"/>
        <v/>
      </c>
      <c r="B33" s="15"/>
      <c r="C33" s="22"/>
      <c r="D33" s="24"/>
      <c r="E33" s="24"/>
      <c r="F33" s="25"/>
      <c r="G33" s="21"/>
      <c r="H33" s="26" t="str">
        <f t="shared" si="1"/>
        <v/>
      </c>
      <c r="I33" s="21"/>
      <c r="J33" s="27" t="str">
        <f t="shared" si="2"/>
        <v/>
      </c>
      <c r="K33" s="11" t="str">
        <f t="shared" si="3"/>
        <v/>
      </c>
    </row>
    <row r="34" spans="1:11" x14ac:dyDescent="0.2">
      <c r="A34" s="23" t="str">
        <f t="shared" si="0"/>
        <v/>
      </c>
      <c r="B34" s="15"/>
      <c r="C34" s="22"/>
      <c r="D34" s="24"/>
      <c r="E34" s="24"/>
      <c r="F34" s="25"/>
      <c r="G34" s="21"/>
      <c r="H34" s="26" t="str">
        <f t="shared" si="1"/>
        <v/>
      </c>
      <c r="I34" s="21"/>
      <c r="J34" s="27" t="str">
        <f t="shared" si="2"/>
        <v/>
      </c>
      <c r="K34" s="11" t="str">
        <f t="shared" si="3"/>
        <v/>
      </c>
    </row>
    <row r="35" spans="1:11" x14ac:dyDescent="0.2">
      <c r="A35" s="23" t="str">
        <f t="shared" si="0"/>
        <v/>
      </c>
      <c r="B35" s="15"/>
      <c r="C35" s="22"/>
      <c r="D35" s="24"/>
      <c r="E35" s="24"/>
      <c r="F35" s="25"/>
      <c r="G35" s="21"/>
      <c r="H35" s="26" t="str">
        <f t="shared" si="1"/>
        <v/>
      </c>
      <c r="I35" s="21"/>
      <c r="J35" s="27" t="str">
        <f t="shared" si="2"/>
        <v/>
      </c>
      <c r="K35" s="11" t="str">
        <f t="shared" si="3"/>
        <v/>
      </c>
    </row>
    <row r="36" spans="1:11" x14ac:dyDescent="0.2">
      <c r="A36" s="23" t="str">
        <f t="shared" si="0"/>
        <v/>
      </c>
      <c r="B36" s="15"/>
      <c r="C36" s="22"/>
      <c r="D36" s="24"/>
      <c r="E36" s="24"/>
      <c r="F36" s="25"/>
      <c r="G36" s="21"/>
      <c r="H36" s="26" t="str">
        <f t="shared" si="1"/>
        <v/>
      </c>
      <c r="I36" s="21"/>
      <c r="J36" s="27" t="str">
        <f t="shared" si="2"/>
        <v/>
      </c>
      <c r="K36" s="11" t="str">
        <f t="shared" si="3"/>
        <v/>
      </c>
    </row>
    <row r="37" spans="1:11" x14ac:dyDescent="0.2">
      <c r="A37" s="23" t="str">
        <f t="shared" ref="A37:A68" si="4">IF(B37="","",ROW()-4)</f>
        <v/>
      </c>
      <c r="B37" s="15"/>
      <c r="C37" s="22"/>
      <c r="D37" s="24"/>
      <c r="E37" s="24"/>
      <c r="F37" s="25"/>
      <c r="G37" s="21"/>
      <c r="H37" s="26" t="str">
        <f t="shared" ref="H37:H68" si="5">IF(F37="","",F37*G37)</f>
        <v/>
      </c>
      <c r="I37" s="21"/>
      <c r="J37" s="27" t="str">
        <f t="shared" ref="J37:J68" si="6">IF(OR(H37="",I37="",I37=0),"",H37/I37)</f>
        <v/>
      </c>
      <c r="K37" s="11" t="str">
        <f t="shared" ref="K37:K68" si="7">IF(H37="","",H37/SUM($H$5:$H$104))</f>
        <v/>
      </c>
    </row>
    <row r="38" spans="1:11" x14ac:dyDescent="0.2">
      <c r="A38" s="23" t="str">
        <f t="shared" si="4"/>
        <v/>
      </c>
      <c r="B38" s="15"/>
      <c r="C38" s="22"/>
      <c r="D38" s="24"/>
      <c r="E38" s="24"/>
      <c r="F38" s="25"/>
      <c r="G38" s="21"/>
      <c r="H38" s="26" t="str">
        <f t="shared" si="5"/>
        <v/>
      </c>
      <c r="I38" s="21"/>
      <c r="J38" s="27" t="str">
        <f t="shared" si="6"/>
        <v/>
      </c>
      <c r="K38" s="11" t="str">
        <f t="shared" si="7"/>
        <v/>
      </c>
    </row>
    <row r="39" spans="1:11" x14ac:dyDescent="0.2">
      <c r="A39" s="23" t="str">
        <f t="shared" si="4"/>
        <v/>
      </c>
      <c r="B39" s="15"/>
      <c r="C39" s="22"/>
      <c r="D39" s="24"/>
      <c r="E39" s="24"/>
      <c r="F39" s="25"/>
      <c r="G39" s="21"/>
      <c r="H39" s="26" t="str">
        <f t="shared" si="5"/>
        <v/>
      </c>
      <c r="I39" s="21"/>
      <c r="J39" s="27" t="str">
        <f t="shared" si="6"/>
        <v/>
      </c>
      <c r="K39" s="11" t="str">
        <f t="shared" si="7"/>
        <v/>
      </c>
    </row>
    <row r="40" spans="1:11" x14ac:dyDescent="0.2">
      <c r="A40" s="23" t="str">
        <f t="shared" si="4"/>
        <v/>
      </c>
      <c r="B40" s="15"/>
      <c r="C40" s="22"/>
      <c r="D40" s="24"/>
      <c r="E40" s="24"/>
      <c r="F40" s="25"/>
      <c r="G40" s="21"/>
      <c r="H40" s="26" t="str">
        <f t="shared" si="5"/>
        <v/>
      </c>
      <c r="I40" s="21"/>
      <c r="J40" s="27" t="str">
        <f t="shared" si="6"/>
        <v/>
      </c>
      <c r="K40" s="11" t="str">
        <f t="shared" si="7"/>
        <v/>
      </c>
    </row>
    <row r="41" spans="1:11" x14ac:dyDescent="0.2">
      <c r="A41" s="23" t="str">
        <f t="shared" si="4"/>
        <v/>
      </c>
      <c r="B41" s="15"/>
      <c r="C41" s="22"/>
      <c r="D41" s="24"/>
      <c r="E41" s="24"/>
      <c r="F41" s="25"/>
      <c r="G41" s="21"/>
      <c r="H41" s="26" t="str">
        <f t="shared" si="5"/>
        <v/>
      </c>
      <c r="I41" s="21"/>
      <c r="J41" s="27" t="str">
        <f t="shared" si="6"/>
        <v/>
      </c>
      <c r="K41" s="11" t="str">
        <f t="shared" si="7"/>
        <v/>
      </c>
    </row>
    <row r="42" spans="1:11" x14ac:dyDescent="0.2">
      <c r="A42" s="23" t="str">
        <f t="shared" si="4"/>
        <v/>
      </c>
      <c r="B42" s="15"/>
      <c r="C42" s="22"/>
      <c r="D42" s="24"/>
      <c r="E42" s="24"/>
      <c r="F42" s="25"/>
      <c r="G42" s="21"/>
      <c r="H42" s="26" t="str">
        <f t="shared" si="5"/>
        <v/>
      </c>
      <c r="I42" s="21"/>
      <c r="J42" s="27" t="str">
        <f t="shared" si="6"/>
        <v/>
      </c>
      <c r="K42" s="11" t="str">
        <f t="shared" si="7"/>
        <v/>
      </c>
    </row>
    <row r="43" spans="1:11" x14ac:dyDescent="0.2">
      <c r="A43" s="23" t="str">
        <f t="shared" si="4"/>
        <v/>
      </c>
      <c r="B43" s="15"/>
      <c r="C43" s="22"/>
      <c r="D43" s="24"/>
      <c r="E43" s="24"/>
      <c r="F43" s="25"/>
      <c r="G43" s="21"/>
      <c r="H43" s="26" t="str">
        <f t="shared" si="5"/>
        <v/>
      </c>
      <c r="I43" s="21"/>
      <c r="J43" s="27" t="str">
        <f t="shared" si="6"/>
        <v/>
      </c>
      <c r="K43" s="11" t="str">
        <f t="shared" si="7"/>
        <v/>
      </c>
    </row>
    <row r="44" spans="1:11" x14ac:dyDescent="0.2">
      <c r="A44" s="23" t="str">
        <f t="shared" si="4"/>
        <v/>
      </c>
      <c r="B44" s="15"/>
      <c r="C44" s="22"/>
      <c r="D44" s="24"/>
      <c r="E44" s="24"/>
      <c r="F44" s="25"/>
      <c r="G44" s="21"/>
      <c r="H44" s="26" t="str">
        <f t="shared" si="5"/>
        <v/>
      </c>
      <c r="I44" s="21"/>
      <c r="J44" s="27" t="str">
        <f t="shared" si="6"/>
        <v/>
      </c>
      <c r="K44" s="11" t="str">
        <f t="shared" si="7"/>
        <v/>
      </c>
    </row>
    <row r="45" spans="1:11" x14ac:dyDescent="0.2">
      <c r="A45" s="23" t="str">
        <f t="shared" si="4"/>
        <v/>
      </c>
      <c r="B45" s="15"/>
      <c r="C45" s="22"/>
      <c r="D45" s="24"/>
      <c r="E45" s="24"/>
      <c r="F45" s="25"/>
      <c r="G45" s="21"/>
      <c r="H45" s="26" t="str">
        <f t="shared" si="5"/>
        <v/>
      </c>
      <c r="I45" s="21"/>
      <c r="J45" s="27" t="str">
        <f t="shared" si="6"/>
        <v/>
      </c>
      <c r="K45" s="11" t="str">
        <f t="shared" si="7"/>
        <v/>
      </c>
    </row>
    <row r="46" spans="1:11" x14ac:dyDescent="0.2">
      <c r="A46" s="23" t="str">
        <f t="shared" si="4"/>
        <v/>
      </c>
      <c r="B46" s="15"/>
      <c r="C46" s="22"/>
      <c r="D46" s="24"/>
      <c r="E46" s="24"/>
      <c r="F46" s="25"/>
      <c r="G46" s="21"/>
      <c r="H46" s="26" t="str">
        <f t="shared" si="5"/>
        <v/>
      </c>
      <c r="I46" s="21"/>
      <c r="J46" s="27" t="str">
        <f t="shared" si="6"/>
        <v/>
      </c>
      <c r="K46" s="11" t="str">
        <f t="shared" si="7"/>
        <v/>
      </c>
    </row>
    <row r="47" spans="1:11" x14ac:dyDescent="0.2">
      <c r="A47" s="23" t="str">
        <f t="shared" si="4"/>
        <v/>
      </c>
      <c r="B47" s="15"/>
      <c r="C47" s="22"/>
      <c r="D47" s="24"/>
      <c r="E47" s="24"/>
      <c r="F47" s="25"/>
      <c r="G47" s="21"/>
      <c r="H47" s="26" t="str">
        <f t="shared" si="5"/>
        <v/>
      </c>
      <c r="I47" s="21"/>
      <c r="J47" s="27" t="str">
        <f t="shared" si="6"/>
        <v/>
      </c>
      <c r="K47" s="11" t="str">
        <f t="shared" si="7"/>
        <v/>
      </c>
    </row>
    <row r="48" spans="1:11" x14ac:dyDescent="0.2">
      <c r="A48" s="23" t="str">
        <f t="shared" si="4"/>
        <v/>
      </c>
      <c r="B48" s="15"/>
      <c r="C48" s="22"/>
      <c r="D48" s="24"/>
      <c r="E48" s="24"/>
      <c r="F48" s="25"/>
      <c r="G48" s="21"/>
      <c r="H48" s="26" t="str">
        <f t="shared" si="5"/>
        <v/>
      </c>
      <c r="I48" s="21"/>
      <c r="J48" s="27" t="str">
        <f t="shared" si="6"/>
        <v/>
      </c>
      <c r="K48" s="11" t="str">
        <f t="shared" si="7"/>
        <v/>
      </c>
    </row>
    <row r="49" spans="1:11" x14ac:dyDescent="0.2">
      <c r="A49" s="23" t="str">
        <f t="shared" si="4"/>
        <v/>
      </c>
      <c r="B49" s="15"/>
      <c r="C49" s="22"/>
      <c r="D49" s="24"/>
      <c r="E49" s="24"/>
      <c r="F49" s="25"/>
      <c r="G49" s="21"/>
      <c r="H49" s="26" t="str">
        <f t="shared" si="5"/>
        <v/>
      </c>
      <c r="I49" s="21"/>
      <c r="J49" s="27" t="str">
        <f t="shared" si="6"/>
        <v/>
      </c>
      <c r="K49" s="11" t="str">
        <f t="shared" si="7"/>
        <v/>
      </c>
    </row>
    <row r="50" spans="1:11" x14ac:dyDescent="0.2">
      <c r="A50" s="23" t="str">
        <f t="shared" si="4"/>
        <v/>
      </c>
      <c r="B50" s="15"/>
      <c r="C50" s="22"/>
      <c r="D50" s="24"/>
      <c r="E50" s="24"/>
      <c r="F50" s="25"/>
      <c r="G50" s="21"/>
      <c r="H50" s="26" t="str">
        <f t="shared" si="5"/>
        <v/>
      </c>
      <c r="I50" s="21"/>
      <c r="J50" s="27" t="str">
        <f t="shared" si="6"/>
        <v/>
      </c>
      <c r="K50" s="11" t="str">
        <f t="shared" si="7"/>
        <v/>
      </c>
    </row>
    <row r="51" spans="1:11" x14ac:dyDescent="0.2">
      <c r="A51" s="23" t="str">
        <f t="shared" si="4"/>
        <v/>
      </c>
      <c r="B51" s="15"/>
      <c r="C51" s="22"/>
      <c r="D51" s="24"/>
      <c r="E51" s="24"/>
      <c r="F51" s="25"/>
      <c r="G51" s="21"/>
      <c r="H51" s="26" t="str">
        <f t="shared" si="5"/>
        <v/>
      </c>
      <c r="I51" s="21"/>
      <c r="J51" s="27" t="str">
        <f t="shared" si="6"/>
        <v/>
      </c>
      <c r="K51" s="11" t="str">
        <f t="shared" si="7"/>
        <v/>
      </c>
    </row>
    <row r="52" spans="1:11" x14ac:dyDescent="0.2">
      <c r="A52" s="23" t="str">
        <f t="shared" si="4"/>
        <v/>
      </c>
      <c r="B52" s="15"/>
      <c r="C52" s="22"/>
      <c r="D52" s="24"/>
      <c r="E52" s="24"/>
      <c r="F52" s="25"/>
      <c r="G52" s="21"/>
      <c r="H52" s="26" t="str">
        <f t="shared" si="5"/>
        <v/>
      </c>
      <c r="I52" s="21"/>
      <c r="J52" s="27" t="str">
        <f t="shared" si="6"/>
        <v/>
      </c>
      <c r="K52" s="11" t="str">
        <f t="shared" si="7"/>
        <v/>
      </c>
    </row>
    <row r="53" spans="1:11" x14ac:dyDescent="0.2">
      <c r="A53" s="23" t="str">
        <f t="shared" si="4"/>
        <v/>
      </c>
      <c r="B53" s="15"/>
      <c r="C53" s="22"/>
      <c r="D53" s="24"/>
      <c r="E53" s="24"/>
      <c r="F53" s="25"/>
      <c r="G53" s="21"/>
      <c r="H53" s="26" t="str">
        <f t="shared" si="5"/>
        <v/>
      </c>
      <c r="I53" s="21"/>
      <c r="J53" s="27" t="str">
        <f t="shared" si="6"/>
        <v/>
      </c>
      <c r="K53" s="11" t="str">
        <f t="shared" si="7"/>
        <v/>
      </c>
    </row>
    <row r="54" spans="1:11" x14ac:dyDescent="0.2">
      <c r="A54" s="23" t="str">
        <f t="shared" si="4"/>
        <v/>
      </c>
      <c r="B54" s="15"/>
      <c r="C54" s="22"/>
      <c r="D54" s="24"/>
      <c r="E54" s="24"/>
      <c r="F54" s="25"/>
      <c r="G54" s="21"/>
      <c r="H54" s="26" t="str">
        <f t="shared" si="5"/>
        <v/>
      </c>
      <c r="I54" s="21"/>
      <c r="J54" s="27" t="str">
        <f t="shared" si="6"/>
        <v/>
      </c>
      <c r="K54" s="11" t="str">
        <f t="shared" si="7"/>
        <v/>
      </c>
    </row>
    <row r="55" spans="1:11" x14ac:dyDescent="0.2">
      <c r="A55" s="23" t="str">
        <f t="shared" si="4"/>
        <v/>
      </c>
      <c r="B55" s="15"/>
      <c r="C55" s="22"/>
      <c r="D55" s="24"/>
      <c r="E55" s="24"/>
      <c r="F55" s="25"/>
      <c r="G55" s="21"/>
      <c r="H55" s="26" t="str">
        <f t="shared" si="5"/>
        <v/>
      </c>
      <c r="I55" s="21"/>
      <c r="J55" s="27" t="str">
        <f t="shared" si="6"/>
        <v/>
      </c>
      <c r="K55" s="11" t="str">
        <f t="shared" si="7"/>
        <v/>
      </c>
    </row>
    <row r="56" spans="1:11" x14ac:dyDescent="0.2">
      <c r="A56" s="23" t="str">
        <f t="shared" si="4"/>
        <v/>
      </c>
      <c r="B56" s="15"/>
      <c r="C56" s="22"/>
      <c r="D56" s="24"/>
      <c r="E56" s="24"/>
      <c r="F56" s="25"/>
      <c r="G56" s="21"/>
      <c r="H56" s="26" t="str">
        <f t="shared" si="5"/>
        <v/>
      </c>
      <c r="I56" s="21"/>
      <c r="J56" s="27" t="str">
        <f t="shared" si="6"/>
        <v/>
      </c>
      <c r="K56" s="11" t="str">
        <f t="shared" si="7"/>
        <v/>
      </c>
    </row>
    <row r="57" spans="1:11" x14ac:dyDescent="0.2">
      <c r="A57" s="23" t="str">
        <f t="shared" si="4"/>
        <v/>
      </c>
      <c r="B57" s="15"/>
      <c r="C57" s="22"/>
      <c r="D57" s="24"/>
      <c r="E57" s="24"/>
      <c r="F57" s="25"/>
      <c r="G57" s="21"/>
      <c r="H57" s="26" t="str">
        <f t="shared" si="5"/>
        <v/>
      </c>
      <c r="I57" s="21"/>
      <c r="J57" s="27" t="str">
        <f t="shared" si="6"/>
        <v/>
      </c>
      <c r="K57" s="11" t="str">
        <f t="shared" si="7"/>
        <v/>
      </c>
    </row>
    <row r="58" spans="1:11" x14ac:dyDescent="0.2">
      <c r="A58" s="23" t="str">
        <f t="shared" si="4"/>
        <v/>
      </c>
      <c r="B58" s="15"/>
      <c r="C58" s="22"/>
      <c r="D58" s="24"/>
      <c r="E58" s="24"/>
      <c r="F58" s="25"/>
      <c r="G58" s="21"/>
      <c r="H58" s="26" t="str">
        <f t="shared" si="5"/>
        <v/>
      </c>
      <c r="I58" s="21"/>
      <c r="J58" s="27" t="str">
        <f t="shared" si="6"/>
        <v/>
      </c>
      <c r="K58" s="11" t="str">
        <f t="shared" si="7"/>
        <v/>
      </c>
    </row>
    <row r="59" spans="1:11" x14ac:dyDescent="0.2">
      <c r="A59" s="23" t="str">
        <f t="shared" si="4"/>
        <v/>
      </c>
      <c r="B59" s="15"/>
      <c r="C59" s="22"/>
      <c r="D59" s="24"/>
      <c r="E59" s="24"/>
      <c r="F59" s="25"/>
      <c r="G59" s="21"/>
      <c r="H59" s="26" t="str">
        <f t="shared" si="5"/>
        <v/>
      </c>
      <c r="I59" s="21"/>
      <c r="J59" s="27" t="str">
        <f t="shared" si="6"/>
        <v/>
      </c>
      <c r="K59" s="11" t="str">
        <f t="shared" si="7"/>
        <v/>
      </c>
    </row>
    <row r="60" spans="1:11" x14ac:dyDescent="0.2">
      <c r="A60" s="23" t="str">
        <f t="shared" si="4"/>
        <v/>
      </c>
      <c r="B60" s="15"/>
      <c r="C60" s="22"/>
      <c r="D60" s="24"/>
      <c r="E60" s="24"/>
      <c r="F60" s="25"/>
      <c r="G60" s="21"/>
      <c r="H60" s="26" t="str">
        <f t="shared" si="5"/>
        <v/>
      </c>
      <c r="I60" s="21"/>
      <c r="J60" s="27" t="str">
        <f t="shared" si="6"/>
        <v/>
      </c>
      <c r="K60" s="11" t="str">
        <f t="shared" si="7"/>
        <v/>
      </c>
    </row>
    <row r="61" spans="1:11" x14ac:dyDescent="0.2">
      <c r="A61" s="23" t="str">
        <f t="shared" si="4"/>
        <v/>
      </c>
      <c r="B61" s="15"/>
      <c r="C61" s="22"/>
      <c r="D61" s="24"/>
      <c r="E61" s="24"/>
      <c r="F61" s="25"/>
      <c r="G61" s="21"/>
      <c r="H61" s="26" t="str">
        <f t="shared" si="5"/>
        <v/>
      </c>
      <c r="I61" s="21"/>
      <c r="J61" s="27" t="str">
        <f t="shared" si="6"/>
        <v/>
      </c>
      <c r="K61" s="11" t="str">
        <f t="shared" si="7"/>
        <v/>
      </c>
    </row>
    <row r="62" spans="1:11" x14ac:dyDescent="0.2">
      <c r="A62" s="23" t="str">
        <f t="shared" si="4"/>
        <v/>
      </c>
      <c r="B62" s="15"/>
      <c r="C62" s="22"/>
      <c r="D62" s="24"/>
      <c r="E62" s="24"/>
      <c r="F62" s="25"/>
      <c r="G62" s="21"/>
      <c r="H62" s="26" t="str">
        <f t="shared" si="5"/>
        <v/>
      </c>
      <c r="I62" s="21"/>
      <c r="J62" s="27" t="str">
        <f t="shared" si="6"/>
        <v/>
      </c>
      <c r="K62" s="11" t="str">
        <f t="shared" si="7"/>
        <v/>
      </c>
    </row>
    <row r="63" spans="1:11" x14ac:dyDescent="0.2">
      <c r="A63" s="23" t="str">
        <f t="shared" si="4"/>
        <v/>
      </c>
      <c r="B63" s="15"/>
      <c r="C63" s="22"/>
      <c r="D63" s="24"/>
      <c r="E63" s="24"/>
      <c r="F63" s="25"/>
      <c r="G63" s="21"/>
      <c r="H63" s="26" t="str">
        <f t="shared" si="5"/>
        <v/>
      </c>
      <c r="I63" s="21"/>
      <c r="J63" s="27" t="str">
        <f t="shared" si="6"/>
        <v/>
      </c>
      <c r="K63" s="11" t="str">
        <f t="shared" si="7"/>
        <v/>
      </c>
    </row>
    <row r="64" spans="1:11" x14ac:dyDescent="0.2">
      <c r="A64" s="23" t="str">
        <f t="shared" si="4"/>
        <v/>
      </c>
      <c r="B64" s="15"/>
      <c r="C64" s="22"/>
      <c r="D64" s="24"/>
      <c r="E64" s="24"/>
      <c r="F64" s="25"/>
      <c r="G64" s="21"/>
      <c r="H64" s="26" t="str">
        <f t="shared" si="5"/>
        <v/>
      </c>
      <c r="I64" s="21"/>
      <c r="J64" s="27" t="str">
        <f t="shared" si="6"/>
        <v/>
      </c>
      <c r="K64" s="11" t="str">
        <f t="shared" si="7"/>
        <v/>
      </c>
    </row>
    <row r="65" spans="1:11" x14ac:dyDescent="0.2">
      <c r="A65" s="23" t="str">
        <f t="shared" si="4"/>
        <v/>
      </c>
      <c r="B65" s="15"/>
      <c r="C65" s="22"/>
      <c r="D65" s="24"/>
      <c r="E65" s="24"/>
      <c r="F65" s="25"/>
      <c r="G65" s="21"/>
      <c r="H65" s="26" t="str">
        <f t="shared" si="5"/>
        <v/>
      </c>
      <c r="I65" s="21"/>
      <c r="J65" s="27" t="str">
        <f t="shared" si="6"/>
        <v/>
      </c>
      <c r="K65" s="11" t="str">
        <f t="shared" si="7"/>
        <v/>
      </c>
    </row>
    <row r="66" spans="1:11" x14ac:dyDescent="0.2">
      <c r="A66" s="23" t="str">
        <f t="shared" si="4"/>
        <v/>
      </c>
      <c r="B66" s="15"/>
      <c r="C66" s="22"/>
      <c r="D66" s="24"/>
      <c r="E66" s="24"/>
      <c r="F66" s="25"/>
      <c r="G66" s="21"/>
      <c r="H66" s="26" t="str">
        <f t="shared" si="5"/>
        <v/>
      </c>
      <c r="I66" s="21"/>
      <c r="J66" s="27" t="str">
        <f t="shared" si="6"/>
        <v/>
      </c>
      <c r="K66" s="11" t="str">
        <f t="shared" si="7"/>
        <v/>
      </c>
    </row>
    <row r="67" spans="1:11" x14ac:dyDescent="0.2">
      <c r="A67" s="23" t="str">
        <f t="shared" si="4"/>
        <v/>
      </c>
      <c r="B67" s="15"/>
      <c r="C67" s="22"/>
      <c r="D67" s="24"/>
      <c r="E67" s="24"/>
      <c r="F67" s="25"/>
      <c r="G67" s="21"/>
      <c r="H67" s="26" t="str">
        <f t="shared" si="5"/>
        <v/>
      </c>
      <c r="I67" s="21"/>
      <c r="J67" s="27" t="str">
        <f t="shared" si="6"/>
        <v/>
      </c>
      <c r="K67" s="11" t="str">
        <f t="shared" si="7"/>
        <v/>
      </c>
    </row>
    <row r="68" spans="1:11" x14ac:dyDescent="0.2">
      <c r="A68" s="23" t="str">
        <f t="shared" si="4"/>
        <v/>
      </c>
      <c r="B68" s="15"/>
      <c r="C68" s="22"/>
      <c r="D68" s="24"/>
      <c r="E68" s="24"/>
      <c r="F68" s="25"/>
      <c r="G68" s="21"/>
      <c r="H68" s="26" t="str">
        <f t="shared" si="5"/>
        <v/>
      </c>
      <c r="I68" s="21"/>
      <c r="J68" s="27" t="str">
        <f t="shared" si="6"/>
        <v/>
      </c>
      <c r="K68" s="11" t="str">
        <f t="shared" si="7"/>
        <v/>
      </c>
    </row>
    <row r="69" spans="1:11" x14ac:dyDescent="0.2">
      <c r="A69" s="23" t="str">
        <f t="shared" ref="A69:A100" si="8">IF(B69="","",ROW()-4)</f>
        <v/>
      </c>
      <c r="B69" s="15"/>
      <c r="C69" s="22"/>
      <c r="D69" s="24"/>
      <c r="E69" s="24"/>
      <c r="F69" s="25"/>
      <c r="G69" s="21"/>
      <c r="H69" s="26" t="str">
        <f t="shared" ref="H69:H100" si="9">IF(F69="","",F69*G69)</f>
        <v/>
      </c>
      <c r="I69" s="21"/>
      <c r="J69" s="27" t="str">
        <f t="shared" ref="J69:J100" si="10">IF(OR(H69="",I69="",I69=0),"",H69/I69)</f>
        <v/>
      </c>
      <c r="K69" s="11" t="str">
        <f t="shared" ref="K69:K104" si="11">IF(H69="","",H69/SUM($H$5:$H$104))</f>
        <v/>
      </c>
    </row>
    <row r="70" spans="1:11" x14ac:dyDescent="0.2">
      <c r="A70" s="23" t="str">
        <f t="shared" si="8"/>
        <v/>
      </c>
      <c r="B70" s="15"/>
      <c r="C70" s="22"/>
      <c r="D70" s="24"/>
      <c r="E70" s="24"/>
      <c r="F70" s="25"/>
      <c r="G70" s="21"/>
      <c r="H70" s="26" t="str">
        <f t="shared" si="9"/>
        <v/>
      </c>
      <c r="I70" s="21"/>
      <c r="J70" s="27" t="str">
        <f t="shared" si="10"/>
        <v/>
      </c>
      <c r="K70" s="11" t="str">
        <f t="shared" si="11"/>
        <v/>
      </c>
    </row>
    <row r="71" spans="1:11" x14ac:dyDescent="0.2">
      <c r="A71" s="23" t="str">
        <f t="shared" si="8"/>
        <v/>
      </c>
      <c r="B71" s="15"/>
      <c r="C71" s="22"/>
      <c r="D71" s="24"/>
      <c r="E71" s="24"/>
      <c r="F71" s="25"/>
      <c r="G71" s="21"/>
      <c r="H71" s="26" t="str">
        <f t="shared" si="9"/>
        <v/>
      </c>
      <c r="I71" s="21"/>
      <c r="J71" s="27" t="str">
        <f t="shared" si="10"/>
        <v/>
      </c>
      <c r="K71" s="11" t="str">
        <f t="shared" si="11"/>
        <v/>
      </c>
    </row>
    <row r="72" spans="1:11" x14ac:dyDescent="0.2">
      <c r="A72" s="23" t="str">
        <f t="shared" si="8"/>
        <v/>
      </c>
      <c r="B72" s="15"/>
      <c r="C72" s="22"/>
      <c r="D72" s="24"/>
      <c r="E72" s="24"/>
      <c r="F72" s="25"/>
      <c r="G72" s="21"/>
      <c r="H72" s="26" t="str">
        <f t="shared" si="9"/>
        <v/>
      </c>
      <c r="I72" s="21"/>
      <c r="J72" s="27" t="str">
        <f t="shared" si="10"/>
        <v/>
      </c>
      <c r="K72" s="11" t="str">
        <f t="shared" si="11"/>
        <v/>
      </c>
    </row>
    <row r="73" spans="1:11" x14ac:dyDescent="0.2">
      <c r="A73" s="23" t="str">
        <f t="shared" si="8"/>
        <v/>
      </c>
      <c r="B73" s="15"/>
      <c r="C73" s="22"/>
      <c r="D73" s="24"/>
      <c r="E73" s="24"/>
      <c r="F73" s="25"/>
      <c r="G73" s="21"/>
      <c r="H73" s="26" t="str">
        <f t="shared" si="9"/>
        <v/>
      </c>
      <c r="I73" s="21"/>
      <c r="J73" s="27" t="str">
        <f t="shared" si="10"/>
        <v/>
      </c>
      <c r="K73" s="11" t="str">
        <f t="shared" si="11"/>
        <v/>
      </c>
    </row>
    <row r="74" spans="1:11" x14ac:dyDescent="0.2">
      <c r="A74" s="23" t="str">
        <f t="shared" si="8"/>
        <v/>
      </c>
      <c r="B74" s="15"/>
      <c r="C74" s="22"/>
      <c r="D74" s="24"/>
      <c r="E74" s="24"/>
      <c r="F74" s="25"/>
      <c r="G74" s="21"/>
      <c r="H74" s="26" t="str">
        <f t="shared" si="9"/>
        <v/>
      </c>
      <c r="I74" s="21"/>
      <c r="J74" s="27" t="str">
        <f t="shared" si="10"/>
        <v/>
      </c>
      <c r="K74" s="11" t="str">
        <f t="shared" si="11"/>
        <v/>
      </c>
    </row>
    <row r="75" spans="1:11" x14ac:dyDescent="0.2">
      <c r="A75" s="23" t="str">
        <f t="shared" si="8"/>
        <v/>
      </c>
      <c r="B75" s="15"/>
      <c r="C75" s="22"/>
      <c r="D75" s="24"/>
      <c r="E75" s="24"/>
      <c r="F75" s="25"/>
      <c r="G75" s="21"/>
      <c r="H75" s="26" t="str">
        <f t="shared" si="9"/>
        <v/>
      </c>
      <c r="I75" s="21"/>
      <c r="J75" s="27" t="str">
        <f t="shared" si="10"/>
        <v/>
      </c>
      <c r="K75" s="11" t="str">
        <f t="shared" si="11"/>
        <v/>
      </c>
    </row>
    <row r="76" spans="1:11" x14ac:dyDescent="0.2">
      <c r="A76" s="23" t="str">
        <f t="shared" si="8"/>
        <v/>
      </c>
      <c r="B76" s="15"/>
      <c r="C76" s="22"/>
      <c r="D76" s="24"/>
      <c r="E76" s="24"/>
      <c r="F76" s="25"/>
      <c r="G76" s="21"/>
      <c r="H76" s="26" t="str">
        <f t="shared" si="9"/>
        <v/>
      </c>
      <c r="I76" s="21"/>
      <c r="J76" s="27" t="str">
        <f t="shared" si="10"/>
        <v/>
      </c>
      <c r="K76" s="11" t="str">
        <f t="shared" si="11"/>
        <v/>
      </c>
    </row>
    <row r="77" spans="1:11" x14ac:dyDescent="0.2">
      <c r="A77" s="23" t="str">
        <f t="shared" si="8"/>
        <v/>
      </c>
      <c r="B77" s="15"/>
      <c r="C77" s="22"/>
      <c r="D77" s="24"/>
      <c r="E77" s="24"/>
      <c r="F77" s="25"/>
      <c r="G77" s="21"/>
      <c r="H77" s="26" t="str">
        <f t="shared" si="9"/>
        <v/>
      </c>
      <c r="I77" s="21"/>
      <c r="J77" s="27" t="str">
        <f t="shared" si="10"/>
        <v/>
      </c>
      <c r="K77" s="11" t="str">
        <f t="shared" si="11"/>
        <v/>
      </c>
    </row>
    <row r="78" spans="1:11" x14ac:dyDescent="0.2">
      <c r="A78" s="23" t="str">
        <f t="shared" si="8"/>
        <v/>
      </c>
      <c r="B78" s="15"/>
      <c r="C78" s="22"/>
      <c r="D78" s="24"/>
      <c r="E78" s="24"/>
      <c r="F78" s="25"/>
      <c r="G78" s="21"/>
      <c r="H78" s="26" t="str">
        <f t="shared" si="9"/>
        <v/>
      </c>
      <c r="I78" s="21"/>
      <c r="J78" s="27" t="str">
        <f t="shared" si="10"/>
        <v/>
      </c>
      <c r="K78" s="11" t="str">
        <f t="shared" si="11"/>
        <v/>
      </c>
    </row>
    <row r="79" spans="1:11" x14ac:dyDescent="0.2">
      <c r="A79" s="23" t="str">
        <f t="shared" si="8"/>
        <v/>
      </c>
      <c r="B79" s="15"/>
      <c r="C79" s="22"/>
      <c r="D79" s="24"/>
      <c r="E79" s="24"/>
      <c r="F79" s="25"/>
      <c r="G79" s="21"/>
      <c r="H79" s="26" t="str">
        <f t="shared" si="9"/>
        <v/>
      </c>
      <c r="I79" s="21"/>
      <c r="J79" s="27" t="str">
        <f t="shared" si="10"/>
        <v/>
      </c>
      <c r="K79" s="11" t="str">
        <f t="shared" si="11"/>
        <v/>
      </c>
    </row>
    <row r="80" spans="1:11" x14ac:dyDescent="0.2">
      <c r="A80" s="23" t="str">
        <f t="shared" si="8"/>
        <v/>
      </c>
      <c r="B80" s="15"/>
      <c r="C80" s="22"/>
      <c r="D80" s="24"/>
      <c r="E80" s="24"/>
      <c r="F80" s="25"/>
      <c r="G80" s="21"/>
      <c r="H80" s="26" t="str">
        <f t="shared" si="9"/>
        <v/>
      </c>
      <c r="I80" s="21"/>
      <c r="J80" s="27" t="str">
        <f t="shared" si="10"/>
        <v/>
      </c>
      <c r="K80" s="11" t="str">
        <f t="shared" si="11"/>
        <v/>
      </c>
    </row>
    <row r="81" spans="1:11" x14ac:dyDescent="0.2">
      <c r="A81" s="23" t="str">
        <f t="shared" si="8"/>
        <v/>
      </c>
      <c r="B81" s="15"/>
      <c r="C81" s="22"/>
      <c r="D81" s="24"/>
      <c r="E81" s="24"/>
      <c r="F81" s="25"/>
      <c r="G81" s="21"/>
      <c r="H81" s="26" t="str">
        <f t="shared" si="9"/>
        <v/>
      </c>
      <c r="I81" s="21"/>
      <c r="J81" s="27" t="str">
        <f t="shared" si="10"/>
        <v/>
      </c>
      <c r="K81" s="11" t="str">
        <f t="shared" si="11"/>
        <v/>
      </c>
    </row>
    <row r="82" spans="1:11" x14ac:dyDescent="0.2">
      <c r="A82" s="23" t="str">
        <f t="shared" si="8"/>
        <v/>
      </c>
      <c r="B82" s="15"/>
      <c r="C82" s="22"/>
      <c r="D82" s="24"/>
      <c r="E82" s="24"/>
      <c r="F82" s="25"/>
      <c r="G82" s="21"/>
      <c r="H82" s="26" t="str">
        <f t="shared" si="9"/>
        <v/>
      </c>
      <c r="I82" s="21"/>
      <c r="J82" s="27" t="str">
        <f t="shared" si="10"/>
        <v/>
      </c>
      <c r="K82" s="11" t="str">
        <f t="shared" si="11"/>
        <v/>
      </c>
    </row>
    <row r="83" spans="1:11" x14ac:dyDescent="0.2">
      <c r="A83" s="23" t="str">
        <f t="shared" si="8"/>
        <v/>
      </c>
      <c r="B83" s="15"/>
      <c r="C83" s="22"/>
      <c r="D83" s="24"/>
      <c r="E83" s="24"/>
      <c r="F83" s="25"/>
      <c r="G83" s="21"/>
      <c r="H83" s="26" t="str">
        <f t="shared" si="9"/>
        <v/>
      </c>
      <c r="I83" s="21"/>
      <c r="J83" s="27" t="str">
        <f t="shared" si="10"/>
        <v/>
      </c>
      <c r="K83" s="11" t="str">
        <f t="shared" si="11"/>
        <v/>
      </c>
    </row>
    <row r="84" spans="1:11" x14ac:dyDescent="0.2">
      <c r="A84" s="23" t="str">
        <f t="shared" si="8"/>
        <v/>
      </c>
      <c r="B84" s="15"/>
      <c r="C84" s="22"/>
      <c r="D84" s="24"/>
      <c r="E84" s="24"/>
      <c r="F84" s="25"/>
      <c r="G84" s="21"/>
      <c r="H84" s="26" t="str">
        <f t="shared" si="9"/>
        <v/>
      </c>
      <c r="I84" s="21"/>
      <c r="J84" s="27" t="str">
        <f t="shared" si="10"/>
        <v/>
      </c>
      <c r="K84" s="11" t="str">
        <f t="shared" si="11"/>
        <v/>
      </c>
    </row>
    <row r="85" spans="1:11" x14ac:dyDescent="0.2">
      <c r="A85" s="23" t="str">
        <f t="shared" si="8"/>
        <v/>
      </c>
      <c r="B85" s="15"/>
      <c r="C85" s="22"/>
      <c r="D85" s="24"/>
      <c r="E85" s="24"/>
      <c r="F85" s="25"/>
      <c r="G85" s="21"/>
      <c r="H85" s="26" t="str">
        <f t="shared" si="9"/>
        <v/>
      </c>
      <c r="I85" s="21"/>
      <c r="J85" s="27" t="str">
        <f t="shared" si="10"/>
        <v/>
      </c>
      <c r="K85" s="11" t="str">
        <f t="shared" si="11"/>
        <v/>
      </c>
    </row>
    <row r="86" spans="1:11" x14ac:dyDescent="0.2">
      <c r="A86" s="23" t="str">
        <f t="shared" si="8"/>
        <v/>
      </c>
      <c r="B86" s="15"/>
      <c r="C86" s="22"/>
      <c r="D86" s="24"/>
      <c r="E86" s="24"/>
      <c r="F86" s="25"/>
      <c r="G86" s="21"/>
      <c r="H86" s="26" t="str">
        <f t="shared" si="9"/>
        <v/>
      </c>
      <c r="I86" s="21"/>
      <c r="J86" s="27" t="str">
        <f t="shared" si="10"/>
        <v/>
      </c>
      <c r="K86" s="11" t="str">
        <f t="shared" si="11"/>
        <v/>
      </c>
    </row>
    <row r="87" spans="1:11" x14ac:dyDescent="0.2">
      <c r="A87" s="23" t="str">
        <f t="shared" si="8"/>
        <v/>
      </c>
      <c r="B87" s="15"/>
      <c r="C87" s="22"/>
      <c r="D87" s="24"/>
      <c r="E87" s="24"/>
      <c r="F87" s="25"/>
      <c r="G87" s="21"/>
      <c r="H87" s="26" t="str">
        <f t="shared" si="9"/>
        <v/>
      </c>
      <c r="I87" s="21"/>
      <c r="J87" s="27" t="str">
        <f t="shared" si="10"/>
        <v/>
      </c>
      <c r="K87" s="11" t="str">
        <f t="shared" si="11"/>
        <v/>
      </c>
    </row>
    <row r="88" spans="1:11" x14ac:dyDescent="0.2">
      <c r="A88" s="23" t="str">
        <f t="shared" si="8"/>
        <v/>
      </c>
      <c r="B88" s="15"/>
      <c r="C88" s="22"/>
      <c r="D88" s="24"/>
      <c r="E88" s="24"/>
      <c r="F88" s="25"/>
      <c r="G88" s="21"/>
      <c r="H88" s="26" t="str">
        <f t="shared" si="9"/>
        <v/>
      </c>
      <c r="I88" s="21"/>
      <c r="J88" s="27" t="str">
        <f t="shared" si="10"/>
        <v/>
      </c>
      <c r="K88" s="11" t="str">
        <f t="shared" si="11"/>
        <v/>
      </c>
    </row>
    <row r="89" spans="1:11" x14ac:dyDescent="0.2">
      <c r="A89" s="23" t="str">
        <f t="shared" si="8"/>
        <v/>
      </c>
      <c r="B89" s="15"/>
      <c r="C89" s="22"/>
      <c r="D89" s="24"/>
      <c r="E89" s="24"/>
      <c r="F89" s="25"/>
      <c r="G89" s="21"/>
      <c r="H89" s="26" t="str">
        <f t="shared" si="9"/>
        <v/>
      </c>
      <c r="I89" s="21"/>
      <c r="J89" s="27" t="str">
        <f t="shared" si="10"/>
        <v/>
      </c>
      <c r="K89" s="11" t="str">
        <f t="shared" si="11"/>
        <v/>
      </c>
    </row>
    <row r="90" spans="1:11" x14ac:dyDescent="0.2">
      <c r="A90" s="23" t="str">
        <f t="shared" si="8"/>
        <v/>
      </c>
      <c r="B90" s="15"/>
      <c r="C90" s="22"/>
      <c r="D90" s="24"/>
      <c r="E90" s="24"/>
      <c r="F90" s="25"/>
      <c r="G90" s="21"/>
      <c r="H90" s="26" t="str">
        <f t="shared" si="9"/>
        <v/>
      </c>
      <c r="I90" s="21"/>
      <c r="J90" s="27" t="str">
        <f t="shared" si="10"/>
        <v/>
      </c>
      <c r="K90" s="11" t="str">
        <f t="shared" si="11"/>
        <v/>
      </c>
    </row>
    <row r="91" spans="1:11" x14ac:dyDescent="0.2">
      <c r="A91" s="23" t="str">
        <f t="shared" si="8"/>
        <v/>
      </c>
      <c r="B91" s="15"/>
      <c r="C91" s="22"/>
      <c r="D91" s="24"/>
      <c r="E91" s="24"/>
      <c r="F91" s="25"/>
      <c r="G91" s="21"/>
      <c r="H91" s="26" t="str">
        <f t="shared" si="9"/>
        <v/>
      </c>
      <c r="I91" s="21"/>
      <c r="J91" s="27" t="str">
        <f t="shared" si="10"/>
        <v/>
      </c>
      <c r="K91" s="11" t="str">
        <f t="shared" si="11"/>
        <v/>
      </c>
    </row>
    <row r="92" spans="1:11" x14ac:dyDescent="0.2">
      <c r="A92" s="23" t="str">
        <f t="shared" si="8"/>
        <v/>
      </c>
      <c r="B92" s="15"/>
      <c r="C92" s="22"/>
      <c r="D92" s="24"/>
      <c r="E92" s="24"/>
      <c r="F92" s="25"/>
      <c r="G92" s="21"/>
      <c r="H92" s="26" t="str">
        <f t="shared" si="9"/>
        <v/>
      </c>
      <c r="I92" s="21"/>
      <c r="J92" s="27" t="str">
        <f t="shared" si="10"/>
        <v/>
      </c>
      <c r="K92" s="11" t="str">
        <f t="shared" si="11"/>
        <v/>
      </c>
    </row>
    <row r="93" spans="1:11" x14ac:dyDescent="0.2">
      <c r="A93" s="23" t="str">
        <f t="shared" si="8"/>
        <v/>
      </c>
      <c r="B93" s="15"/>
      <c r="C93" s="22"/>
      <c r="D93" s="24"/>
      <c r="E93" s="24"/>
      <c r="F93" s="25"/>
      <c r="G93" s="21"/>
      <c r="H93" s="26" t="str">
        <f t="shared" si="9"/>
        <v/>
      </c>
      <c r="I93" s="21"/>
      <c r="J93" s="27" t="str">
        <f t="shared" si="10"/>
        <v/>
      </c>
      <c r="K93" s="11" t="str">
        <f t="shared" si="11"/>
        <v/>
      </c>
    </row>
    <row r="94" spans="1:11" x14ac:dyDescent="0.2">
      <c r="A94" s="23" t="str">
        <f t="shared" si="8"/>
        <v/>
      </c>
      <c r="B94" s="15"/>
      <c r="C94" s="22"/>
      <c r="D94" s="24"/>
      <c r="E94" s="24"/>
      <c r="F94" s="25"/>
      <c r="G94" s="21"/>
      <c r="H94" s="26" t="str">
        <f t="shared" si="9"/>
        <v/>
      </c>
      <c r="I94" s="21"/>
      <c r="J94" s="27" t="str">
        <f t="shared" si="10"/>
        <v/>
      </c>
      <c r="K94" s="11" t="str">
        <f t="shared" si="11"/>
        <v/>
      </c>
    </row>
    <row r="95" spans="1:11" x14ac:dyDescent="0.2">
      <c r="A95" s="23" t="str">
        <f t="shared" si="8"/>
        <v/>
      </c>
      <c r="B95" s="15"/>
      <c r="C95" s="22"/>
      <c r="D95" s="24"/>
      <c r="E95" s="24"/>
      <c r="F95" s="25"/>
      <c r="G95" s="21"/>
      <c r="H95" s="26" t="str">
        <f t="shared" si="9"/>
        <v/>
      </c>
      <c r="I95" s="21"/>
      <c r="J95" s="27" t="str">
        <f t="shared" si="10"/>
        <v/>
      </c>
      <c r="K95" s="11" t="str">
        <f t="shared" si="11"/>
        <v/>
      </c>
    </row>
    <row r="96" spans="1:11" x14ac:dyDescent="0.2">
      <c r="A96" s="23" t="str">
        <f t="shared" si="8"/>
        <v/>
      </c>
      <c r="B96" s="15"/>
      <c r="C96" s="22"/>
      <c r="D96" s="24"/>
      <c r="E96" s="24"/>
      <c r="F96" s="25"/>
      <c r="G96" s="21"/>
      <c r="H96" s="26" t="str">
        <f t="shared" si="9"/>
        <v/>
      </c>
      <c r="I96" s="21"/>
      <c r="J96" s="27" t="str">
        <f t="shared" si="10"/>
        <v/>
      </c>
      <c r="K96" s="11" t="str">
        <f t="shared" si="11"/>
        <v/>
      </c>
    </row>
    <row r="97" spans="1:11" x14ac:dyDescent="0.2">
      <c r="A97" s="23" t="str">
        <f t="shared" si="8"/>
        <v/>
      </c>
      <c r="B97" s="15"/>
      <c r="C97" s="22"/>
      <c r="D97" s="24"/>
      <c r="E97" s="24"/>
      <c r="F97" s="25"/>
      <c r="G97" s="21"/>
      <c r="H97" s="26" t="str">
        <f t="shared" si="9"/>
        <v/>
      </c>
      <c r="I97" s="21"/>
      <c r="J97" s="27" t="str">
        <f t="shared" si="10"/>
        <v/>
      </c>
      <c r="K97" s="11" t="str">
        <f t="shared" si="11"/>
        <v/>
      </c>
    </row>
    <row r="98" spans="1:11" x14ac:dyDescent="0.2">
      <c r="A98" s="23" t="str">
        <f t="shared" si="8"/>
        <v/>
      </c>
      <c r="B98" s="15"/>
      <c r="C98" s="22"/>
      <c r="D98" s="24"/>
      <c r="E98" s="24"/>
      <c r="F98" s="25"/>
      <c r="G98" s="21"/>
      <c r="H98" s="26" t="str">
        <f t="shared" si="9"/>
        <v/>
      </c>
      <c r="I98" s="21"/>
      <c r="J98" s="27" t="str">
        <f t="shared" si="10"/>
        <v/>
      </c>
      <c r="K98" s="11" t="str">
        <f t="shared" si="11"/>
        <v/>
      </c>
    </row>
    <row r="99" spans="1:11" x14ac:dyDescent="0.2">
      <c r="A99" s="23" t="str">
        <f t="shared" si="8"/>
        <v/>
      </c>
      <c r="B99" s="15"/>
      <c r="C99" s="22"/>
      <c r="D99" s="24"/>
      <c r="E99" s="24"/>
      <c r="F99" s="25"/>
      <c r="G99" s="21"/>
      <c r="H99" s="26" t="str">
        <f t="shared" si="9"/>
        <v/>
      </c>
      <c r="I99" s="21"/>
      <c r="J99" s="27" t="str">
        <f t="shared" si="10"/>
        <v/>
      </c>
      <c r="K99" s="11" t="str">
        <f t="shared" si="11"/>
        <v/>
      </c>
    </row>
    <row r="100" spans="1:11" x14ac:dyDescent="0.2">
      <c r="A100" s="23" t="str">
        <f t="shared" si="8"/>
        <v/>
      </c>
      <c r="B100" s="15"/>
      <c r="C100" s="22"/>
      <c r="D100" s="24"/>
      <c r="E100" s="24"/>
      <c r="F100" s="25"/>
      <c r="G100" s="21"/>
      <c r="H100" s="26" t="str">
        <f t="shared" si="9"/>
        <v/>
      </c>
      <c r="I100" s="21"/>
      <c r="J100" s="27" t="str">
        <f t="shared" si="10"/>
        <v/>
      </c>
      <c r="K100" s="11" t="str">
        <f t="shared" si="11"/>
        <v/>
      </c>
    </row>
    <row r="101" spans="1:11" x14ac:dyDescent="0.2">
      <c r="A101" s="23" t="str">
        <f t="shared" ref="A101:A132" si="12">IF(B101="","",ROW()-4)</f>
        <v/>
      </c>
      <c r="B101" s="15"/>
      <c r="C101" s="22"/>
      <c r="D101" s="24"/>
      <c r="E101" s="24"/>
      <c r="F101" s="25"/>
      <c r="G101" s="21"/>
      <c r="H101" s="26" t="str">
        <f t="shared" ref="H101:H132" si="13">IF(F101="","",F101*G101)</f>
        <v/>
      </c>
      <c r="I101" s="21"/>
      <c r="J101" s="27" t="str">
        <f t="shared" ref="J101:J132" si="14">IF(OR(H101="",I101="",I101=0),"",H101/I101)</f>
        <v/>
      </c>
      <c r="K101" s="11" t="str">
        <f t="shared" si="11"/>
        <v/>
      </c>
    </row>
    <row r="102" spans="1:11" x14ac:dyDescent="0.2">
      <c r="A102" s="23" t="str">
        <f t="shared" si="12"/>
        <v/>
      </c>
      <c r="B102" s="15"/>
      <c r="C102" s="22"/>
      <c r="D102" s="24"/>
      <c r="E102" s="24"/>
      <c r="F102" s="25"/>
      <c r="G102" s="21"/>
      <c r="H102" s="26" t="str">
        <f t="shared" si="13"/>
        <v/>
      </c>
      <c r="I102" s="21"/>
      <c r="J102" s="27" t="str">
        <f t="shared" si="14"/>
        <v/>
      </c>
      <c r="K102" s="11" t="str">
        <f t="shared" si="11"/>
        <v/>
      </c>
    </row>
    <row r="103" spans="1:11" x14ac:dyDescent="0.2">
      <c r="A103" s="23" t="str">
        <f t="shared" si="12"/>
        <v/>
      </c>
      <c r="B103" s="15"/>
      <c r="C103" s="22"/>
      <c r="D103" s="24"/>
      <c r="E103" s="24"/>
      <c r="F103" s="25"/>
      <c r="G103" s="21"/>
      <c r="H103" s="26" t="str">
        <f t="shared" si="13"/>
        <v/>
      </c>
      <c r="I103" s="21"/>
      <c r="J103" s="27" t="str">
        <f t="shared" si="14"/>
        <v/>
      </c>
      <c r="K103" s="11" t="str">
        <f t="shared" si="11"/>
        <v/>
      </c>
    </row>
    <row r="104" spans="1:11" x14ac:dyDescent="0.2">
      <c r="A104" s="23" t="str">
        <f t="shared" si="12"/>
        <v/>
      </c>
      <c r="B104" s="15"/>
      <c r="C104" s="22"/>
      <c r="D104" s="24"/>
      <c r="E104" s="24"/>
      <c r="F104" s="25"/>
      <c r="G104" s="21"/>
      <c r="H104" s="26" t="str">
        <f t="shared" si="13"/>
        <v/>
      </c>
      <c r="I104" s="21"/>
      <c r="J104" s="27" t="str">
        <f t="shared" si="14"/>
        <v/>
      </c>
      <c r="K104" s="11" t="str">
        <f t="shared" si="11"/>
        <v/>
      </c>
    </row>
    <row r="106" spans="1:11" x14ac:dyDescent="0.2">
      <c r="A106" s="28" t="s">
        <v>127</v>
      </c>
      <c r="F106" s="13">
        <f>SUM(F5:F104)</f>
        <v>2000000</v>
      </c>
      <c r="H106" s="13">
        <f>SUM(H5:H104)</f>
        <v>2000000</v>
      </c>
      <c r="J106" s="29">
        <f>SUM(J5:J104)</f>
        <v>2000000</v>
      </c>
    </row>
  </sheetData>
  <mergeCells count="2">
    <mergeCell ref="A2:K2"/>
    <mergeCell ref="A1:K1"/>
  </mergeCells>
  <dataValidations count="2">
    <dataValidation type="list" allowBlank="1" sqref="D5:D104" xr:uid="{00000000-0002-0000-0300-000000000000}">
      <formula1>"LP,GP"</formula1>
      <formula2>0</formula2>
    </dataValidation>
    <dataValidation type="list" allowBlank="1" sqref="E5:E104" xr:uid="{00000000-0002-0000-0300-000001000000}">
      <formula1>"EUR,USD,GBP,CHF,JPY,CNY"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</sheetPr>
  <dimension ref="A1:L1004"/>
  <sheetViews>
    <sheetView zoomScaleNormal="100" workbookViewId="0">
      <pane ySplit="4" topLeftCell="A227" activePane="bottomLeft" state="frozen"/>
      <selection pane="bottomLeft" activeCell="L5" sqref="L5:L14"/>
    </sheetView>
  </sheetViews>
  <sheetFormatPr baseColWidth="10" defaultColWidth="8.6640625" defaultRowHeight="15" x14ac:dyDescent="0.2"/>
  <cols>
    <col min="1" max="1" width="6" customWidth="1"/>
    <col min="2" max="2" width="13" customWidth="1"/>
    <col min="3" max="3" width="9" customWidth="1"/>
    <col min="4" max="4" width="38.1640625" bestFit="1" customWidth="1"/>
    <col min="5" max="5" width="16" customWidth="1"/>
    <col min="6" max="6" width="9" customWidth="1"/>
    <col min="7" max="8" width="14" customWidth="1"/>
    <col min="9" max="9" width="16" customWidth="1"/>
    <col min="10" max="10" width="12" customWidth="1"/>
    <col min="11" max="11" width="16" customWidth="1"/>
    <col min="12" max="12" width="110.33203125" customWidth="1"/>
  </cols>
  <sheetData>
    <row r="1" spans="1:12" ht="27.75" customHeight="1" x14ac:dyDescent="0.2">
      <c r="A1" s="85" t="s">
        <v>128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</row>
    <row r="2" spans="1:12" ht="15" customHeight="1" x14ac:dyDescent="0.2">
      <c r="A2" s="87" t="s">
        <v>129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</row>
    <row r="4" spans="1:12" ht="31.5" customHeight="1" x14ac:dyDescent="0.2">
      <c r="A4" s="19" t="s">
        <v>112</v>
      </c>
      <c r="B4" s="19" t="s">
        <v>130</v>
      </c>
      <c r="C4" s="19" t="s">
        <v>115</v>
      </c>
      <c r="D4" s="19" t="s">
        <v>131</v>
      </c>
      <c r="E4" s="19" t="s">
        <v>132</v>
      </c>
      <c r="F4" s="19" t="s">
        <v>99</v>
      </c>
      <c r="G4" s="19" t="s">
        <v>133</v>
      </c>
      <c r="H4" s="19" t="s">
        <v>134</v>
      </c>
      <c r="I4" s="19" t="s">
        <v>135</v>
      </c>
      <c r="J4" s="19" t="s">
        <v>117</v>
      </c>
      <c r="K4" s="19" t="s">
        <v>118</v>
      </c>
      <c r="L4" s="19" t="s">
        <v>102</v>
      </c>
    </row>
    <row r="5" spans="1:12" ht="29" customHeight="1" x14ac:dyDescent="0.2">
      <c r="A5" s="23">
        <f t="shared" ref="A5:A68" si="0">IF(B5="","",ROW()-4)</f>
        <v>1</v>
      </c>
      <c r="B5" s="54">
        <v>45658</v>
      </c>
      <c r="C5" s="55" t="s">
        <v>136</v>
      </c>
      <c r="D5" s="56" t="s">
        <v>137</v>
      </c>
      <c r="E5" s="56" t="s">
        <v>138</v>
      </c>
      <c r="F5" s="55" t="s">
        <v>54</v>
      </c>
      <c r="G5" s="57">
        <v>369</v>
      </c>
      <c r="H5" s="58">
        <v>25.4223</v>
      </c>
      <c r="I5" s="26">
        <f t="shared" ref="I5:I68" si="1">IF(OR(G5="",H5=""),"",G5*H5)</f>
        <v>9380.8287</v>
      </c>
      <c r="J5" s="59">
        <v>1</v>
      </c>
      <c r="K5" s="26">
        <f t="shared" ref="K5:K68" si="2">IF(OR(I5="",J5=""),"",I5*J5)</f>
        <v>9380.8287</v>
      </c>
      <c r="L5" s="62" t="s">
        <v>139</v>
      </c>
    </row>
    <row r="6" spans="1:12" x14ac:dyDescent="0.2">
      <c r="A6" s="23">
        <f t="shared" si="0"/>
        <v>2</v>
      </c>
      <c r="B6" s="54">
        <v>45807</v>
      </c>
      <c r="C6" s="55" t="s">
        <v>136</v>
      </c>
      <c r="D6" s="56" t="s">
        <v>140</v>
      </c>
      <c r="E6" s="56" t="s">
        <v>141</v>
      </c>
      <c r="F6" s="55" t="s">
        <v>54</v>
      </c>
      <c r="G6" s="57">
        <v>1000</v>
      </c>
      <c r="H6" s="58">
        <v>30.55</v>
      </c>
      <c r="I6" s="26">
        <f t="shared" si="1"/>
        <v>30550</v>
      </c>
      <c r="J6" s="59">
        <v>1</v>
      </c>
      <c r="K6" s="26">
        <f t="shared" si="2"/>
        <v>30550</v>
      </c>
      <c r="L6" s="62" t="s">
        <v>142</v>
      </c>
    </row>
    <row r="7" spans="1:12" x14ac:dyDescent="0.2">
      <c r="A7" s="23">
        <f t="shared" si="0"/>
        <v>3</v>
      </c>
      <c r="B7" s="54">
        <v>45831</v>
      </c>
      <c r="C7" s="55" t="s">
        <v>136</v>
      </c>
      <c r="D7" s="56" t="s">
        <v>143</v>
      </c>
      <c r="E7" s="56" t="s">
        <v>144</v>
      </c>
      <c r="F7" s="55" t="s">
        <v>54</v>
      </c>
      <c r="G7" s="57">
        <v>33</v>
      </c>
      <c r="H7" s="58">
        <v>29.72</v>
      </c>
      <c r="I7" s="26">
        <f t="shared" si="1"/>
        <v>980.76</v>
      </c>
      <c r="J7" s="59">
        <v>1</v>
      </c>
      <c r="K7" s="26">
        <f t="shared" si="2"/>
        <v>980.76</v>
      </c>
      <c r="L7" s="62" t="s">
        <v>145</v>
      </c>
    </row>
    <row r="8" spans="1:12" x14ac:dyDescent="0.2">
      <c r="A8" s="23">
        <f t="shared" si="0"/>
        <v>4</v>
      </c>
      <c r="B8" s="54">
        <v>45839</v>
      </c>
      <c r="C8" s="55" t="s">
        <v>136</v>
      </c>
      <c r="D8" s="56" t="s">
        <v>143</v>
      </c>
      <c r="E8" s="56" t="s">
        <v>144</v>
      </c>
      <c r="F8" s="55" t="s">
        <v>54</v>
      </c>
      <c r="G8" s="57">
        <v>33</v>
      </c>
      <c r="H8" s="58">
        <v>29.68</v>
      </c>
      <c r="I8" s="26">
        <f t="shared" si="1"/>
        <v>979.43999999999994</v>
      </c>
      <c r="J8" s="59">
        <v>1</v>
      </c>
      <c r="K8" s="26">
        <f t="shared" si="2"/>
        <v>979.43999999999994</v>
      </c>
      <c r="L8" s="62" t="s">
        <v>146</v>
      </c>
    </row>
    <row r="9" spans="1:12" x14ac:dyDescent="0.2">
      <c r="A9" s="23">
        <f t="shared" si="0"/>
        <v>5</v>
      </c>
      <c r="B9" s="54">
        <v>45846</v>
      </c>
      <c r="C9" s="55" t="s">
        <v>136</v>
      </c>
      <c r="D9" s="56" t="s">
        <v>143</v>
      </c>
      <c r="E9" s="56" t="s">
        <v>144</v>
      </c>
      <c r="F9" s="55" t="s">
        <v>54</v>
      </c>
      <c r="G9" s="57">
        <v>32</v>
      </c>
      <c r="H9" s="58">
        <v>30.625</v>
      </c>
      <c r="I9" s="26">
        <f t="shared" si="1"/>
        <v>980</v>
      </c>
      <c r="J9" s="59">
        <v>1</v>
      </c>
      <c r="K9" s="26">
        <f t="shared" si="2"/>
        <v>980</v>
      </c>
      <c r="L9" s="62" t="s">
        <v>147</v>
      </c>
    </row>
    <row r="10" spans="1:12" ht="29" customHeight="1" x14ac:dyDescent="0.2">
      <c r="A10" s="23">
        <f t="shared" si="0"/>
        <v>6</v>
      </c>
      <c r="B10" s="54">
        <v>45853</v>
      </c>
      <c r="C10" s="55" t="s">
        <v>136</v>
      </c>
      <c r="D10" s="56" t="s">
        <v>148</v>
      </c>
      <c r="E10" s="56" t="s">
        <v>149</v>
      </c>
      <c r="F10" s="55" t="s">
        <v>54</v>
      </c>
      <c r="G10" s="57">
        <v>20000</v>
      </c>
      <c r="H10" s="59">
        <v>1.0174000000000001</v>
      </c>
      <c r="I10" s="26">
        <f t="shared" si="1"/>
        <v>20348</v>
      </c>
      <c r="J10" s="59">
        <v>1</v>
      </c>
      <c r="K10" s="26">
        <f t="shared" si="2"/>
        <v>20348</v>
      </c>
      <c r="L10" s="62" t="s">
        <v>150</v>
      </c>
    </row>
    <row r="11" spans="1:12" x14ac:dyDescent="0.2">
      <c r="A11" s="23">
        <f t="shared" si="0"/>
        <v>7</v>
      </c>
      <c r="B11" s="54">
        <v>45853</v>
      </c>
      <c r="C11" s="55" t="s">
        <v>136</v>
      </c>
      <c r="D11" s="56" t="s">
        <v>151</v>
      </c>
      <c r="E11" s="56" t="s">
        <v>152</v>
      </c>
      <c r="F11" s="55" t="s">
        <v>54</v>
      </c>
      <c r="G11" s="57">
        <v>50000</v>
      </c>
      <c r="H11" s="59">
        <v>0.99228000000000005</v>
      </c>
      <c r="I11" s="26">
        <f t="shared" si="1"/>
        <v>49614</v>
      </c>
      <c r="J11" s="59">
        <v>1</v>
      </c>
      <c r="K11" s="26">
        <f t="shared" si="2"/>
        <v>49614</v>
      </c>
      <c r="L11" s="62" t="s">
        <v>153</v>
      </c>
    </row>
    <row r="12" spans="1:12" x14ac:dyDescent="0.2">
      <c r="A12" s="23">
        <f t="shared" si="0"/>
        <v>8</v>
      </c>
      <c r="B12" s="54">
        <v>45853</v>
      </c>
      <c r="C12" s="55" t="s">
        <v>136</v>
      </c>
      <c r="D12" s="56" t="s">
        <v>154</v>
      </c>
      <c r="E12" s="56" t="s">
        <v>155</v>
      </c>
      <c r="F12" s="55" t="s">
        <v>54</v>
      </c>
      <c r="G12" s="57">
        <v>250</v>
      </c>
      <c r="H12" s="58">
        <v>94.07</v>
      </c>
      <c r="I12" s="26">
        <f t="shared" si="1"/>
        <v>23517.5</v>
      </c>
      <c r="J12" s="59">
        <v>1</v>
      </c>
      <c r="K12" s="26">
        <f t="shared" si="2"/>
        <v>23517.5</v>
      </c>
      <c r="L12" s="62" t="s">
        <v>156</v>
      </c>
    </row>
    <row r="13" spans="1:12" x14ac:dyDescent="0.2">
      <c r="A13" s="23">
        <f t="shared" si="0"/>
        <v>9</v>
      </c>
      <c r="B13" s="54">
        <v>45853</v>
      </c>
      <c r="C13" s="55" t="s">
        <v>136</v>
      </c>
      <c r="D13" s="56" t="s">
        <v>143</v>
      </c>
      <c r="E13" s="56" t="s">
        <v>144</v>
      </c>
      <c r="F13" s="55" t="s">
        <v>54</v>
      </c>
      <c r="G13" s="57">
        <v>32</v>
      </c>
      <c r="H13" s="58">
        <v>30.55</v>
      </c>
      <c r="I13" s="26">
        <f t="shared" si="1"/>
        <v>977.6</v>
      </c>
      <c r="J13" s="59">
        <v>1</v>
      </c>
      <c r="K13" s="26">
        <f t="shared" si="2"/>
        <v>977.6</v>
      </c>
      <c r="L13" s="63"/>
    </row>
    <row r="14" spans="1:12" x14ac:dyDescent="0.2">
      <c r="A14" s="23">
        <f t="shared" si="0"/>
        <v>10</v>
      </c>
      <c r="B14" s="54">
        <v>45853</v>
      </c>
      <c r="C14" s="55" t="s">
        <v>136</v>
      </c>
      <c r="D14" s="56" t="s">
        <v>157</v>
      </c>
      <c r="E14" s="56" t="s">
        <v>158</v>
      </c>
      <c r="F14" s="55" t="s">
        <v>54</v>
      </c>
      <c r="G14" s="57">
        <v>13</v>
      </c>
      <c r="H14" s="58">
        <v>190.28</v>
      </c>
      <c r="I14" s="26">
        <f t="shared" si="1"/>
        <v>2473.64</v>
      </c>
      <c r="J14" s="59">
        <v>1</v>
      </c>
      <c r="K14" s="26">
        <f t="shared" si="2"/>
        <v>2473.64</v>
      </c>
      <c r="L14" s="62" t="s">
        <v>159</v>
      </c>
    </row>
    <row r="15" spans="1:12" x14ac:dyDescent="0.2">
      <c r="A15" s="23">
        <f t="shared" si="0"/>
        <v>11</v>
      </c>
      <c r="B15" s="54">
        <v>45854</v>
      </c>
      <c r="C15" s="55" t="s">
        <v>136</v>
      </c>
      <c r="D15" s="56" t="s">
        <v>160</v>
      </c>
      <c r="E15" s="56" t="s">
        <v>161</v>
      </c>
      <c r="F15" s="55" t="s">
        <v>54</v>
      </c>
      <c r="G15" s="57">
        <v>100</v>
      </c>
      <c r="H15" s="58">
        <v>88.3</v>
      </c>
      <c r="I15" s="26">
        <f t="shared" si="1"/>
        <v>8830</v>
      </c>
      <c r="J15" s="59">
        <v>1</v>
      </c>
      <c r="K15" s="26">
        <f t="shared" si="2"/>
        <v>8830</v>
      </c>
      <c r="L15" s="56" t="s">
        <v>162</v>
      </c>
    </row>
    <row r="16" spans="1:12" x14ac:dyDescent="0.2">
      <c r="A16" s="23">
        <f t="shared" si="0"/>
        <v>12</v>
      </c>
      <c r="B16" s="54">
        <v>45856</v>
      </c>
      <c r="C16" s="55" t="s">
        <v>136</v>
      </c>
      <c r="D16" s="56" t="s">
        <v>163</v>
      </c>
      <c r="E16" s="56" t="s">
        <v>164</v>
      </c>
      <c r="F16" s="55" t="s">
        <v>54</v>
      </c>
      <c r="G16" s="57">
        <v>100</v>
      </c>
      <c r="H16" s="58">
        <v>435.42599999999999</v>
      </c>
      <c r="I16" s="26">
        <f t="shared" si="1"/>
        <v>43542.6</v>
      </c>
      <c r="J16" s="59">
        <v>1</v>
      </c>
      <c r="K16" s="26">
        <f t="shared" si="2"/>
        <v>43542.6</v>
      </c>
      <c r="L16" s="56" t="s">
        <v>165</v>
      </c>
    </row>
    <row r="17" spans="1:12" x14ac:dyDescent="0.2">
      <c r="A17" s="23">
        <f t="shared" si="0"/>
        <v>13</v>
      </c>
      <c r="B17" s="54">
        <v>45859</v>
      </c>
      <c r="C17" s="55" t="s">
        <v>136</v>
      </c>
      <c r="D17" s="56" t="s">
        <v>166</v>
      </c>
      <c r="E17" s="56" t="s">
        <v>167</v>
      </c>
      <c r="F17" s="55" t="s">
        <v>54</v>
      </c>
      <c r="G17" s="57">
        <v>1</v>
      </c>
      <c r="H17" s="58">
        <v>91.864999999999995</v>
      </c>
      <c r="I17" s="26">
        <f t="shared" si="1"/>
        <v>91.864999999999995</v>
      </c>
      <c r="J17" s="59">
        <v>1</v>
      </c>
      <c r="K17" s="26">
        <f t="shared" si="2"/>
        <v>91.864999999999995</v>
      </c>
      <c r="L17" s="56" t="s">
        <v>168</v>
      </c>
    </row>
    <row r="18" spans="1:12" x14ac:dyDescent="0.2">
      <c r="A18" s="23">
        <f t="shared" si="0"/>
        <v>14</v>
      </c>
      <c r="B18" s="54">
        <v>45859</v>
      </c>
      <c r="C18" s="55" t="s">
        <v>136</v>
      </c>
      <c r="D18" s="56" t="s">
        <v>169</v>
      </c>
      <c r="E18" s="56" t="s">
        <v>170</v>
      </c>
      <c r="F18" s="55" t="s">
        <v>54</v>
      </c>
      <c r="G18" s="57">
        <v>1000</v>
      </c>
      <c r="H18" s="58">
        <v>7.2149999999999999</v>
      </c>
      <c r="I18" s="26">
        <f t="shared" si="1"/>
        <v>7215</v>
      </c>
      <c r="J18" s="59">
        <v>1</v>
      </c>
      <c r="K18" s="26">
        <f t="shared" si="2"/>
        <v>7215</v>
      </c>
      <c r="L18" s="15"/>
    </row>
    <row r="19" spans="1:12" x14ac:dyDescent="0.2">
      <c r="A19" s="23">
        <f t="shared" si="0"/>
        <v>15</v>
      </c>
      <c r="B19" s="54">
        <v>45859</v>
      </c>
      <c r="C19" s="55" t="s">
        <v>136</v>
      </c>
      <c r="D19" s="56" t="s">
        <v>171</v>
      </c>
      <c r="E19" s="56" t="s">
        <v>172</v>
      </c>
      <c r="F19" s="55" t="s">
        <v>54</v>
      </c>
      <c r="G19" s="57">
        <v>20</v>
      </c>
      <c r="H19" s="58">
        <v>624.29999999999995</v>
      </c>
      <c r="I19" s="26">
        <f t="shared" si="1"/>
        <v>12486</v>
      </c>
      <c r="J19" s="59">
        <v>1</v>
      </c>
      <c r="K19" s="26">
        <f t="shared" si="2"/>
        <v>12486</v>
      </c>
      <c r="L19" s="15"/>
    </row>
    <row r="20" spans="1:12" x14ac:dyDescent="0.2">
      <c r="A20" s="23">
        <f t="shared" si="0"/>
        <v>16</v>
      </c>
      <c r="B20" s="54">
        <v>45859</v>
      </c>
      <c r="C20" s="55" t="s">
        <v>136</v>
      </c>
      <c r="D20" s="56" t="s">
        <v>173</v>
      </c>
      <c r="E20" s="56" t="s">
        <v>174</v>
      </c>
      <c r="F20" s="55" t="s">
        <v>54</v>
      </c>
      <c r="G20" s="57">
        <v>5000</v>
      </c>
      <c r="H20" s="58">
        <v>1.9348000000000001</v>
      </c>
      <c r="I20" s="26">
        <f t="shared" si="1"/>
        <v>9674</v>
      </c>
      <c r="J20" s="59">
        <v>1</v>
      </c>
      <c r="K20" s="26">
        <f t="shared" si="2"/>
        <v>9674</v>
      </c>
      <c r="L20" s="56" t="s">
        <v>175</v>
      </c>
    </row>
    <row r="21" spans="1:12" x14ac:dyDescent="0.2">
      <c r="A21" s="23">
        <f t="shared" si="0"/>
        <v>17</v>
      </c>
      <c r="B21" s="54">
        <v>45859</v>
      </c>
      <c r="C21" s="55" t="s">
        <v>136</v>
      </c>
      <c r="D21" s="56" t="s">
        <v>176</v>
      </c>
      <c r="E21" s="56" t="s">
        <v>177</v>
      </c>
      <c r="F21" s="55" t="s">
        <v>54</v>
      </c>
      <c r="G21" s="57">
        <v>1000</v>
      </c>
      <c r="H21" s="64">
        <v>5.9662100000000002</v>
      </c>
      <c r="I21" s="26">
        <f t="shared" si="1"/>
        <v>5966.21</v>
      </c>
      <c r="J21" s="59">
        <v>1</v>
      </c>
      <c r="K21" s="26">
        <f t="shared" si="2"/>
        <v>5966.21</v>
      </c>
      <c r="L21" s="56" t="s">
        <v>178</v>
      </c>
    </row>
    <row r="22" spans="1:12" x14ac:dyDescent="0.2">
      <c r="A22" s="23">
        <f t="shared" si="0"/>
        <v>18</v>
      </c>
      <c r="B22" s="54">
        <v>45859</v>
      </c>
      <c r="C22" s="55" t="s">
        <v>136</v>
      </c>
      <c r="D22" s="56" t="s">
        <v>179</v>
      </c>
      <c r="E22" s="56" t="s">
        <v>180</v>
      </c>
      <c r="F22" s="55" t="s">
        <v>54</v>
      </c>
      <c r="G22" s="57">
        <v>1000</v>
      </c>
      <c r="H22" s="58">
        <v>5.1340000000000003</v>
      </c>
      <c r="I22" s="26">
        <f t="shared" si="1"/>
        <v>5134</v>
      </c>
      <c r="J22" s="59">
        <v>1</v>
      </c>
      <c r="K22" s="26">
        <f t="shared" si="2"/>
        <v>5134</v>
      </c>
      <c r="L22" s="15"/>
    </row>
    <row r="23" spans="1:12" x14ac:dyDescent="0.2">
      <c r="A23" s="23">
        <f t="shared" si="0"/>
        <v>19</v>
      </c>
      <c r="B23" s="54">
        <v>45859</v>
      </c>
      <c r="C23" s="55" t="s">
        <v>136</v>
      </c>
      <c r="D23" s="56" t="s">
        <v>151</v>
      </c>
      <c r="E23" s="56" t="s">
        <v>152</v>
      </c>
      <c r="F23" s="55" t="s">
        <v>54</v>
      </c>
      <c r="G23" s="57">
        <v>50000</v>
      </c>
      <c r="H23" s="59">
        <v>0.99255000000000004</v>
      </c>
      <c r="I23" s="26">
        <f t="shared" si="1"/>
        <v>49627.5</v>
      </c>
      <c r="J23" s="59">
        <v>1</v>
      </c>
      <c r="K23" s="26">
        <f t="shared" si="2"/>
        <v>49627.5</v>
      </c>
      <c r="L23" s="56" t="s">
        <v>181</v>
      </c>
    </row>
    <row r="24" spans="1:12" x14ac:dyDescent="0.2">
      <c r="A24" s="23">
        <f t="shared" si="0"/>
        <v>20</v>
      </c>
      <c r="B24" s="54">
        <v>45859</v>
      </c>
      <c r="C24" s="55" t="s">
        <v>136</v>
      </c>
      <c r="D24" s="56" t="s">
        <v>182</v>
      </c>
      <c r="E24" s="56" t="s">
        <v>183</v>
      </c>
      <c r="F24" s="55" t="s">
        <v>54</v>
      </c>
      <c r="G24" s="57">
        <v>20000</v>
      </c>
      <c r="H24" s="59">
        <v>0.99078999999999995</v>
      </c>
      <c r="I24" s="26">
        <f t="shared" si="1"/>
        <v>19815.8</v>
      </c>
      <c r="J24" s="59">
        <v>1</v>
      </c>
      <c r="K24" s="26">
        <f t="shared" si="2"/>
        <v>19815.8</v>
      </c>
      <c r="L24" s="56" t="s">
        <v>184</v>
      </c>
    </row>
    <row r="25" spans="1:12" x14ac:dyDescent="0.2">
      <c r="A25" s="23">
        <f t="shared" si="0"/>
        <v>21</v>
      </c>
      <c r="B25" s="54">
        <v>45860</v>
      </c>
      <c r="C25" s="55" t="s">
        <v>136</v>
      </c>
      <c r="D25" s="56" t="s">
        <v>166</v>
      </c>
      <c r="E25" s="56" t="s">
        <v>167</v>
      </c>
      <c r="F25" s="55" t="s">
        <v>54</v>
      </c>
      <c r="G25" s="57">
        <v>1</v>
      </c>
      <c r="H25" s="58">
        <v>91.295000000000002</v>
      </c>
      <c r="I25" s="26">
        <f t="shared" si="1"/>
        <v>91.295000000000002</v>
      </c>
      <c r="J25" s="59">
        <v>1</v>
      </c>
      <c r="K25" s="26">
        <f t="shared" si="2"/>
        <v>91.295000000000002</v>
      </c>
      <c r="L25" s="15"/>
    </row>
    <row r="26" spans="1:12" x14ac:dyDescent="0.2">
      <c r="A26" s="23">
        <f t="shared" si="0"/>
        <v>22</v>
      </c>
      <c r="B26" s="54">
        <v>45861</v>
      </c>
      <c r="C26" s="55" t="s">
        <v>136</v>
      </c>
      <c r="D26" s="56" t="s">
        <v>166</v>
      </c>
      <c r="E26" s="56" t="s">
        <v>167</v>
      </c>
      <c r="F26" s="55" t="s">
        <v>54</v>
      </c>
      <c r="G26" s="57">
        <v>1</v>
      </c>
      <c r="H26" s="58">
        <v>91.064999999999998</v>
      </c>
      <c r="I26" s="26">
        <f t="shared" si="1"/>
        <v>91.064999999999998</v>
      </c>
      <c r="J26" s="59">
        <v>1</v>
      </c>
      <c r="K26" s="26">
        <f t="shared" si="2"/>
        <v>91.064999999999998</v>
      </c>
      <c r="L26" s="15"/>
    </row>
    <row r="27" spans="1:12" x14ac:dyDescent="0.2">
      <c r="A27" s="23">
        <f t="shared" si="0"/>
        <v>23</v>
      </c>
      <c r="B27" s="54">
        <v>45861</v>
      </c>
      <c r="C27" s="55" t="s">
        <v>136</v>
      </c>
      <c r="D27" s="56" t="s">
        <v>185</v>
      </c>
      <c r="E27" s="56" t="s">
        <v>186</v>
      </c>
      <c r="F27" s="55" t="s">
        <v>54</v>
      </c>
      <c r="G27" s="57">
        <v>100</v>
      </c>
      <c r="H27" s="58">
        <v>6.3810000000000002</v>
      </c>
      <c r="I27" s="26">
        <f t="shared" si="1"/>
        <v>638.1</v>
      </c>
      <c r="J27" s="59">
        <v>1</v>
      </c>
      <c r="K27" s="26">
        <f t="shared" si="2"/>
        <v>638.1</v>
      </c>
      <c r="L27" s="56" t="s">
        <v>187</v>
      </c>
    </row>
    <row r="28" spans="1:12" x14ac:dyDescent="0.2">
      <c r="A28" s="23">
        <f t="shared" si="0"/>
        <v>24</v>
      </c>
      <c r="B28" s="54">
        <v>45861</v>
      </c>
      <c r="C28" s="55" t="s">
        <v>136</v>
      </c>
      <c r="D28" s="56" t="s">
        <v>188</v>
      </c>
      <c r="E28" s="56" t="s">
        <v>189</v>
      </c>
      <c r="F28" s="55" t="s">
        <v>54</v>
      </c>
      <c r="G28" s="57">
        <v>4</v>
      </c>
      <c r="H28" s="58">
        <v>29.154</v>
      </c>
      <c r="I28" s="26">
        <f t="shared" si="1"/>
        <v>116.616</v>
      </c>
      <c r="J28" s="59">
        <v>1</v>
      </c>
      <c r="K28" s="26">
        <f t="shared" si="2"/>
        <v>116.616</v>
      </c>
      <c r="L28" s="56" t="s">
        <v>190</v>
      </c>
    </row>
    <row r="29" spans="1:12" x14ac:dyDescent="0.2">
      <c r="A29" s="23">
        <f t="shared" si="0"/>
        <v>25</v>
      </c>
      <c r="B29" s="54">
        <v>45861</v>
      </c>
      <c r="C29" s="55" t="s">
        <v>136</v>
      </c>
      <c r="D29" s="56" t="s">
        <v>157</v>
      </c>
      <c r="E29" s="56" t="s">
        <v>158</v>
      </c>
      <c r="F29" s="55" t="s">
        <v>54</v>
      </c>
      <c r="G29" s="57">
        <v>12</v>
      </c>
      <c r="H29" s="58">
        <v>194.54</v>
      </c>
      <c r="I29" s="26">
        <f t="shared" si="1"/>
        <v>2334.48</v>
      </c>
      <c r="J29" s="59">
        <v>1</v>
      </c>
      <c r="K29" s="26">
        <f t="shared" si="2"/>
        <v>2334.48</v>
      </c>
      <c r="L29" s="15"/>
    </row>
    <row r="30" spans="1:12" x14ac:dyDescent="0.2">
      <c r="A30" s="23">
        <f t="shared" si="0"/>
        <v>26</v>
      </c>
      <c r="B30" s="54">
        <v>45861</v>
      </c>
      <c r="C30" s="55" t="s">
        <v>136</v>
      </c>
      <c r="D30" s="56" t="s">
        <v>191</v>
      </c>
      <c r="E30" s="56" t="s">
        <v>192</v>
      </c>
      <c r="F30" s="55" t="s">
        <v>54</v>
      </c>
      <c r="G30" s="57">
        <v>1</v>
      </c>
      <c r="H30" s="58">
        <v>289.55</v>
      </c>
      <c r="I30" s="26">
        <f t="shared" si="1"/>
        <v>289.55</v>
      </c>
      <c r="J30" s="59">
        <v>1</v>
      </c>
      <c r="K30" s="26">
        <f t="shared" si="2"/>
        <v>289.55</v>
      </c>
      <c r="L30" s="56" t="s">
        <v>193</v>
      </c>
    </row>
    <row r="31" spans="1:12" x14ac:dyDescent="0.2">
      <c r="A31" s="23">
        <f t="shared" si="0"/>
        <v>27</v>
      </c>
      <c r="B31" s="54">
        <v>45861</v>
      </c>
      <c r="C31" s="55" t="s">
        <v>136</v>
      </c>
      <c r="D31" s="56" t="s">
        <v>194</v>
      </c>
      <c r="E31" s="56" t="s">
        <v>195</v>
      </c>
      <c r="F31" s="55" t="s">
        <v>54</v>
      </c>
      <c r="G31" s="57">
        <v>16</v>
      </c>
      <c r="H31" s="58">
        <v>30.83</v>
      </c>
      <c r="I31" s="26">
        <f t="shared" si="1"/>
        <v>493.28</v>
      </c>
      <c r="J31" s="59">
        <v>1</v>
      </c>
      <c r="K31" s="26">
        <f t="shared" si="2"/>
        <v>493.28</v>
      </c>
      <c r="L31" s="15"/>
    </row>
    <row r="32" spans="1:12" x14ac:dyDescent="0.2">
      <c r="A32" s="23">
        <f t="shared" si="0"/>
        <v>28</v>
      </c>
      <c r="B32" s="54">
        <v>45861</v>
      </c>
      <c r="C32" s="55" t="s">
        <v>136</v>
      </c>
      <c r="D32" s="56" t="s">
        <v>143</v>
      </c>
      <c r="E32" s="56" t="s">
        <v>144</v>
      </c>
      <c r="F32" s="55" t="s">
        <v>54</v>
      </c>
      <c r="G32" s="57">
        <v>32</v>
      </c>
      <c r="H32" s="58">
        <v>30.445</v>
      </c>
      <c r="I32" s="26">
        <f t="shared" si="1"/>
        <v>974.24</v>
      </c>
      <c r="J32" s="59">
        <v>1</v>
      </c>
      <c r="K32" s="26">
        <f t="shared" si="2"/>
        <v>974.24</v>
      </c>
      <c r="L32" s="15"/>
    </row>
    <row r="33" spans="1:12" x14ac:dyDescent="0.2">
      <c r="A33" s="23">
        <f t="shared" si="0"/>
        <v>29</v>
      </c>
      <c r="B33" s="54">
        <v>45862</v>
      </c>
      <c r="C33" s="55" t="s">
        <v>136</v>
      </c>
      <c r="D33" s="56" t="s">
        <v>185</v>
      </c>
      <c r="E33" s="56" t="s">
        <v>186</v>
      </c>
      <c r="F33" s="55" t="s">
        <v>54</v>
      </c>
      <c r="G33" s="57">
        <v>10</v>
      </c>
      <c r="H33" s="58">
        <v>6.3464999999999998</v>
      </c>
      <c r="I33" s="26">
        <f t="shared" si="1"/>
        <v>63.464999999999996</v>
      </c>
      <c r="J33" s="59">
        <v>1</v>
      </c>
      <c r="K33" s="26">
        <f t="shared" si="2"/>
        <v>63.464999999999996</v>
      </c>
      <c r="L33" s="15"/>
    </row>
    <row r="34" spans="1:12" x14ac:dyDescent="0.2">
      <c r="A34" s="23">
        <f t="shared" si="0"/>
        <v>30</v>
      </c>
      <c r="B34" s="54">
        <v>45862</v>
      </c>
      <c r="C34" s="55" t="s">
        <v>136</v>
      </c>
      <c r="D34" s="56" t="s">
        <v>166</v>
      </c>
      <c r="E34" s="56" t="s">
        <v>167</v>
      </c>
      <c r="F34" s="55" t="s">
        <v>54</v>
      </c>
      <c r="G34" s="57">
        <v>1</v>
      </c>
      <c r="H34" s="58">
        <v>91.105000000000004</v>
      </c>
      <c r="I34" s="26">
        <f t="shared" si="1"/>
        <v>91.105000000000004</v>
      </c>
      <c r="J34" s="59">
        <v>1</v>
      </c>
      <c r="K34" s="26">
        <f t="shared" si="2"/>
        <v>91.105000000000004</v>
      </c>
      <c r="L34" s="15"/>
    </row>
    <row r="35" spans="1:12" x14ac:dyDescent="0.2">
      <c r="A35" s="23">
        <f t="shared" si="0"/>
        <v>31</v>
      </c>
      <c r="B35" s="54">
        <v>45862</v>
      </c>
      <c r="C35" s="55" t="s">
        <v>136</v>
      </c>
      <c r="D35" s="56" t="s">
        <v>188</v>
      </c>
      <c r="E35" s="56" t="s">
        <v>189</v>
      </c>
      <c r="F35" s="55" t="s">
        <v>54</v>
      </c>
      <c r="G35" s="57">
        <v>10</v>
      </c>
      <c r="H35" s="58">
        <v>29.044</v>
      </c>
      <c r="I35" s="26">
        <f t="shared" si="1"/>
        <v>290.44</v>
      </c>
      <c r="J35" s="59">
        <v>1</v>
      </c>
      <c r="K35" s="26">
        <f t="shared" si="2"/>
        <v>290.44</v>
      </c>
      <c r="L35" s="15"/>
    </row>
    <row r="36" spans="1:12" x14ac:dyDescent="0.2">
      <c r="A36" s="23">
        <f t="shared" si="0"/>
        <v>32</v>
      </c>
      <c r="B36" s="54">
        <v>45863</v>
      </c>
      <c r="C36" s="55" t="s">
        <v>136</v>
      </c>
      <c r="D36" s="56" t="s">
        <v>185</v>
      </c>
      <c r="E36" s="56" t="s">
        <v>186</v>
      </c>
      <c r="F36" s="55" t="s">
        <v>54</v>
      </c>
      <c r="G36" s="57">
        <v>10</v>
      </c>
      <c r="H36" s="58">
        <v>6.3689999999999998</v>
      </c>
      <c r="I36" s="26">
        <f t="shared" si="1"/>
        <v>63.69</v>
      </c>
      <c r="J36" s="59">
        <v>1</v>
      </c>
      <c r="K36" s="26">
        <f t="shared" si="2"/>
        <v>63.69</v>
      </c>
      <c r="L36" s="15"/>
    </row>
    <row r="37" spans="1:12" x14ac:dyDescent="0.2">
      <c r="A37" s="23">
        <f t="shared" si="0"/>
        <v>33</v>
      </c>
      <c r="B37" s="54">
        <v>45863</v>
      </c>
      <c r="C37" s="55" t="s">
        <v>136</v>
      </c>
      <c r="D37" s="56" t="s">
        <v>166</v>
      </c>
      <c r="E37" s="56" t="s">
        <v>167</v>
      </c>
      <c r="F37" s="55" t="s">
        <v>54</v>
      </c>
      <c r="G37" s="57">
        <v>1</v>
      </c>
      <c r="H37" s="58">
        <v>88.444999999999993</v>
      </c>
      <c r="I37" s="26">
        <f t="shared" si="1"/>
        <v>88.444999999999993</v>
      </c>
      <c r="J37" s="59">
        <v>1</v>
      </c>
      <c r="K37" s="26">
        <f t="shared" si="2"/>
        <v>88.444999999999993</v>
      </c>
      <c r="L37" s="15"/>
    </row>
    <row r="38" spans="1:12" x14ac:dyDescent="0.2">
      <c r="A38" s="23">
        <f t="shared" si="0"/>
        <v>34</v>
      </c>
      <c r="B38" s="54">
        <v>45863</v>
      </c>
      <c r="C38" s="55" t="s">
        <v>136</v>
      </c>
      <c r="D38" s="56" t="s">
        <v>188</v>
      </c>
      <c r="E38" s="56" t="s">
        <v>189</v>
      </c>
      <c r="F38" s="55" t="s">
        <v>54</v>
      </c>
      <c r="G38" s="57">
        <v>1</v>
      </c>
      <c r="H38" s="58">
        <v>29.206</v>
      </c>
      <c r="I38" s="26">
        <f t="shared" si="1"/>
        <v>29.206</v>
      </c>
      <c r="J38" s="59">
        <v>1</v>
      </c>
      <c r="K38" s="26">
        <f t="shared" si="2"/>
        <v>29.206</v>
      </c>
      <c r="L38" s="15"/>
    </row>
    <row r="39" spans="1:12" x14ac:dyDescent="0.2">
      <c r="A39" s="23">
        <f t="shared" si="0"/>
        <v>35</v>
      </c>
      <c r="B39" s="54">
        <v>45863</v>
      </c>
      <c r="C39" s="55" t="s">
        <v>136</v>
      </c>
      <c r="D39" s="56" t="s">
        <v>191</v>
      </c>
      <c r="E39" s="56" t="s">
        <v>192</v>
      </c>
      <c r="F39" s="55" t="s">
        <v>54</v>
      </c>
      <c r="G39" s="57">
        <v>10</v>
      </c>
      <c r="H39" s="58">
        <v>283.37</v>
      </c>
      <c r="I39" s="26">
        <f t="shared" si="1"/>
        <v>2833.7</v>
      </c>
      <c r="J39" s="59">
        <v>1</v>
      </c>
      <c r="K39" s="26">
        <f t="shared" si="2"/>
        <v>2833.7</v>
      </c>
      <c r="L39" s="15"/>
    </row>
    <row r="40" spans="1:12" x14ac:dyDescent="0.2">
      <c r="A40" s="23">
        <f t="shared" si="0"/>
        <v>36</v>
      </c>
      <c r="B40" s="54">
        <v>45863</v>
      </c>
      <c r="C40" s="55" t="s">
        <v>136</v>
      </c>
      <c r="D40" s="56" t="s">
        <v>194</v>
      </c>
      <c r="E40" s="56" t="s">
        <v>195</v>
      </c>
      <c r="F40" s="55" t="s">
        <v>54</v>
      </c>
      <c r="G40" s="57">
        <v>10</v>
      </c>
      <c r="H40" s="58">
        <v>30.274999999999999</v>
      </c>
      <c r="I40" s="26">
        <f t="shared" si="1"/>
        <v>302.75</v>
      </c>
      <c r="J40" s="59">
        <v>1</v>
      </c>
      <c r="K40" s="26">
        <f t="shared" si="2"/>
        <v>302.75</v>
      </c>
      <c r="L40" s="15"/>
    </row>
    <row r="41" spans="1:12" x14ac:dyDescent="0.2">
      <c r="A41" s="23">
        <f t="shared" si="0"/>
        <v>37</v>
      </c>
      <c r="B41" s="54">
        <v>45868</v>
      </c>
      <c r="C41" s="55" t="s">
        <v>136</v>
      </c>
      <c r="D41" s="56" t="s">
        <v>166</v>
      </c>
      <c r="E41" s="56" t="s">
        <v>167</v>
      </c>
      <c r="F41" s="55" t="s">
        <v>54</v>
      </c>
      <c r="G41" s="57">
        <v>1</v>
      </c>
      <c r="H41" s="58">
        <v>92.26</v>
      </c>
      <c r="I41" s="26">
        <f t="shared" si="1"/>
        <v>92.26</v>
      </c>
      <c r="J41" s="59">
        <v>1</v>
      </c>
      <c r="K41" s="26">
        <f t="shared" si="2"/>
        <v>92.26</v>
      </c>
      <c r="L41" s="15"/>
    </row>
    <row r="42" spans="1:12" x14ac:dyDescent="0.2">
      <c r="A42" s="23">
        <f t="shared" si="0"/>
        <v>38</v>
      </c>
      <c r="B42" s="54">
        <v>45868</v>
      </c>
      <c r="C42" s="55" t="s">
        <v>136</v>
      </c>
      <c r="D42" s="56" t="s">
        <v>185</v>
      </c>
      <c r="E42" s="56" t="s">
        <v>186</v>
      </c>
      <c r="F42" s="55" t="s">
        <v>54</v>
      </c>
      <c r="G42" s="57">
        <v>10</v>
      </c>
      <c r="H42" s="58">
        <v>6.726</v>
      </c>
      <c r="I42" s="26">
        <f t="shared" si="1"/>
        <v>67.260000000000005</v>
      </c>
      <c r="J42" s="59">
        <v>1</v>
      </c>
      <c r="K42" s="26">
        <f t="shared" si="2"/>
        <v>67.260000000000005</v>
      </c>
      <c r="L42" s="15"/>
    </row>
    <row r="43" spans="1:12" x14ac:dyDescent="0.2">
      <c r="A43" s="23">
        <f t="shared" si="0"/>
        <v>39</v>
      </c>
      <c r="B43" s="54">
        <v>45870</v>
      </c>
      <c r="C43" s="55" t="s">
        <v>136</v>
      </c>
      <c r="D43" s="56" t="s">
        <v>163</v>
      </c>
      <c r="E43" s="56" t="s">
        <v>164</v>
      </c>
      <c r="F43" s="55" t="s">
        <v>54</v>
      </c>
      <c r="G43" s="57">
        <v>100</v>
      </c>
      <c r="H43" s="58">
        <v>371.87900000000002</v>
      </c>
      <c r="I43" s="26">
        <f t="shared" si="1"/>
        <v>37187.9</v>
      </c>
      <c r="J43" s="59">
        <v>1</v>
      </c>
      <c r="K43" s="26">
        <f t="shared" si="2"/>
        <v>37187.9</v>
      </c>
      <c r="L43" s="56" t="s">
        <v>196</v>
      </c>
    </row>
    <row r="44" spans="1:12" x14ac:dyDescent="0.2">
      <c r="A44" s="23">
        <f t="shared" si="0"/>
        <v>40</v>
      </c>
      <c r="B44" s="54">
        <v>45870</v>
      </c>
      <c r="C44" s="55" t="s">
        <v>136</v>
      </c>
      <c r="D44" s="56" t="s">
        <v>160</v>
      </c>
      <c r="E44" s="56" t="s">
        <v>161</v>
      </c>
      <c r="F44" s="55" t="s">
        <v>54</v>
      </c>
      <c r="G44" s="57">
        <v>120</v>
      </c>
      <c r="H44" s="58">
        <v>83.7</v>
      </c>
      <c r="I44" s="26">
        <f t="shared" si="1"/>
        <v>10044</v>
      </c>
      <c r="J44" s="59">
        <v>1</v>
      </c>
      <c r="K44" s="26">
        <f t="shared" si="2"/>
        <v>10044</v>
      </c>
      <c r="L44" s="56" t="s">
        <v>197</v>
      </c>
    </row>
    <row r="45" spans="1:12" x14ac:dyDescent="0.2">
      <c r="A45" s="23">
        <f t="shared" si="0"/>
        <v>41</v>
      </c>
      <c r="B45" s="54">
        <v>45870</v>
      </c>
      <c r="C45" s="55" t="s">
        <v>136</v>
      </c>
      <c r="D45" s="56" t="s">
        <v>166</v>
      </c>
      <c r="E45" s="56" t="s">
        <v>167</v>
      </c>
      <c r="F45" s="55" t="s">
        <v>54</v>
      </c>
      <c r="G45" s="57">
        <v>1</v>
      </c>
      <c r="H45" s="58">
        <v>90.81</v>
      </c>
      <c r="I45" s="26">
        <f t="shared" si="1"/>
        <v>90.81</v>
      </c>
      <c r="J45" s="59">
        <v>1</v>
      </c>
      <c r="K45" s="26">
        <f t="shared" si="2"/>
        <v>90.81</v>
      </c>
      <c r="L45" s="15"/>
    </row>
    <row r="46" spans="1:12" x14ac:dyDescent="0.2">
      <c r="A46" s="23">
        <f t="shared" si="0"/>
        <v>42</v>
      </c>
      <c r="B46" s="54">
        <v>45870</v>
      </c>
      <c r="C46" s="55" t="s">
        <v>136</v>
      </c>
      <c r="D46" s="56" t="s">
        <v>185</v>
      </c>
      <c r="E46" s="56" t="s">
        <v>186</v>
      </c>
      <c r="F46" s="55" t="s">
        <v>54</v>
      </c>
      <c r="G46" s="57">
        <v>10</v>
      </c>
      <c r="H46" s="58">
        <v>6.4980000000000002</v>
      </c>
      <c r="I46" s="26">
        <f t="shared" si="1"/>
        <v>64.98</v>
      </c>
      <c r="J46" s="59">
        <v>1</v>
      </c>
      <c r="K46" s="26">
        <f t="shared" si="2"/>
        <v>64.98</v>
      </c>
      <c r="L46" s="15"/>
    </row>
    <row r="47" spans="1:12" x14ac:dyDescent="0.2">
      <c r="A47" s="23">
        <f t="shared" si="0"/>
        <v>43</v>
      </c>
      <c r="B47" s="54">
        <v>45870</v>
      </c>
      <c r="C47" s="55" t="s">
        <v>136</v>
      </c>
      <c r="D47" s="56" t="s">
        <v>188</v>
      </c>
      <c r="E47" s="56" t="s">
        <v>189</v>
      </c>
      <c r="F47" s="55" t="s">
        <v>54</v>
      </c>
      <c r="G47" s="57">
        <v>10</v>
      </c>
      <c r="H47" s="58">
        <v>29.724</v>
      </c>
      <c r="I47" s="26">
        <f t="shared" si="1"/>
        <v>297.24</v>
      </c>
      <c r="J47" s="59">
        <v>1</v>
      </c>
      <c r="K47" s="26">
        <f t="shared" si="2"/>
        <v>297.24</v>
      </c>
      <c r="L47" s="15"/>
    </row>
    <row r="48" spans="1:12" x14ac:dyDescent="0.2">
      <c r="A48" s="23">
        <f t="shared" si="0"/>
        <v>44</v>
      </c>
      <c r="B48" s="54">
        <v>45870</v>
      </c>
      <c r="C48" s="55" t="s">
        <v>136</v>
      </c>
      <c r="D48" s="56" t="s">
        <v>171</v>
      </c>
      <c r="E48" s="56" t="s">
        <v>172</v>
      </c>
      <c r="F48" s="55" t="s">
        <v>54</v>
      </c>
      <c r="G48" s="57">
        <v>10</v>
      </c>
      <c r="H48" s="58">
        <v>598.5</v>
      </c>
      <c r="I48" s="26">
        <f t="shared" si="1"/>
        <v>5985</v>
      </c>
      <c r="J48" s="59">
        <v>1</v>
      </c>
      <c r="K48" s="26">
        <f t="shared" si="2"/>
        <v>5985</v>
      </c>
      <c r="L48" s="15"/>
    </row>
    <row r="49" spans="1:12" x14ac:dyDescent="0.2">
      <c r="A49" s="23">
        <f t="shared" si="0"/>
        <v>45</v>
      </c>
      <c r="B49" s="54">
        <v>45870</v>
      </c>
      <c r="C49" s="55" t="s">
        <v>136</v>
      </c>
      <c r="D49" s="56" t="s">
        <v>143</v>
      </c>
      <c r="E49" s="56" t="s">
        <v>144</v>
      </c>
      <c r="F49" s="55" t="s">
        <v>54</v>
      </c>
      <c r="G49" s="57">
        <v>33</v>
      </c>
      <c r="H49" s="58">
        <v>29.664999999999999</v>
      </c>
      <c r="I49" s="26">
        <f t="shared" si="1"/>
        <v>978.94499999999994</v>
      </c>
      <c r="J49" s="59">
        <v>1</v>
      </c>
      <c r="K49" s="26">
        <f t="shared" si="2"/>
        <v>978.94499999999994</v>
      </c>
      <c r="L49" s="15"/>
    </row>
    <row r="50" spans="1:12" x14ac:dyDescent="0.2">
      <c r="A50" s="23">
        <f t="shared" si="0"/>
        <v>46</v>
      </c>
      <c r="B50" s="54">
        <v>45870</v>
      </c>
      <c r="C50" s="55" t="s">
        <v>136</v>
      </c>
      <c r="D50" s="56" t="s">
        <v>157</v>
      </c>
      <c r="E50" s="56" t="s">
        <v>158</v>
      </c>
      <c r="F50" s="55" t="s">
        <v>54</v>
      </c>
      <c r="G50" s="57">
        <v>13</v>
      </c>
      <c r="H50" s="58">
        <v>190.92</v>
      </c>
      <c r="I50" s="26">
        <f t="shared" si="1"/>
        <v>2481.96</v>
      </c>
      <c r="J50" s="59">
        <v>1</v>
      </c>
      <c r="K50" s="26">
        <f t="shared" si="2"/>
        <v>2481.96</v>
      </c>
      <c r="L50" s="15"/>
    </row>
    <row r="51" spans="1:12" x14ac:dyDescent="0.2">
      <c r="A51" s="23">
        <f t="shared" si="0"/>
        <v>47</v>
      </c>
      <c r="B51" s="54">
        <v>45870</v>
      </c>
      <c r="C51" s="55" t="s">
        <v>136</v>
      </c>
      <c r="D51" s="56" t="s">
        <v>191</v>
      </c>
      <c r="E51" s="56" t="s">
        <v>192</v>
      </c>
      <c r="F51" s="55" t="s">
        <v>54</v>
      </c>
      <c r="G51" s="57">
        <v>1</v>
      </c>
      <c r="H51" s="58">
        <v>288.52999999999997</v>
      </c>
      <c r="I51" s="26">
        <f t="shared" si="1"/>
        <v>288.52999999999997</v>
      </c>
      <c r="J51" s="59">
        <v>1</v>
      </c>
      <c r="K51" s="26">
        <f t="shared" si="2"/>
        <v>288.52999999999997</v>
      </c>
      <c r="L51" s="15"/>
    </row>
    <row r="52" spans="1:12" x14ac:dyDescent="0.2">
      <c r="A52" s="23">
        <f t="shared" si="0"/>
        <v>48</v>
      </c>
      <c r="B52" s="54">
        <v>45870</v>
      </c>
      <c r="C52" s="55" t="s">
        <v>136</v>
      </c>
      <c r="D52" s="56" t="s">
        <v>194</v>
      </c>
      <c r="E52" s="56" t="s">
        <v>195</v>
      </c>
      <c r="F52" s="55" t="s">
        <v>54</v>
      </c>
      <c r="G52" s="57">
        <v>17</v>
      </c>
      <c r="H52" s="58">
        <v>29.285299999999999</v>
      </c>
      <c r="I52" s="26">
        <f t="shared" si="1"/>
        <v>497.8501</v>
      </c>
      <c r="J52" s="59">
        <v>1</v>
      </c>
      <c r="K52" s="26">
        <f t="shared" si="2"/>
        <v>497.8501</v>
      </c>
      <c r="L52" s="56" t="s">
        <v>198</v>
      </c>
    </row>
    <row r="53" spans="1:12" x14ac:dyDescent="0.2">
      <c r="A53" s="23">
        <f t="shared" si="0"/>
        <v>49</v>
      </c>
      <c r="B53" s="54">
        <v>45877</v>
      </c>
      <c r="C53" s="55" t="s">
        <v>136</v>
      </c>
      <c r="D53" s="56" t="s">
        <v>166</v>
      </c>
      <c r="E53" s="56" t="s">
        <v>167</v>
      </c>
      <c r="F53" s="55" t="s">
        <v>54</v>
      </c>
      <c r="G53" s="57">
        <v>160</v>
      </c>
      <c r="H53" s="64">
        <v>90.231250000000003</v>
      </c>
      <c r="I53" s="26">
        <f t="shared" si="1"/>
        <v>14437</v>
      </c>
      <c r="J53" s="59">
        <v>1</v>
      </c>
      <c r="K53" s="26">
        <f t="shared" si="2"/>
        <v>14437</v>
      </c>
      <c r="L53" s="56" t="s">
        <v>199</v>
      </c>
    </row>
    <row r="54" spans="1:12" x14ac:dyDescent="0.2">
      <c r="A54" s="23">
        <f t="shared" si="0"/>
        <v>50</v>
      </c>
      <c r="B54" s="54">
        <v>45877</v>
      </c>
      <c r="C54" s="55" t="s">
        <v>136</v>
      </c>
      <c r="D54" s="56" t="s">
        <v>185</v>
      </c>
      <c r="E54" s="56" t="s">
        <v>186</v>
      </c>
      <c r="F54" s="55" t="s">
        <v>54</v>
      </c>
      <c r="G54" s="57">
        <v>100</v>
      </c>
      <c r="H54" s="58">
        <v>6.8540000000000001</v>
      </c>
      <c r="I54" s="26">
        <f t="shared" si="1"/>
        <v>685.4</v>
      </c>
      <c r="J54" s="59">
        <v>1</v>
      </c>
      <c r="K54" s="26">
        <f t="shared" si="2"/>
        <v>685.4</v>
      </c>
      <c r="L54" s="15"/>
    </row>
    <row r="55" spans="1:12" x14ac:dyDescent="0.2">
      <c r="A55" s="23">
        <f t="shared" si="0"/>
        <v>51</v>
      </c>
      <c r="B55" s="54">
        <v>45877</v>
      </c>
      <c r="C55" s="55" t="s">
        <v>136</v>
      </c>
      <c r="D55" s="56" t="s">
        <v>143</v>
      </c>
      <c r="E55" s="56" t="s">
        <v>144</v>
      </c>
      <c r="F55" s="55" t="s">
        <v>54</v>
      </c>
      <c r="G55" s="57">
        <v>34</v>
      </c>
      <c r="H55" s="58">
        <v>29.15</v>
      </c>
      <c r="I55" s="26">
        <f t="shared" si="1"/>
        <v>991.09999999999991</v>
      </c>
      <c r="J55" s="59">
        <v>1</v>
      </c>
      <c r="K55" s="26">
        <f t="shared" si="2"/>
        <v>991.09999999999991</v>
      </c>
      <c r="L55" s="15"/>
    </row>
    <row r="56" spans="1:12" x14ac:dyDescent="0.2">
      <c r="A56" s="23">
        <f t="shared" si="0"/>
        <v>52</v>
      </c>
      <c r="B56" s="54">
        <v>45877</v>
      </c>
      <c r="C56" s="55" t="s">
        <v>136</v>
      </c>
      <c r="D56" s="56" t="s">
        <v>157</v>
      </c>
      <c r="E56" s="56" t="s">
        <v>158</v>
      </c>
      <c r="F56" s="55" t="s">
        <v>54</v>
      </c>
      <c r="G56" s="57">
        <v>12</v>
      </c>
      <c r="H56" s="58">
        <v>199.02</v>
      </c>
      <c r="I56" s="26">
        <f t="shared" si="1"/>
        <v>2388.2400000000002</v>
      </c>
      <c r="J56" s="59">
        <v>1</v>
      </c>
      <c r="K56" s="26">
        <f t="shared" si="2"/>
        <v>2388.2400000000002</v>
      </c>
      <c r="L56" s="15"/>
    </row>
    <row r="57" spans="1:12" x14ac:dyDescent="0.2">
      <c r="A57" s="23">
        <f t="shared" si="0"/>
        <v>53</v>
      </c>
      <c r="B57" s="54">
        <v>45877</v>
      </c>
      <c r="C57" s="55" t="s">
        <v>136</v>
      </c>
      <c r="D57" s="56" t="s">
        <v>191</v>
      </c>
      <c r="E57" s="56" t="s">
        <v>192</v>
      </c>
      <c r="F57" s="55" t="s">
        <v>54</v>
      </c>
      <c r="G57" s="57">
        <v>1</v>
      </c>
      <c r="H57" s="58">
        <v>289.27</v>
      </c>
      <c r="I57" s="26">
        <f t="shared" si="1"/>
        <v>289.27</v>
      </c>
      <c r="J57" s="59">
        <v>1</v>
      </c>
      <c r="K57" s="26">
        <f t="shared" si="2"/>
        <v>289.27</v>
      </c>
      <c r="L57" s="15"/>
    </row>
    <row r="58" spans="1:12" x14ac:dyDescent="0.2">
      <c r="A58" s="23">
        <f t="shared" si="0"/>
        <v>54</v>
      </c>
      <c r="B58" s="54">
        <v>45877</v>
      </c>
      <c r="C58" s="55" t="s">
        <v>136</v>
      </c>
      <c r="D58" s="56" t="s">
        <v>194</v>
      </c>
      <c r="E58" s="56" t="s">
        <v>195</v>
      </c>
      <c r="F58" s="55" t="s">
        <v>54</v>
      </c>
      <c r="G58" s="57">
        <v>16</v>
      </c>
      <c r="H58" s="58">
        <v>30.07</v>
      </c>
      <c r="I58" s="26">
        <f t="shared" si="1"/>
        <v>481.12</v>
      </c>
      <c r="J58" s="59">
        <v>1</v>
      </c>
      <c r="K58" s="26">
        <f t="shared" si="2"/>
        <v>481.12</v>
      </c>
      <c r="L58" s="15"/>
    </row>
    <row r="59" spans="1:12" x14ac:dyDescent="0.2">
      <c r="A59" s="23">
        <f t="shared" si="0"/>
        <v>55</v>
      </c>
      <c r="B59" s="54">
        <v>45880</v>
      </c>
      <c r="C59" s="55" t="s">
        <v>136</v>
      </c>
      <c r="D59" s="56" t="s">
        <v>185</v>
      </c>
      <c r="E59" s="56" t="s">
        <v>186</v>
      </c>
      <c r="F59" s="55" t="s">
        <v>54</v>
      </c>
      <c r="G59" s="57">
        <v>200</v>
      </c>
      <c r="H59" s="58">
        <v>7.4974999999999996</v>
      </c>
      <c r="I59" s="26">
        <f t="shared" si="1"/>
        <v>1499.5</v>
      </c>
      <c r="J59" s="59">
        <v>1</v>
      </c>
      <c r="K59" s="26">
        <f t="shared" si="2"/>
        <v>1499.5</v>
      </c>
      <c r="L59" s="15"/>
    </row>
    <row r="60" spans="1:12" x14ac:dyDescent="0.2">
      <c r="A60" s="23">
        <f t="shared" si="0"/>
        <v>56</v>
      </c>
      <c r="B60" s="54">
        <v>45880</v>
      </c>
      <c r="C60" s="55" t="s">
        <v>136</v>
      </c>
      <c r="D60" s="56" t="s">
        <v>200</v>
      </c>
      <c r="E60" s="56" t="s">
        <v>201</v>
      </c>
      <c r="F60" s="55" t="s">
        <v>54</v>
      </c>
      <c r="G60" s="57">
        <v>200</v>
      </c>
      <c r="H60" s="58">
        <v>8.0634999999999994</v>
      </c>
      <c r="I60" s="26">
        <f t="shared" si="1"/>
        <v>1612.6999999999998</v>
      </c>
      <c r="J60" s="59">
        <v>1</v>
      </c>
      <c r="K60" s="26">
        <f t="shared" si="2"/>
        <v>1612.6999999999998</v>
      </c>
      <c r="L60" s="56" t="s">
        <v>202</v>
      </c>
    </row>
    <row r="61" spans="1:12" x14ac:dyDescent="0.2">
      <c r="A61" s="23">
        <f t="shared" si="0"/>
        <v>57</v>
      </c>
      <c r="B61" s="54">
        <v>45881</v>
      </c>
      <c r="C61" s="55" t="s">
        <v>136</v>
      </c>
      <c r="D61" s="56" t="s">
        <v>200</v>
      </c>
      <c r="E61" s="56" t="s">
        <v>201</v>
      </c>
      <c r="F61" s="55" t="s">
        <v>54</v>
      </c>
      <c r="G61" s="57">
        <v>200</v>
      </c>
      <c r="H61" s="58">
        <v>7.8440000000000003</v>
      </c>
      <c r="I61" s="26">
        <f t="shared" si="1"/>
        <v>1568.8</v>
      </c>
      <c r="J61" s="59">
        <v>1</v>
      </c>
      <c r="K61" s="26">
        <f t="shared" si="2"/>
        <v>1568.8</v>
      </c>
      <c r="L61" s="15"/>
    </row>
    <row r="62" spans="1:12" x14ac:dyDescent="0.2">
      <c r="A62" s="23">
        <f t="shared" si="0"/>
        <v>58</v>
      </c>
      <c r="B62" s="54">
        <v>45881</v>
      </c>
      <c r="C62" s="55" t="s">
        <v>136</v>
      </c>
      <c r="D62" s="56" t="s">
        <v>185</v>
      </c>
      <c r="E62" s="56" t="s">
        <v>186</v>
      </c>
      <c r="F62" s="55" t="s">
        <v>54</v>
      </c>
      <c r="G62" s="57">
        <v>400</v>
      </c>
      <c r="H62" s="58">
        <v>7.7160000000000002</v>
      </c>
      <c r="I62" s="26">
        <f t="shared" si="1"/>
        <v>3086.4</v>
      </c>
      <c r="J62" s="59">
        <v>1</v>
      </c>
      <c r="K62" s="26">
        <f t="shared" si="2"/>
        <v>3086.4</v>
      </c>
      <c r="L62" s="56" t="s">
        <v>203</v>
      </c>
    </row>
    <row r="63" spans="1:12" x14ac:dyDescent="0.2">
      <c r="A63" s="23">
        <f t="shared" si="0"/>
        <v>59</v>
      </c>
      <c r="B63" s="54">
        <v>45881</v>
      </c>
      <c r="C63" s="55" t="s">
        <v>136</v>
      </c>
      <c r="D63" s="56" t="s">
        <v>188</v>
      </c>
      <c r="E63" s="56" t="s">
        <v>189</v>
      </c>
      <c r="F63" s="55" t="s">
        <v>54</v>
      </c>
      <c r="G63" s="57">
        <v>200</v>
      </c>
      <c r="H63" s="58">
        <v>34.96</v>
      </c>
      <c r="I63" s="26">
        <f t="shared" si="1"/>
        <v>6992</v>
      </c>
      <c r="J63" s="59">
        <v>1</v>
      </c>
      <c r="K63" s="26">
        <f t="shared" si="2"/>
        <v>6992</v>
      </c>
      <c r="L63" s="56" t="s">
        <v>204</v>
      </c>
    </row>
    <row r="64" spans="1:12" x14ac:dyDescent="0.2">
      <c r="A64" s="23">
        <f t="shared" si="0"/>
        <v>60</v>
      </c>
      <c r="B64" s="54">
        <v>45887</v>
      </c>
      <c r="C64" s="55" t="s">
        <v>136</v>
      </c>
      <c r="D64" s="56" t="s">
        <v>143</v>
      </c>
      <c r="E64" s="56" t="s">
        <v>144</v>
      </c>
      <c r="F64" s="55" t="s">
        <v>54</v>
      </c>
      <c r="G64" s="57">
        <v>32</v>
      </c>
      <c r="H64" s="58">
        <v>30.204999999999998</v>
      </c>
      <c r="I64" s="26">
        <f t="shared" si="1"/>
        <v>966.56</v>
      </c>
      <c r="J64" s="59">
        <v>1</v>
      </c>
      <c r="K64" s="26">
        <f t="shared" si="2"/>
        <v>966.56</v>
      </c>
      <c r="L64" s="15"/>
    </row>
    <row r="65" spans="1:12" x14ac:dyDescent="0.2">
      <c r="A65" s="23">
        <f t="shared" si="0"/>
        <v>61</v>
      </c>
      <c r="B65" s="54">
        <v>45887</v>
      </c>
      <c r="C65" s="55" t="s">
        <v>136</v>
      </c>
      <c r="D65" s="56" t="s">
        <v>157</v>
      </c>
      <c r="E65" s="56" t="s">
        <v>158</v>
      </c>
      <c r="F65" s="55" t="s">
        <v>54</v>
      </c>
      <c r="G65" s="57">
        <v>12</v>
      </c>
      <c r="H65" s="58">
        <v>203.95</v>
      </c>
      <c r="I65" s="26">
        <f t="shared" si="1"/>
        <v>2447.3999999999996</v>
      </c>
      <c r="J65" s="59">
        <v>1</v>
      </c>
      <c r="K65" s="26">
        <f t="shared" si="2"/>
        <v>2447.3999999999996</v>
      </c>
      <c r="L65" s="15"/>
    </row>
    <row r="66" spans="1:12" x14ac:dyDescent="0.2">
      <c r="A66" s="23">
        <f t="shared" si="0"/>
        <v>62</v>
      </c>
      <c r="B66" s="54">
        <v>45887</v>
      </c>
      <c r="C66" s="55" t="s">
        <v>136</v>
      </c>
      <c r="D66" s="56" t="s">
        <v>191</v>
      </c>
      <c r="E66" s="56" t="s">
        <v>192</v>
      </c>
      <c r="F66" s="55" t="s">
        <v>54</v>
      </c>
      <c r="G66" s="57">
        <v>1</v>
      </c>
      <c r="H66" s="58">
        <v>284.06</v>
      </c>
      <c r="I66" s="26">
        <f t="shared" si="1"/>
        <v>284.06</v>
      </c>
      <c r="J66" s="59">
        <v>1</v>
      </c>
      <c r="K66" s="26">
        <f t="shared" si="2"/>
        <v>284.06</v>
      </c>
      <c r="L66" s="15"/>
    </row>
    <row r="67" spans="1:12" x14ac:dyDescent="0.2">
      <c r="A67" s="23">
        <f t="shared" si="0"/>
        <v>63</v>
      </c>
      <c r="B67" s="54">
        <v>45887</v>
      </c>
      <c r="C67" s="55" t="s">
        <v>136</v>
      </c>
      <c r="D67" s="56" t="s">
        <v>194</v>
      </c>
      <c r="E67" s="56" t="s">
        <v>195</v>
      </c>
      <c r="F67" s="55" t="s">
        <v>54</v>
      </c>
      <c r="G67" s="57">
        <v>16</v>
      </c>
      <c r="H67" s="58">
        <v>29.82</v>
      </c>
      <c r="I67" s="26">
        <f t="shared" si="1"/>
        <v>477.12</v>
      </c>
      <c r="J67" s="59">
        <v>1</v>
      </c>
      <c r="K67" s="26">
        <f t="shared" si="2"/>
        <v>477.12</v>
      </c>
      <c r="L67" s="15"/>
    </row>
    <row r="68" spans="1:12" x14ac:dyDescent="0.2">
      <c r="A68" s="23">
        <f t="shared" si="0"/>
        <v>64</v>
      </c>
      <c r="B68" s="54">
        <v>45894</v>
      </c>
      <c r="C68" s="55" t="s">
        <v>136</v>
      </c>
      <c r="D68" s="56" t="s">
        <v>143</v>
      </c>
      <c r="E68" s="56" t="s">
        <v>144</v>
      </c>
      <c r="F68" s="55" t="s">
        <v>54</v>
      </c>
      <c r="G68" s="57">
        <v>33</v>
      </c>
      <c r="H68" s="58">
        <v>29.725000000000001</v>
      </c>
      <c r="I68" s="26">
        <f t="shared" si="1"/>
        <v>980.92500000000007</v>
      </c>
      <c r="J68" s="59">
        <v>1</v>
      </c>
      <c r="K68" s="26">
        <f t="shared" si="2"/>
        <v>980.92500000000007</v>
      </c>
      <c r="L68" s="15"/>
    </row>
    <row r="69" spans="1:12" x14ac:dyDescent="0.2">
      <c r="A69" s="23">
        <f t="shared" ref="A69:A132" si="3">IF(B69="","",ROW()-4)</f>
        <v>65</v>
      </c>
      <c r="B69" s="54">
        <v>45894</v>
      </c>
      <c r="C69" s="55" t="s">
        <v>136</v>
      </c>
      <c r="D69" s="56" t="s">
        <v>157</v>
      </c>
      <c r="E69" s="56" t="s">
        <v>158</v>
      </c>
      <c r="F69" s="55" t="s">
        <v>54</v>
      </c>
      <c r="G69" s="57">
        <v>12</v>
      </c>
      <c r="H69" s="58">
        <v>206.75</v>
      </c>
      <c r="I69" s="26">
        <f t="shared" ref="I69:I132" si="4">IF(OR(G69="",H69=""),"",G69*H69)</f>
        <v>2481</v>
      </c>
      <c r="J69" s="59">
        <v>1</v>
      </c>
      <c r="K69" s="26">
        <f t="shared" ref="K69:K132" si="5">IF(OR(I69="",J69=""),"",I69*J69)</f>
        <v>2481</v>
      </c>
      <c r="L69" s="15"/>
    </row>
    <row r="70" spans="1:12" x14ac:dyDescent="0.2">
      <c r="A70" s="23">
        <f t="shared" si="3"/>
        <v>66</v>
      </c>
      <c r="B70" s="54">
        <v>45894</v>
      </c>
      <c r="C70" s="55" t="s">
        <v>136</v>
      </c>
      <c r="D70" s="56" t="s">
        <v>191</v>
      </c>
      <c r="E70" s="56" t="s">
        <v>192</v>
      </c>
      <c r="F70" s="55" t="s">
        <v>54</v>
      </c>
      <c r="G70" s="57">
        <v>1</v>
      </c>
      <c r="H70" s="58">
        <v>287.08</v>
      </c>
      <c r="I70" s="26">
        <f t="shared" si="4"/>
        <v>287.08</v>
      </c>
      <c r="J70" s="59">
        <v>1</v>
      </c>
      <c r="K70" s="26">
        <f t="shared" si="5"/>
        <v>287.08</v>
      </c>
      <c r="L70" s="15"/>
    </row>
    <row r="71" spans="1:12" x14ac:dyDescent="0.2">
      <c r="A71" s="23">
        <f t="shared" si="3"/>
        <v>67</v>
      </c>
      <c r="B71" s="54">
        <v>45894</v>
      </c>
      <c r="C71" s="55" t="s">
        <v>136</v>
      </c>
      <c r="D71" s="56" t="s">
        <v>194</v>
      </c>
      <c r="E71" s="56" t="s">
        <v>195</v>
      </c>
      <c r="F71" s="55" t="s">
        <v>54</v>
      </c>
      <c r="G71" s="57">
        <v>16</v>
      </c>
      <c r="H71" s="58">
        <v>30.39</v>
      </c>
      <c r="I71" s="26">
        <f t="shared" si="4"/>
        <v>486.24</v>
      </c>
      <c r="J71" s="59">
        <v>1</v>
      </c>
      <c r="K71" s="26">
        <f t="shared" si="5"/>
        <v>486.24</v>
      </c>
      <c r="L71" s="15"/>
    </row>
    <row r="72" spans="1:12" x14ac:dyDescent="0.2">
      <c r="A72" s="23">
        <f t="shared" si="3"/>
        <v>68</v>
      </c>
      <c r="B72" s="54">
        <v>45897</v>
      </c>
      <c r="C72" s="55" t="s">
        <v>136</v>
      </c>
      <c r="D72" s="56" t="s">
        <v>205</v>
      </c>
      <c r="E72" s="56" t="s">
        <v>206</v>
      </c>
      <c r="F72" s="55" t="s">
        <v>54</v>
      </c>
      <c r="G72" s="57">
        <v>2500</v>
      </c>
      <c r="H72" s="64">
        <v>8.2522520000000004</v>
      </c>
      <c r="I72" s="26">
        <f t="shared" si="4"/>
        <v>20630.63</v>
      </c>
      <c r="J72" s="59">
        <v>1</v>
      </c>
      <c r="K72" s="26">
        <f t="shared" si="5"/>
        <v>20630.63</v>
      </c>
      <c r="L72" s="56" t="s">
        <v>207</v>
      </c>
    </row>
    <row r="73" spans="1:12" x14ac:dyDescent="0.2">
      <c r="A73" s="23">
        <f t="shared" si="3"/>
        <v>69</v>
      </c>
      <c r="B73" s="54">
        <v>45901</v>
      </c>
      <c r="C73" s="55" t="s">
        <v>136</v>
      </c>
      <c r="D73" s="56" t="s">
        <v>143</v>
      </c>
      <c r="E73" s="56" t="s">
        <v>144</v>
      </c>
      <c r="F73" s="55" t="s">
        <v>54</v>
      </c>
      <c r="G73" s="57">
        <v>32</v>
      </c>
      <c r="H73" s="58">
        <v>30.545000000000002</v>
      </c>
      <c r="I73" s="26">
        <f t="shared" si="4"/>
        <v>977.44</v>
      </c>
      <c r="J73" s="59">
        <v>1</v>
      </c>
      <c r="K73" s="26">
        <f t="shared" si="5"/>
        <v>977.44</v>
      </c>
      <c r="L73" s="15"/>
    </row>
    <row r="74" spans="1:12" x14ac:dyDescent="0.2">
      <c r="A74" s="23">
        <f t="shared" si="3"/>
        <v>70</v>
      </c>
      <c r="B74" s="54">
        <v>45901</v>
      </c>
      <c r="C74" s="55" t="s">
        <v>136</v>
      </c>
      <c r="D74" s="56" t="s">
        <v>157</v>
      </c>
      <c r="E74" s="56" t="s">
        <v>158</v>
      </c>
      <c r="F74" s="55" t="s">
        <v>54</v>
      </c>
      <c r="G74" s="57">
        <v>12</v>
      </c>
      <c r="H74" s="58">
        <v>202.8</v>
      </c>
      <c r="I74" s="26">
        <f t="shared" si="4"/>
        <v>2433.6000000000004</v>
      </c>
      <c r="J74" s="59">
        <v>1</v>
      </c>
      <c r="K74" s="26">
        <f t="shared" si="5"/>
        <v>2433.6000000000004</v>
      </c>
      <c r="L74" s="15"/>
    </row>
    <row r="75" spans="1:12" x14ac:dyDescent="0.2">
      <c r="A75" s="23">
        <f t="shared" si="3"/>
        <v>71</v>
      </c>
      <c r="B75" s="54">
        <v>45901</v>
      </c>
      <c r="C75" s="55" t="s">
        <v>136</v>
      </c>
      <c r="D75" s="56" t="s">
        <v>191</v>
      </c>
      <c r="E75" s="56" t="s">
        <v>192</v>
      </c>
      <c r="F75" s="55" t="s">
        <v>54</v>
      </c>
      <c r="G75" s="57">
        <v>1</v>
      </c>
      <c r="H75" s="58">
        <v>295.39999999999998</v>
      </c>
      <c r="I75" s="26">
        <f t="shared" si="4"/>
        <v>295.39999999999998</v>
      </c>
      <c r="J75" s="59">
        <v>1</v>
      </c>
      <c r="K75" s="26">
        <f t="shared" si="5"/>
        <v>295.39999999999998</v>
      </c>
      <c r="L75" s="15"/>
    </row>
    <row r="76" spans="1:12" x14ac:dyDescent="0.2">
      <c r="A76" s="23">
        <f t="shared" si="3"/>
        <v>72</v>
      </c>
      <c r="B76" s="54">
        <v>45901</v>
      </c>
      <c r="C76" s="55" t="s">
        <v>136</v>
      </c>
      <c r="D76" s="56" t="s">
        <v>194</v>
      </c>
      <c r="E76" s="56" t="s">
        <v>195</v>
      </c>
      <c r="F76" s="55" t="s">
        <v>54</v>
      </c>
      <c r="G76" s="57">
        <v>15</v>
      </c>
      <c r="H76" s="58">
        <v>31.805299999999999</v>
      </c>
      <c r="I76" s="26">
        <f t="shared" si="4"/>
        <v>477.0795</v>
      </c>
      <c r="J76" s="59">
        <v>1</v>
      </c>
      <c r="K76" s="26">
        <f t="shared" si="5"/>
        <v>477.0795</v>
      </c>
      <c r="L76" s="15"/>
    </row>
    <row r="77" spans="1:12" x14ac:dyDescent="0.2">
      <c r="A77" s="23">
        <f t="shared" si="3"/>
        <v>73</v>
      </c>
      <c r="B77" s="54">
        <v>45908</v>
      </c>
      <c r="C77" s="55" t="s">
        <v>136</v>
      </c>
      <c r="D77" s="56" t="s">
        <v>143</v>
      </c>
      <c r="E77" s="56" t="s">
        <v>144</v>
      </c>
      <c r="F77" s="55" t="s">
        <v>54</v>
      </c>
      <c r="G77" s="57">
        <v>32</v>
      </c>
      <c r="H77" s="58">
        <v>30.25</v>
      </c>
      <c r="I77" s="26">
        <f t="shared" si="4"/>
        <v>968</v>
      </c>
      <c r="J77" s="59">
        <v>1</v>
      </c>
      <c r="K77" s="26">
        <f t="shared" si="5"/>
        <v>968</v>
      </c>
      <c r="L77" s="15"/>
    </row>
    <row r="78" spans="1:12" x14ac:dyDescent="0.2">
      <c r="A78" s="23">
        <f t="shared" si="3"/>
        <v>74</v>
      </c>
      <c r="B78" s="54">
        <v>45908</v>
      </c>
      <c r="C78" s="55" t="s">
        <v>136</v>
      </c>
      <c r="D78" s="56" t="s">
        <v>157</v>
      </c>
      <c r="E78" s="56" t="s">
        <v>158</v>
      </c>
      <c r="F78" s="55" t="s">
        <v>54</v>
      </c>
      <c r="G78" s="57">
        <v>12</v>
      </c>
      <c r="H78" s="58">
        <v>199.5</v>
      </c>
      <c r="I78" s="26">
        <f t="shared" si="4"/>
        <v>2394</v>
      </c>
      <c r="J78" s="59">
        <v>1</v>
      </c>
      <c r="K78" s="26">
        <f t="shared" si="5"/>
        <v>2394</v>
      </c>
      <c r="L78" s="15"/>
    </row>
    <row r="79" spans="1:12" x14ac:dyDescent="0.2">
      <c r="A79" s="23">
        <f t="shared" si="3"/>
        <v>75</v>
      </c>
      <c r="B79" s="54">
        <v>45908</v>
      </c>
      <c r="C79" s="55" t="s">
        <v>136</v>
      </c>
      <c r="D79" s="56" t="s">
        <v>191</v>
      </c>
      <c r="E79" s="56" t="s">
        <v>192</v>
      </c>
      <c r="F79" s="55" t="s">
        <v>54</v>
      </c>
      <c r="G79" s="57">
        <v>1</v>
      </c>
      <c r="H79" s="58">
        <v>307.70999999999998</v>
      </c>
      <c r="I79" s="26">
        <f t="shared" si="4"/>
        <v>307.70999999999998</v>
      </c>
      <c r="J79" s="59">
        <v>1</v>
      </c>
      <c r="K79" s="26">
        <f t="shared" si="5"/>
        <v>307.70999999999998</v>
      </c>
      <c r="L79" s="15"/>
    </row>
    <row r="80" spans="1:12" x14ac:dyDescent="0.2">
      <c r="A80" s="23">
        <f t="shared" si="3"/>
        <v>76</v>
      </c>
      <c r="B80" s="54">
        <v>45908</v>
      </c>
      <c r="C80" s="55" t="s">
        <v>136</v>
      </c>
      <c r="D80" s="56" t="s">
        <v>194</v>
      </c>
      <c r="E80" s="56" t="s">
        <v>195</v>
      </c>
      <c r="F80" s="55" t="s">
        <v>54</v>
      </c>
      <c r="G80" s="57">
        <v>15</v>
      </c>
      <c r="H80" s="58">
        <v>32.130000000000003</v>
      </c>
      <c r="I80" s="26">
        <f t="shared" si="4"/>
        <v>481.95000000000005</v>
      </c>
      <c r="J80" s="59">
        <v>1</v>
      </c>
      <c r="K80" s="26">
        <f t="shared" si="5"/>
        <v>481.95000000000005</v>
      </c>
      <c r="L80" s="15"/>
    </row>
    <row r="81" spans="1:12" x14ac:dyDescent="0.2">
      <c r="A81" s="23">
        <f t="shared" si="3"/>
        <v>77</v>
      </c>
      <c r="B81" s="54">
        <v>45911</v>
      </c>
      <c r="C81" s="55" t="s">
        <v>136</v>
      </c>
      <c r="D81" s="56" t="s">
        <v>208</v>
      </c>
      <c r="E81" s="56" t="s">
        <v>209</v>
      </c>
      <c r="F81" s="55" t="s">
        <v>104</v>
      </c>
      <c r="G81" s="57">
        <v>10</v>
      </c>
      <c r="H81" s="58">
        <v>330</v>
      </c>
      <c r="I81" s="26">
        <f t="shared" si="4"/>
        <v>3300</v>
      </c>
      <c r="J81" s="59">
        <v>0.85186099999999998</v>
      </c>
      <c r="K81" s="26">
        <f t="shared" si="5"/>
        <v>2811.1412999999998</v>
      </c>
      <c r="L81" s="56" t="s">
        <v>210</v>
      </c>
    </row>
    <row r="82" spans="1:12" x14ac:dyDescent="0.2">
      <c r="A82" s="23">
        <f t="shared" si="3"/>
        <v>78</v>
      </c>
      <c r="B82" s="54">
        <v>45911</v>
      </c>
      <c r="C82" s="55" t="s">
        <v>136</v>
      </c>
      <c r="D82" s="56" t="s">
        <v>160</v>
      </c>
      <c r="E82" s="56" t="s">
        <v>161</v>
      </c>
      <c r="F82" s="55" t="s">
        <v>54</v>
      </c>
      <c r="G82" s="57">
        <v>100</v>
      </c>
      <c r="H82" s="58">
        <v>83.45</v>
      </c>
      <c r="I82" s="26">
        <f t="shared" si="4"/>
        <v>8345</v>
      </c>
      <c r="J82" s="59">
        <v>1</v>
      </c>
      <c r="K82" s="26">
        <f t="shared" si="5"/>
        <v>8345</v>
      </c>
      <c r="L82" s="56" t="s">
        <v>211</v>
      </c>
    </row>
    <row r="83" spans="1:12" x14ac:dyDescent="0.2">
      <c r="A83" s="23">
        <f t="shared" si="3"/>
        <v>79</v>
      </c>
      <c r="B83" s="54">
        <v>45911</v>
      </c>
      <c r="C83" s="55" t="s">
        <v>136</v>
      </c>
      <c r="D83" s="56" t="s">
        <v>179</v>
      </c>
      <c r="E83" s="56" t="s">
        <v>180</v>
      </c>
      <c r="F83" s="55" t="s">
        <v>54</v>
      </c>
      <c r="G83" s="57">
        <v>1000</v>
      </c>
      <c r="H83" s="58">
        <v>4.7145000000000001</v>
      </c>
      <c r="I83" s="26">
        <f t="shared" si="4"/>
        <v>4714.5</v>
      </c>
      <c r="J83" s="59">
        <v>1</v>
      </c>
      <c r="K83" s="26">
        <f t="shared" si="5"/>
        <v>4714.5</v>
      </c>
      <c r="L83" s="56" t="s">
        <v>212</v>
      </c>
    </row>
    <row r="84" spans="1:12" x14ac:dyDescent="0.2">
      <c r="A84" s="23">
        <f t="shared" si="3"/>
        <v>80</v>
      </c>
      <c r="B84" s="54">
        <v>45912</v>
      </c>
      <c r="C84" s="55" t="s">
        <v>136</v>
      </c>
      <c r="D84" s="56" t="s">
        <v>208</v>
      </c>
      <c r="E84" s="56" t="s">
        <v>209</v>
      </c>
      <c r="F84" s="55" t="s">
        <v>104</v>
      </c>
      <c r="G84" s="57">
        <v>15</v>
      </c>
      <c r="H84" s="64">
        <v>298.316667</v>
      </c>
      <c r="I84" s="26">
        <f t="shared" si="4"/>
        <v>4474.7500049999999</v>
      </c>
      <c r="J84" s="59">
        <v>0.85200799999999999</v>
      </c>
      <c r="K84" s="26">
        <f t="shared" si="5"/>
        <v>3812.52280226004</v>
      </c>
      <c r="L84" s="56" t="s">
        <v>213</v>
      </c>
    </row>
    <row r="85" spans="1:12" x14ac:dyDescent="0.2">
      <c r="A85" s="23">
        <f t="shared" si="3"/>
        <v>81</v>
      </c>
      <c r="B85" s="54">
        <v>45912</v>
      </c>
      <c r="C85" s="55" t="s">
        <v>136</v>
      </c>
      <c r="D85" s="56" t="s">
        <v>179</v>
      </c>
      <c r="E85" s="56" t="s">
        <v>180</v>
      </c>
      <c r="F85" s="55" t="s">
        <v>54</v>
      </c>
      <c r="G85" s="57">
        <v>500</v>
      </c>
      <c r="H85" s="58">
        <v>4.6559999999999997</v>
      </c>
      <c r="I85" s="26">
        <f t="shared" si="4"/>
        <v>2328</v>
      </c>
      <c r="J85" s="59">
        <v>1</v>
      </c>
      <c r="K85" s="26">
        <f t="shared" si="5"/>
        <v>2328</v>
      </c>
      <c r="L85" s="15"/>
    </row>
    <row r="86" spans="1:12" x14ac:dyDescent="0.2">
      <c r="A86" s="23">
        <f t="shared" si="3"/>
        <v>82</v>
      </c>
      <c r="B86" s="54">
        <v>45915</v>
      </c>
      <c r="C86" s="55" t="s">
        <v>136</v>
      </c>
      <c r="D86" s="56" t="s">
        <v>143</v>
      </c>
      <c r="E86" s="56" t="s">
        <v>144</v>
      </c>
      <c r="F86" s="55" t="s">
        <v>54</v>
      </c>
      <c r="G86" s="57">
        <v>30</v>
      </c>
      <c r="H86" s="58">
        <v>32.700000000000003</v>
      </c>
      <c r="I86" s="26">
        <f t="shared" si="4"/>
        <v>981.00000000000011</v>
      </c>
      <c r="J86" s="59">
        <v>1</v>
      </c>
      <c r="K86" s="26">
        <f t="shared" si="5"/>
        <v>981.00000000000011</v>
      </c>
      <c r="L86" s="15"/>
    </row>
    <row r="87" spans="1:12" x14ac:dyDescent="0.2">
      <c r="A87" s="23">
        <f t="shared" si="3"/>
        <v>83</v>
      </c>
      <c r="B87" s="54">
        <v>45915</v>
      </c>
      <c r="C87" s="55" t="s">
        <v>136</v>
      </c>
      <c r="D87" s="56" t="s">
        <v>157</v>
      </c>
      <c r="E87" s="56" t="s">
        <v>158</v>
      </c>
      <c r="F87" s="55" t="s">
        <v>54</v>
      </c>
      <c r="G87" s="57">
        <v>12</v>
      </c>
      <c r="H87" s="58">
        <v>205.8</v>
      </c>
      <c r="I87" s="26">
        <f t="shared" si="4"/>
        <v>2469.6000000000004</v>
      </c>
      <c r="J87" s="59">
        <v>1</v>
      </c>
      <c r="K87" s="26">
        <f t="shared" si="5"/>
        <v>2469.6000000000004</v>
      </c>
      <c r="L87" s="15"/>
    </row>
    <row r="88" spans="1:12" x14ac:dyDescent="0.2">
      <c r="A88" s="23">
        <f t="shared" si="3"/>
        <v>84</v>
      </c>
      <c r="B88" s="54">
        <v>45915</v>
      </c>
      <c r="C88" s="55" t="s">
        <v>136</v>
      </c>
      <c r="D88" s="56" t="s">
        <v>191</v>
      </c>
      <c r="E88" s="56" t="s">
        <v>192</v>
      </c>
      <c r="F88" s="55" t="s">
        <v>54</v>
      </c>
      <c r="G88" s="57">
        <v>1</v>
      </c>
      <c r="H88" s="58">
        <v>309.85000000000002</v>
      </c>
      <c r="I88" s="26">
        <f t="shared" si="4"/>
        <v>309.85000000000002</v>
      </c>
      <c r="J88" s="59">
        <v>1</v>
      </c>
      <c r="K88" s="26">
        <f t="shared" si="5"/>
        <v>309.85000000000002</v>
      </c>
      <c r="L88" s="15"/>
    </row>
    <row r="89" spans="1:12" x14ac:dyDescent="0.2">
      <c r="A89" s="23">
        <f t="shared" si="3"/>
        <v>85</v>
      </c>
      <c r="B89" s="54">
        <v>45915</v>
      </c>
      <c r="C89" s="55" t="s">
        <v>136</v>
      </c>
      <c r="D89" s="56" t="s">
        <v>194</v>
      </c>
      <c r="E89" s="56" t="s">
        <v>195</v>
      </c>
      <c r="F89" s="55" t="s">
        <v>54</v>
      </c>
      <c r="G89" s="57">
        <v>15</v>
      </c>
      <c r="H89" s="58">
        <v>32.965299999999999</v>
      </c>
      <c r="I89" s="26">
        <f t="shared" si="4"/>
        <v>494.47949999999997</v>
      </c>
      <c r="J89" s="59">
        <v>1</v>
      </c>
      <c r="K89" s="26">
        <f t="shared" si="5"/>
        <v>494.47949999999997</v>
      </c>
      <c r="L89" s="15"/>
    </row>
    <row r="90" spans="1:12" x14ac:dyDescent="0.2">
      <c r="A90" s="23">
        <f t="shared" si="3"/>
        <v>86</v>
      </c>
      <c r="B90" s="54">
        <v>45916</v>
      </c>
      <c r="C90" s="55" t="s">
        <v>136</v>
      </c>
      <c r="D90" s="56" t="s">
        <v>208</v>
      </c>
      <c r="E90" s="56" t="s">
        <v>209</v>
      </c>
      <c r="F90" s="55" t="s">
        <v>104</v>
      </c>
      <c r="G90" s="57">
        <v>10</v>
      </c>
      <c r="H90" s="58">
        <v>304.16000000000003</v>
      </c>
      <c r="I90" s="26">
        <f t="shared" si="4"/>
        <v>3041.6000000000004</v>
      </c>
      <c r="J90" s="59">
        <v>0.84309900000000004</v>
      </c>
      <c r="K90" s="26">
        <f t="shared" si="5"/>
        <v>2564.3699184000006</v>
      </c>
      <c r="L90" s="56" t="s">
        <v>214</v>
      </c>
    </row>
    <row r="91" spans="1:12" x14ac:dyDescent="0.2">
      <c r="A91" s="23">
        <f t="shared" si="3"/>
        <v>87</v>
      </c>
      <c r="B91" s="54">
        <v>45917</v>
      </c>
      <c r="C91" s="55" t="s">
        <v>136</v>
      </c>
      <c r="D91" s="56" t="s">
        <v>205</v>
      </c>
      <c r="E91" s="56" t="s">
        <v>206</v>
      </c>
      <c r="F91" s="55" t="s">
        <v>54</v>
      </c>
      <c r="G91" s="57">
        <v>1000</v>
      </c>
      <c r="H91" s="58">
        <v>8.36</v>
      </c>
      <c r="I91" s="26">
        <f t="shared" si="4"/>
        <v>8360</v>
      </c>
      <c r="J91" s="59">
        <v>1</v>
      </c>
      <c r="K91" s="26">
        <f t="shared" si="5"/>
        <v>8360</v>
      </c>
      <c r="L91" s="15"/>
    </row>
    <row r="92" spans="1:12" x14ac:dyDescent="0.2">
      <c r="A92" s="23">
        <f t="shared" si="3"/>
        <v>88</v>
      </c>
      <c r="B92" s="54">
        <v>45917</v>
      </c>
      <c r="C92" s="55" t="s">
        <v>136</v>
      </c>
      <c r="D92" s="56" t="s">
        <v>215</v>
      </c>
      <c r="E92" s="56" t="s">
        <v>216</v>
      </c>
      <c r="F92" s="55" t="s">
        <v>54</v>
      </c>
      <c r="G92" s="57">
        <v>1000</v>
      </c>
      <c r="H92" s="58">
        <v>3.34</v>
      </c>
      <c r="I92" s="26">
        <f t="shared" si="4"/>
        <v>3340</v>
      </c>
      <c r="J92" s="59">
        <v>1</v>
      </c>
      <c r="K92" s="26">
        <f t="shared" si="5"/>
        <v>3340</v>
      </c>
      <c r="L92" s="56" t="s">
        <v>217</v>
      </c>
    </row>
    <row r="93" spans="1:12" x14ac:dyDescent="0.2">
      <c r="A93" s="23">
        <f t="shared" si="3"/>
        <v>89</v>
      </c>
      <c r="B93" s="54">
        <v>45917</v>
      </c>
      <c r="C93" s="55" t="s">
        <v>136</v>
      </c>
      <c r="D93" s="56" t="s">
        <v>218</v>
      </c>
      <c r="E93" s="56" t="s">
        <v>219</v>
      </c>
      <c r="F93" s="55" t="s">
        <v>54</v>
      </c>
      <c r="G93" s="57">
        <v>1000</v>
      </c>
      <c r="H93" s="58">
        <v>23.45</v>
      </c>
      <c r="I93" s="26">
        <f t="shared" si="4"/>
        <v>23450</v>
      </c>
      <c r="J93" s="59">
        <v>1</v>
      </c>
      <c r="K93" s="26">
        <f t="shared" si="5"/>
        <v>23450</v>
      </c>
      <c r="L93" s="56" t="s">
        <v>220</v>
      </c>
    </row>
    <row r="94" spans="1:12" x14ac:dyDescent="0.2">
      <c r="A94" s="23">
        <f t="shared" si="3"/>
        <v>90</v>
      </c>
      <c r="B94" s="54">
        <v>45923</v>
      </c>
      <c r="C94" s="55" t="s">
        <v>136</v>
      </c>
      <c r="D94" s="56" t="s">
        <v>143</v>
      </c>
      <c r="E94" s="56" t="s">
        <v>144</v>
      </c>
      <c r="F94" s="55" t="s">
        <v>54</v>
      </c>
      <c r="G94" s="57">
        <v>30</v>
      </c>
      <c r="H94" s="58">
        <v>32.104999999999997</v>
      </c>
      <c r="I94" s="26">
        <f t="shared" si="4"/>
        <v>963.14999999999986</v>
      </c>
      <c r="J94" s="59">
        <v>1</v>
      </c>
      <c r="K94" s="26">
        <f t="shared" si="5"/>
        <v>963.14999999999986</v>
      </c>
      <c r="L94" s="15"/>
    </row>
    <row r="95" spans="1:12" x14ac:dyDescent="0.2">
      <c r="A95" s="23">
        <f t="shared" si="3"/>
        <v>91</v>
      </c>
      <c r="B95" s="54">
        <v>45923</v>
      </c>
      <c r="C95" s="55" t="s">
        <v>136</v>
      </c>
      <c r="D95" s="56" t="s">
        <v>157</v>
      </c>
      <c r="E95" s="56" t="s">
        <v>158</v>
      </c>
      <c r="F95" s="55" t="s">
        <v>54</v>
      </c>
      <c r="G95" s="57">
        <v>12</v>
      </c>
      <c r="H95" s="58">
        <v>203.3</v>
      </c>
      <c r="I95" s="26">
        <f t="shared" si="4"/>
        <v>2439.6000000000004</v>
      </c>
      <c r="J95" s="59">
        <v>1</v>
      </c>
      <c r="K95" s="26">
        <f t="shared" si="5"/>
        <v>2439.6000000000004</v>
      </c>
      <c r="L95" s="15"/>
    </row>
    <row r="96" spans="1:12" x14ac:dyDescent="0.2">
      <c r="A96" s="23">
        <f t="shared" si="3"/>
        <v>92</v>
      </c>
      <c r="B96" s="54">
        <v>45923</v>
      </c>
      <c r="C96" s="55" t="s">
        <v>136</v>
      </c>
      <c r="D96" s="56" t="s">
        <v>191</v>
      </c>
      <c r="E96" s="56" t="s">
        <v>192</v>
      </c>
      <c r="F96" s="55" t="s">
        <v>54</v>
      </c>
      <c r="G96" s="57">
        <v>1</v>
      </c>
      <c r="H96" s="58">
        <v>318.86</v>
      </c>
      <c r="I96" s="26">
        <f t="shared" si="4"/>
        <v>318.86</v>
      </c>
      <c r="J96" s="59">
        <v>1</v>
      </c>
      <c r="K96" s="26">
        <f t="shared" si="5"/>
        <v>318.86</v>
      </c>
      <c r="L96" s="15"/>
    </row>
    <row r="97" spans="1:12" x14ac:dyDescent="0.2">
      <c r="A97" s="23">
        <f t="shared" si="3"/>
        <v>93</v>
      </c>
      <c r="B97" s="54">
        <v>45923</v>
      </c>
      <c r="C97" s="55" t="s">
        <v>136</v>
      </c>
      <c r="D97" s="56" t="s">
        <v>194</v>
      </c>
      <c r="E97" s="56" t="s">
        <v>195</v>
      </c>
      <c r="F97" s="55" t="s">
        <v>54</v>
      </c>
      <c r="G97" s="57">
        <v>14</v>
      </c>
      <c r="H97" s="58">
        <v>34.314999999999998</v>
      </c>
      <c r="I97" s="26">
        <f t="shared" si="4"/>
        <v>480.40999999999997</v>
      </c>
      <c r="J97" s="59">
        <v>1</v>
      </c>
      <c r="K97" s="26">
        <f t="shared" si="5"/>
        <v>480.40999999999997</v>
      </c>
      <c r="L97" s="15"/>
    </row>
    <row r="98" spans="1:12" x14ac:dyDescent="0.2">
      <c r="A98" s="23">
        <f t="shared" si="3"/>
        <v>94</v>
      </c>
      <c r="B98" s="54">
        <v>45924</v>
      </c>
      <c r="C98" s="55" t="s">
        <v>136</v>
      </c>
      <c r="D98" s="56" t="s">
        <v>215</v>
      </c>
      <c r="E98" s="56" t="s">
        <v>216</v>
      </c>
      <c r="F98" s="55" t="s">
        <v>54</v>
      </c>
      <c r="G98" s="57">
        <v>2000</v>
      </c>
      <c r="H98" s="64">
        <v>3.3345950000000002</v>
      </c>
      <c r="I98" s="26">
        <f t="shared" si="4"/>
        <v>6669.1900000000005</v>
      </c>
      <c r="J98" s="59">
        <v>1</v>
      </c>
      <c r="K98" s="26">
        <f t="shared" si="5"/>
        <v>6669.1900000000005</v>
      </c>
      <c r="L98" s="56" t="s">
        <v>221</v>
      </c>
    </row>
    <row r="99" spans="1:12" x14ac:dyDescent="0.2">
      <c r="A99" s="23">
        <f t="shared" si="3"/>
        <v>95</v>
      </c>
      <c r="B99" s="54">
        <v>45929</v>
      </c>
      <c r="C99" s="55" t="s">
        <v>136</v>
      </c>
      <c r="D99" s="56" t="s">
        <v>185</v>
      </c>
      <c r="E99" s="56" t="s">
        <v>186</v>
      </c>
      <c r="F99" s="55" t="s">
        <v>54</v>
      </c>
      <c r="G99" s="57">
        <v>500</v>
      </c>
      <c r="H99" s="58">
        <v>7.1555</v>
      </c>
      <c r="I99" s="26">
        <f t="shared" si="4"/>
        <v>3577.75</v>
      </c>
      <c r="J99" s="59">
        <v>1</v>
      </c>
      <c r="K99" s="26">
        <f t="shared" si="5"/>
        <v>3577.75</v>
      </c>
      <c r="L99" s="15"/>
    </row>
    <row r="100" spans="1:12" x14ac:dyDescent="0.2">
      <c r="A100" s="23">
        <f t="shared" si="3"/>
        <v>96</v>
      </c>
      <c r="B100" s="54">
        <v>45929</v>
      </c>
      <c r="C100" s="55" t="s">
        <v>136</v>
      </c>
      <c r="D100" s="56" t="s">
        <v>191</v>
      </c>
      <c r="E100" s="56" t="s">
        <v>192</v>
      </c>
      <c r="F100" s="55" t="s">
        <v>54</v>
      </c>
      <c r="G100" s="57">
        <v>30</v>
      </c>
      <c r="H100" s="58">
        <v>324.45999999999998</v>
      </c>
      <c r="I100" s="26">
        <f t="shared" si="4"/>
        <v>9733.7999999999993</v>
      </c>
      <c r="J100" s="59">
        <v>1</v>
      </c>
      <c r="K100" s="26">
        <f t="shared" si="5"/>
        <v>9733.7999999999993</v>
      </c>
      <c r="L100" s="15"/>
    </row>
    <row r="101" spans="1:12" x14ac:dyDescent="0.2">
      <c r="A101" s="23">
        <f t="shared" si="3"/>
        <v>97</v>
      </c>
      <c r="B101" s="54">
        <v>45929</v>
      </c>
      <c r="C101" s="55" t="s">
        <v>136</v>
      </c>
      <c r="D101" s="56" t="s">
        <v>194</v>
      </c>
      <c r="E101" s="56" t="s">
        <v>195</v>
      </c>
      <c r="F101" s="55" t="s">
        <v>54</v>
      </c>
      <c r="G101" s="57">
        <v>200</v>
      </c>
      <c r="H101" s="58">
        <v>36.695</v>
      </c>
      <c r="I101" s="26">
        <f t="shared" si="4"/>
        <v>7339</v>
      </c>
      <c r="J101" s="59">
        <v>1</v>
      </c>
      <c r="K101" s="26">
        <f t="shared" si="5"/>
        <v>7339</v>
      </c>
      <c r="L101" s="15"/>
    </row>
    <row r="102" spans="1:12" x14ac:dyDescent="0.2">
      <c r="A102" s="23">
        <f t="shared" si="3"/>
        <v>98</v>
      </c>
      <c r="B102" s="54">
        <v>45929</v>
      </c>
      <c r="C102" s="55" t="s">
        <v>136</v>
      </c>
      <c r="D102" s="56" t="s">
        <v>222</v>
      </c>
      <c r="E102" s="56" t="s">
        <v>223</v>
      </c>
      <c r="F102" s="55" t="s">
        <v>54</v>
      </c>
      <c r="G102" s="57">
        <v>436</v>
      </c>
      <c r="H102" s="58">
        <v>16.350000000000001</v>
      </c>
      <c r="I102" s="26">
        <f t="shared" si="4"/>
        <v>7128.6</v>
      </c>
      <c r="J102" s="59">
        <v>1</v>
      </c>
      <c r="K102" s="26">
        <f t="shared" si="5"/>
        <v>7128.6</v>
      </c>
      <c r="L102" s="56" t="s">
        <v>224</v>
      </c>
    </row>
    <row r="103" spans="1:12" x14ac:dyDescent="0.2">
      <c r="A103" s="23">
        <f t="shared" si="3"/>
        <v>99</v>
      </c>
      <c r="B103" s="54">
        <v>45929</v>
      </c>
      <c r="C103" s="55" t="s">
        <v>136</v>
      </c>
      <c r="D103" s="56" t="s">
        <v>225</v>
      </c>
      <c r="E103" s="56" t="s">
        <v>226</v>
      </c>
      <c r="F103" s="55" t="s">
        <v>54</v>
      </c>
      <c r="G103" s="57">
        <v>1500</v>
      </c>
      <c r="H103" s="58">
        <v>5.47</v>
      </c>
      <c r="I103" s="26">
        <f t="shared" si="4"/>
        <v>8205</v>
      </c>
      <c r="J103" s="59">
        <v>1</v>
      </c>
      <c r="K103" s="26">
        <f t="shared" si="5"/>
        <v>8205</v>
      </c>
      <c r="L103" s="56" t="s">
        <v>227</v>
      </c>
    </row>
    <row r="104" spans="1:12" x14ac:dyDescent="0.2">
      <c r="A104" s="23">
        <f t="shared" si="3"/>
        <v>100</v>
      </c>
      <c r="B104" s="54">
        <v>45929</v>
      </c>
      <c r="C104" s="55" t="s">
        <v>136</v>
      </c>
      <c r="D104" s="56" t="s">
        <v>228</v>
      </c>
      <c r="E104" s="56" t="s">
        <v>229</v>
      </c>
      <c r="F104" s="55" t="s">
        <v>54</v>
      </c>
      <c r="G104" s="57">
        <v>2000</v>
      </c>
      <c r="H104" s="64">
        <v>4.3882950000000003</v>
      </c>
      <c r="I104" s="26">
        <f t="shared" si="4"/>
        <v>8776.59</v>
      </c>
      <c r="J104" s="59">
        <v>1</v>
      </c>
      <c r="K104" s="26">
        <f t="shared" si="5"/>
        <v>8776.59</v>
      </c>
      <c r="L104" s="56" t="s">
        <v>230</v>
      </c>
    </row>
    <row r="105" spans="1:12" x14ac:dyDescent="0.2">
      <c r="A105" s="23">
        <f t="shared" si="3"/>
        <v>101</v>
      </c>
      <c r="B105" s="54">
        <v>45929</v>
      </c>
      <c r="C105" s="55" t="s">
        <v>136</v>
      </c>
      <c r="D105" s="56" t="s">
        <v>231</v>
      </c>
      <c r="E105" s="56" t="s">
        <v>232</v>
      </c>
      <c r="F105" s="55" t="s">
        <v>54</v>
      </c>
      <c r="G105" s="57">
        <v>500</v>
      </c>
      <c r="H105" s="58">
        <v>31.52</v>
      </c>
      <c r="I105" s="26">
        <f t="shared" si="4"/>
        <v>15760</v>
      </c>
      <c r="J105" s="59">
        <v>1</v>
      </c>
      <c r="K105" s="26">
        <f t="shared" si="5"/>
        <v>15760</v>
      </c>
      <c r="L105" s="56" t="s">
        <v>233</v>
      </c>
    </row>
    <row r="106" spans="1:12" x14ac:dyDescent="0.2">
      <c r="A106" s="23">
        <f t="shared" si="3"/>
        <v>102</v>
      </c>
      <c r="B106" s="54">
        <v>45929</v>
      </c>
      <c r="C106" s="55" t="s">
        <v>136</v>
      </c>
      <c r="D106" s="56" t="s">
        <v>234</v>
      </c>
      <c r="E106" s="56" t="s">
        <v>235</v>
      </c>
      <c r="F106" s="55" t="s">
        <v>54</v>
      </c>
      <c r="G106" s="57">
        <v>200</v>
      </c>
      <c r="H106" s="58">
        <v>91.183599999999998</v>
      </c>
      <c r="I106" s="26">
        <f t="shared" si="4"/>
        <v>18236.72</v>
      </c>
      <c r="J106" s="59">
        <v>1</v>
      </c>
      <c r="K106" s="26">
        <f t="shared" si="5"/>
        <v>18236.72</v>
      </c>
      <c r="L106" s="56" t="s">
        <v>236</v>
      </c>
    </row>
    <row r="107" spans="1:12" x14ac:dyDescent="0.2">
      <c r="A107" s="23">
        <f t="shared" si="3"/>
        <v>103</v>
      </c>
      <c r="B107" s="54">
        <v>45929</v>
      </c>
      <c r="C107" s="55" t="s">
        <v>136</v>
      </c>
      <c r="D107" s="56" t="s">
        <v>237</v>
      </c>
      <c r="E107" s="56" t="s">
        <v>238</v>
      </c>
      <c r="F107" s="55" t="s">
        <v>54</v>
      </c>
      <c r="G107" s="57">
        <v>300</v>
      </c>
      <c r="H107" s="58">
        <v>38.880000000000003</v>
      </c>
      <c r="I107" s="26">
        <f t="shared" si="4"/>
        <v>11664</v>
      </c>
      <c r="J107" s="59">
        <v>1</v>
      </c>
      <c r="K107" s="26">
        <f t="shared" si="5"/>
        <v>11664</v>
      </c>
      <c r="L107" s="56" t="s">
        <v>239</v>
      </c>
    </row>
    <row r="108" spans="1:12" x14ac:dyDescent="0.2">
      <c r="A108" s="23">
        <f t="shared" si="3"/>
        <v>104</v>
      </c>
      <c r="B108" s="54">
        <v>45931</v>
      </c>
      <c r="C108" s="55" t="s">
        <v>136</v>
      </c>
      <c r="D108" s="56" t="s">
        <v>143</v>
      </c>
      <c r="E108" s="56" t="s">
        <v>144</v>
      </c>
      <c r="F108" s="55" t="s">
        <v>54</v>
      </c>
      <c r="G108" s="57">
        <v>29</v>
      </c>
      <c r="H108" s="58">
        <v>33.445</v>
      </c>
      <c r="I108" s="26">
        <f t="shared" si="4"/>
        <v>969.90499999999997</v>
      </c>
      <c r="J108" s="59">
        <v>1</v>
      </c>
      <c r="K108" s="26">
        <f t="shared" si="5"/>
        <v>969.90499999999997</v>
      </c>
      <c r="L108" s="15"/>
    </row>
    <row r="109" spans="1:12" x14ac:dyDescent="0.2">
      <c r="A109" s="23">
        <f t="shared" si="3"/>
        <v>105</v>
      </c>
      <c r="B109" s="54">
        <v>45931</v>
      </c>
      <c r="C109" s="55" t="s">
        <v>136</v>
      </c>
      <c r="D109" s="56" t="s">
        <v>157</v>
      </c>
      <c r="E109" s="56" t="s">
        <v>158</v>
      </c>
      <c r="F109" s="55" t="s">
        <v>54</v>
      </c>
      <c r="G109" s="57">
        <v>12</v>
      </c>
      <c r="H109" s="58">
        <v>206.4</v>
      </c>
      <c r="I109" s="26">
        <f t="shared" si="4"/>
        <v>2476.8000000000002</v>
      </c>
      <c r="J109" s="59">
        <v>1</v>
      </c>
      <c r="K109" s="26">
        <f t="shared" si="5"/>
        <v>2476.8000000000002</v>
      </c>
      <c r="L109" s="15"/>
    </row>
    <row r="110" spans="1:12" x14ac:dyDescent="0.2">
      <c r="A110" s="23">
        <f t="shared" si="3"/>
        <v>106</v>
      </c>
      <c r="B110" s="54">
        <v>45931</v>
      </c>
      <c r="C110" s="55" t="s">
        <v>136</v>
      </c>
      <c r="D110" s="56" t="s">
        <v>191</v>
      </c>
      <c r="E110" s="56" t="s">
        <v>192</v>
      </c>
      <c r="F110" s="55" t="s">
        <v>54</v>
      </c>
      <c r="G110" s="57">
        <v>3</v>
      </c>
      <c r="H110" s="58">
        <v>327.5</v>
      </c>
      <c r="I110" s="26">
        <f t="shared" si="4"/>
        <v>982.5</v>
      </c>
      <c r="J110" s="59">
        <v>1</v>
      </c>
      <c r="K110" s="26">
        <f t="shared" si="5"/>
        <v>982.5</v>
      </c>
      <c r="L110" s="15"/>
    </row>
    <row r="111" spans="1:12" x14ac:dyDescent="0.2">
      <c r="A111" s="23">
        <f t="shared" si="3"/>
        <v>107</v>
      </c>
      <c r="B111" s="54">
        <v>45931</v>
      </c>
      <c r="C111" s="55" t="s">
        <v>136</v>
      </c>
      <c r="D111" s="56" t="s">
        <v>194</v>
      </c>
      <c r="E111" s="56" t="s">
        <v>195</v>
      </c>
      <c r="F111" s="55" t="s">
        <v>54</v>
      </c>
      <c r="G111" s="57">
        <v>13</v>
      </c>
      <c r="H111" s="58">
        <v>36.845399999999998</v>
      </c>
      <c r="I111" s="26">
        <f t="shared" si="4"/>
        <v>478.99019999999996</v>
      </c>
      <c r="J111" s="59">
        <v>1</v>
      </c>
      <c r="K111" s="26">
        <f t="shared" si="5"/>
        <v>478.99019999999996</v>
      </c>
      <c r="L111" s="15"/>
    </row>
    <row r="112" spans="1:12" x14ac:dyDescent="0.2">
      <c r="A112" s="23">
        <f t="shared" si="3"/>
        <v>108</v>
      </c>
      <c r="B112" s="54">
        <v>45932</v>
      </c>
      <c r="C112" s="55" t="s">
        <v>136</v>
      </c>
      <c r="D112" s="56" t="s">
        <v>240</v>
      </c>
      <c r="E112" s="56" t="s">
        <v>241</v>
      </c>
      <c r="F112" s="55" t="s">
        <v>54</v>
      </c>
      <c r="G112" s="57">
        <v>50000</v>
      </c>
      <c r="H112" s="59">
        <v>0.99973999999999996</v>
      </c>
      <c r="I112" s="26">
        <f t="shared" si="4"/>
        <v>49987</v>
      </c>
      <c r="J112" s="59">
        <v>1</v>
      </c>
      <c r="K112" s="26">
        <f t="shared" si="5"/>
        <v>49987</v>
      </c>
      <c r="L112" s="56" t="s">
        <v>242</v>
      </c>
    </row>
    <row r="113" spans="1:12" x14ac:dyDescent="0.2">
      <c r="A113" s="23">
        <f t="shared" si="3"/>
        <v>109</v>
      </c>
      <c r="B113" s="54">
        <v>45932</v>
      </c>
      <c r="C113" s="55" t="s">
        <v>136</v>
      </c>
      <c r="D113" s="56" t="s">
        <v>243</v>
      </c>
      <c r="E113" s="56" t="s">
        <v>244</v>
      </c>
      <c r="F113" s="55" t="s">
        <v>54</v>
      </c>
      <c r="G113" s="57">
        <v>50000</v>
      </c>
      <c r="H113" s="59">
        <v>0.99719999999999998</v>
      </c>
      <c r="I113" s="26">
        <f t="shared" si="4"/>
        <v>49860</v>
      </c>
      <c r="J113" s="59">
        <v>1</v>
      </c>
      <c r="K113" s="26">
        <f t="shared" si="5"/>
        <v>49860</v>
      </c>
      <c r="L113" s="56" t="s">
        <v>245</v>
      </c>
    </row>
    <row r="114" spans="1:12" x14ac:dyDescent="0.2">
      <c r="A114" s="23">
        <f t="shared" si="3"/>
        <v>110</v>
      </c>
      <c r="B114" s="54">
        <v>45932</v>
      </c>
      <c r="C114" s="55" t="s">
        <v>136</v>
      </c>
      <c r="D114" s="56" t="s">
        <v>151</v>
      </c>
      <c r="E114" s="56" t="s">
        <v>152</v>
      </c>
      <c r="F114" s="55" t="s">
        <v>54</v>
      </c>
      <c r="G114" s="57">
        <v>50000</v>
      </c>
      <c r="H114" s="59">
        <v>0.99673199999999995</v>
      </c>
      <c r="I114" s="26">
        <f t="shared" si="4"/>
        <v>49836.6</v>
      </c>
      <c r="J114" s="59">
        <v>1</v>
      </c>
      <c r="K114" s="26">
        <f t="shared" si="5"/>
        <v>49836.6</v>
      </c>
      <c r="L114" s="56" t="s">
        <v>246</v>
      </c>
    </row>
    <row r="115" spans="1:12" x14ac:dyDescent="0.2">
      <c r="A115" s="23">
        <f t="shared" si="3"/>
        <v>111</v>
      </c>
      <c r="B115" s="54">
        <v>45932</v>
      </c>
      <c r="C115" s="55" t="s">
        <v>136</v>
      </c>
      <c r="D115" s="56" t="s">
        <v>182</v>
      </c>
      <c r="E115" s="56" t="s">
        <v>183</v>
      </c>
      <c r="F115" s="55" t="s">
        <v>54</v>
      </c>
      <c r="G115" s="57">
        <v>50000</v>
      </c>
      <c r="H115" s="59">
        <v>0.99477000000000004</v>
      </c>
      <c r="I115" s="26">
        <f t="shared" si="4"/>
        <v>49738.5</v>
      </c>
      <c r="J115" s="59">
        <v>1</v>
      </c>
      <c r="K115" s="26">
        <f t="shared" si="5"/>
        <v>49738.5</v>
      </c>
      <c r="L115" s="56" t="s">
        <v>247</v>
      </c>
    </row>
    <row r="116" spans="1:12" x14ac:dyDescent="0.2">
      <c r="A116" s="23">
        <f t="shared" si="3"/>
        <v>112</v>
      </c>
      <c r="B116" s="54">
        <v>45932</v>
      </c>
      <c r="C116" s="55" t="s">
        <v>136</v>
      </c>
      <c r="D116" s="56" t="s">
        <v>248</v>
      </c>
      <c r="E116" s="56" t="s">
        <v>249</v>
      </c>
      <c r="F116" s="55" t="s">
        <v>54</v>
      </c>
      <c r="G116" s="57">
        <v>40000</v>
      </c>
      <c r="H116" s="59">
        <v>1.00359</v>
      </c>
      <c r="I116" s="26">
        <f t="shared" si="4"/>
        <v>40143.599999999999</v>
      </c>
      <c r="J116" s="59">
        <v>1</v>
      </c>
      <c r="K116" s="26">
        <f t="shared" si="5"/>
        <v>40143.599999999999</v>
      </c>
      <c r="L116" s="56" t="s">
        <v>250</v>
      </c>
    </row>
    <row r="117" spans="1:12" x14ac:dyDescent="0.2">
      <c r="A117" s="23">
        <f t="shared" si="3"/>
        <v>113</v>
      </c>
      <c r="B117" s="54">
        <v>45932</v>
      </c>
      <c r="C117" s="55" t="s">
        <v>136</v>
      </c>
      <c r="D117" s="56" t="s">
        <v>208</v>
      </c>
      <c r="E117" s="56" t="s">
        <v>209</v>
      </c>
      <c r="F117" s="55" t="s">
        <v>104</v>
      </c>
      <c r="G117" s="57">
        <v>20</v>
      </c>
      <c r="H117" s="58">
        <v>290.7</v>
      </c>
      <c r="I117" s="26">
        <f t="shared" si="4"/>
        <v>5814</v>
      </c>
      <c r="J117" s="59">
        <v>0.85338800000000004</v>
      </c>
      <c r="K117" s="26">
        <f t="shared" si="5"/>
        <v>4961.5978320000004</v>
      </c>
      <c r="L117" s="56" t="s">
        <v>251</v>
      </c>
    </row>
    <row r="118" spans="1:12" x14ac:dyDescent="0.2">
      <c r="A118" s="23">
        <f t="shared" si="3"/>
        <v>114</v>
      </c>
      <c r="B118" s="54">
        <v>45938</v>
      </c>
      <c r="C118" s="55" t="s">
        <v>136</v>
      </c>
      <c r="D118" s="56" t="s">
        <v>143</v>
      </c>
      <c r="E118" s="56" t="s">
        <v>144</v>
      </c>
      <c r="F118" s="55" t="s">
        <v>54</v>
      </c>
      <c r="G118" s="57">
        <v>29</v>
      </c>
      <c r="H118" s="58">
        <v>33.770000000000003</v>
      </c>
      <c r="I118" s="26">
        <f t="shared" si="4"/>
        <v>979.33</v>
      </c>
      <c r="J118" s="59">
        <v>1</v>
      </c>
      <c r="K118" s="26">
        <f t="shared" si="5"/>
        <v>979.33</v>
      </c>
      <c r="L118" s="15"/>
    </row>
    <row r="119" spans="1:12" x14ac:dyDescent="0.2">
      <c r="A119" s="23">
        <f t="shared" si="3"/>
        <v>115</v>
      </c>
      <c r="B119" s="54">
        <v>45938</v>
      </c>
      <c r="C119" s="55" t="s">
        <v>136</v>
      </c>
      <c r="D119" s="56" t="s">
        <v>157</v>
      </c>
      <c r="E119" s="56" t="s">
        <v>158</v>
      </c>
      <c r="F119" s="55" t="s">
        <v>54</v>
      </c>
      <c r="G119" s="57">
        <v>11</v>
      </c>
      <c r="H119" s="58">
        <v>208.4</v>
      </c>
      <c r="I119" s="26">
        <f t="shared" si="4"/>
        <v>2292.4</v>
      </c>
      <c r="J119" s="59">
        <v>1</v>
      </c>
      <c r="K119" s="26">
        <f t="shared" si="5"/>
        <v>2292.4</v>
      </c>
      <c r="L119" s="15"/>
    </row>
    <row r="120" spans="1:12" x14ac:dyDescent="0.2">
      <c r="A120" s="23">
        <f t="shared" si="3"/>
        <v>116</v>
      </c>
      <c r="B120" s="54">
        <v>45938</v>
      </c>
      <c r="C120" s="55" t="s">
        <v>136</v>
      </c>
      <c r="D120" s="56" t="s">
        <v>191</v>
      </c>
      <c r="E120" s="56" t="s">
        <v>192</v>
      </c>
      <c r="F120" s="55" t="s">
        <v>54</v>
      </c>
      <c r="G120" s="57">
        <v>2</v>
      </c>
      <c r="H120" s="58">
        <v>346.19</v>
      </c>
      <c r="I120" s="26">
        <f t="shared" si="4"/>
        <v>692.38</v>
      </c>
      <c r="J120" s="59">
        <v>1</v>
      </c>
      <c r="K120" s="26">
        <f t="shared" si="5"/>
        <v>692.38</v>
      </c>
      <c r="L120" s="15"/>
    </row>
    <row r="121" spans="1:12" x14ac:dyDescent="0.2">
      <c r="A121" s="23">
        <f t="shared" si="3"/>
        <v>117</v>
      </c>
      <c r="B121" s="54">
        <v>45938</v>
      </c>
      <c r="C121" s="55" t="s">
        <v>136</v>
      </c>
      <c r="D121" s="56" t="s">
        <v>194</v>
      </c>
      <c r="E121" s="56" t="s">
        <v>195</v>
      </c>
      <c r="F121" s="55" t="s">
        <v>54</v>
      </c>
      <c r="G121" s="57">
        <v>12</v>
      </c>
      <c r="H121" s="58">
        <v>38.82</v>
      </c>
      <c r="I121" s="26">
        <f t="shared" si="4"/>
        <v>465.84000000000003</v>
      </c>
      <c r="J121" s="59">
        <v>1</v>
      </c>
      <c r="K121" s="26">
        <f t="shared" si="5"/>
        <v>465.84000000000003</v>
      </c>
      <c r="L121" s="15"/>
    </row>
    <row r="122" spans="1:12" x14ac:dyDescent="0.2">
      <c r="A122" s="23">
        <f t="shared" si="3"/>
        <v>118</v>
      </c>
      <c r="B122" s="54">
        <v>45939</v>
      </c>
      <c r="C122" s="55" t="s">
        <v>136</v>
      </c>
      <c r="D122" s="56" t="s">
        <v>163</v>
      </c>
      <c r="E122" s="56" t="s">
        <v>164</v>
      </c>
      <c r="F122" s="55" t="s">
        <v>54</v>
      </c>
      <c r="G122" s="57">
        <v>100</v>
      </c>
      <c r="H122" s="58">
        <v>360.41800000000001</v>
      </c>
      <c r="I122" s="26">
        <f t="shared" si="4"/>
        <v>36041.800000000003</v>
      </c>
      <c r="J122" s="59">
        <v>1</v>
      </c>
      <c r="K122" s="26">
        <f t="shared" si="5"/>
        <v>36041.800000000003</v>
      </c>
      <c r="L122" s="56" t="s">
        <v>252</v>
      </c>
    </row>
    <row r="123" spans="1:12" x14ac:dyDescent="0.2">
      <c r="A123" s="23">
        <f t="shared" si="3"/>
        <v>119</v>
      </c>
      <c r="B123" s="54">
        <v>45944</v>
      </c>
      <c r="C123" s="55" t="s">
        <v>253</v>
      </c>
      <c r="D123" s="56" t="s">
        <v>240</v>
      </c>
      <c r="E123" s="56" t="s">
        <v>241</v>
      </c>
      <c r="F123" s="55" t="s">
        <v>54</v>
      </c>
      <c r="G123" s="57">
        <v>50000</v>
      </c>
      <c r="H123" s="59">
        <v>1</v>
      </c>
      <c r="I123" s="26">
        <f t="shared" si="4"/>
        <v>50000</v>
      </c>
      <c r="J123" s="59">
        <v>1</v>
      </c>
      <c r="K123" s="26">
        <f t="shared" si="5"/>
        <v>50000</v>
      </c>
      <c r="L123" s="56" t="s">
        <v>254</v>
      </c>
    </row>
    <row r="124" spans="1:12" x14ac:dyDescent="0.2">
      <c r="A124" s="23">
        <f t="shared" si="3"/>
        <v>120</v>
      </c>
      <c r="B124" s="54">
        <v>45945</v>
      </c>
      <c r="C124" s="55" t="s">
        <v>136</v>
      </c>
      <c r="D124" s="56" t="s">
        <v>222</v>
      </c>
      <c r="E124" s="56" t="s">
        <v>223</v>
      </c>
      <c r="F124" s="55" t="s">
        <v>54</v>
      </c>
      <c r="G124" s="57">
        <v>500</v>
      </c>
      <c r="H124" s="58">
        <v>15.7</v>
      </c>
      <c r="I124" s="26">
        <f t="shared" si="4"/>
        <v>7850</v>
      </c>
      <c r="J124" s="59">
        <v>1</v>
      </c>
      <c r="K124" s="26">
        <f t="shared" si="5"/>
        <v>7850</v>
      </c>
      <c r="L124" s="56" t="s">
        <v>255</v>
      </c>
    </row>
    <row r="125" spans="1:12" x14ac:dyDescent="0.2">
      <c r="A125" s="23">
        <f t="shared" si="3"/>
        <v>121</v>
      </c>
      <c r="B125" s="54">
        <v>45945</v>
      </c>
      <c r="C125" s="55" t="s">
        <v>136</v>
      </c>
      <c r="D125" s="56" t="s">
        <v>160</v>
      </c>
      <c r="E125" s="56" t="s">
        <v>161</v>
      </c>
      <c r="F125" s="55" t="s">
        <v>54</v>
      </c>
      <c r="G125" s="57">
        <v>200</v>
      </c>
      <c r="H125" s="64">
        <v>75.914749999999998</v>
      </c>
      <c r="I125" s="26">
        <f t="shared" si="4"/>
        <v>15182.949999999999</v>
      </c>
      <c r="J125" s="59">
        <v>1</v>
      </c>
      <c r="K125" s="26">
        <f t="shared" si="5"/>
        <v>15182.949999999999</v>
      </c>
      <c r="L125" s="56" t="s">
        <v>256</v>
      </c>
    </row>
    <row r="126" spans="1:12" x14ac:dyDescent="0.2">
      <c r="A126" s="23">
        <f t="shared" si="3"/>
        <v>122</v>
      </c>
      <c r="B126" s="54">
        <v>45945</v>
      </c>
      <c r="C126" s="55" t="s">
        <v>136</v>
      </c>
      <c r="D126" s="56" t="s">
        <v>228</v>
      </c>
      <c r="E126" s="56" t="s">
        <v>229</v>
      </c>
      <c r="F126" s="55" t="s">
        <v>54</v>
      </c>
      <c r="G126" s="57">
        <v>1000</v>
      </c>
      <c r="H126" s="64">
        <v>4.1883900000000001</v>
      </c>
      <c r="I126" s="26">
        <f t="shared" si="4"/>
        <v>4188.3900000000003</v>
      </c>
      <c r="J126" s="59">
        <v>1</v>
      </c>
      <c r="K126" s="26">
        <f t="shared" si="5"/>
        <v>4188.3900000000003</v>
      </c>
      <c r="L126" s="56" t="s">
        <v>257</v>
      </c>
    </row>
    <row r="127" spans="1:12" x14ac:dyDescent="0.2">
      <c r="A127" s="23">
        <f t="shared" si="3"/>
        <v>123</v>
      </c>
      <c r="B127" s="54">
        <v>45945</v>
      </c>
      <c r="C127" s="55" t="s">
        <v>136</v>
      </c>
      <c r="D127" s="56" t="s">
        <v>179</v>
      </c>
      <c r="E127" s="56" t="s">
        <v>180</v>
      </c>
      <c r="F127" s="55" t="s">
        <v>54</v>
      </c>
      <c r="G127" s="57">
        <v>1000</v>
      </c>
      <c r="H127" s="58">
        <v>4.6749999999999998</v>
      </c>
      <c r="I127" s="26">
        <f t="shared" si="4"/>
        <v>4675</v>
      </c>
      <c r="J127" s="59">
        <v>1</v>
      </c>
      <c r="K127" s="26">
        <f t="shared" si="5"/>
        <v>4675</v>
      </c>
      <c r="L127" s="15"/>
    </row>
    <row r="128" spans="1:12" x14ac:dyDescent="0.2">
      <c r="A128" s="23">
        <f t="shared" si="3"/>
        <v>124</v>
      </c>
      <c r="B128" s="54">
        <v>45945</v>
      </c>
      <c r="C128" s="55" t="s">
        <v>136</v>
      </c>
      <c r="D128" s="56" t="s">
        <v>176</v>
      </c>
      <c r="E128" s="56" t="s">
        <v>177</v>
      </c>
      <c r="F128" s="55" t="s">
        <v>54</v>
      </c>
      <c r="G128" s="57">
        <v>1000</v>
      </c>
      <c r="H128" s="58">
        <v>5.99</v>
      </c>
      <c r="I128" s="26">
        <f t="shared" si="4"/>
        <v>5990</v>
      </c>
      <c r="J128" s="59">
        <v>1</v>
      </c>
      <c r="K128" s="26">
        <f t="shared" si="5"/>
        <v>5990</v>
      </c>
      <c r="L128" s="56" t="s">
        <v>258</v>
      </c>
    </row>
    <row r="129" spans="1:12" x14ac:dyDescent="0.2">
      <c r="A129" s="23">
        <f t="shared" si="3"/>
        <v>125</v>
      </c>
      <c r="B129" s="54">
        <v>45945</v>
      </c>
      <c r="C129" s="55" t="s">
        <v>136</v>
      </c>
      <c r="D129" s="56" t="s">
        <v>143</v>
      </c>
      <c r="E129" s="56" t="s">
        <v>144</v>
      </c>
      <c r="F129" s="55" t="s">
        <v>54</v>
      </c>
      <c r="G129" s="57">
        <v>31</v>
      </c>
      <c r="H129" s="58">
        <v>31.39</v>
      </c>
      <c r="I129" s="26">
        <f t="shared" si="4"/>
        <v>973.09</v>
      </c>
      <c r="J129" s="59">
        <v>1</v>
      </c>
      <c r="K129" s="26">
        <f t="shared" si="5"/>
        <v>973.09</v>
      </c>
      <c r="L129" s="15"/>
    </row>
    <row r="130" spans="1:12" x14ac:dyDescent="0.2">
      <c r="A130" s="23">
        <f t="shared" si="3"/>
        <v>126</v>
      </c>
      <c r="B130" s="54">
        <v>45946</v>
      </c>
      <c r="C130" s="55" t="s">
        <v>136</v>
      </c>
      <c r="D130" s="56" t="s">
        <v>157</v>
      </c>
      <c r="E130" s="56" t="s">
        <v>158</v>
      </c>
      <c r="F130" s="55" t="s">
        <v>54</v>
      </c>
      <c r="G130" s="57">
        <v>12</v>
      </c>
      <c r="H130" s="58">
        <v>203</v>
      </c>
      <c r="I130" s="26">
        <f t="shared" si="4"/>
        <v>2436</v>
      </c>
      <c r="J130" s="59">
        <v>1</v>
      </c>
      <c r="K130" s="26">
        <f t="shared" si="5"/>
        <v>2436</v>
      </c>
      <c r="L130" s="15"/>
    </row>
    <row r="131" spans="1:12" x14ac:dyDescent="0.2">
      <c r="A131" s="23">
        <f t="shared" si="3"/>
        <v>127</v>
      </c>
      <c r="B131" s="54">
        <v>45946</v>
      </c>
      <c r="C131" s="55" t="s">
        <v>136</v>
      </c>
      <c r="D131" s="56" t="s">
        <v>191</v>
      </c>
      <c r="E131" s="56" t="s">
        <v>192</v>
      </c>
      <c r="F131" s="55" t="s">
        <v>54</v>
      </c>
      <c r="G131" s="57">
        <v>2</v>
      </c>
      <c r="H131" s="58">
        <v>363.8</v>
      </c>
      <c r="I131" s="26">
        <f t="shared" si="4"/>
        <v>727.6</v>
      </c>
      <c r="J131" s="59">
        <v>1</v>
      </c>
      <c r="K131" s="26">
        <f t="shared" si="5"/>
        <v>727.6</v>
      </c>
      <c r="L131" s="15"/>
    </row>
    <row r="132" spans="1:12" x14ac:dyDescent="0.2">
      <c r="A132" s="23">
        <f t="shared" si="3"/>
        <v>128</v>
      </c>
      <c r="B132" s="54">
        <v>45946</v>
      </c>
      <c r="C132" s="55" t="s">
        <v>136</v>
      </c>
      <c r="D132" s="56" t="s">
        <v>194</v>
      </c>
      <c r="E132" s="56" t="s">
        <v>195</v>
      </c>
      <c r="F132" s="55" t="s">
        <v>54</v>
      </c>
      <c r="G132" s="57">
        <v>11</v>
      </c>
      <c r="H132" s="58">
        <v>42.205500000000001</v>
      </c>
      <c r="I132" s="26">
        <f t="shared" si="4"/>
        <v>464.26049999999998</v>
      </c>
      <c r="J132" s="59">
        <v>1</v>
      </c>
      <c r="K132" s="26">
        <f t="shared" si="5"/>
        <v>464.26049999999998</v>
      </c>
      <c r="L132" s="15"/>
    </row>
    <row r="133" spans="1:12" x14ac:dyDescent="0.2">
      <c r="A133" s="23">
        <f t="shared" ref="A133:A196" si="6">IF(B133="","",ROW()-4)</f>
        <v>129</v>
      </c>
      <c r="B133" s="54">
        <v>45953</v>
      </c>
      <c r="C133" s="55" t="s">
        <v>136</v>
      </c>
      <c r="D133" s="56" t="s">
        <v>140</v>
      </c>
      <c r="E133" s="56" t="s">
        <v>141</v>
      </c>
      <c r="F133" s="55" t="s">
        <v>54</v>
      </c>
      <c r="G133" s="57">
        <v>100</v>
      </c>
      <c r="H133" s="58">
        <v>34.200000000000003</v>
      </c>
      <c r="I133" s="26">
        <f t="shared" ref="I133:I196" si="7">IF(OR(G133="",H133=""),"",G133*H133)</f>
        <v>3420.0000000000005</v>
      </c>
      <c r="J133" s="59">
        <v>1</v>
      </c>
      <c r="K133" s="26">
        <f t="shared" ref="K133:K196" si="8">IF(OR(I133="",J133=""),"",I133*J133)</f>
        <v>3420.0000000000005</v>
      </c>
      <c r="L133" s="56" t="s">
        <v>259</v>
      </c>
    </row>
    <row r="134" spans="1:12" x14ac:dyDescent="0.2">
      <c r="A134" s="23">
        <f t="shared" si="6"/>
        <v>130</v>
      </c>
      <c r="B134" s="54">
        <v>45953</v>
      </c>
      <c r="C134" s="55" t="s">
        <v>253</v>
      </c>
      <c r="D134" s="56" t="s">
        <v>194</v>
      </c>
      <c r="E134" s="56" t="s">
        <v>195</v>
      </c>
      <c r="F134" s="55" t="s">
        <v>54</v>
      </c>
      <c r="G134" s="57">
        <v>386</v>
      </c>
      <c r="H134" s="58">
        <v>38.695</v>
      </c>
      <c r="I134" s="26">
        <f t="shared" si="7"/>
        <v>14936.27</v>
      </c>
      <c r="J134" s="59">
        <v>1</v>
      </c>
      <c r="K134" s="26">
        <f t="shared" si="8"/>
        <v>14936.27</v>
      </c>
      <c r="L134" s="56" t="s">
        <v>260</v>
      </c>
    </row>
    <row r="135" spans="1:12" x14ac:dyDescent="0.2">
      <c r="A135" s="23">
        <f t="shared" si="6"/>
        <v>131</v>
      </c>
      <c r="B135" s="54">
        <v>45953</v>
      </c>
      <c r="C135" s="55" t="s">
        <v>253</v>
      </c>
      <c r="D135" s="56" t="s">
        <v>191</v>
      </c>
      <c r="E135" s="56" t="s">
        <v>192</v>
      </c>
      <c r="F135" s="55" t="s">
        <v>54</v>
      </c>
      <c r="G135" s="57">
        <v>56</v>
      </c>
      <c r="H135" s="58">
        <v>352.97</v>
      </c>
      <c r="I135" s="26">
        <f t="shared" si="7"/>
        <v>19766.32</v>
      </c>
      <c r="J135" s="59">
        <v>1</v>
      </c>
      <c r="K135" s="26">
        <f t="shared" si="8"/>
        <v>19766.32</v>
      </c>
      <c r="L135" s="56" t="s">
        <v>261</v>
      </c>
    </row>
    <row r="136" spans="1:12" x14ac:dyDescent="0.2">
      <c r="A136" s="23">
        <f t="shared" si="6"/>
        <v>132</v>
      </c>
      <c r="B136" s="54">
        <v>45953</v>
      </c>
      <c r="C136" s="55" t="s">
        <v>136</v>
      </c>
      <c r="D136" s="56" t="s">
        <v>143</v>
      </c>
      <c r="E136" s="56" t="s">
        <v>144</v>
      </c>
      <c r="F136" s="55" t="s">
        <v>54</v>
      </c>
      <c r="G136" s="57">
        <v>31</v>
      </c>
      <c r="H136" s="58">
        <v>31.94</v>
      </c>
      <c r="I136" s="26">
        <f t="shared" si="7"/>
        <v>990.14</v>
      </c>
      <c r="J136" s="59">
        <v>1</v>
      </c>
      <c r="K136" s="26">
        <f t="shared" si="8"/>
        <v>990.14</v>
      </c>
      <c r="L136" s="15"/>
    </row>
    <row r="137" spans="1:12" x14ac:dyDescent="0.2">
      <c r="A137" s="23">
        <f t="shared" si="6"/>
        <v>133</v>
      </c>
      <c r="B137" s="54">
        <v>45953</v>
      </c>
      <c r="C137" s="55" t="s">
        <v>136</v>
      </c>
      <c r="D137" s="56" t="s">
        <v>157</v>
      </c>
      <c r="E137" s="56" t="s">
        <v>158</v>
      </c>
      <c r="F137" s="55" t="s">
        <v>54</v>
      </c>
      <c r="G137" s="57">
        <v>12</v>
      </c>
      <c r="H137" s="58">
        <v>203</v>
      </c>
      <c r="I137" s="26">
        <f t="shared" si="7"/>
        <v>2436</v>
      </c>
      <c r="J137" s="59">
        <v>1</v>
      </c>
      <c r="K137" s="26">
        <f t="shared" si="8"/>
        <v>2436</v>
      </c>
      <c r="L137" s="15"/>
    </row>
    <row r="138" spans="1:12" x14ac:dyDescent="0.2">
      <c r="A138" s="23">
        <f t="shared" si="6"/>
        <v>134</v>
      </c>
      <c r="B138" s="54">
        <v>45953</v>
      </c>
      <c r="C138" s="55" t="s">
        <v>136</v>
      </c>
      <c r="D138" s="56" t="s">
        <v>191</v>
      </c>
      <c r="E138" s="56" t="s">
        <v>192</v>
      </c>
      <c r="F138" s="55" t="s">
        <v>54</v>
      </c>
      <c r="G138" s="57">
        <v>2</v>
      </c>
      <c r="H138" s="58">
        <v>355.06</v>
      </c>
      <c r="I138" s="26">
        <f t="shared" si="7"/>
        <v>710.12</v>
      </c>
      <c r="J138" s="59">
        <v>1</v>
      </c>
      <c r="K138" s="26">
        <f t="shared" si="8"/>
        <v>710.12</v>
      </c>
      <c r="L138" s="15"/>
    </row>
    <row r="139" spans="1:12" x14ac:dyDescent="0.2">
      <c r="A139" s="23">
        <f t="shared" si="6"/>
        <v>135</v>
      </c>
      <c r="B139" s="54">
        <v>45964</v>
      </c>
      <c r="C139" s="55" t="s">
        <v>136</v>
      </c>
      <c r="D139" s="56" t="s">
        <v>143</v>
      </c>
      <c r="E139" s="56" t="s">
        <v>144</v>
      </c>
      <c r="F139" s="55" t="s">
        <v>54</v>
      </c>
      <c r="G139" s="57">
        <v>31</v>
      </c>
      <c r="H139" s="58">
        <v>31.934999999999999</v>
      </c>
      <c r="I139" s="26">
        <f t="shared" si="7"/>
        <v>989.98500000000001</v>
      </c>
      <c r="J139" s="59">
        <v>1</v>
      </c>
      <c r="K139" s="26">
        <f t="shared" si="8"/>
        <v>989.98500000000001</v>
      </c>
      <c r="L139" s="15"/>
    </row>
    <row r="140" spans="1:12" x14ac:dyDescent="0.2">
      <c r="A140" s="23">
        <f t="shared" si="6"/>
        <v>136</v>
      </c>
      <c r="B140" s="54">
        <v>45964</v>
      </c>
      <c r="C140" s="55" t="s">
        <v>136</v>
      </c>
      <c r="D140" s="56" t="s">
        <v>157</v>
      </c>
      <c r="E140" s="56" t="s">
        <v>158</v>
      </c>
      <c r="F140" s="55" t="s">
        <v>54</v>
      </c>
      <c r="G140" s="57">
        <v>12</v>
      </c>
      <c r="H140" s="58">
        <v>207</v>
      </c>
      <c r="I140" s="26">
        <f t="shared" si="7"/>
        <v>2484</v>
      </c>
      <c r="J140" s="59">
        <v>1</v>
      </c>
      <c r="K140" s="26">
        <f t="shared" si="8"/>
        <v>2484</v>
      </c>
      <c r="L140" s="15"/>
    </row>
    <row r="141" spans="1:12" x14ac:dyDescent="0.2">
      <c r="A141" s="23">
        <f t="shared" si="6"/>
        <v>137</v>
      </c>
      <c r="B141" s="54">
        <v>45971</v>
      </c>
      <c r="C141" s="55" t="s">
        <v>136</v>
      </c>
      <c r="D141" s="56" t="s">
        <v>143</v>
      </c>
      <c r="E141" s="56" t="s">
        <v>144</v>
      </c>
      <c r="F141" s="55" t="s">
        <v>54</v>
      </c>
      <c r="G141" s="57">
        <v>31</v>
      </c>
      <c r="H141" s="58">
        <v>31.355</v>
      </c>
      <c r="I141" s="26">
        <f t="shared" si="7"/>
        <v>972.005</v>
      </c>
      <c r="J141" s="59">
        <v>1</v>
      </c>
      <c r="K141" s="26">
        <f t="shared" si="8"/>
        <v>972.005</v>
      </c>
      <c r="L141" s="15"/>
    </row>
    <row r="142" spans="1:12" x14ac:dyDescent="0.2">
      <c r="A142" s="23">
        <f t="shared" si="6"/>
        <v>138</v>
      </c>
      <c r="B142" s="54">
        <v>45971</v>
      </c>
      <c r="C142" s="55" t="s">
        <v>136</v>
      </c>
      <c r="D142" s="56" t="s">
        <v>157</v>
      </c>
      <c r="E142" s="56" t="s">
        <v>158</v>
      </c>
      <c r="F142" s="55" t="s">
        <v>54</v>
      </c>
      <c r="G142" s="57">
        <v>11</v>
      </c>
      <c r="H142" s="58">
        <v>210.15</v>
      </c>
      <c r="I142" s="26">
        <f t="shared" si="7"/>
        <v>2311.65</v>
      </c>
      <c r="J142" s="59">
        <v>1</v>
      </c>
      <c r="K142" s="26">
        <f t="shared" si="8"/>
        <v>2311.65</v>
      </c>
      <c r="L142" s="15"/>
    </row>
    <row r="143" spans="1:12" x14ac:dyDescent="0.2">
      <c r="A143" s="23">
        <f t="shared" si="6"/>
        <v>139</v>
      </c>
      <c r="B143" s="54">
        <v>45978</v>
      </c>
      <c r="C143" s="55" t="s">
        <v>136</v>
      </c>
      <c r="D143" s="56" t="s">
        <v>143</v>
      </c>
      <c r="E143" s="56" t="s">
        <v>144</v>
      </c>
      <c r="F143" s="55" t="s">
        <v>54</v>
      </c>
      <c r="G143" s="57">
        <v>32</v>
      </c>
      <c r="H143" s="58">
        <v>30.905000000000001</v>
      </c>
      <c r="I143" s="26">
        <f t="shared" si="7"/>
        <v>988.96</v>
      </c>
      <c r="J143" s="59">
        <v>1</v>
      </c>
      <c r="K143" s="26">
        <f t="shared" si="8"/>
        <v>988.96</v>
      </c>
      <c r="L143" s="15"/>
    </row>
    <row r="144" spans="1:12" x14ac:dyDescent="0.2">
      <c r="A144" s="23">
        <f t="shared" si="6"/>
        <v>140</v>
      </c>
      <c r="B144" s="54">
        <v>45978</v>
      </c>
      <c r="C144" s="55" t="s">
        <v>136</v>
      </c>
      <c r="D144" s="56" t="s">
        <v>157</v>
      </c>
      <c r="E144" s="56" t="s">
        <v>158</v>
      </c>
      <c r="F144" s="55" t="s">
        <v>54</v>
      </c>
      <c r="G144" s="57">
        <v>11</v>
      </c>
      <c r="H144" s="58">
        <v>209.65</v>
      </c>
      <c r="I144" s="26">
        <f t="shared" si="7"/>
        <v>2306.15</v>
      </c>
      <c r="J144" s="59">
        <v>1</v>
      </c>
      <c r="K144" s="26">
        <f t="shared" si="8"/>
        <v>2306.15</v>
      </c>
      <c r="L144" s="15"/>
    </row>
    <row r="145" spans="1:12" x14ac:dyDescent="0.2">
      <c r="A145" s="23">
        <f t="shared" si="6"/>
        <v>141</v>
      </c>
      <c r="B145" s="54">
        <v>45985</v>
      </c>
      <c r="C145" s="55" t="s">
        <v>136</v>
      </c>
      <c r="D145" s="56" t="s">
        <v>143</v>
      </c>
      <c r="E145" s="56" t="s">
        <v>144</v>
      </c>
      <c r="F145" s="55" t="s">
        <v>54</v>
      </c>
      <c r="G145" s="57">
        <v>35</v>
      </c>
      <c r="H145" s="58">
        <v>27.9</v>
      </c>
      <c r="I145" s="26">
        <f t="shared" si="7"/>
        <v>976.5</v>
      </c>
      <c r="J145" s="59">
        <v>1</v>
      </c>
      <c r="K145" s="26">
        <f t="shared" si="8"/>
        <v>976.5</v>
      </c>
      <c r="L145" s="15"/>
    </row>
    <row r="146" spans="1:12" x14ac:dyDescent="0.2">
      <c r="A146" s="23">
        <f t="shared" si="6"/>
        <v>142</v>
      </c>
      <c r="B146" s="54">
        <v>45985</v>
      </c>
      <c r="C146" s="55" t="s">
        <v>136</v>
      </c>
      <c r="D146" s="56" t="s">
        <v>157</v>
      </c>
      <c r="E146" s="56" t="s">
        <v>158</v>
      </c>
      <c r="F146" s="55" t="s">
        <v>54</v>
      </c>
      <c r="G146" s="57">
        <v>12</v>
      </c>
      <c r="H146" s="58">
        <v>204.85</v>
      </c>
      <c r="I146" s="26">
        <f t="shared" si="7"/>
        <v>2458.1999999999998</v>
      </c>
      <c r="J146" s="59">
        <v>1</v>
      </c>
      <c r="K146" s="26">
        <f t="shared" si="8"/>
        <v>2458.1999999999998</v>
      </c>
      <c r="L146" s="15"/>
    </row>
    <row r="147" spans="1:12" x14ac:dyDescent="0.2">
      <c r="A147" s="23">
        <f t="shared" si="6"/>
        <v>143</v>
      </c>
      <c r="B147" s="54">
        <v>45986</v>
      </c>
      <c r="C147" s="55" t="s">
        <v>253</v>
      </c>
      <c r="D147" s="56" t="s">
        <v>243</v>
      </c>
      <c r="E147" s="56" t="s">
        <v>244</v>
      </c>
      <c r="F147" s="55" t="s">
        <v>54</v>
      </c>
      <c r="G147" s="57">
        <v>50000</v>
      </c>
      <c r="H147" s="59">
        <v>1</v>
      </c>
      <c r="I147" s="26">
        <f t="shared" si="7"/>
        <v>50000</v>
      </c>
      <c r="J147" s="59">
        <v>1</v>
      </c>
      <c r="K147" s="26">
        <f t="shared" si="8"/>
        <v>50000</v>
      </c>
      <c r="L147" s="56" t="s">
        <v>262</v>
      </c>
    </row>
    <row r="148" spans="1:12" x14ac:dyDescent="0.2">
      <c r="A148" s="23">
        <f t="shared" si="6"/>
        <v>144</v>
      </c>
      <c r="B148" s="54">
        <v>45992</v>
      </c>
      <c r="C148" s="55" t="s">
        <v>136</v>
      </c>
      <c r="D148" s="56" t="s">
        <v>143</v>
      </c>
      <c r="E148" s="56" t="s">
        <v>144</v>
      </c>
      <c r="F148" s="55" t="s">
        <v>54</v>
      </c>
      <c r="G148" s="57">
        <v>35</v>
      </c>
      <c r="H148" s="57">
        <v>27.785</v>
      </c>
      <c r="I148" s="26">
        <f t="shared" si="7"/>
        <v>972.47500000000002</v>
      </c>
      <c r="J148" s="59">
        <v>1</v>
      </c>
      <c r="K148" s="26">
        <f t="shared" si="8"/>
        <v>972.47500000000002</v>
      </c>
      <c r="L148" s="15"/>
    </row>
    <row r="149" spans="1:12" x14ac:dyDescent="0.2">
      <c r="A149" s="23">
        <f t="shared" si="6"/>
        <v>145</v>
      </c>
      <c r="B149" s="54">
        <v>45992</v>
      </c>
      <c r="C149" s="55" t="s">
        <v>136</v>
      </c>
      <c r="D149" s="56" t="s">
        <v>157</v>
      </c>
      <c r="E149" s="56" t="s">
        <v>158</v>
      </c>
      <c r="F149" s="55" t="s">
        <v>54</v>
      </c>
      <c r="G149" s="57">
        <v>11</v>
      </c>
      <c r="H149" s="57">
        <v>209.35</v>
      </c>
      <c r="I149" s="26">
        <f t="shared" si="7"/>
        <v>2302.85</v>
      </c>
      <c r="J149" s="59">
        <v>1</v>
      </c>
      <c r="K149" s="26">
        <f t="shared" si="8"/>
        <v>2302.85</v>
      </c>
      <c r="L149" s="15"/>
    </row>
    <row r="150" spans="1:12" x14ac:dyDescent="0.2">
      <c r="A150" s="23">
        <f t="shared" si="6"/>
        <v>146</v>
      </c>
      <c r="B150" s="54">
        <v>45995</v>
      </c>
      <c r="C150" s="55" t="s">
        <v>136</v>
      </c>
      <c r="D150" s="56" t="s">
        <v>263</v>
      </c>
      <c r="E150" s="56" t="s">
        <v>264</v>
      </c>
      <c r="F150" s="55" t="s">
        <v>54</v>
      </c>
      <c r="G150" s="57">
        <v>10000</v>
      </c>
      <c r="H150" s="57">
        <v>5.609</v>
      </c>
      <c r="I150" s="26">
        <f t="shared" si="7"/>
        <v>56090</v>
      </c>
      <c r="J150" s="59">
        <v>1</v>
      </c>
      <c r="K150" s="26">
        <f t="shared" si="8"/>
        <v>56090</v>
      </c>
      <c r="L150" s="15"/>
    </row>
    <row r="151" spans="1:12" x14ac:dyDescent="0.2">
      <c r="A151" s="23">
        <f t="shared" si="6"/>
        <v>147</v>
      </c>
      <c r="B151" s="54">
        <v>45995</v>
      </c>
      <c r="C151" s="55" t="s">
        <v>136</v>
      </c>
      <c r="D151" s="56" t="s">
        <v>265</v>
      </c>
      <c r="E151" s="56" t="s">
        <v>266</v>
      </c>
      <c r="F151" s="55" t="s">
        <v>54</v>
      </c>
      <c r="G151" s="57">
        <v>1000</v>
      </c>
      <c r="H151" s="57">
        <v>16.875</v>
      </c>
      <c r="I151" s="26">
        <f t="shared" si="7"/>
        <v>16875</v>
      </c>
      <c r="J151" s="59">
        <v>1</v>
      </c>
      <c r="K151" s="26">
        <f t="shared" si="8"/>
        <v>16875</v>
      </c>
      <c r="L151" s="15"/>
    </row>
    <row r="152" spans="1:12" x14ac:dyDescent="0.2">
      <c r="A152" s="23">
        <f t="shared" si="6"/>
        <v>148</v>
      </c>
      <c r="B152" s="54">
        <v>45995</v>
      </c>
      <c r="C152" s="55" t="s">
        <v>136</v>
      </c>
      <c r="D152" s="56" t="s">
        <v>267</v>
      </c>
      <c r="E152" s="56" t="s">
        <v>268</v>
      </c>
      <c r="F152" s="55" t="s">
        <v>54</v>
      </c>
      <c r="G152" s="57">
        <v>1000</v>
      </c>
      <c r="H152" s="57">
        <v>8.843</v>
      </c>
      <c r="I152" s="26">
        <f t="shared" si="7"/>
        <v>8843</v>
      </c>
      <c r="J152" s="59">
        <v>1</v>
      </c>
      <c r="K152" s="26">
        <f t="shared" si="8"/>
        <v>8843</v>
      </c>
      <c r="L152" s="15"/>
    </row>
    <row r="153" spans="1:12" x14ac:dyDescent="0.2">
      <c r="A153" s="23">
        <f t="shared" si="6"/>
        <v>149</v>
      </c>
      <c r="B153" s="54">
        <v>45995</v>
      </c>
      <c r="C153" s="55" t="s">
        <v>136</v>
      </c>
      <c r="D153" s="56" t="s">
        <v>269</v>
      </c>
      <c r="E153" s="74" t="s">
        <v>270</v>
      </c>
      <c r="F153" s="55" t="s">
        <v>54</v>
      </c>
      <c r="G153" s="57">
        <v>1000</v>
      </c>
      <c r="H153" s="57">
        <v>5.8209999999999997</v>
      </c>
      <c r="I153" s="26">
        <f t="shared" si="7"/>
        <v>5821</v>
      </c>
      <c r="J153" s="59">
        <v>1</v>
      </c>
      <c r="K153" s="26">
        <f t="shared" si="8"/>
        <v>5821</v>
      </c>
      <c r="L153" s="74" t="s">
        <v>271</v>
      </c>
    </row>
    <row r="154" spans="1:12" x14ac:dyDescent="0.2">
      <c r="A154" s="23">
        <f t="shared" si="6"/>
        <v>150</v>
      </c>
      <c r="B154" s="54">
        <v>45995</v>
      </c>
      <c r="C154" s="55" t="s">
        <v>136</v>
      </c>
      <c r="D154" s="56" t="s">
        <v>154</v>
      </c>
      <c r="E154" s="56" t="s">
        <v>155</v>
      </c>
      <c r="F154" s="55" t="s">
        <v>54</v>
      </c>
      <c r="G154" s="57">
        <v>100</v>
      </c>
      <c r="H154" s="57">
        <v>92.9</v>
      </c>
      <c r="I154" s="26">
        <f t="shared" si="7"/>
        <v>9290</v>
      </c>
      <c r="J154" s="59">
        <v>1</v>
      </c>
      <c r="K154" s="26">
        <f t="shared" si="8"/>
        <v>9290</v>
      </c>
      <c r="L154" s="15"/>
    </row>
    <row r="155" spans="1:12" x14ac:dyDescent="0.2">
      <c r="A155" s="23">
        <f t="shared" si="6"/>
        <v>151</v>
      </c>
      <c r="B155" s="54">
        <v>45995</v>
      </c>
      <c r="C155" s="55" t="s">
        <v>136</v>
      </c>
      <c r="D155" s="56" t="s">
        <v>272</v>
      </c>
      <c r="E155" s="56" t="s">
        <v>273</v>
      </c>
      <c r="F155" s="55" t="s">
        <v>54</v>
      </c>
      <c r="G155" s="57">
        <v>1000</v>
      </c>
      <c r="H155" s="57">
        <v>36.06</v>
      </c>
      <c r="I155" s="26">
        <f t="shared" si="7"/>
        <v>36060</v>
      </c>
      <c r="J155" s="59">
        <v>1</v>
      </c>
      <c r="K155" s="26">
        <f t="shared" si="8"/>
        <v>36060</v>
      </c>
      <c r="L155" s="15"/>
    </row>
    <row r="156" spans="1:12" x14ac:dyDescent="0.2">
      <c r="A156" s="23">
        <f t="shared" si="6"/>
        <v>152</v>
      </c>
      <c r="B156" s="54">
        <v>45995</v>
      </c>
      <c r="C156" s="55" t="s">
        <v>136</v>
      </c>
      <c r="D156" s="56" t="s">
        <v>274</v>
      </c>
      <c r="E156" s="56" t="s">
        <v>275</v>
      </c>
      <c r="F156" s="55" t="s">
        <v>54</v>
      </c>
      <c r="G156" s="57">
        <v>1000</v>
      </c>
      <c r="H156" s="57">
        <v>9.35</v>
      </c>
      <c r="I156" s="26">
        <f t="shared" si="7"/>
        <v>9350</v>
      </c>
      <c r="J156" s="59">
        <v>1</v>
      </c>
      <c r="K156" s="26">
        <f t="shared" si="8"/>
        <v>9350</v>
      </c>
      <c r="L156" s="15"/>
    </row>
    <row r="157" spans="1:12" x14ac:dyDescent="0.2">
      <c r="A157" s="23">
        <f t="shared" si="6"/>
        <v>153</v>
      </c>
      <c r="B157" s="54">
        <v>45999</v>
      </c>
      <c r="C157" s="55" t="s">
        <v>136</v>
      </c>
      <c r="D157" s="56" t="s">
        <v>143</v>
      </c>
      <c r="E157" s="56" t="s">
        <v>144</v>
      </c>
      <c r="F157" s="55" t="s">
        <v>54</v>
      </c>
      <c r="G157" s="57">
        <v>33</v>
      </c>
      <c r="H157" s="57">
        <v>29.35</v>
      </c>
      <c r="I157" s="26">
        <f t="shared" si="7"/>
        <v>968.55000000000007</v>
      </c>
      <c r="J157" s="59">
        <v>1</v>
      </c>
      <c r="K157" s="26">
        <f t="shared" si="8"/>
        <v>968.55000000000007</v>
      </c>
      <c r="L157" s="15"/>
    </row>
    <row r="158" spans="1:12" x14ac:dyDescent="0.2">
      <c r="A158" s="23">
        <f t="shared" si="6"/>
        <v>154</v>
      </c>
      <c r="B158" s="54">
        <v>45999</v>
      </c>
      <c r="C158" s="55" t="s">
        <v>136</v>
      </c>
      <c r="D158" s="56" t="s">
        <v>157</v>
      </c>
      <c r="E158" s="56" t="s">
        <v>158</v>
      </c>
      <c r="F158" s="55" t="s">
        <v>54</v>
      </c>
      <c r="G158" s="57">
        <v>11</v>
      </c>
      <c r="H158" s="57">
        <v>210.25</v>
      </c>
      <c r="I158" s="26">
        <f t="shared" si="7"/>
        <v>2312.75</v>
      </c>
      <c r="J158" s="59">
        <v>1</v>
      </c>
      <c r="K158" s="26">
        <f t="shared" si="8"/>
        <v>2312.75</v>
      </c>
      <c r="L158" s="15"/>
    </row>
    <row r="159" spans="1:12" x14ac:dyDescent="0.2">
      <c r="A159" s="23">
        <f t="shared" si="6"/>
        <v>155</v>
      </c>
      <c r="B159" s="54">
        <v>46000</v>
      </c>
      <c r="C159" s="55" t="s">
        <v>253</v>
      </c>
      <c r="D159" s="56" t="s">
        <v>151</v>
      </c>
      <c r="E159" s="56" t="s">
        <v>152</v>
      </c>
      <c r="F159" s="55" t="s">
        <v>54</v>
      </c>
      <c r="G159" s="57">
        <v>150000</v>
      </c>
      <c r="H159" s="57">
        <v>1</v>
      </c>
      <c r="I159" s="26">
        <f t="shared" si="7"/>
        <v>150000</v>
      </c>
      <c r="J159" s="59">
        <v>1</v>
      </c>
      <c r="K159" s="26">
        <f t="shared" si="8"/>
        <v>150000</v>
      </c>
      <c r="L159" s="15"/>
    </row>
    <row r="160" spans="1:12" x14ac:dyDescent="0.2">
      <c r="A160" s="23">
        <f t="shared" si="6"/>
        <v>156</v>
      </c>
      <c r="B160" s="54">
        <v>46006</v>
      </c>
      <c r="C160" s="55" t="s">
        <v>136</v>
      </c>
      <c r="D160" s="56" t="s">
        <v>143</v>
      </c>
      <c r="E160" s="56" t="s">
        <v>144</v>
      </c>
      <c r="F160" s="55" t="s">
        <v>54</v>
      </c>
      <c r="G160" s="57">
        <v>33</v>
      </c>
      <c r="H160" s="57">
        <v>29.43</v>
      </c>
      <c r="I160" s="26">
        <f t="shared" si="7"/>
        <v>971.18999999999994</v>
      </c>
      <c r="J160" s="59">
        <v>1</v>
      </c>
      <c r="K160" s="26">
        <f t="shared" si="8"/>
        <v>971.18999999999994</v>
      </c>
      <c r="L160" s="15"/>
    </row>
    <row r="161" spans="1:12" x14ac:dyDescent="0.2">
      <c r="A161" s="23">
        <f t="shared" si="6"/>
        <v>157</v>
      </c>
      <c r="B161" s="54">
        <v>46006</v>
      </c>
      <c r="C161" s="55" t="s">
        <v>136</v>
      </c>
      <c r="D161" s="56" t="s">
        <v>157</v>
      </c>
      <c r="E161" s="56" t="s">
        <v>158</v>
      </c>
      <c r="F161" s="55" t="s">
        <v>54</v>
      </c>
      <c r="G161" s="57">
        <v>11</v>
      </c>
      <c r="H161" s="57">
        <v>213.55</v>
      </c>
      <c r="I161" s="26">
        <f t="shared" si="7"/>
        <v>2349.0500000000002</v>
      </c>
      <c r="J161" s="59">
        <v>1</v>
      </c>
      <c r="K161" s="26">
        <f t="shared" si="8"/>
        <v>2349.0500000000002</v>
      </c>
      <c r="L161" s="15"/>
    </row>
    <row r="162" spans="1:12" x14ac:dyDescent="0.2">
      <c r="A162" s="23">
        <f t="shared" si="6"/>
        <v>158</v>
      </c>
      <c r="B162" s="54">
        <v>46014</v>
      </c>
      <c r="C162" s="55" t="s">
        <v>136</v>
      </c>
      <c r="D162" s="56" t="s">
        <v>143</v>
      </c>
      <c r="E162" s="56" t="s">
        <v>144</v>
      </c>
      <c r="F162" s="55" t="s">
        <v>54</v>
      </c>
      <c r="G162" s="57">
        <v>33</v>
      </c>
      <c r="H162" s="57">
        <v>29.77</v>
      </c>
      <c r="I162" s="26">
        <f t="shared" si="7"/>
        <v>982.41</v>
      </c>
      <c r="J162" s="59">
        <v>1</v>
      </c>
      <c r="K162" s="26">
        <f t="shared" si="8"/>
        <v>982.41</v>
      </c>
      <c r="L162" s="15"/>
    </row>
    <row r="163" spans="1:12" x14ac:dyDescent="0.2">
      <c r="A163" s="23">
        <f t="shared" si="6"/>
        <v>159</v>
      </c>
      <c r="B163" s="54">
        <v>46014</v>
      </c>
      <c r="C163" s="55" t="s">
        <v>136</v>
      </c>
      <c r="D163" s="56" t="s">
        <v>157</v>
      </c>
      <c r="E163" s="56" t="s">
        <v>158</v>
      </c>
      <c r="F163" s="55" t="s">
        <v>54</v>
      </c>
      <c r="G163" s="57">
        <v>11</v>
      </c>
      <c r="H163" s="57">
        <v>216.2</v>
      </c>
      <c r="I163" s="26">
        <f t="shared" si="7"/>
        <v>2378.1999999999998</v>
      </c>
      <c r="J163" s="59">
        <v>1</v>
      </c>
      <c r="K163" s="26">
        <f t="shared" si="8"/>
        <v>2378.1999999999998</v>
      </c>
      <c r="L163" s="15"/>
    </row>
    <row r="164" spans="1:12" x14ac:dyDescent="0.2">
      <c r="A164" s="23">
        <f t="shared" si="6"/>
        <v>160</v>
      </c>
      <c r="B164" s="54">
        <v>46024</v>
      </c>
      <c r="C164" s="55" t="s">
        <v>136</v>
      </c>
      <c r="D164" s="56" t="s">
        <v>143</v>
      </c>
      <c r="E164" s="56" t="s">
        <v>144</v>
      </c>
      <c r="F164" s="55" t="s">
        <v>54</v>
      </c>
      <c r="G164" s="57">
        <v>32</v>
      </c>
      <c r="H164" s="57">
        <v>30.795000000000002</v>
      </c>
      <c r="I164" s="60">
        <f t="shared" si="7"/>
        <v>985.44</v>
      </c>
      <c r="J164" s="59">
        <v>1</v>
      </c>
      <c r="K164" s="26">
        <f t="shared" si="8"/>
        <v>985.44</v>
      </c>
      <c r="L164" s="15"/>
    </row>
    <row r="165" spans="1:12" x14ac:dyDescent="0.2">
      <c r="A165" s="23">
        <f t="shared" si="6"/>
        <v>161</v>
      </c>
      <c r="B165" s="54">
        <v>46024</v>
      </c>
      <c r="C165" s="55" t="s">
        <v>136</v>
      </c>
      <c r="D165" s="56" t="s">
        <v>157</v>
      </c>
      <c r="E165" s="56" t="s">
        <v>158</v>
      </c>
      <c r="F165" s="55" t="s">
        <v>54</v>
      </c>
      <c r="G165" s="57">
        <v>11</v>
      </c>
      <c r="H165" s="57">
        <v>219.85</v>
      </c>
      <c r="I165" s="60">
        <f t="shared" si="7"/>
        <v>2418.35</v>
      </c>
      <c r="J165" s="59">
        <v>1</v>
      </c>
      <c r="K165" s="26">
        <f t="shared" si="8"/>
        <v>2418.35</v>
      </c>
      <c r="L165" s="15"/>
    </row>
    <row r="166" spans="1:12" x14ac:dyDescent="0.2">
      <c r="A166" s="23">
        <f t="shared" si="6"/>
        <v>162</v>
      </c>
      <c r="B166" s="54">
        <v>46030</v>
      </c>
      <c r="C166" s="55" t="s">
        <v>136</v>
      </c>
      <c r="D166" s="56" t="s">
        <v>143</v>
      </c>
      <c r="E166" s="56" t="s">
        <v>144</v>
      </c>
      <c r="F166" s="55" t="s">
        <v>54</v>
      </c>
      <c r="G166" s="57">
        <v>29</v>
      </c>
      <c r="H166" s="57">
        <v>34.255000000000003</v>
      </c>
      <c r="I166" s="60">
        <f t="shared" si="7"/>
        <v>993.3950000000001</v>
      </c>
      <c r="J166" s="59">
        <v>1</v>
      </c>
      <c r="K166" s="26">
        <f t="shared" si="8"/>
        <v>993.3950000000001</v>
      </c>
      <c r="L166" s="15"/>
    </row>
    <row r="167" spans="1:12" x14ac:dyDescent="0.2">
      <c r="A167" s="23">
        <f t="shared" si="6"/>
        <v>163</v>
      </c>
      <c r="B167" s="54">
        <v>46030</v>
      </c>
      <c r="C167" s="55" t="s">
        <v>136</v>
      </c>
      <c r="D167" s="56" t="s">
        <v>157</v>
      </c>
      <c r="E167" s="56" t="s">
        <v>158</v>
      </c>
      <c r="F167" s="55" t="s">
        <v>54</v>
      </c>
      <c r="G167" s="57">
        <v>11</v>
      </c>
      <c r="H167" s="57">
        <v>221.4</v>
      </c>
      <c r="I167" s="60">
        <f t="shared" si="7"/>
        <v>2435.4</v>
      </c>
      <c r="J167" s="59">
        <v>1</v>
      </c>
      <c r="K167" s="26">
        <f t="shared" si="8"/>
        <v>2435.4</v>
      </c>
      <c r="L167" s="15"/>
    </row>
    <row r="168" spans="1:12" x14ac:dyDescent="0.2">
      <c r="A168" s="23">
        <f t="shared" si="6"/>
        <v>164</v>
      </c>
      <c r="B168" s="54">
        <v>46031</v>
      </c>
      <c r="C168" s="55" t="s">
        <v>253</v>
      </c>
      <c r="D168" s="56" t="s">
        <v>182</v>
      </c>
      <c r="E168" s="56" t="s">
        <v>183</v>
      </c>
      <c r="F168" s="55" t="s">
        <v>54</v>
      </c>
      <c r="G168" s="57">
        <v>70000</v>
      </c>
      <c r="H168" s="57">
        <v>1</v>
      </c>
      <c r="I168" s="60">
        <f t="shared" si="7"/>
        <v>70000</v>
      </c>
      <c r="J168" s="59">
        <v>1</v>
      </c>
      <c r="K168" s="26">
        <f t="shared" si="8"/>
        <v>70000</v>
      </c>
      <c r="L168" s="15"/>
    </row>
    <row r="169" spans="1:12" x14ac:dyDescent="0.2">
      <c r="A169" s="23">
        <f t="shared" si="6"/>
        <v>165</v>
      </c>
      <c r="B169" s="54">
        <v>46037</v>
      </c>
      <c r="C169" s="55" t="s">
        <v>136</v>
      </c>
      <c r="D169" s="56" t="s">
        <v>143</v>
      </c>
      <c r="E169" s="56" t="s">
        <v>144</v>
      </c>
      <c r="F169" s="55" t="s">
        <v>54</v>
      </c>
      <c r="G169" s="57">
        <v>28</v>
      </c>
      <c r="H169" s="57">
        <v>34.65</v>
      </c>
      <c r="I169" s="60">
        <f t="shared" si="7"/>
        <v>970.19999999999993</v>
      </c>
      <c r="J169" s="59">
        <v>1</v>
      </c>
      <c r="K169" s="26">
        <f t="shared" si="8"/>
        <v>970.19999999999993</v>
      </c>
      <c r="L169" s="15"/>
    </row>
    <row r="170" spans="1:12" x14ac:dyDescent="0.2">
      <c r="A170" s="23">
        <f t="shared" si="6"/>
        <v>166</v>
      </c>
      <c r="B170" s="54">
        <v>46037</v>
      </c>
      <c r="C170" s="55" t="s">
        <v>136</v>
      </c>
      <c r="D170" s="56" t="s">
        <v>157</v>
      </c>
      <c r="E170" s="56" t="s">
        <v>158</v>
      </c>
      <c r="F170" s="55" t="s">
        <v>54</v>
      </c>
      <c r="G170" s="57">
        <v>11</v>
      </c>
      <c r="H170" s="57">
        <v>222.2</v>
      </c>
      <c r="I170" s="60">
        <f t="shared" si="7"/>
        <v>2444.1999999999998</v>
      </c>
      <c r="J170" s="59">
        <v>1</v>
      </c>
      <c r="K170" s="26">
        <f t="shared" si="8"/>
        <v>2444.1999999999998</v>
      </c>
      <c r="L170" s="15"/>
    </row>
    <row r="171" spans="1:12" x14ac:dyDescent="0.2">
      <c r="A171" s="23">
        <f t="shared" si="6"/>
        <v>167</v>
      </c>
      <c r="B171" s="54">
        <v>46044</v>
      </c>
      <c r="C171" s="55" t="s">
        <v>136</v>
      </c>
      <c r="D171" s="56" t="s">
        <v>276</v>
      </c>
      <c r="E171" s="56" t="s">
        <v>277</v>
      </c>
      <c r="F171" s="55" t="s">
        <v>54</v>
      </c>
      <c r="G171" s="57">
        <v>2000</v>
      </c>
      <c r="H171" s="57">
        <v>49.943399999999997</v>
      </c>
      <c r="I171" s="60">
        <f t="shared" si="7"/>
        <v>99886.799999999988</v>
      </c>
      <c r="J171" s="59">
        <v>1</v>
      </c>
      <c r="K171" s="26">
        <f t="shared" si="8"/>
        <v>99886.799999999988</v>
      </c>
      <c r="L171" s="15"/>
    </row>
    <row r="172" spans="1:12" x14ac:dyDescent="0.2">
      <c r="A172" s="23">
        <f t="shared" si="6"/>
        <v>168</v>
      </c>
      <c r="B172" s="54">
        <v>46045</v>
      </c>
      <c r="C172" s="55" t="s">
        <v>136</v>
      </c>
      <c r="D172" s="56" t="s">
        <v>143</v>
      </c>
      <c r="E172" s="56" t="s">
        <v>144</v>
      </c>
      <c r="F172" s="55" t="s">
        <v>54</v>
      </c>
      <c r="G172" s="57">
        <v>28</v>
      </c>
      <c r="H172" s="57">
        <v>34.61</v>
      </c>
      <c r="I172" s="60">
        <f t="shared" si="7"/>
        <v>969.07999999999993</v>
      </c>
      <c r="J172" s="59">
        <v>1</v>
      </c>
      <c r="K172" s="26">
        <f t="shared" si="8"/>
        <v>969.07999999999993</v>
      </c>
      <c r="L172" s="15"/>
    </row>
    <row r="173" spans="1:12" x14ac:dyDescent="0.2">
      <c r="A173" s="23">
        <f t="shared" si="6"/>
        <v>169</v>
      </c>
      <c r="B173" s="54">
        <v>46045</v>
      </c>
      <c r="C173" s="55" t="s">
        <v>136</v>
      </c>
      <c r="D173" s="56" t="s">
        <v>157</v>
      </c>
      <c r="E173" s="56" t="s">
        <v>158</v>
      </c>
      <c r="F173" s="55" t="s">
        <v>54</v>
      </c>
      <c r="G173" s="57">
        <v>11</v>
      </c>
      <c r="H173" s="57">
        <v>217.85</v>
      </c>
      <c r="I173" s="60">
        <f t="shared" si="7"/>
        <v>2396.35</v>
      </c>
      <c r="J173" s="59">
        <v>1</v>
      </c>
      <c r="K173" s="26">
        <f t="shared" si="8"/>
        <v>2396.35</v>
      </c>
      <c r="L173" s="15"/>
    </row>
    <row r="174" spans="1:12" x14ac:dyDescent="0.2">
      <c r="A174" s="23">
        <f t="shared" si="6"/>
        <v>170</v>
      </c>
      <c r="B174" s="54">
        <v>46045</v>
      </c>
      <c r="C174" s="55" t="s">
        <v>253</v>
      </c>
      <c r="D174" s="56" t="s">
        <v>248</v>
      </c>
      <c r="E174" s="56" t="s">
        <v>249</v>
      </c>
      <c r="F174" s="55" t="s">
        <v>54</v>
      </c>
      <c r="G174" s="57">
        <v>40000</v>
      </c>
      <c r="H174" s="57">
        <v>1</v>
      </c>
      <c r="I174" s="60">
        <f t="shared" si="7"/>
        <v>40000</v>
      </c>
      <c r="J174" s="59">
        <v>1</v>
      </c>
      <c r="K174" s="26">
        <f t="shared" si="8"/>
        <v>40000</v>
      </c>
      <c r="L174" s="15"/>
    </row>
    <row r="175" spans="1:12" x14ac:dyDescent="0.2">
      <c r="A175" s="23">
        <f t="shared" si="6"/>
        <v>171</v>
      </c>
      <c r="B175" s="54">
        <v>46055</v>
      </c>
      <c r="C175" s="55" t="s">
        <v>253</v>
      </c>
      <c r="D175" s="56" t="s">
        <v>191</v>
      </c>
      <c r="E175" s="56" t="s">
        <v>192</v>
      </c>
      <c r="F175" s="55" t="s">
        <v>54</v>
      </c>
      <c r="G175" s="57">
        <v>2</v>
      </c>
      <c r="H175" s="57">
        <v>383.63</v>
      </c>
      <c r="I175" s="60">
        <f t="shared" si="7"/>
        <v>767.26</v>
      </c>
      <c r="J175" s="59">
        <v>1</v>
      </c>
      <c r="K175" s="26">
        <f t="shared" si="8"/>
        <v>767.26</v>
      </c>
      <c r="L175" s="15"/>
    </row>
    <row r="176" spans="1:12" x14ac:dyDescent="0.2">
      <c r="A176" s="23">
        <f t="shared" si="6"/>
        <v>172</v>
      </c>
      <c r="B176" s="54">
        <v>46055</v>
      </c>
      <c r="C176" s="55" t="s">
        <v>136</v>
      </c>
      <c r="D176" s="56" t="s">
        <v>278</v>
      </c>
      <c r="E176" s="56" t="s">
        <v>279</v>
      </c>
      <c r="F176" s="55" t="s">
        <v>54</v>
      </c>
      <c r="G176" s="57">
        <v>100000</v>
      </c>
      <c r="H176" s="57">
        <v>1.00589</v>
      </c>
      <c r="I176" s="60">
        <f t="shared" si="7"/>
        <v>100589</v>
      </c>
      <c r="J176" s="59">
        <v>1</v>
      </c>
      <c r="K176" s="26">
        <f t="shared" si="8"/>
        <v>100589</v>
      </c>
      <c r="L176" s="15"/>
    </row>
    <row r="177" spans="1:12" x14ac:dyDescent="0.2">
      <c r="A177" s="23">
        <f t="shared" si="6"/>
        <v>173</v>
      </c>
      <c r="B177" s="54">
        <v>46055</v>
      </c>
      <c r="C177" s="55" t="s">
        <v>136</v>
      </c>
      <c r="D177" s="56" t="s">
        <v>143</v>
      </c>
      <c r="E177" s="56" t="s">
        <v>144</v>
      </c>
      <c r="F177" s="55" t="s">
        <v>54</v>
      </c>
      <c r="G177" s="57">
        <v>29</v>
      </c>
      <c r="H177" s="57">
        <v>33.305</v>
      </c>
      <c r="I177" s="60">
        <f t="shared" si="7"/>
        <v>965.84500000000003</v>
      </c>
      <c r="J177" s="59">
        <v>1</v>
      </c>
      <c r="K177" s="26">
        <f t="shared" si="8"/>
        <v>965.84500000000003</v>
      </c>
      <c r="L177" s="15"/>
    </row>
    <row r="178" spans="1:12" x14ac:dyDescent="0.2">
      <c r="A178" s="23">
        <f t="shared" si="6"/>
        <v>174</v>
      </c>
      <c r="B178" s="54">
        <v>46055</v>
      </c>
      <c r="C178" s="55" t="s">
        <v>136</v>
      </c>
      <c r="D178" s="56" t="s">
        <v>157</v>
      </c>
      <c r="E178" s="56" t="s">
        <v>158</v>
      </c>
      <c r="F178" s="55" t="s">
        <v>54</v>
      </c>
      <c r="G178" s="57">
        <v>11</v>
      </c>
      <c r="H178" s="57">
        <v>223.6</v>
      </c>
      <c r="I178" s="60">
        <f t="shared" si="7"/>
        <v>2459.6</v>
      </c>
      <c r="J178" s="59">
        <v>1</v>
      </c>
      <c r="K178" s="26">
        <f t="shared" si="8"/>
        <v>2459.6</v>
      </c>
      <c r="L178" s="15"/>
    </row>
    <row r="179" spans="1:12" x14ac:dyDescent="0.2">
      <c r="A179" s="23">
        <f t="shared" si="6"/>
        <v>175</v>
      </c>
      <c r="B179" s="54">
        <v>46059</v>
      </c>
      <c r="C179" s="55" t="s">
        <v>253</v>
      </c>
      <c r="D179" s="56" t="s">
        <v>171</v>
      </c>
      <c r="E179" s="56" t="s">
        <v>172</v>
      </c>
      <c r="F179" s="55" t="s">
        <v>54</v>
      </c>
      <c r="G179" s="57">
        <v>30</v>
      </c>
      <c r="H179" s="57">
        <v>1141.2</v>
      </c>
      <c r="I179" s="60">
        <f t="shared" si="7"/>
        <v>34236</v>
      </c>
      <c r="J179" s="59">
        <v>1</v>
      </c>
      <c r="K179" s="26">
        <f t="shared" si="8"/>
        <v>34236</v>
      </c>
      <c r="L179" s="15"/>
    </row>
    <row r="180" spans="1:12" x14ac:dyDescent="0.2">
      <c r="A180" s="23">
        <f t="shared" si="6"/>
        <v>176</v>
      </c>
      <c r="B180" s="54">
        <v>46059</v>
      </c>
      <c r="C180" s="55" t="s">
        <v>136</v>
      </c>
      <c r="D180" s="56" t="s">
        <v>280</v>
      </c>
      <c r="E180" s="56" t="s">
        <v>281</v>
      </c>
      <c r="F180" s="55" t="s">
        <v>54</v>
      </c>
      <c r="G180" s="57">
        <v>100000</v>
      </c>
      <c r="H180" s="57">
        <v>0.99656999999999996</v>
      </c>
      <c r="I180" s="60">
        <f t="shared" si="7"/>
        <v>99657</v>
      </c>
      <c r="J180" s="59">
        <v>1</v>
      </c>
      <c r="K180" s="26">
        <f t="shared" si="8"/>
        <v>99657</v>
      </c>
      <c r="L180" s="15"/>
    </row>
    <row r="181" spans="1:12" x14ac:dyDescent="0.2">
      <c r="A181" s="23">
        <f t="shared" si="6"/>
        <v>177</v>
      </c>
      <c r="B181" s="54">
        <v>46059</v>
      </c>
      <c r="C181" s="55" t="s">
        <v>136</v>
      </c>
      <c r="D181" s="56" t="s">
        <v>282</v>
      </c>
      <c r="E181" s="56" t="s">
        <v>283</v>
      </c>
      <c r="F181" s="55" t="s">
        <v>54</v>
      </c>
      <c r="G181" s="57">
        <v>100000</v>
      </c>
      <c r="H181" s="57">
        <v>0.99829000000000001</v>
      </c>
      <c r="I181" s="60">
        <f t="shared" si="7"/>
        <v>99829</v>
      </c>
      <c r="J181" s="59">
        <v>1</v>
      </c>
      <c r="K181" s="26">
        <f t="shared" si="8"/>
        <v>99829</v>
      </c>
      <c r="L181" s="15"/>
    </row>
    <row r="182" spans="1:12" x14ac:dyDescent="0.2">
      <c r="A182" s="23">
        <f t="shared" si="6"/>
        <v>178</v>
      </c>
      <c r="B182" s="54">
        <v>46059</v>
      </c>
      <c r="C182" s="55" t="s">
        <v>136</v>
      </c>
      <c r="D182" s="56" t="s">
        <v>276</v>
      </c>
      <c r="E182" s="56" t="s">
        <v>277</v>
      </c>
      <c r="F182" s="55" t="s">
        <v>54</v>
      </c>
      <c r="G182" s="57">
        <v>1000</v>
      </c>
      <c r="H182" s="57">
        <v>47.76</v>
      </c>
      <c r="I182" s="60">
        <f t="shared" si="7"/>
        <v>47760</v>
      </c>
      <c r="J182" s="59">
        <v>1</v>
      </c>
      <c r="K182" s="26">
        <f t="shared" si="8"/>
        <v>47760</v>
      </c>
      <c r="L182" s="15"/>
    </row>
    <row r="183" spans="1:12" x14ac:dyDescent="0.2">
      <c r="A183" s="23">
        <f t="shared" si="6"/>
        <v>179</v>
      </c>
      <c r="B183" s="54">
        <v>46062</v>
      </c>
      <c r="C183" s="55" t="s">
        <v>136</v>
      </c>
      <c r="D183" s="56" t="s">
        <v>143</v>
      </c>
      <c r="E183" s="56" t="s">
        <v>144</v>
      </c>
      <c r="F183" s="55" t="s">
        <v>54</v>
      </c>
      <c r="G183" s="57">
        <v>29</v>
      </c>
      <c r="H183" s="57">
        <v>33.615000000000002</v>
      </c>
      <c r="I183" s="60">
        <f t="shared" si="7"/>
        <v>974.83500000000004</v>
      </c>
      <c r="J183" s="59">
        <v>1</v>
      </c>
      <c r="K183" s="26">
        <f t="shared" si="8"/>
        <v>974.83500000000004</v>
      </c>
      <c r="L183" s="15"/>
    </row>
    <row r="184" spans="1:12" x14ac:dyDescent="0.2">
      <c r="A184" s="23">
        <f t="shared" si="6"/>
        <v>180</v>
      </c>
      <c r="B184" s="54">
        <v>46062</v>
      </c>
      <c r="C184" s="55" t="s">
        <v>136</v>
      </c>
      <c r="D184" s="56" t="s">
        <v>157</v>
      </c>
      <c r="E184" s="56" t="s">
        <v>158</v>
      </c>
      <c r="F184" s="55" t="s">
        <v>54</v>
      </c>
      <c r="G184" s="57">
        <v>10</v>
      </c>
      <c r="H184" s="57">
        <v>227.5</v>
      </c>
      <c r="I184" s="60">
        <f t="shared" si="7"/>
        <v>2275</v>
      </c>
      <c r="J184" s="59">
        <v>1</v>
      </c>
      <c r="K184" s="26">
        <f t="shared" si="8"/>
        <v>2275</v>
      </c>
      <c r="L184" s="15"/>
    </row>
    <row r="185" spans="1:12" x14ac:dyDescent="0.2">
      <c r="A185" s="23">
        <f t="shared" si="6"/>
        <v>181</v>
      </c>
      <c r="B185" s="54">
        <v>46069</v>
      </c>
      <c r="C185" s="55" t="s">
        <v>136</v>
      </c>
      <c r="D185" s="56" t="s">
        <v>284</v>
      </c>
      <c r="E185" s="56" t="s">
        <v>285</v>
      </c>
      <c r="F185" s="55" t="s">
        <v>54</v>
      </c>
      <c r="G185" s="57">
        <v>100</v>
      </c>
      <c r="H185" s="57">
        <v>170.6</v>
      </c>
      <c r="I185" s="60">
        <f t="shared" si="7"/>
        <v>17060</v>
      </c>
      <c r="J185" s="59">
        <v>1</v>
      </c>
      <c r="K185" s="26">
        <f t="shared" si="8"/>
        <v>17060</v>
      </c>
      <c r="L185" s="15"/>
    </row>
    <row r="186" spans="1:12" x14ac:dyDescent="0.2">
      <c r="A186" s="23">
        <f t="shared" si="6"/>
        <v>182</v>
      </c>
      <c r="B186" s="54">
        <v>46069</v>
      </c>
      <c r="C186" s="55" t="s">
        <v>136</v>
      </c>
      <c r="D186" s="56" t="s">
        <v>143</v>
      </c>
      <c r="E186" s="56" t="s">
        <v>144</v>
      </c>
      <c r="F186" s="55" t="s">
        <v>54</v>
      </c>
      <c r="G186" s="57">
        <v>29</v>
      </c>
      <c r="H186" s="57">
        <v>33.914999999999999</v>
      </c>
      <c r="I186" s="60">
        <f t="shared" si="7"/>
        <v>983.53499999999997</v>
      </c>
      <c r="J186" s="59">
        <v>1</v>
      </c>
      <c r="K186" s="26">
        <f t="shared" si="8"/>
        <v>983.53499999999997</v>
      </c>
      <c r="L186" s="15"/>
    </row>
    <row r="187" spans="1:12" x14ac:dyDescent="0.2">
      <c r="A187" s="23">
        <f t="shared" si="6"/>
        <v>183</v>
      </c>
      <c r="B187" s="54">
        <v>46069</v>
      </c>
      <c r="C187" s="55" t="s">
        <v>136</v>
      </c>
      <c r="D187" s="56" t="s">
        <v>157</v>
      </c>
      <c r="E187" s="56" t="s">
        <v>158</v>
      </c>
      <c r="F187" s="55" t="s">
        <v>54</v>
      </c>
      <c r="G187" s="57">
        <v>11</v>
      </c>
      <c r="H187" s="57">
        <v>220.9</v>
      </c>
      <c r="I187" s="60">
        <f t="shared" si="7"/>
        <v>2429.9</v>
      </c>
      <c r="J187" s="59">
        <v>1</v>
      </c>
      <c r="K187" s="26">
        <f t="shared" si="8"/>
        <v>2429.9</v>
      </c>
      <c r="L187" s="15"/>
    </row>
    <row r="188" spans="1:12" x14ac:dyDescent="0.2">
      <c r="A188" s="23">
        <f t="shared" si="6"/>
        <v>184</v>
      </c>
      <c r="B188" s="54">
        <v>46071</v>
      </c>
      <c r="C188" s="55" t="s">
        <v>253</v>
      </c>
      <c r="D188" s="56" t="s">
        <v>265</v>
      </c>
      <c r="E188" s="56" t="s">
        <v>266</v>
      </c>
      <c r="F188" s="55" t="s">
        <v>54</v>
      </c>
      <c r="G188" s="57">
        <v>1000</v>
      </c>
      <c r="H188" s="57">
        <v>19.156300000000002</v>
      </c>
      <c r="I188" s="60">
        <f t="shared" si="7"/>
        <v>19156.300000000003</v>
      </c>
      <c r="J188" s="59">
        <v>1</v>
      </c>
      <c r="K188" s="26">
        <f t="shared" si="8"/>
        <v>19156.300000000003</v>
      </c>
      <c r="L188" s="15"/>
    </row>
    <row r="189" spans="1:12" x14ac:dyDescent="0.2">
      <c r="A189" s="23">
        <f t="shared" si="6"/>
        <v>185</v>
      </c>
      <c r="B189" s="54">
        <v>46072</v>
      </c>
      <c r="C189" s="55" t="s">
        <v>136</v>
      </c>
      <c r="D189" s="56" t="s">
        <v>286</v>
      </c>
      <c r="E189" s="56" t="s">
        <v>238</v>
      </c>
      <c r="F189" s="55" t="s">
        <v>54</v>
      </c>
      <c r="G189" s="57">
        <v>1000</v>
      </c>
      <c r="H189" s="57">
        <v>39.04</v>
      </c>
      <c r="I189" s="60">
        <f t="shared" si="7"/>
        <v>39040</v>
      </c>
      <c r="J189" s="59">
        <v>1</v>
      </c>
      <c r="K189" s="26">
        <f t="shared" si="8"/>
        <v>39040</v>
      </c>
      <c r="L189" s="15"/>
    </row>
    <row r="190" spans="1:12" x14ac:dyDescent="0.2">
      <c r="A190" s="23">
        <f t="shared" si="6"/>
        <v>186</v>
      </c>
      <c r="B190" s="54">
        <v>46076</v>
      </c>
      <c r="C190" s="55" t="s">
        <v>136</v>
      </c>
      <c r="D190" s="56" t="s">
        <v>143</v>
      </c>
      <c r="E190" s="56" t="s">
        <v>144</v>
      </c>
      <c r="F190" s="55" t="s">
        <v>54</v>
      </c>
      <c r="G190" s="57">
        <v>28</v>
      </c>
      <c r="H190" s="57">
        <v>34.56</v>
      </c>
      <c r="I190" s="60">
        <f t="shared" si="7"/>
        <v>967.68000000000006</v>
      </c>
      <c r="J190" s="59">
        <v>1</v>
      </c>
      <c r="K190" s="26">
        <f t="shared" si="8"/>
        <v>967.68000000000006</v>
      </c>
      <c r="L190" s="15"/>
    </row>
    <row r="191" spans="1:12" x14ac:dyDescent="0.2">
      <c r="A191" s="23">
        <f t="shared" si="6"/>
        <v>187</v>
      </c>
      <c r="B191" s="54">
        <v>46076</v>
      </c>
      <c r="C191" s="55" t="s">
        <v>136</v>
      </c>
      <c r="D191" s="56" t="s">
        <v>157</v>
      </c>
      <c r="E191" s="56" t="s">
        <v>158</v>
      </c>
      <c r="F191" s="55" t="s">
        <v>54</v>
      </c>
      <c r="G191" s="57">
        <v>10</v>
      </c>
      <c r="H191" s="57">
        <v>227</v>
      </c>
      <c r="I191" s="60">
        <f t="shared" si="7"/>
        <v>2270</v>
      </c>
      <c r="J191" s="59">
        <v>1</v>
      </c>
      <c r="K191" s="26">
        <f t="shared" si="8"/>
        <v>2270</v>
      </c>
      <c r="L191" s="15"/>
    </row>
    <row r="192" spans="1:12" x14ac:dyDescent="0.2">
      <c r="A192" s="23">
        <f t="shared" si="6"/>
        <v>188</v>
      </c>
      <c r="B192" s="54">
        <v>46078</v>
      </c>
      <c r="C192" s="55" t="s">
        <v>136</v>
      </c>
      <c r="D192" s="56" t="s">
        <v>166</v>
      </c>
      <c r="E192" s="56" t="s">
        <v>167</v>
      </c>
      <c r="F192" s="55" t="s">
        <v>54</v>
      </c>
      <c r="G192" s="57">
        <v>367</v>
      </c>
      <c r="H192" s="57">
        <v>50.155200000000001</v>
      </c>
      <c r="I192" s="60">
        <f t="shared" si="7"/>
        <v>18406.9584</v>
      </c>
      <c r="J192" s="59">
        <v>1</v>
      </c>
      <c r="K192" s="26">
        <f t="shared" si="8"/>
        <v>18406.9584</v>
      </c>
      <c r="L192" s="15"/>
    </row>
    <row r="193" spans="1:12" x14ac:dyDescent="0.2">
      <c r="A193" s="23">
        <f t="shared" si="6"/>
        <v>189</v>
      </c>
      <c r="B193" s="54">
        <v>46078</v>
      </c>
      <c r="C193" s="55" t="s">
        <v>136</v>
      </c>
      <c r="D193" s="56" t="s">
        <v>185</v>
      </c>
      <c r="E193" s="56" t="s">
        <v>186</v>
      </c>
      <c r="F193" s="55" t="s">
        <v>54</v>
      </c>
      <c r="G193" s="57">
        <v>1340</v>
      </c>
      <c r="H193" s="57">
        <v>3.4314</v>
      </c>
      <c r="I193" s="60">
        <f t="shared" si="7"/>
        <v>4598.076</v>
      </c>
      <c r="J193" s="59">
        <v>1</v>
      </c>
      <c r="K193" s="26">
        <f t="shared" si="8"/>
        <v>4598.076</v>
      </c>
      <c r="L193" s="15"/>
    </row>
    <row r="194" spans="1:12" x14ac:dyDescent="0.2">
      <c r="A194" s="23">
        <f t="shared" si="6"/>
        <v>190</v>
      </c>
      <c r="B194" s="54">
        <v>46078</v>
      </c>
      <c r="C194" s="55" t="s">
        <v>136</v>
      </c>
      <c r="D194" s="56" t="s">
        <v>200</v>
      </c>
      <c r="E194" s="56" t="s">
        <v>201</v>
      </c>
      <c r="F194" s="55" t="s">
        <v>54</v>
      </c>
      <c r="G194" s="57">
        <v>1200</v>
      </c>
      <c r="H194" s="57">
        <v>3.7219000000000002</v>
      </c>
      <c r="I194" s="60">
        <f t="shared" si="7"/>
        <v>4466.2800000000007</v>
      </c>
      <c r="J194" s="59">
        <v>1</v>
      </c>
      <c r="K194" s="26">
        <f t="shared" si="8"/>
        <v>4466.2800000000007</v>
      </c>
      <c r="L194" s="15"/>
    </row>
    <row r="195" spans="1:12" x14ac:dyDescent="0.2">
      <c r="A195" s="23">
        <f t="shared" si="6"/>
        <v>191</v>
      </c>
      <c r="B195" s="54">
        <v>46083</v>
      </c>
      <c r="C195" s="55" t="s">
        <v>253</v>
      </c>
      <c r="D195" s="56" t="s">
        <v>176</v>
      </c>
      <c r="E195" s="56" t="s">
        <v>177</v>
      </c>
      <c r="F195" s="55" t="s">
        <v>54</v>
      </c>
      <c r="G195" s="57">
        <v>2000</v>
      </c>
      <c r="H195" s="57">
        <v>6.14</v>
      </c>
      <c r="I195" s="60">
        <f t="shared" si="7"/>
        <v>12280</v>
      </c>
      <c r="J195" s="59">
        <v>1</v>
      </c>
      <c r="K195" s="26">
        <f t="shared" si="8"/>
        <v>12280</v>
      </c>
      <c r="L195" s="15"/>
    </row>
    <row r="196" spans="1:12" x14ac:dyDescent="0.2">
      <c r="A196" s="23">
        <f t="shared" si="6"/>
        <v>192</v>
      </c>
      <c r="B196" s="54">
        <v>46083</v>
      </c>
      <c r="C196" s="55" t="s">
        <v>136</v>
      </c>
      <c r="D196" s="56" t="s">
        <v>287</v>
      </c>
      <c r="E196" s="56" t="s">
        <v>288</v>
      </c>
      <c r="F196" s="55" t="s">
        <v>54</v>
      </c>
      <c r="G196" s="57">
        <v>500</v>
      </c>
      <c r="H196" s="57">
        <v>9.0370000000000008</v>
      </c>
      <c r="I196" s="60">
        <f t="shared" si="7"/>
        <v>4518.5</v>
      </c>
      <c r="J196" s="59">
        <v>1</v>
      </c>
      <c r="K196" s="26">
        <f t="shared" si="8"/>
        <v>4518.5</v>
      </c>
      <c r="L196" s="15"/>
    </row>
    <row r="197" spans="1:12" x14ac:dyDescent="0.2">
      <c r="A197" s="23">
        <f t="shared" ref="A197:A260" si="9">IF(B197="","",ROW()-4)</f>
        <v>193</v>
      </c>
      <c r="B197" s="54">
        <v>46083</v>
      </c>
      <c r="C197" s="55" t="s">
        <v>136</v>
      </c>
      <c r="D197" s="56" t="s">
        <v>143</v>
      </c>
      <c r="E197" s="56" t="s">
        <v>144</v>
      </c>
      <c r="F197" s="55" t="s">
        <v>54</v>
      </c>
      <c r="G197" s="57">
        <v>28</v>
      </c>
      <c r="H197" s="57">
        <v>34.555</v>
      </c>
      <c r="I197" s="60">
        <f t="shared" ref="I197:I260" si="10">IF(OR(G197="",H197=""),"",G197*H197)</f>
        <v>967.54</v>
      </c>
      <c r="J197" s="59">
        <v>1</v>
      </c>
      <c r="K197" s="26">
        <f t="shared" ref="K197:K260" si="11">IF(OR(I197="",J197=""),"",I197*J197)</f>
        <v>967.54</v>
      </c>
      <c r="L197" s="15"/>
    </row>
    <row r="198" spans="1:12" x14ac:dyDescent="0.2">
      <c r="A198" s="23">
        <f t="shared" si="9"/>
        <v>194</v>
      </c>
      <c r="B198" s="54">
        <v>46083</v>
      </c>
      <c r="C198" s="55" t="s">
        <v>136</v>
      </c>
      <c r="D198" s="56" t="s">
        <v>157</v>
      </c>
      <c r="E198" s="56" t="s">
        <v>158</v>
      </c>
      <c r="F198" s="55" t="s">
        <v>54</v>
      </c>
      <c r="G198" s="57">
        <v>11</v>
      </c>
      <c r="H198" s="57">
        <v>224.7</v>
      </c>
      <c r="I198" s="60">
        <f t="shared" si="10"/>
        <v>2471.6999999999998</v>
      </c>
      <c r="J198" s="59">
        <v>1</v>
      </c>
      <c r="K198" s="26">
        <f t="shared" si="11"/>
        <v>2471.6999999999998</v>
      </c>
      <c r="L198" s="15"/>
    </row>
    <row r="199" spans="1:12" x14ac:dyDescent="0.2">
      <c r="A199" s="23">
        <f t="shared" si="9"/>
        <v>195</v>
      </c>
      <c r="B199" s="54">
        <v>46090</v>
      </c>
      <c r="C199" s="55" t="s">
        <v>136</v>
      </c>
      <c r="D199" s="56" t="s">
        <v>289</v>
      </c>
      <c r="E199" s="56" t="s">
        <v>290</v>
      </c>
      <c r="F199" s="55" t="s">
        <v>54</v>
      </c>
      <c r="G199" s="57">
        <v>300</v>
      </c>
      <c r="H199" s="57">
        <v>20.6</v>
      </c>
      <c r="I199" s="60">
        <f t="shared" si="10"/>
        <v>6180</v>
      </c>
      <c r="J199" s="59">
        <v>1</v>
      </c>
      <c r="K199" s="26">
        <f t="shared" si="11"/>
        <v>6180</v>
      </c>
      <c r="L199" s="15"/>
    </row>
    <row r="200" spans="1:12" x14ac:dyDescent="0.2">
      <c r="A200" s="23">
        <f t="shared" si="9"/>
        <v>196</v>
      </c>
      <c r="B200" s="54">
        <v>46090</v>
      </c>
      <c r="C200" s="55" t="s">
        <v>136</v>
      </c>
      <c r="D200" s="56" t="s">
        <v>143</v>
      </c>
      <c r="E200" s="56" t="s">
        <v>144</v>
      </c>
      <c r="F200" s="55" t="s">
        <v>54</v>
      </c>
      <c r="G200" s="57">
        <v>29</v>
      </c>
      <c r="H200" s="57">
        <v>34.335000000000001</v>
      </c>
      <c r="I200" s="60">
        <f t="shared" si="10"/>
        <v>995.71500000000003</v>
      </c>
      <c r="J200" s="59">
        <v>1</v>
      </c>
      <c r="K200" s="26">
        <f t="shared" si="11"/>
        <v>995.71500000000003</v>
      </c>
      <c r="L200" s="15"/>
    </row>
    <row r="201" spans="1:12" x14ac:dyDescent="0.2">
      <c r="A201" s="23">
        <f t="shared" si="9"/>
        <v>197</v>
      </c>
      <c r="B201" s="54">
        <v>46090</v>
      </c>
      <c r="C201" s="55" t="s">
        <v>136</v>
      </c>
      <c r="D201" s="56" t="s">
        <v>157</v>
      </c>
      <c r="E201" s="56" t="s">
        <v>158</v>
      </c>
      <c r="F201" s="55" t="s">
        <v>54</v>
      </c>
      <c r="G201" s="57">
        <v>11</v>
      </c>
      <c r="H201" s="57">
        <v>213.7</v>
      </c>
      <c r="I201" s="60">
        <f t="shared" si="10"/>
        <v>2350.6999999999998</v>
      </c>
      <c r="J201" s="59">
        <v>1</v>
      </c>
      <c r="K201" s="26">
        <f t="shared" si="11"/>
        <v>2350.6999999999998</v>
      </c>
      <c r="L201" s="15"/>
    </row>
    <row r="202" spans="1:12" x14ac:dyDescent="0.2">
      <c r="A202" s="23">
        <f t="shared" si="9"/>
        <v>198</v>
      </c>
      <c r="B202" s="54">
        <v>46091</v>
      </c>
      <c r="C202" s="55" t="s">
        <v>253</v>
      </c>
      <c r="D202" s="56" t="s">
        <v>282</v>
      </c>
      <c r="E202" s="56" t="s">
        <v>283</v>
      </c>
      <c r="F202" s="55" t="s">
        <v>54</v>
      </c>
      <c r="G202" s="57">
        <v>100000</v>
      </c>
      <c r="H202" s="57">
        <v>1</v>
      </c>
      <c r="I202" s="60">
        <f t="shared" si="10"/>
        <v>100000</v>
      </c>
      <c r="J202" s="59">
        <v>1</v>
      </c>
      <c r="K202" s="26">
        <f t="shared" si="11"/>
        <v>100000</v>
      </c>
      <c r="L202" s="15"/>
    </row>
    <row r="203" spans="1:12" x14ac:dyDescent="0.2">
      <c r="A203" s="23">
        <f t="shared" si="9"/>
        <v>199</v>
      </c>
      <c r="B203" s="54">
        <v>46097</v>
      </c>
      <c r="C203" s="55" t="s">
        <v>136</v>
      </c>
      <c r="D203" s="56" t="s">
        <v>143</v>
      </c>
      <c r="E203" s="56" t="s">
        <v>144</v>
      </c>
      <c r="F203" s="55" t="s">
        <v>54</v>
      </c>
      <c r="G203" s="57">
        <v>28</v>
      </c>
      <c r="H203" s="57">
        <v>34.585000000000001</v>
      </c>
      <c r="I203" s="60">
        <f t="shared" si="10"/>
        <v>968.38</v>
      </c>
      <c r="J203" s="59">
        <v>1</v>
      </c>
      <c r="K203" s="26">
        <f t="shared" si="11"/>
        <v>968.38</v>
      </c>
      <c r="L203" s="15"/>
    </row>
    <row r="204" spans="1:12" x14ac:dyDescent="0.2">
      <c r="A204" s="23">
        <f t="shared" si="9"/>
        <v>200</v>
      </c>
      <c r="B204" s="54">
        <v>46097</v>
      </c>
      <c r="C204" s="55" t="s">
        <v>136</v>
      </c>
      <c r="D204" s="56" t="s">
        <v>157</v>
      </c>
      <c r="E204" s="56" t="s">
        <v>158</v>
      </c>
      <c r="F204" s="55" t="s">
        <v>54</v>
      </c>
      <c r="G204" s="57">
        <v>11</v>
      </c>
      <c r="H204" s="57">
        <v>215.05</v>
      </c>
      <c r="I204" s="60">
        <f t="shared" si="10"/>
        <v>2365.5500000000002</v>
      </c>
      <c r="J204" s="59">
        <v>1</v>
      </c>
      <c r="K204" s="26">
        <f t="shared" si="11"/>
        <v>2365.5500000000002</v>
      </c>
      <c r="L204" s="15"/>
    </row>
    <row r="205" spans="1:12" x14ac:dyDescent="0.2">
      <c r="A205" s="23">
        <f t="shared" si="9"/>
        <v>201</v>
      </c>
      <c r="B205" s="54">
        <v>46104</v>
      </c>
      <c r="C205" s="55" t="s">
        <v>136</v>
      </c>
      <c r="D205" s="56" t="s">
        <v>143</v>
      </c>
      <c r="E205" s="56" t="s">
        <v>144</v>
      </c>
      <c r="F205" s="55" t="s">
        <v>54</v>
      </c>
      <c r="G205" s="57">
        <v>30</v>
      </c>
      <c r="H205" s="57">
        <v>32.274999999999999</v>
      </c>
      <c r="I205" s="60">
        <f t="shared" si="10"/>
        <v>968.25</v>
      </c>
      <c r="J205" s="59">
        <v>1</v>
      </c>
      <c r="K205" s="26">
        <f t="shared" si="11"/>
        <v>968.25</v>
      </c>
      <c r="L205" s="15"/>
    </row>
    <row r="206" spans="1:12" x14ac:dyDescent="0.2">
      <c r="A206" s="23">
        <f t="shared" si="9"/>
        <v>202</v>
      </c>
      <c r="B206" s="54">
        <v>46104</v>
      </c>
      <c r="C206" s="55" t="s">
        <v>136</v>
      </c>
      <c r="D206" s="56" t="s">
        <v>157</v>
      </c>
      <c r="E206" s="56" t="s">
        <v>158</v>
      </c>
      <c r="F206" s="55" t="s">
        <v>54</v>
      </c>
      <c r="G206" s="57">
        <v>4</v>
      </c>
      <c r="H206" s="57">
        <v>209.8</v>
      </c>
      <c r="I206" s="60">
        <f t="shared" si="10"/>
        <v>839.2</v>
      </c>
      <c r="J206" s="59">
        <v>1</v>
      </c>
      <c r="K206" s="26">
        <f t="shared" si="11"/>
        <v>839.2</v>
      </c>
      <c r="L206" s="15"/>
    </row>
    <row r="207" spans="1:12" x14ac:dyDescent="0.2">
      <c r="A207" s="23">
        <f t="shared" si="9"/>
        <v>203</v>
      </c>
      <c r="B207" s="54">
        <v>46104</v>
      </c>
      <c r="C207" s="55" t="s">
        <v>136</v>
      </c>
      <c r="D207" s="56" t="s">
        <v>291</v>
      </c>
      <c r="E207" s="56" t="s">
        <v>292</v>
      </c>
      <c r="F207" s="55" t="s">
        <v>54</v>
      </c>
      <c r="G207" s="57">
        <v>13</v>
      </c>
      <c r="H207" s="57">
        <v>75.7</v>
      </c>
      <c r="I207" s="60">
        <f t="shared" si="10"/>
        <v>984.1</v>
      </c>
      <c r="J207" s="59">
        <v>1</v>
      </c>
      <c r="K207" s="26">
        <f t="shared" si="11"/>
        <v>984.1</v>
      </c>
      <c r="L207" s="15"/>
    </row>
    <row r="208" spans="1:12" x14ac:dyDescent="0.2">
      <c r="A208" s="23">
        <f t="shared" si="9"/>
        <v>204</v>
      </c>
      <c r="B208" s="54">
        <v>46104</v>
      </c>
      <c r="C208" s="55" t="s">
        <v>136</v>
      </c>
      <c r="D208" s="56" t="s">
        <v>293</v>
      </c>
      <c r="E208" s="56" t="s">
        <v>294</v>
      </c>
      <c r="F208" s="55" t="s">
        <v>54</v>
      </c>
      <c r="G208" s="57">
        <v>21</v>
      </c>
      <c r="H208" s="57">
        <v>46.545200000000001</v>
      </c>
      <c r="I208" s="60">
        <f t="shared" si="10"/>
        <v>977.44920000000002</v>
      </c>
      <c r="J208" s="59">
        <v>1</v>
      </c>
      <c r="K208" s="26">
        <f t="shared" si="11"/>
        <v>977.44920000000002</v>
      </c>
      <c r="L208" s="15"/>
    </row>
    <row r="209" spans="1:12" x14ac:dyDescent="0.2">
      <c r="A209" s="23">
        <f t="shared" si="9"/>
        <v>205</v>
      </c>
      <c r="B209" s="54">
        <v>46104</v>
      </c>
      <c r="C209" s="55" t="s">
        <v>136</v>
      </c>
      <c r="D209" s="56" t="s">
        <v>295</v>
      </c>
      <c r="E209" s="56" t="s">
        <v>296</v>
      </c>
      <c r="F209" s="55" t="s">
        <v>54</v>
      </c>
      <c r="G209" s="57">
        <v>43</v>
      </c>
      <c r="H209" s="57">
        <v>23.06</v>
      </c>
      <c r="I209" s="60">
        <f t="shared" si="10"/>
        <v>991.57999999999993</v>
      </c>
      <c r="J209" s="59">
        <v>1</v>
      </c>
      <c r="K209" s="26">
        <f t="shared" si="11"/>
        <v>991.57999999999993</v>
      </c>
      <c r="L209" s="15"/>
    </row>
    <row r="210" spans="1:12" x14ac:dyDescent="0.2">
      <c r="A210" s="23">
        <f t="shared" si="9"/>
        <v>206</v>
      </c>
      <c r="B210" s="54">
        <v>46104</v>
      </c>
      <c r="C210" s="55" t="s">
        <v>136</v>
      </c>
      <c r="D210" s="56" t="s">
        <v>297</v>
      </c>
      <c r="E210" s="56" t="s">
        <v>298</v>
      </c>
      <c r="F210" s="55" t="s">
        <v>54</v>
      </c>
      <c r="G210" s="57">
        <v>21</v>
      </c>
      <c r="H210" s="57">
        <v>46.795200000000001</v>
      </c>
      <c r="I210" s="60">
        <f t="shared" si="10"/>
        <v>982.69920000000002</v>
      </c>
      <c r="J210" s="59">
        <v>1</v>
      </c>
      <c r="K210" s="26">
        <f t="shared" si="11"/>
        <v>982.69920000000002</v>
      </c>
      <c r="L210" s="15"/>
    </row>
    <row r="211" spans="1:12" x14ac:dyDescent="0.2">
      <c r="A211" s="23">
        <f t="shared" si="9"/>
        <v>207</v>
      </c>
      <c r="B211" s="54">
        <v>46104</v>
      </c>
      <c r="C211" s="55" t="s">
        <v>136</v>
      </c>
      <c r="D211" s="56" t="s">
        <v>299</v>
      </c>
      <c r="E211" s="56" t="s">
        <v>300</v>
      </c>
      <c r="F211" s="55" t="s">
        <v>54</v>
      </c>
      <c r="G211" s="57">
        <v>116</v>
      </c>
      <c r="H211" s="57">
        <v>8.5</v>
      </c>
      <c r="I211" s="60">
        <f t="shared" si="10"/>
        <v>986</v>
      </c>
      <c r="J211" s="59">
        <v>1</v>
      </c>
      <c r="K211" s="26">
        <f t="shared" si="11"/>
        <v>986</v>
      </c>
      <c r="L211" s="15"/>
    </row>
    <row r="212" spans="1:12" x14ac:dyDescent="0.2">
      <c r="A212" s="23">
        <f t="shared" si="9"/>
        <v>208</v>
      </c>
      <c r="B212" s="54">
        <v>46104</v>
      </c>
      <c r="C212" s="55" t="s">
        <v>136</v>
      </c>
      <c r="D212" s="56" t="s">
        <v>301</v>
      </c>
      <c r="E212" s="56" t="s">
        <v>302</v>
      </c>
      <c r="F212" s="55" t="s">
        <v>54</v>
      </c>
      <c r="G212" s="57">
        <v>120</v>
      </c>
      <c r="H212" s="57">
        <v>8.2409999999999997</v>
      </c>
      <c r="I212" s="60">
        <f t="shared" si="10"/>
        <v>988.92</v>
      </c>
      <c r="J212" s="59">
        <v>1</v>
      </c>
      <c r="K212" s="26">
        <f t="shared" si="11"/>
        <v>988.92</v>
      </c>
      <c r="L212" s="15"/>
    </row>
    <row r="213" spans="1:12" x14ac:dyDescent="0.2">
      <c r="A213" s="23">
        <f t="shared" si="9"/>
        <v>209</v>
      </c>
      <c r="B213" s="54">
        <v>46104</v>
      </c>
      <c r="C213" s="55" t="s">
        <v>136</v>
      </c>
      <c r="D213" s="56" t="s">
        <v>303</v>
      </c>
      <c r="E213" s="56" t="s">
        <v>304</v>
      </c>
      <c r="F213" s="55" t="s">
        <v>54</v>
      </c>
      <c r="G213" s="57">
        <v>3</v>
      </c>
      <c r="H213" s="57">
        <v>315.25</v>
      </c>
      <c r="I213" s="60">
        <f t="shared" si="10"/>
        <v>945.75</v>
      </c>
      <c r="J213" s="59">
        <v>1</v>
      </c>
      <c r="K213" s="26">
        <f t="shared" si="11"/>
        <v>945.75</v>
      </c>
      <c r="L213" s="15"/>
    </row>
    <row r="214" spans="1:12" x14ac:dyDescent="0.2">
      <c r="A214" s="23">
        <f t="shared" si="9"/>
        <v>210</v>
      </c>
      <c r="B214" s="54">
        <v>46104</v>
      </c>
      <c r="C214" s="55" t="s">
        <v>136</v>
      </c>
      <c r="D214" s="56" t="s">
        <v>305</v>
      </c>
      <c r="E214" s="56" t="s">
        <v>306</v>
      </c>
      <c r="F214" s="55" t="s">
        <v>54</v>
      </c>
      <c r="G214" s="57">
        <v>25</v>
      </c>
      <c r="H214" s="57">
        <v>38.33</v>
      </c>
      <c r="I214" s="60">
        <f t="shared" si="10"/>
        <v>958.25</v>
      </c>
      <c r="J214" s="59">
        <v>1</v>
      </c>
      <c r="K214" s="26">
        <f t="shared" si="11"/>
        <v>958.25</v>
      </c>
      <c r="L214" s="15"/>
    </row>
    <row r="215" spans="1:12" x14ac:dyDescent="0.2">
      <c r="A215" s="23">
        <f t="shared" si="9"/>
        <v>211</v>
      </c>
      <c r="B215" s="54">
        <v>46104</v>
      </c>
      <c r="C215" s="55" t="s">
        <v>136</v>
      </c>
      <c r="D215" s="56" t="s">
        <v>307</v>
      </c>
      <c r="E215" s="56" t="s">
        <v>308</v>
      </c>
      <c r="F215" s="55" t="s">
        <v>54</v>
      </c>
      <c r="G215" s="57">
        <v>13</v>
      </c>
      <c r="H215" s="57">
        <v>76.099999999999994</v>
      </c>
      <c r="I215" s="60">
        <f t="shared" si="10"/>
        <v>989.3</v>
      </c>
      <c r="J215" s="59">
        <v>1</v>
      </c>
      <c r="K215" s="26">
        <f t="shared" si="11"/>
        <v>989.3</v>
      </c>
      <c r="L215" s="15"/>
    </row>
    <row r="216" spans="1:12" x14ac:dyDescent="0.2">
      <c r="A216" s="23">
        <f t="shared" si="9"/>
        <v>212</v>
      </c>
      <c r="B216" s="54">
        <v>46113</v>
      </c>
      <c r="C216" s="55" t="s">
        <v>136</v>
      </c>
      <c r="D216" s="56" t="s">
        <v>143</v>
      </c>
      <c r="E216" s="56" t="s">
        <v>144</v>
      </c>
      <c r="F216" s="55" t="s">
        <v>54</v>
      </c>
      <c r="G216" s="57">
        <v>29</v>
      </c>
      <c r="H216" s="57">
        <v>34.025199999999998</v>
      </c>
      <c r="I216" s="60">
        <f t="shared" si="10"/>
        <v>986.73079999999993</v>
      </c>
      <c r="J216" s="59">
        <v>1</v>
      </c>
      <c r="K216" s="26">
        <f t="shared" si="11"/>
        <v>986.73079999999993</v>
      </c>
      <c r="L216" s="15"/>
    </row>
    <row r="217" spans="1:12" x14ac:dyDescent="0.2">
      <c r="A217" s="23">
        <f t="shared" si="9"/>
        <v>213</v>
      </c>
      <c r="B217" s="54">
        <v>46113</v>
      </c>
      <c r="C217" s="55" t="s">
        <v>136</v>
      </c>
      <c r="D217" s="56" t="s">
        <v>157</v>
      </c>
      <c r="E217" s="56" t="s">
        <v>158</v>
      </c>
      <c r="F217" s="55" t="s">
        <v>54</v>
      </c>
      <c r="G217" s="57">
        <v>4</v>
      </c>
      <c r="H217" s="57">
        <v>221.9</v>
      </c>
      <c r="I217" s="60">
        <f t="shared" si="10"/>
        <v>887.6</v>
      </c>
      <c r="J217" s="59">
        <v>1</v>
      </c>
      <c r="K217" s="26">
        <f t="shared" si="11"/>
        <v>887.6</v>
      </c>
      <c r="L217" s="15"/>
    </row>
    <row r="218" spans="1:12" x14ac:dyDescent="0.2">
      <c r="A218" s="23">
        <f t="shared" si="9"/>
        <v>214</v>
      </c>
      <c r="B218" s="54">
        <v>46113</v>
      </c>
      <c r="C218" s="55" t="s">
        <v>136</v>
      </c>
      <c r="D218" s="56" t="s">
        <v>291</v>
      </c>
      <c r="E218" s="56" t="s">
        <v>292</v>
      </c>
      <c r="F218" s="55" t="s">
        <v>54</v>
      </c>
      <c r="G218" s="57">
        <v>13</v>
      </c>
      <c r="H218" s="57">
        <v>76.02</v>
      </c>
      <c r="I218" s="60">
        <f t="shared" si="10"/>
        <v>988.26</v>
      </c>
      <c r="J218" s="59">
        <v>1</v>
      </c>
      <c r="K218" s="26">
        <f t="shared" si="11"/>
        <v>988.26</v>
      </c>
      <c r="L218" s="15"/>
    </row>
    <row r="219" spans="1:12" x14ac:dyDescent="0.2">
      <c r="A219" s="23">
        <f t="shared" si="9"/>
        <v>215</v>
      </c>
      <c r="B219" s="54">
        <v>46113</v>
      </c>
      <c r="C219" s="55" t="s">
        <v>136</v>
      </c>
      <c r="D219" s="56" t="s">
        <v>295</v>
      </c>
      <c r="E219" s="56" t="s">
        <v>296</v>
      </c>
      <c r="F219" s="55" t="s">
        <v>54</v>
      </c>
      <c r="G219" s="57">
        <v>41</v>
      </c>
      <c r="H219" s="57">
        <v>23.96</v>
      </c>
      <c r="I219" s="60">
        <f t="shared" si="10"/>
        <v>982.36</v>
      </c>
      <c r="J219" s="59">
        <v>1</v>
      </c>
      <c r="K219" s="26">
        <f t="shared" si="11"/>
        <v>982.36</v>
      </c>
      <c r="L219" s="15"/>
    </row>
    <row r="220" spans="1:12" x14ac:dyDescent="0.2">
      <c r="A220" s="23">
        <f t="shared" si="9"/>
        <v>216</v>
      </c>
      <c r="B220" s="54">
        <v>46113</v>
      </c>
      <c r="C220" s="55" t="s">
        <v>136</v>
      </c>
      <c r="D220" s="56" t="s">
        <v>297</v>
      </c>
      <c r="E220" s="56" t="s">
        <v>298</v>
      </c>
      <c r="F220" s="55" t="s">
        <v>54</v>
      </c>
      <c r="G220" s="57">
        <v>20</v>
      </c>
      <c r="H220" s="57">
        <v>48.68</v>
      </c>
      <c r="I220" s="60">
        <f t="shared" si="10"/>
        <v>973.6</v>
      </c>
      <c r="J220" s="59">
        <v>1</v>
      </c>
      <c r="K220" s="26">
        <f t="shared" si="11"/>
        <v>973.6</v>
      </c>
      <c r="L220" s="15"/>
    </row>
    <row r="221" spans="1:12" x14ac:dyDescent="0.2">
      <c r="A221" s="23">
        <f t="shared" si="9"/>
        <v>217</v>
      </c>
      <c r="B221" s="54">
        <v>46113</v>
      </c>
      <c r="C221" s="55" t="s">
        <v>136</v>
      </c>
      <c r="D221" s="56" t="s">
        <v>299</v>
      </c>
      <c r="E221" s="56" t="s">
        <v>300</v>
      </c>
      <c r="F221" s="55" t="s">
        <v>54</v>
      </c>
      <c r="G221" s="57">
        <v>117</v>
      </c>
      <c r="H221" s="57">
        <v>8.4359999999999999</v>
      </c>
      <c r="I221" s="60">
        <f t="shared" si="10"/>
        <v>987.01199999999994</v>
      </c>
      <c r="J221" s="59">
        <v>1</v>
      </c>
      <c r="K221" s="26">
        <f t="shared" si="11"/>
        <v>987.01199999999994</v>
      </c>
      <c r="L221" s="15"/>
    </row>
    <row r="222" spans="1:12" x14ac:dyDescent="0.2">
      <c r="A222" s="23">
        <f t="shared" si="9"/>
        <v>218</v>
      </c>
      <c r="B222" s="54">
        <v>46113</v>
      </c>
      <c r="C222" s="55" t="s">
        <v>136</v>
      </c>
      <c r="D222" s="56" t="s">
        <v>301</v>
      </c>
      <c r="E222" s="56" t="s">
        <v>302</v>
      </c>
      <c r="F222" s="55" t="s">
        <v>54</v>
      </c>
      <c r="G222" s="57">
        <v>121</v>
      </c>
      <c r="H222" s="57">
        <v>8.1890000000000001</v>
      </c>
      <c r="I222" s="60">
        <f t="shared" si="10"/>
        <v>990.86900000000003</v>
      </c>
      <c r="J222" s="59">
        <v>1</v>
      </c>
      <c r="K222" s="26">
        <f t="shared" si="11"/>
        <v>990.86900000000003</v>
      </c>
      <c r="L222" s="15"/>
    </row>
    <row r="223" spans="1:12" x14ac:dyDescent="0.2">
      <c r="A223" s="23">
        <f t="shared" si="9"/>
        <v>219</v>
      </c>
      <c r="B223" s="54">
        <v>46113</v>
      </c>
      <c r="C223" s="55" t="s">
        <v>136</v>
      </c>
      <c r="D223" s="56" t="s">
        <v>305</v>
      </c>
      <c r="E223" s="56" t="s">
        <v>306</v>
      </c>
      <c r="F223" s="55" t="s">
        <v>54</v>
      </c>
      <c r="G223" s="57">
        <v>25</v>
      </c>
      <c r="H223" s="57">
        <v>38.57</v>
      </c>
      <c r="I223" s="60">
        <f t="shared" si="10"/>
        <v>964.25</v>
      </c>
      <c r="J223" s="59">
        <v>1</v>
      </c>
      <c r="K223" s="26">
        <f t="shared" si="11"/>
        <v>964.25</v>
      </c>
      <c r="L223" s="15"/>
    </row>
    <row r="224" spans="1:12" x14ac:dyDescent="0.2">
      <c r="A224" s="23">
        <f t="shared" si="9"/>
        <v>220</v>
      </c>
      <c r="B224" s="54">
        <v>46113</v>
      </c>
      <c r="C224" s="55" t="s">
        <v>136</v>
      </c>
      <c r="D224" s="56" t="s">
        <v>307</v>
      </c>
      <c r="E224" s="56" t="s">
        <v>308</v>
      </c>
      <c r="F224" s="55" t="s">
        <v>54</v>
      </c>
      <c r="G224" s="57">
        <v>13</v>
      </c>
      <c r="H224" s="57">
        <v>76.650000000000006</v>
      </c>
      <c r="I224" s="60">
        <f t="shared" si="10"/>
        <v>996.45</v>
      </c>
      <c r="J224" s="59">
        <v>1</v>
      </c>
      <c r="K224" s="26">
        <f t="shared" si="11"/>
        <v>996.45</v>
      </c>
      <c r="L224" s="15"/>
    </row>
    <row r="225" spans="1:12" x14ac:dyDescent="0.2">
      <c r="A225" s="23">
        <f t="shared" si="9"/>
        <v>221</v>
      </c>
      <c r="B225" s="54">
        <v>46114</v>
      </c>
      <c r="C225" s="55" t="s">
        <v>136</v>
      </c>
      <c r="D225" s="56" t="s">
        <v>293</v>
      </c>
      <c r="E225" s="56" t="s">
        <v>294</v>
      </c>
      <c r="F225" s="55" t="s">
        <v>54</v>
      </c>
      <c r="G225" s="57">
        <v>20</v>
      </c>
      <c r="H225" s="57">
        <v>48.085000000000001</v>
      </c>
      <c r="I225" s="60">
        <f t="shared" si="10"/>
        <v>961.7</v>
      </c>
      <c r="J225" s="59">
        <v>1</v>
      </c>
      <c r="K225" s="26">
        <f t="shared" si="11"/>
        <v>961.7</v>
      </c>
      <c r="L225" s="15"/>
    </row>
    <row r="226" spans="1:12" x14ac:dyDescent="0.2">
      <c r="A226" s="23">
        <f t="shared" si="9"/>
        <v>222</v>
      </c>
      <c r="B226" s="54">
        <v>46120</v>
      </c>
      <c r="C226" s="55" t="s">
        <v>136</v>
      </c>
      <c r="D226" s="56" t="s">
        <v>143</v>
      </c>
      <c r="E226" s="56" t="s">
        <v>144</v>
      </c>
      <c r="F226" s="55" t="s">
        <v>54</v>
      </c>
      <c r="G226" s="57">
        <v>29</v>
      </c>
      <c r="H226" s="57">
        <v>34.24</v>
      </c>
      <c r="I226" s="60">
        <f t="shared" si="10"/>
        <v>992.96</v>
      </c>
      <c r="J226" s="59">
        <v>1</v>
      </c>
      <c r="K226" s="26">
        <f t="shared" si="11"/>
        <v>992.96</v>
      </c>
      <c r="L226" s="15"/>
    </row>
    <row r="227" spans="1:12" x14ac:dyDescent="0.2">
      <c r="A227" s="23">
        <f t="shared" si="9"/>
        <v>223</v>
      </c>
      <c r="B227" s="54">
        <v>46120</v>
      </c>
      <c r="C227" s="55" t="s">
        <v>136</v>
      </c>
      <c r="D227" s="56" t="s">
        <v>157</v>
      </c>
      <c r="E227" s="56" t="s">
        <v>158</v>
      </c>
      <c r="F227" s="55" t="s">
        <v>54</v>
      </c>
      <c r="G227" s="57">
        <v>4</v>
      </c>
      <c r="H227" s="57">
        <v>228.55</v>
      </c>
      <c r="I227" s="60">
        <f t="shared" si="10"/>
        <v>914.2</v>
      </c>
      <c r="J227" s="59">
        <v>1</v>
      </c>
      <c r="K227" s="26">
        <f t="shared" si="11"/>
        <v>914.2</v>
      </c>
      <c r="L227" s="15"/>
    </row>
    <row r="228" spans="1:12" x14ac:dyDescent="0.2">
      <c r="A228" s="23">
        <f t="shared" si="9"/>
        <v>224</v>
      </c>
      <c r="B228" s="54">
        <v>46120</v>
      </c>
      <c r="C228" s="55" t="s">
        <v>136</v>
      </c>
      <c r="D228" s="56" t="s">
        <v>293</v>
      </c>
      <c r="E228" s="56" t="s">
        <v>294</v>
      </c>
      <c r="F228" s="55" t="s">
        <v>54</v>
      </c>
      <c r="G228" s="57">
        <v>19</v>
      </c>
      <c r="H228" s="57">
        <v>50.1</v>
      </c>
      <c r="I228" s="60">
        <f t="shared" si="10"/>
        <v>951.9</v>
      </c>
      <c r="J228" s="59">
        <v>1</v>
      </c>
      <c r="K228" s="26">
        <f t="shared" si="11"/>
        <v>951.9</v>
      </c>
      <c r="L228" s="15"/>
    </row>
    <row r="229" spans="1:12" x14ac:dyDescent="0.2">
      <c r="A229" s="23">
        <f t="shared" si="9"/>
        <v>225</v>
      </c>
      <c r="B229" s="54">
        <v>46120</v>
      </c>
      <c r="C229" s="55" t="s">
        <v>136</v>
      </c>
      <c r="D229" s="56" t="s">
        <v>295</v>
      </c>
      <c r="E229" s="56" t="s">
        <v>296</v>
      </c>
      <c r="F229" s="55" t="s">
        <v>54</v>
      </c>
      <c r="G229" s="57">
        <v>40</v>
      </c>
      <c r="H229" s="57">
        <v>24.635000000000002</v>
      </c>
      <c r="I229" s="60">
        <f t="shared" si="10"/>
        <v>985.40000000000009</v>
      </c>
      <c r="J229" s="59">
        <v>1</v>
      </c>
      <c r="K229" s="26">
        <f t="shared" si="11"/>
        <v>985.40000000000009</v>
      </c>
      <c r="L229" s="15"/>
    </row>
    <row r="230" spans="1:12" x14ac:dyDescent="0.2">
      <c r="A230" s="23">
        <f t="shared" si="9"/>
        <v>226</v>
      </c>
      <c r="B230" s="54">
        <v>46120</v>
      </c>
      <c r="C230" s="55" t="s">
        <v>136</v>
      </c>
      <c r="D230" s="56" t="s">
        <v>297</v>
      </c>
      <c r="E230" s="56" t="s">
        <v>298</v>
      </c>
      <c r="F230" s="55" t="s">
        <v>54</v>
      </c>
      <c r="G230" s="57">
        <v>19</v>
      </c>
      <c r="H230" s="57">
        <v>50.4</v>
      </c>
      <c r="I230" s="60">
        <f t="shared" si="10"/>
        <v>957.6</v>
      </c>
      <c r="J230" s="59">
        <v>1</v>
      </c>
      <c r="K230" s="26">
        <f t="shared" si="11"/>
        <v>957.6</v>
      </c>
      <c r="L230" s="15"/>
    </row>
    <row r="231" spans="1:12" x14ac:dyDescent="0.2">
      <c r="A231" s="23">
        <f t="shared" si="9"/>
        <v>227</v>
      </c>
      <c r="B231" s="54">
        <v>46120</v>
      </c>
      <c r="C231" s="55" t="s">
        <v>136</v>
      </c>
      <c r="D231" s="56" t="s">
        <v>299</v>
      </c>
      <c r="E231" s="56" t="s">
        <v>300</v>
      </c>
      <c r="F231" s="55" t="s">
        <v>54</v>
      </c>
      <c r="G231" s="57">
        <v>112</v>
      </c>
      <c r="H231" s="57">
        <v>8.8170000000000002</v>
      </c>
      <c r="I231" s="60">
        <f t="shared" si="10"/>
        <v>987.50400000000002</v>
      </c>
      <c r="J231" s="59">
        <v>1</v>
      </c>
      <c r="K231" s="26">
        <f t="shared" si="11"/>
        <v>987.50400000000002</v>
      </c>
      <c r="L231" s="15"/>
    </row>
    <row r="232" spans="1:12" x14ac:dyDescent="0.2">
      <c r="A232" s="23">
        <f t="shared" si="9"/>
        <v>228</v>
      </c>
      <c r="B232" s="54">
        <v>46120</v>
      </c>
      <c r="C232" s="55" t="s">
        <v>136</v>
      </c>
      <c r="D232" s="56" t="s">
        <v>301</v>
      </c>
      <c r="E232" s="56" t="s">
        <v>302</v>
      </c>
      <c r="F232" s="55" t="s">
        <v>54</v>
      </c>
      <c r="G232" s="57">
        <v>118</v>
      </c>
      <c r="H232" s="57">
        <v>8.391</v>
      </c>
      <c r="I232" s="60">
        <f t="shared" si="10"/>
        <v>990.13800000000003</v>
      </c>
      <c r="J232" s="59">
        <v>1</v>
      </c>
      <c r="K232" s="26">
        <f t="shared" si="11"/>
        <v>990.13800000000003</v>
      </c>
      <c r="L232" s="15"/>
    </row>
    <row r="233" spans="1:12" x14ac:dyDescent="0.2">
      <c r="A233" s="23">
        <f t="shared" si="9"/>
        <v>229</v>
      </c>
      <c r="B233" s="54">
        <v>46120</v>
      </c>
      <c r="C233" s="55" t="s">
        <v>136</v>
      </c>
      <c r="D233" s="56" t="s">
        <v>303</v>
      </c>
      <c r="E233" s="56" t="s">
        <v>304</v>
      </c>
      <c r="F233" s="55" t="s">
        <v>54</v>
      </c>
      <c r="G233" s="57">
        <v>1</v>
      </c>
      <c r="H233" s="57">
        <v>335.4</v>
      </c>
      <c r="I233" s="60">
        <f t="shared" si="10"/>
        <v>335.4</v>
      </c>
      <c r="J233" s="59">
        <v>1</v>
      </c>
      <c r="K233" s="26">
        <f t="shared" si="11"/>
        <v>335.4</v>
      </c>
      <c r="L233" s="15"/>
    </row>
    <row r="234" spans="1:12" x14ac:dyDescent="0.2">
      <c r="A234" s="23">
        <f t="shared" si="9"/>
        <v>230</v>
      </c>
      <c r="B234" s="54">
        <v>46120</v>
      </c>
      <c r="C234" s="55" t="s">
        <v>136</v>
      </c>
      <c r="D234" s="56" t="s">
        <v>305</v>
      </c>
      <c r="E234" s="56" t="s">
        <v>306</v>
      </c>
      <c r="F234" s="55" t="s">
        <v>54</v>
      </c>
      <c r="G234" s="57">
        <v>25</v>
      </c>
      <c r="H234" s="57">
        <v>39.545200000000001</v>
      </c>
      <c r="I234" s="60">
        <f t="shared" si="10"/>
        <v>988.63</v>
      </c>
      <c r="J234" s="59">
        <v>1</v>
      </c>
      <c r="K234" s="26">
        <f t="shared" si="11"/>
        <v>988.63</v>
      </c>
      <c r="L234" s="15"/>
    </row>
    <row r="235" spans="1:12" x14ac:dyDescent="0.2">
      <c r="A235" s="23">
        <f t="shared" si="9"/>
        <v>231</v>
      </c>
      <c r="B235" s="54">
        <v>46120</v>
      </c>
      <c r="C235" s="55" t="s">
        <v>136</v>
      </c>
      <c r="D235" s="56" t="s">
        <v>307</v>
      </c>
      <c r="E235" s="56" t="s">
        <v>308</v>
      </c>
      <c r="F235" s="55" t="s">
        <v>54</v>
      </c>
      <c r="G235" s="57">
        <v>13</v>
      </c>
      <c r="H235" s="57">
        <v>76.83</v>
      </c>
      <c r="I235" s="60">
        <f t="shared" si="10"/>
        <v>998.79</v>
      </c>
      <c r="J235" s="59">
        <v>1</v>
      </c>
      <c r="K235" s="26">
        <f t="shared" si="11"/>
        <v>998.79</v>
      </c>
      <c r="L235" s="15"/>
    </row>
    <row r="236" spans="1:12" x14ac:dyDescent="0.2">
      <c r="A236" s="23">
        <f t="shared" si="9"/>
        <v>232</v>
      </c>
      <c r="B236" s="54">
        <v>46121</v>
      </c>
      <c r="C236" s="55" t="s">
        <v>136</v>
      </c>
      <c r="D236" s="56" t="s">
        <v>303</v>
      </c>
      <c r="E236" s="56" t="s">
        <v>304</v>
      </c>
      <c r="F236" s="55" t="s">
        <v>54</v>
      </c>
      <c r="G236" s="57">
        <v>1</v>
      </c>
      <c r="H236" s="57">
        <v>332.55</v>
      </c>
      <c r="I236" s="60">
        <f t="shared" si="10"/>
        <v>332.55</v>
      </c>
      <c r="J236" s="59">
        <v>1</v>
      </c>
      <c r="K236" s="26">
        <f t="shared" si="11"/>
        <v>332.55</v>
      </c>
      <c r="L236" s="15"/>
    </row>
    <row r="237" spans="1:12" x14ac:dyDescent="0.2">
      <c r="A237" s="23">
        <f t="shared" si="9"/>
        <v>233</v>
      </c>
      <c r="B237" s="54">
        <v>46121</v>
      </c>
      <c r="C237" s="55" t="s">
        <v>253</v>
      </c>
      <c r="D237" s="56" t="s">
        <v>280</v>
      </c>
      <c r="E237" s="56" t="s">
        <v>281</v>
      </c>
      <c r="F237" s="55" t="s">
        <v>54</v>
      </c>
      <c r="G237" s="57">
        <v>100000</v>
      </c>
      <c r="H237" s="57">
        <v>1</v>
      </c>
      <c r="I237" s="60">
        <f t="shared" si="10"/>
        <v>100000</v>
      </c>
      <c r="J237" s="59">
        <v>1</v>
      </c>
      <c r="K237" s="26">
        <f t="shared" si="11"/>
        <v>100000</v>
      </c>
      <c r="L237" s="15"/>
    </row>
    <row r="238" spans="1:12" x14ac:dyDescent="0.2">
      <c r="A238" s="23">
        <f t="shared" si="9"/>
        <v>234</v>
      </c>
      <c r="B238" s="54">
        <v>46127</v>
      </c>
      <c r="C238" s="55" t="s">
        <v>136</v>
      </c>
      <c r="D238" s="56" t="s">
        <v>143</v>
      </c>
      <c r="E238" s="56" t="s">
        <v>144</v>
      </c>
      <c r="F238" s="55" t="s">
        <v>54</v>
      </c>
      <c r="G238" s="57">
        <v>29</v>
      </c>
      <c r="H238" s="57">
        <v>33.729999999999997</v>
      </c>
      <c r="I238" s="60">
        <f t="shared" si="10"/>
        <v>978.17</v>
      </c>
      <c r="J238" s="59">
        <v>1</v>
      </c>
      <c r="K238" s="26">
        <f t="shared" si="11"/>
        <v>978.17</v>
      </c>
      <c r="L238" s="15"/>
    </row>
    <row r="239" spans="1:12" x14ac:dyDescent="0.2">
      <c r="A239" s="23">
        <f t="shared" si="9"/>
        <v>235</v>
      </c>
      <c r="B239" s="54">
        <v>46127</v>
      </c>
      <c r="C239" s="55" t="s">
        <v>136</v>
      </c>
      <c r="D239" s="56" t="s">
        <v>157</v>
      </c>
      <c r="E239" s="56" t="s">
        <v>158</v>
      </c>
      <c r="F239" s="55" t="s">
        <v>54</v>
      </c>
      <c r="G239" s="57">
        <v>4</v>
      </c>
      <c r="H239" s="57">
        <v>233.85</v>
      </c>
      <c r="I239" s="60">
        <f t="shared" si="10"/>
        <v>935.4</v>
      </c>
      <c r="J239" s="59">
        <v>1</v>
      </c>
      <c r="K239" s="26">
        <f t="shared" si="11"/>
        <v>935.4</v>
      </c>
      <c r="L239" s="15"/>
    </row>
    <row r="240" spans="1:12" x14ac:dyDescent="0.2">
      <c r="A240" s="23">
        <f t="shared" si="9"/>
        <v>236</v>
      </c>
      <c r="B240" s="54">
        <v>46127</v>
      </c>
      <c r="C240" s="55" t="s">
        <v>136</v>
      </c>
      <c r="D240" s="56" t="s">
        <v>293</v>
      </c>
      <c r="E240" s="56" t="s">
        <v>294</v>
      </c>
      <c r="F240" s="55" t="s">
        <v>54</v>
      </c>
      <c r="G240" s="57">
        <v>20</v>
      </c>
      <c r="H240" s="57">
        <v>48.965000000000003</v>
      </c>
      <c r="I240" s="60">
        <f t="shared" si="10"/>
        <v>979.30000000000007</v>
      </c>
      <c r="J240" s="59">
        <v>1</v>
      </c>
      <c r="K240" s="26">
        <f t="shared" si="11"/>
        <v>979.30000000000007</v>
      </c>
      <c r="L240" s="15"/>
    </row>
    <row r="241" spans="1:12" x14ac:dyDescent="0.2">
      <c r="A241" s="23">
        <f t="shared" si="9"/>
        <v>237</v>
      </c>
      <c r="B241" s="54">
        <v>46127</v>
      </c>
      <c r="C241" s="55" t="s">
        <v>136</v>
      </c>
      <c r="D241" s="56" t="s">
        <v>295</v>
      </c>
      <c r="E241" s="56" t="s">
        <v>296</v>
      </c>
      <c r="F241" s="55" t="s">
        <v>54</v>
      </c>
      <c r="G241" s="57">
        <v>40</v>
      </c>
      <c r="H241" s="57">
        <v>24.9</v>
      </c>
      <c r="I241" s="60">
        <f t="shared" si="10"/>
        <v>996</v>
      </c>
      <c r="J241" s="59">
        <v>1</v>
      </c>
      <c r="K241" s="26">
        <f t="shared" si="11"/>
        <v>996</v>
      </c>
      <c r="L241" s="15"/>
    </row>
    <row r="242" spans="1:12" x14ac:dyDescent="0.2">
      <c r="A242" s="23">
        <f t="shared" si="9"/>
        <v>238</v>
      </c>
      <c r="B242" s="54">
        <v>46127</v>
      </c>
      <c r="C242" s="55" t="s">
        <v>136</v>
      </c>
      <c r="D242" s="56" t="s">
        <v>297</v>
      </c>
      <c r="E242" s="56" t="s">
        <v>298</v>
      </c>
      <c r="F242" s="55" t="s">
        <v>54</v>
      </c>
      <c r="G242" s="57">
        <v>19</v>
      </c>
      <c r="H242" s="57">
        <v>51.18</v>
      </c>
      <c r="I242" s="60">
        <f t="shared" si="10"/>
        <v>972.42</v>
      </c>
      <c r="J242" s="59">
        <v>1</v>
      </c>
      <c r="K242" s="26">
        <f t="shared" si="11"/>
        <v>972.42</v>
      </c>
      <c r="L242" s="15"/>
    </row>
    <row r="243" spans="1:12" x14ac:dyDescent="0.2">
      <c r="A243" s="23">
        <f t="shared" si="9"/>
        <v>239</v>
      </c>
      <c r="B243" s="54">
        <v>46127</v>
      </c>
      <c r="C243" s="55" t="s">
        <v>136</v>
      </c>
      <c r="D243" s="56" t="s">
        <v>299</v>
      </c>
      <c r="E243" s="56" t="s">
        <v>300</v>
      </c>
      <c r="F243" s="55" t="s">
        <v>54</v>
      </c>
      <c r="G243" s="57">
        <v>115</v>
      </c>
      <c r="H243" s="57">
        <v>8.6310000000000002</v>
      </c>
      <c r="I243" s="60">
        <f t="shared" si="10"/>
        <v>992.56500000000005</v>
      </c>
      <c r="J243" s="59">
        <v>1</v>
      </c>
      <c r="K243" s="26">
        <f t="shared" si="11"/>
        <v>992.56500000000005</v>
      </c>
      <c r="L243" s="15"/>
    </row>
    <row r="244" spans="1:12" x14ac:dyDescent="0.2">
      <c r="A244" s="23">
        <f t="shared" si="9"/>
        <v>240</v>
      </c>
      <c r="B244" s="54">
        <v>46127</v>
      </c>
      <c r="C244" s="55" t="s">
        <v>136</v>
      </c>
      <c r="D244" s="56" t="s">
        <v>301</v>
      </c>
      <c r="E244" s="56" t="s">
        <v>302</v>
      </c>
      <c r="F244" s="55" t="s">
        <v>54</v>
      </c>
      <c r="G244" s="57">
        <v>116</v>
      </c>
      <c r="H244" s="57">
        <v>8.5229999999999997</v>
      </c>
      <c r="I244" s="60">
        <f t="shared" si="10"/>
        <v>988.66800000000001</v>
      </c>
      <c r="J244" s="59">
        <v>1</v>
      </c>
      <c r="K244" s="26">
        <f t="shared" si="11"/>
        <v>988.66800000000001</v>
      </c>
      <c r="L244" s="15"/>
    </row>
    <row r="245" spans="1:12" x14ac:dyDescent="0.2">
      <c r="A245" s="23">
        <f t="shared" si="9"/>
        <v>241</v>
      </c>
      <c r="B245" s="54">
        <v>46127</v>
      </c>
      <c r="C245" s="55" t="s">
        <v>136</v>
      </c>
      <c r="D245" s="56" t="s">
        <v>303</v>
      </c>
      <c r="E245" s="56" t="s">
        <v>304</v>
      </c>
      <c r="F245" s="55" t="s">
        <v>54</v>
      </c>
      <c r="G245" s="57">
        <v>2</v>
      </c>
      <c r="H245" s="57">
        <v>340.15</v>
      </c>
      <c r="I245" s="60">
        <f t="shared" si="10"/>
        <v>680.3</v>
      </c>
      <c r="J245" s="59">
        <v>1</v>
      </c>
      <c r="K245" s="26">
        <f t="shared" si="11"/>
        <v>680.3</v>
      </c>
      <c r="L245" s="15"/>
    </row>
    <row r="246" spans="1:12" x14ac:dyDescent="0.2">
      <c r="A246" s="23">
        <f t="shared" si="9"/>
        <v>242</v>
      </c>
      <c r="B246" s="54">
        <v>46127</v>
      </c>
      <c r="C246" s="55" t="s">
        <v>136</v>
      </c>
      <c r="D246" s="56" t="s">
        <v>305</v>
      </c>
      <c r="E246" s="56" t="s">
        <v>306</v>
      </c>
      <c r="F246" s="55" t="s">
        <v>54</v>
      </c>
      <c r="G246" s="57">
        <v>25</v>
      </c>
      <c r="H246" s="57">
        <v>39.75</v>
      </c>
      <c r="I246" s="60">
        <f t="shared" si="10"/>
        <v>993.75</v>
      </c>
      <c r="J246" s="59">
        <v>1</v>
      </c>
      <c r="K246" s="26">
        <f t="shared" si="11"/>
        <v>993.75</v>
      </c>
      <c r="L246" s="15"/>
    </row>
    <row r="247" spans="1:12" x14ac:dyDescent="0.2">
      <c r="A247" s="23">
        <f t="shared" si="9"/>
        <v>243</v>
      </c>
      <c r="B247" s="54">
        <v>46127</v>
      </c>
      <c r="C247" s="55" t="s">
        <v>136</v>
      </c>
      <c r="D247" s="56" t="s">
        <v>307</v>
      </c>
      <c r="E247" s="56" t="s">
        <v>308</v>
      </c>
      <c r="F247" s="55" t="s">
        <v>54</v>
      </c>
      <c r="G247" s="57">
        <v>13</v>
      </c>
      <c r="H247" s="57">
        <v>76.3</v>
      </c>
      <c r="I247" s="60">
        <f t="shared" si="10"/>
        <v>991.9</v>
      </c>
      <c r="J247" s="59">
        <v>1</v>
      </c>
      <c r="K247" s="26">
        <f t="shared" si="11"/>
        <v>991.9</v>
      </c>
      <c r="L247" s="15"/>
    </row>
    <row r="248" spans="1:12" x14ac:dyDescent="0.2">
      <c r="A248" s="23">
        <f t="shared" si="9"/>
        <v>244</v>
      </c>
      <c r="B248" s="54">
        <v>46135</v>
      </c>
      <c r="C248" s="55" t="s">
        <v>136</v>
      </c>
      <c r="D248" s="56" t="s">
        <v>143</v>
      </c>
      <c r="E248" s="56" t="s">
        <v>144</v>
      </c>
      <c r="F248" s="55" t="s">
        <v>54</v>
      </c>
      <c r="G248" s="57">
        <v>31</v>
      </c>
      <c r="H248" s="57">
        <v>31.735199999999999</v>
      </c>
      <c r="I248" s="60">
        <f t="shared" si="10"/>
        <v>983.7912</v>
      </c>
      <c r="J248" s="59">
        <v>1</v>
      </c>
      <c r="K248" s="26">
        <f t="shared" si="11"/>
        <v>983.7912</v>
      </c>
      <c r="L248" s="15"/>
    </row>
    <row r="249" spans="1:12" x14ac:dyDescent="0.2">
      <c r="A249" s="23">
        <f t="shared" si="9"/>
        <v>245</v>
      </c>
      <c r="B249" s="54">
        <v>46135</v>
      </c>
      <c r="C249" s="55" t="s">
        <v>136</v>
      </c>
      <c r="D249" s="56" t="s">
        <v>157</v>
      </c>
      <c r="E249" s="56" t="s">
        <v>158</v>
      </c>
      <c r="F249" s="55" t="s">
        <v>54</v>
      </c>
      <c r="G249" s="57">
        <v>4</v>
      </c>
      <c r="H249" s="57">
        <v>233.9</v>
      </c>
      <c r="I249" s="60">
        <f t="shared" si="10"/>
        <v>935.6</v>
      </c>
      <c r="J249" s="59">
        <v>1</v>
      </c>
      <c r="K249" s="26">
        <f t="shared" si="11"/>
        <v>935.6</v>
      </c>
      <c r="L249" s="15"/>
    </row>
    <row r="250" spans="1:12" x14ac:dyDescent="0.2">
      <c r="A250" s="23">
        <f t="shared" si="9"/>
        <v>246</v>
      </c>
      <c r="B250" s="54">
        <v>46135</v>
      </c>
      <c r="C250" s="55" t="s">
        <v>136</v>
      </c>
      <c r="D250" s="56" t="s">
        <v>291</v>
      </c>
      <c r="E250" s="56" t="s">
        <v>292</v>
      </c>
      <c r="F250" s="55" t="s">
        <v>54</v>
      </c>
      <c r="G250" s="57">
        <v>12</v>
      </c>
      <c r="H250" s="57">
        <v>76.95</v>
      </c>
      <c r="I250" s="60">
        <f t="shared" si="10"/>
        <v>923.40000000000009</v>
      </c>
      <c r="J250" s="59">
        <v>1</v>
      </c>
      <c r="K250" s="26">
        <f t="shared" si="11"/>
        <v>923.40000000000009</v>
      </c>
      <c r="L250" s="15"/>
    </row>
    <row r="251" spans="1:12" x14ac:dyDescent="0.2">
      <c r="A251" s="23">
        <f t="shared" si="9"/>
        <v>247</v>
      </c>
      <c r="B251" s="54">
        <v>46135</v>
      </c>
      <c r="C251" s="55" t="s">
        <v>136</v>
      </c>
      <c r="D251" s="56" t="s">
        <v>293</v>
      </c>
      <c r="E251" s="56" t="s">
        <v>294</v>
      </c>
      <c r="F251" s="55" t="s">
        <v>54</v>
      </c>
      <c r="G251" s="57">
        <v>20</v>
      </c>
      <c r="H251" s="57">
        <v>47.854999999999997</v>
      </c>
      <c r="I251" s="60">
        <f t="shared" si="10"/>
        <v>957.09999999999991</v>
      </c>
      <c r="J251" s="59">
        <v>1</v>
      </c>
      <c r="K251" s="26">
        <f t="shared" si="11"/>
        <v>957.09999999999991</v>
      </c>
      <c r="L251" s="15"/>
    </row>
    <row r="252" spans="1:12" x14ac:dyDescent="0.2">
      <c r="A252" s="23">
        <f t="shared" si="9"/>
        <v>248</v>
      </c>
      <c r="B252" s="54">
        <v>46135</v>
      </c>
      <c r="C252" s="55" t="s">
        <v>136</v>
      </c>
      <c r="D252" s="56" t="s">
        <v>295</v>
      </c>
      <c r="E252" s="56" t="s">
        <v>296</v>
      </c>
      <c r="F252" s="55" t="s">
        <v>54</v>
      </c>
      <c r="G252" s="57">
        <v>40</v>
      </c>
      <c r="H252" s="57">
        <v>24.77</v>
      </c>
      <c r="I252" s="60">
        <f t="shared" si="10"/>
        <v>990.8</v>
      </c>
      <c r="J252" s="59">
        <v>1</v>
      </c>
      <c r="K252" s="26">
        <f t="shared" si="11"/>
        <v>990.8</v>
      </c>
      <c r="L252" s="15"/>
    </row>
    <row r="253" spans="1:12" x14ac:dyDescent="0.2">
      <c r="A253" s="23">
        <f t="shared" si="9"/>
        <v>249</v>
      </c>
      <c r="B253" s="54">
        <v>46135</v>
      </c>
      <c r="C253" s="55" t="s">
        <v>136</v>
      </c>
      <c r="D253" s="56" t="s">
        <v>297</v>
      </c>
      <c r="E253" s="56" t="s">
        <v>298</v>
      </c>
      <c r="F253" s="55" t="s">
        <v>54</v>
      </c>
      <c r="G253" s="57">
        <v>19</v>
      </c>
      <c r="H253" s="57">
        <v>51.1</v>
      </c>
      <c r="I253" s="60">
        <f t="shared" si="10"/>
        <v>970.9</v>
      </c>
      <c r="J253" s="59">
        <v>1</v>
      </c>
      <c r="K253" s="26">
        <f t="shared" si="11"/>
        <v>970.9</v>
      </c>
      <c r="L253" s="15"/>
    </row>
    <row r="254" spans="1:12" x14ac:dyDescent="0.2">
      <c r="A254" s="23">
        <f t="shared" si="9"/>
        <v>250</v>
      </c>
      <c r="B254" s="54">
        <v>46135</v>
      </c>
      <c r="C254" s="55" t="s">
        <v>136</v>
      </c>
      <c r="D254" s="56" t="s">
        <v>299</v>
      </c>
      <c r="E254" s="56" t="s">
        <v>300</v>
      </c>
      <c r="F254" s="55" t="s">
        <v>54</v>
      </c>
      <c r="G254" s="57">
        <v>109</v>
      </c>
      <c r="H254" s="57">
        <v>9.0719999999999992</v>
      </c>
      <c r="I254" s="60">
        <f t="shared" si="10"/>
        <v>988.84799999999996</v>
      </c>
      <c r="J254" s="59">
        <v>1</v>
      </c>
      <c r="K254" s="26">
        <f t="shared" si="11"/>
        <v>988.84799999999996</v>
      </c>
      <c r="L254" s="15"/>
    </row>
    <row r="255" spans="1:12" x14ac:dyDescent="0.2">
      <c r="A255" s="23">
        <f t="shared" si="9"/>
        <v>251</v>
      </c>
      <c r="B255" s="54">
        <v>46135</v>
      </c>
      <c r="C255" s="55" t="s">
        <v>136</v>
      </c>
      <c r="D255" s="56" t="s">
        <v>301</v>
      </c>
      <c r="E255" s="56" t="s">
        <v>302</v>
      </c>
      <c r="F255" s="55" t="s">
        <v>54</v>
      </c>
      <c r="G255" s="57">
        <v>113</v>
      </c>
      <c r="H255" s="57">
        <v>8.7539999999999996</v>
      </c>
      <c r="I255" s="60">
        <f t="shared" si="10"/>
        <v>989.202</v>
      </c>
      <c r="J255" s="59">
        <v>1</v>
      </c>
      <c r="K255" s="26">
        <f t="shared" si="11"/>
        <v>989.202</v>
      </c>
      <c r="L255" s="15"/>
    </row>
    <row r="256" spans="1:12" x14ac:dyDescent="0.2">
      <c r="A256" s="23">
        <f t="shared" si="9"/>
        <v>252</v>
      </c>
      <c r="B256" s="54">
        <v>46135</v>
      </c>
      <c r="C256" s="55" t="s">
        <v>136</v>
      </c>
      <c r="D256" s="56" t="s">
        <v>303</v>
      </c>
      <c r="E256" s="56" t="s">
        <v>304</v>
      </c>
      <c r="F256" s="55" t="s">
        <v>54</v>
      </c>
      <c r="G256" s="57">
        <v>2</v>
      </c>
      <c r="H256" s="57">
        <v>339.25</v>
      </c>
      <c r="I256" s="60">
        <f t="shared" si="10"/>
        <v>678.5</v>
      </c>
      <c r="J256" s="59">
        <v>1</v>
      </c>
      <c r="K256" s="26">
        <f t="shared" si="11"/>
        <v>678.5</v>
      </c>
      <c r="L256" s="15"/>
    </row>
    <row r="257" spans="1:12" x14ac:dyDescent="0.2">
      <c r="A257" s="23">
        <f t="shared" si="9"/>
        <v>253</v>
      </c>
      <c r="B257" s="54">
        <v>46135</v>
      </c>
      <c r="C257" s="55" t="s">
        <v>136</v>
      </c>
      <c r="D257" s="56" t="s">
        <v>305</v>
      </c>
      <c r="E257" s="56" t="s">
        <v>306</v>
      </c>
      <c r="F257" s="55" t="s">
        <v>54</v>
      </c>
      <c r="G257" s="57">
        <v>24</v>
      </c>
      <c r="H257" s="57">
        <v>40.22</v>
      </c>
      <c r="I257" s="60">
        <f t="shared" si="10"/>
        <v>965.28</v>
      </c>
      <c r="J257" s="59">
        <v>1</v>
      </c>
      <c r="K257" s="26">
        <f t="shared" si="11"/>
        <v>965.28</v>
      </c>
      <c r="L257" s="15"/>
    </row>
    <row r="258" spans="1:12" x14ac:dyDescent="0.2">
      <c r="A258" s="23">
        <f t="shared" si="9"/>
        <v>254</v>
      </c>
      <c r="B258" s="54">
        <v>46135</v>
      </c>
      <c r="C258" s="55" t="s">
        <v>136</v>
      </c>
      <c r="D258" s="56" t="s">
        <v>307</v>
      </c>
      <c r="E258" s="56" t="s">
        <v>308</v>
      </c>
      <c r="F258" s="55" t="s">
        <v>54</v>
      </c>
      <c r="G258" s="57">
        <v>12</v>
      </c>
      <c r="H258" s="57">
        <v>76.84</v>
      </c>
      <c r="I258" s="60">
        <f t="shared" si="10"/>
        <v>922.08</v>
      </c>
      <c r="J258" s="59">
        <v>1</v>
      </c>
      <c r="K258" s="26">
        <f t="shared" si="11"/>
        <v>922.08</v>
      </c>
      <c r="L258" s="15"/>
    </row>
    <row r="259" spans="1:12" x14ac:dyDescent="0.2">
      <c r="A259" s="23" t="str">
        <f t="shared" si="9"/>
        <v/>
      </c>
      <c r="B259" s="22"/>
      <c r="C259" s="24"/>
      <c r="D259" s="15"/>
      <c r="E259" s="15"/>
      <c r="F259" s="24"/>
      <c r="G259" s="30"/>
      <c r="H259" s="30"/>
      <c r="I259" s="26" t="str">
        <f t="shared" si="10"/>
        <v/>
      </c>
      <c r="J259" s="21"/>
      <c r="K259" s="26" t="str">
        <f t="shared" si="11"/>
        <v/>
      </c>
      <c r="L259" s="15"/>
    </row>
    <row r="260" spans="1:12" x14ac:dyDescent="0.2">
      <c r="A260" s="23" t="str">
        <f t="shared" si="9"/>
        <v/>
      </c>
      <c r="B260" s="22"/>
      <c r="C260" s="24"/>
      <c r="D260" s="15"/>
      <c r="E260" s="15"/>
      <c r="F260" s="24"/>
      <c r="G260" s="30"/>
      <c r="H260" s="30"/>
      <c r="I260" s="26" t="str">
        <f t="shared" si="10"/>
        <v/>
      </c>
      <c r="J260" s="21"/>
      <c r="K260" s="26" t="str">
        <f t="shared" si="11"/>
        <v/>
      </c>
      <c r="L260" s="15"/>
    </row>
    <row r="261" spans="1:12" x14ac:dyDescent="0.2">
      <c r="A261" s="23" t="str">
        <f t="shared" ref="A261:A324" si="12">IF(B261="","",ROW()-4)</f>
        <v/>
      </c>
      <c r="B261" s="22"/>
      <c r="C261" s="24"/>
      <c r="D261" s="15"/>
      <c r="E261" s="15"/>
      <c r="F261" s="24"/>
      <c r="G261" s="30"/>
      <c r="H261" s="30"/>
      <c r="I261" s="26" t="str">
        <f t="shared" ref="I261:I324" si="13">IF(OR(G261="",H261=""),"",G261*H261)</f>
        <v/>
      </c>
      <c r="J261" s="21"/>
      <c r="K261" s="26" t="str">
        <f t="shared" ref="K261:K324" si="14">IF(OR(I261="",J261=""),"",I261*J261)</f>
        <v/>
      </c>
      <c r="L261" s="15"/>
    </row>
    <row r="262" spans="1:12" x14ac:dyDescent="0.2">
      <c r="A262" s="23" t="str">
        <f t="shared" si="12"/>
        <v/>
      </c>
      <c r="B262" s="22"/>
      <c r="C262" s="24"/>
      <c r="D262" s="15"/>
      <c r="E262" s="15"/>
      <c r="F262" s="24"/>
      <c r="G262" s="30"/>
      <c r="H262" s="30"/>
      <c r="I262" s="26" t="str">
        <f t="shared" si="13"/>
        <v/>
      </c>
      <c r="J262" s="21"/>
      <c r="K262" s="26" t="str">
        <f t="shared" si="14"/>
        <v/>
      </c>
      <c r="L262" s="15"/>
    </row>
    <row r="263" spans="1:12" x14ac:dyDescent="0.2">
      <c r="A263" s="23" t="str">
        <f t="shared" si="12"/>
        <v/>
      </c>
      <c r="B263" s="22"/>
      <c r="C263" s="24"/>
      <c r="D263" s="15"/>
      <c r="E263" s="15"/>
      <c r="F263" s="24"/>
      <c r="G263" s="30"/>
      <c r="H263" s="30"/>
      <c r="I263" s="26" t="str">
        <f t="shared" si="13"/>
        <v/>
      </c>
      <c r="J263" s="21"/>
      <c r="K263" s="26" t="str">
        <f t="shared" si="14"/>
        <v/>
      </c>
      <c r="L263" s="15"/>
    </row>
    <row r="264" spans="1:12" x14ac:dyDescent="0.2">
      <c r="A264" s="23" t="str">
        <f t="shared" si="12"/>
        <v/>
      </c>
      <c r="B264" s="22"/>
      <c r="C264" s="24"/>
      <c r="D264" s="15"/>
      <c r="E264" s="15"/>
      <c r="F264" s="24"/>
      <c r="G264" s="30"/>
      <c r="H264" s="30"/>
      <c r="I264" s="26" t="str">
        <f t="shared" si="13"/>
        <v/>
      </c>
      <c r="J264" s="21"/>
      <c r="K264" s="26" t="str">
        <f t="shared" si="14"/>
        <v/>
      </c>
      <c r="L264" s="15"/>
    </row>
    <row r="265" spans="1:12" x14ac:dyDescent="0.2">
      <c r="A265" s="23" t="str">
        <f t="shared" si="12"/>
        <v/>
      </c>
      <c r="B265" s="22"/>
      <c r="C265" s="24"/>
      <c r="D265" s="15"/>
      <c r="E265" s="15"/>
      <c r="F265" s="24"/>
      <c r="G265" s="30"/>
      <c r="H265" s="30"/>
      <c r="I265" s="26" t="str">
        <f t="shared" si="13"/>
        <v/>
      </c>
      <c r="J265" s="21"/>
      <c r="K265" s="26" t="str">
        <f t="shared" si="14"/>
        <v/>
      </c>
      <c r="L265" s="15"/>
    </row>
    <row r="266" spans="1:12" x14ac:dyDescent="0.2">
      <c r="A266" s="23" t="str">
        <f t="shared" si="12"/>
        <v/>
      </c>
      <c r="B266" s="22"/>
      <c r="C266" s="24"/>
      <c r="D266" s="15"/>
      <c r="E266" s="15"/>
      <c r="F266" s="24"/>
      <c r="G266" s="30"/>
      <c r="H266" s="30"/>
      <c r="I266" s="26" t="str">
        <f t="shared" si="13"/>
        <v/>
      </c>
      <c r="J266" s="21"/>
      <c r="K266" s="26" t="str">
        <f t="shared" si="14"/>
        <v/>
      </c>
      <c r="L266" s="15"/>
    </row>
    <row r="267" spans="1:12" x14ac:dyDescent="0.2">
      <c r="A267" s="23" t="str">
        <f t="shared" si="12"/>
        <v/>
      </c>
      <c r="B267" s="22"/>
      <c r="C267" s="24"/>
      <c r="D267" s="15"/>
      <c r="E267" s="15"/>
      <c r="F267" s="24"/>
      <c r="G267" s="30"/>
      <c r="H267" s="30"/>
      <c r="I267" s="26" t="str">
        <f t="shared" si="13"/>
        <v/>
      </c>
      <c r="J267" s="21"/>
      <c r="K267" s="26" t="str">
        <f t="shared" si="14"/>
        <v/>
      </c>
      <c r="L267" s="15"/>
    </row>
    <row r="268" spans="1:12" x14ac:dyDescent="0.2">
      <c r="A268" s="23" t="str">
        <f t="shared" si="12"/>
        <v/>
      </c>
      <c r="B268" s="22"/>
      <c r="C268" s="24"/>
      <c r="D268" s="15"/>
      <c r="E268" s="15"/>
      <c r="F268" s="24"/>
      <c r="G268" s="30"/>
      <c r="H268" s="30"/>
      <c r="I268" s="26" t="str">
        <f t="shared" si="13"/>
        <v/>
      </c>
      <c r="J268" s="21"/>
      <c r="K268" s="26" t="str">
        <f t="shared" si="14"/>
        <v/>
      </c>
      <c r="L268" s="15"/>
    </row>
    <row r="269" spans="1:12" x14ac:dyDescent="0.2">
      <c r="A269" s="23" t="str">
        <f t="shared" si="12"/>
        <v/>
      </c>
      <c r="B269" s="22"/>
      <c r="C269" s="24"/>
      <c r="D269" s="15"/>
      <c r="E269" s="15"/>
      <c r="F269" s="24"/>
      <c r="G269" s="30"/>
      <c r="H269" s="30"/>
      <c r="I269" s="26" t="str">
        <f t="shared" si="13"/>
        <v/>
      </c>
      <c r="J269" s="21"/>
      <c r="K269" s="26" t="str">
        <f t="shared" si="14"/>
        <v/>
      </c>
      <c r="L269" s="15"/>
    </row>
    <row r="270" spans="1:12" x14ac:dyDescent="0.2">
      <c r="A270" s="23" t="str">
        <f t="shared" si="12"/>
        <v/>
      </c>
      <c r="B270" s="22"/>
      <c r="C270" s="24"/>
      <c r="D270" s="15"/>
      <c r="E270" s="15"/>
      <c r="F270" s="24"/>
      <c r="G270" s="30"/>
      <c r="H270" s="30"/>
      <c r="I270" s="26" t="str">
        <f t="shared" si="13"/>
        <v/>
      </c>
      <c r="J270" s="21"/>
      <c r="K270" s="26" t="str">
        <f t="shared" si="14"/>
        <v/>
      </c>
      <c r="L270" s="15"/>
    </row>
    <row r="271" spans="1:12" x14ac:dyDescent="0.2">
      <c r="A271" s="23" t="str">
        <f t="shared" si="12"/>
        <v/>
      </c>
      <c r="B271" s="22"/>
      <c r="C271" s="24"/>
      <c r="D271" s="15"/>
      <c r="E271" s="15"/>
      <c r="F271" s="24"/>
      <c r="G271" s="30"/>
      <c r="H271" s="30"/>
      <c r="I271" s="26" t="str">
        <f t="shared" si="13"/>
        <v/>
      </c>
      <c r="J271" s="21"/>
      <c r="K271" s="26" t="str">
        <f t="shared" si="14"/>
        <v/>
      </c>
      <c r="L271" s="15"/>
    </row>
    <row r="272" spans="1:12" x14ac:dyDescent="0.2">
      <c r="A272" s="23" t="str">
        <f t="shared" si="12"/>
        <v/>
      </c>
      <c r="B272" s="22"/>
      <c r="C272" s="24"/>
      <c r="D272" s="15"/>
      <c r="E272" s="15"/>
      <c r="F272" s="24"/>
      <c r="G272" s="30"/>
      <c r="H272" s="30"/>
      <c r="I272" s="26" t="str">
        <f t="shared" si="13"/>
        <v/>
      </c>
      <c r="J272" s="21"/>
      <c r="K272" s="26" t="str">
        <f t="shared" si="14"/>
        <v/>
      </c>
      <c r="L272" s="15"/>
    </row>
    <row r="273" spans="1:12" x14ac:dyDescent="0.2">
      <c r="A273" s="23" t="str">
        <f t="shared" si="12"/>
        <v/>
      </c>
      <c r="B273" s="22"/>
      <c r="C273" s="24"/>
      <c r="D273" s="15"/>
      <c r="E273" s="15"/>
      <c r="F273" s="24"/>
      <c r="G273" s="30"/>
      <c r="H273" s="30"/>
      <c r="I273" s="26" t="str">
        <f t="shared" si="13"/>
        <v/>
      </c>
      <c r="J273" s="21"/>
      <c r="K273" s="26" t="str">
        <f t="shared" si="14"/>
        <v/>
      </c>
      <c r="L273" s="15"/>
    </row>
    <row r="274" spans="1:12" x14ac:dyDescent="0.2">
      <c r="A274" s="23" t="str">
        <f t="shared" si="12"/>
        <v/>
      </c>
      <c r="B274" s="22"/>
      <c r="C274" s="24"/>
      <c r="D274" s="15"/>
      <c r="E274" s="15"/>
      <c r="F274" s="24"/>
      <c r="G274" s="30"/>
      <c r="H274" s="30"/>
      <c r="I274" s="26" t="str">
        <f t="shared" si="13"/>
        <v/>
      </c>
      <c r="J274" s="21"/>
      <c r="K274" s="26" t="str">
        <f t="shared" si="14"/>
        <v/>
      </c>
      <c r="L274" s="15"/>
    </row>
    <row r="275" spans="1:12" x14ac:dyDescent="0.2">
      <c r="A275" s="23" t="str">
        <f t="shared" si="12"/>
        <v/>
      </c>
      <c r="B275" s="22"/>
      <c r="C275" s="24"/>
      <c r="D275" s="15"/>
      <c r="E275" s="15"/>
      <c r="F275" s="24"/>
      <c r="G275" s="30"/>
      <c r="H275" s="30"/>
      <c r="I275" s="26" t="str">
        <f t="shared" si="13"/>
        <v/>
      </c>
      <c r="J275" s="21"/>
      <c r="K275" s="26" t="str">
        <f t="shared" si="14"/>
        <v/>
      </c>
      <c r="L275" s="15"/>
    </row>
    <row r="276" spans="1:12" x14ac:dyDescent="0.2">
      <c r="A276" s="23" t="str">
        <f t="shared" si="12"/>
        <v/>
      </c>
      <c r="B276" s="22"/>
      <c r="C276" s="24"/>
      <c r="D276" s="15"/>
      <c r="E276" s="15"/>
      <c r="F276" s="24"/>
      <c r="G276" s="30"/>
      <c r="H276" s="30"/>
      <c r="I276" s="26" t="str">
        <f t="shared" si="13"/>
        <v/>
      </c>
      <c r="J276" s="21"/>
      <c r="K276" s="26" t="str">
        <f t="shared" si="14"/>
        <v/>
      </c>
      <c r="L276" s="15"/>
    </row>
    <row r="277" spans="1:12" x14ac:dyDescent="0.2">
      <c r="A277" s="23" t="str">
        <f t="shared" si="12"/>
        <v/>
      </c>
      <c r="B277" s="22"/>
      <c r="C277" s="24"/>
      <c r="D277" s="15"/>
      <c r="E277" s="15"/>
      <c r="F277" s="24"/>
      <c r="G277" s="30"/>
      <c r="H277" s="30"/>
      <c r="I277" s="26" t="str">
        <f t="shared" si="13"/>
        <v/>
      </c>
      <c r="J277" s="21"/>
      <c r="K277" s="26" t="str">
        <f t="shared" si="14"/>
        <v/>
      </c>
      <c r="L277" s="15"/>
    </row>
    <row r="278" spans="1:12" x14ac:dyDescent="0.2">
      <c r="A278" s="23" t="str">
        <f t="shared" si="12"/>
        <v/>
      </c>
      <c r="B278" s="22"/>
      <c r="C278" s="24"/>
      <c r="D278" s="15"/>
      <c r="E278" s="15"/>
      <c r="F278" s="24"/>
      <c r="G278" s="30"/>
      <c r="H278" s="30"/>
      <c r="I278" s="26" t="str">
        <f t="shared" si="13"/>
        <v/>
      </c>
      <c r="J278" s="21"/>
      <c r="K278" s="26" t="str">
        <f t="shared" si="14"/>
        <v/>
      </c>
      <c r="L278" s="15"/>
    </row>
    <row r="279" spans="1:12" x14ac:dyDescent="0.2">
      <c r="A279" s="23" t="str">
        <f t="shared" si="12"/>
        <v/>
      </c>
      <c r="B279" s="22"/>
      <c r="C279" s="24"/>
      <c r="D279" s="15"/>
      <c r="E279" s="15"/>
      <c r="F279" s="24"/>
      <c r="G279" s="30"/>
      <c r="H279" s="30"/>
      <c r="I279" s="26" t="str">
        <f t="shared" si="13"/>
        <v/>
      </c>
      <c r="J279" s="21"/>
      <c r="K279" s="26" t="str">
        <f t="shared" si="14"/>
        <v/>
      </c>
      <c r="L279" s="15"/>
    </row>
    <row r="280" spans="1:12" x14ac:dyDescent="0.2">
      <c r="A280" s="23" t="str">
        <f t="shared" si="12"/>
        <v/>
      </c>
      <c r="B280" s="22"/>
      <c r="C280" s="24"/>
      <c r="D280" s="15"/>
      <c r="E280" s="15"/>
      <c r="F280" s="24"/>
      <c r="G280" s="30"/>
      <c r="H280" s="30"/>
      <c r="I280" s="26" t="str">
        <f t="shared" si="13"/>
        <v/>
      </c>
      <c r="J280" s="21"/>
      <c r="K280" s="26" t="str">
        <f t="shared" si="14"/>
        <v/>
      </c>
      <c r="L280" s="15"/>
    </row>
    <row r="281" spans="1:12" x14ac:dyDescent="0.2">
      <c r="A281" s="23" t="str">
        <f t="shared" si="12"/>
        <v/>
      </c>
      <c r="B281" s="22"/>
      <c r="C281" s="24"/>
      <c r="D281" s="15"/>
      <c r="E281" s="15"/>
      <c r="F281" s="24"/>
      <c r="G281" s="30"/>
      <c r="H281" s="30"/>
      <c r="I281" s="26" t="str">
        <f t="shared" si="13"/>
        <v/>
      </c>
      <c r="J281" s="21"/>
      <c r="K281" s="26" t="str">
        <f t="shared" si="14"/>
        <v/>
      </c>
      <c r="L281" s="15"/>
    </row>
    <row r="282" spans="1:12" x14ac:dyDescent="0.2">
      <c r="A282" s="23" t="str">
        <f t="shared" si="12"/>
        <v/>
      </c>
      <c r="B282" s="22"/>
      <c r="C282" s="24"/>
      <c r="D282" s="15"/>
      <c r="E282" s="15"/>
      <c r="F282" s="24"/>
      <c r="G282" s="30"/>
      <c r="H282" s="30"/>
      <c r="I282" s="26" t="str">
        <f t="shared" si="13"/>
        <v/>
      </c>
      <c r="J282" s="21"/>
      <c r="K282" s="26" t="str">
        <f t="shared" si="14"/>
        <v/>
      </c>
      <c r="L282" s="15"/>
    </row>
    <row r="283" spans="1:12" x14ac:dyDescent="0.2">
      <c r="A283" s="23" t="str">
        <f t="shared" si="12"/>
        <v/>
      </c>
      <c r="B283" s="22"/>
      <c r="C283" s="24"/>
      <c r="D283" s="15"/>
      <c r="E283" s="15"/>
      <c r="F283" s="24"/>
      <c r="G283" s="30"/>
      <c r="H283" s="30"/>
      <c r="I283" s="26" t="str">
        <f t="shared" si="13"/>
        <v/>
      </c>
      <c r="J283" s="21"/>
      <c r="K283" s="26" t="str">
        <f t="shared" si="14"/>
        <v/>
      </c>
      <c r="L283" s="15"/>
    </row>
    <row r="284" spans="1:12" x14ac:dyDescent="0.2">
      <c r="A284" s="23" t="str">
        <f t="shared" si="12"/>
        <v/>
      </c>
      <c r="B284" s="22"/>
      <c r="C284" s="24"/>
      <c r="D284" s="15"/>
      <c r="E284" s="15"/>
      <c r="F284" s="24"/>
      <c r="G284" s="30"/>
      <c r="H284" s="30"/>
      <c r="I284" s="26" t="str">
        <f t="shared" si="13"/>
        <v/>
      </c>
      <c r="J284" s="21"/>
      <c r="K284" s="26" t="str">
        <f t="shared" si="14"/>
        <v/>
      </c>
      <c r="L284" s="15"/>
    </row>
    <row r="285" spans="1:12" x14ac:dyDescent="0.2">
      <c r="A285" s="23" t="str">
        <f t="shared" si="12"/>
        <v/>
      </c>
      <c r="B285" s="22"/>
      <c r="C285" s="24"/>
      <c r="D285" s="15"/>
      <c r="E285" s="15"/>
      <c r="F285" s="24"/>
      <c r="G285" s="30"/>
      <c r="H285" s="30"/>
      <c r="I285" s="26" t="str">
        <f t="shared" si="13"/>
        <v/>
      </c>
      <c r="J285" s="21"/>
      <c r="K285" s="26" t="str">
        <f t="shared" si="14"/>
        <v/>
      </c>
      <c r="L285" s="15"/>
    </row>
    <row r="286" spans="1:12" x14ac:dyDescent="0.2">
      <c r="A286" s="23" t="str">
        <f t="shared" si="12"/>
        <v/>
      </c>
      <c r="B286" s="22"/>
      <c r="C286" s="24"/>
      <c r="D286" s="15"/>
      <c r="E286" s="15"/>
      <c r="F286" s="24"/>
      <c r="G286" s="30"/>
      <c r="H286" s="30"/>
      <c r="I286" s="26" t="str">
        <f t="shared" si="13"/>
        <v/>
      </c>
      <c r="J286" s="21"/>
      <c r="K286" s="26" t="str">
        <f t="shared" si="14"/>
        <v/>
      </c>
      <c r="L286" s="15"/>
    </row>
    <row r="287" spans="1:12" x14ac:dyDescent="0.2">
      <c r="A287" s="23" t="str">
        <f t="shared" si="12"/>
        <v/>
      </c>
      <c r="B287" s="22"/>
      <c r="C287" s="24"/>
      <c r="D287" s="15"/>
      <c r="E287" s="15"/>
      <c r="F287" s="24"/>
      <c r="G287" s="30"/>
      <c r="H287" s="30"/>
      <c r="I287" s="26" t="str">
        <f t="shared" si="13"/>
        <v/>
      </c>
      <c r="J287" s="21"/>
      <c r="K287" s="26" t="str">
        <f t="shared" si="14"/>
        <v/>
      </c>
      <c r="L287" s="15"/>
    </row>
    <row r="288" spans="1:12" x14ac:dyDescent="0.2">
      <c r="A288" s="23" t="str">
        <f t="shared" si="12"/>
        <v/>
      </c>
      <c r="B288" s="22"/>
      <c r="C288" s="24"/>
      <c r="D288" s="15"/>
      <c r="E288" s="15"/>
      <c r="F288" s="24"/>
      <c r="G288" s="30"/>
      <c r="H288" s="30"/>
      <c r="I288" s="26" t="str">
        <f t="shared" si="13"/>
        <v/>
      </c>
      <c r="J288" s="21"/>
      <c r="K288" s="26" t="str">
        <f t="shared" si="14"/>
        <v/>
      </c>
      <c r="L288" s="15"/>
    </row>
    <row r="289" spans="1:12" x14ac:dyDescent="0.2">
      <c r="A289" s="23" t="str">
        <f t="shared" si="12"/>
        <v/>
      </c>
      <c r="B289" s="22"/>
      <c r="C289" s="24"/>
      <c r="D289" s="15"/>
      <c r="E289" s="15"/>
      <c r="F289" s="24"/>
      <c r="G289" s="30"/>
      <c r="H289" s="30"/>
      <c r="I289" s="26" t="str">
        <f t="shared" si="13"/>
        <v/>
      </c>
      <c r="J289" s="21"/>
      <c r="K289" s="26" t="str">
        <f t="shared" si="14"/>
        <v/>
      </c>
      <c r="L289" s="15"/>
    </row>
    <row r="290" spans="1:12" x14ac:dyDescent="0.2">
      <c r="A290" s="23" t="str">
        <f t="shared" si="12"/>
        <v/>
      </c>
      <c r="B290" s="22"/>
      <c r="C290" s="24"/>
      <c r="D290" s="15"/>
      <c r="E290" s="15"/>
      <c r="F290" s="24"/>
      <c r="G290" s="30"/>
      <c r="H290" s="30"/>
      <c r="I290" s="26" t="str">
        <f t="shared" si="13"/>
        <v/>
      </c>
      <c r="J290" s="21"/>
      <c r="K290" s="26" t="str">
        <f t="shared" si="14"/>
        <v/>
      </c>
      <c r="L290" s="15"/>
    </row>
    <row r="291" spans="1:12" x14ac:dyDescent="0.2">
      <c r="A291" s="23" t="str">
        <f t="shared" si="12"/>
        <v/>
      </c>
      <c r="B291" s="22"/>
      <c r="C291" s="24"/>
      <c r="D291" s="15"/>
      <c r="E291" s="15"/>
      <c r="F291" s="24"/>
      <c r="G291" s="30"/>
      <c r="H291" s="30"/>
      <c r="I291" s="26" t="str">
        <f t="shared" si="13"/>
        <v/>
      </c>
      <c r="J291" s="21"/>
      <c r="K291" s="26" t="str">
        <f t="shared" si="14"/>
        <v/>
      </c>
      <c r="L291" s="15"/>
    </row>
    <row r="292" spans="1:12" x14ac:dyDescent="0.2">
      <c r="A292" s="23" t="str">
        <f t="shared" si="12"/>
        <v/>
      </c>
      <c r="B292" s="22"/>
      <c r="C292" s="24"/>
      <c r="D292" s="15"/>
      <c r="E292" s="15"/>
      <c r="F292" s="24"/>
      <c r="G292" s="30"/>
      <c r="H292" s="30"/>
      <c r="I292" s="26" t="str">
        <f t="shared" si="13"/>
        <v/>
      </c>
      <c r="J292" s="21"/>
      <c r="K292" s="26" t="str">
        <f t="shared" si="14"/>
        <v/>
      </c>
      <c r="L292" s="15"/>
    </row>
    <row r="293" spans="1:12" x14ac:dyDescent="0.2">
      <c r="A293" s="23" t="str">
        <f t="shared" si="12"/>
        <v/>
      </c>
      <c r="B293" s="22"/>
      <c r="C293" s="24"/>
      <c r="D293" s="15"/>
      <c r="E293" s="15"/>
      <c r="F293" s="24"/>
      <c r="G293" s="30"/>
      <c r="H293" s="30"/>
      <c r="I293" s="26" t="str">
        <f t="shared" si="13"/>
        <v/>
      </c>
      <c r="J293" s="21"/>
      <c r="K293" s="26" t="str">
        <f t="shared" si="14"/>
        <v/>
      </c>
      <c r="L293" s="15"/>
    </row>
    <row r="294" spans="1:12" x14ac:dyDescent="0.2">
      <c r="A294" s="23" t="str">
        <f t="shared" si="12"/>
        <v/>
      </c>
      <c r="B294" s="22"/>
      <c r="C294" s="24"/>
      <c r="D294" s="15"/>
      <c r="E294" s="15"/>
      <c r="F294" s="24"/>
      <c r="G294" s="30"/>
      <c r="H294" s="30"/>
      <c r="I294" s="26" t="str">
        <f t="shared" si="13"/>
        <v/>
      </c>
      <c r="J294" s="21"/>
      <c r="K294" s="26" t="str">
        <f t="shared" si="14"/>
        <v/>
      </c>
      <c r="L294" s="15"/>
    </row>
    <row r="295" spans="1:12" x14ac:dyDescent="0.2">
      <c r="A295" s="23" t="str">
        <f t="shared" si="12"/>
        <v/>
      </c>
      <c r="B295" s="22"/>
      <c r="C295" s="24"/>
      <c r="D295" s="15"/>
      <c r="E295" s="15"/>
      <c r="F295" s="24"/>
      <c r="G295" s="30"/>
      <c r="H295" s="30"/>
      <c r="I295" s="26" t="str">
        <f t="shared" si="13"/>
        <v/>
      </c>
      <c r="J295" s="21"/>
      <c r="K295" s="26" t="str">
        <f t="shared" si="14"/>
        <v/>
      </c>
      <c r="L295" s="15"/>
    </row>
    <row r="296" spans="1:12" x14ac:dyDescent="0.2">
      <c r="A296" s="23" t="str">
        <f t="shared" si="12"/>
        <v/>
      </c>
      <c r="B296" s="22"/>
      <c r="C296" s="24"/>
      <c r="D296" s="15"/>
      <c r="E296" s="15"/>
      <c r="F296" s="24"/>
      <c r="G296" s="30"/>
      <c r="H296" s="30"/>
      <c r="I296" s="26" t="str">
        <f t="shared" si="13"/>
        <v/>
      </c>
      <c r="J296" s="21"/>
      <c r="K296" s="26" t="str">
        <f t="shared" si="14"/>
        <v/>
      </c>
      <c r="L296" s="15"/>
    </row>
    <row r="297" spans="1:12" x14ac:dyDescent="0.2">
      <c r="A297" s="23" t="str">
        <f t="shared" si="12"/>
        <v/>
      </c>
      <c r="B297" s="22"/>
      <c r="C297" s="24"/>
      <c r="D297" s="15"/>
      <c r="E297" s="15"/>
      <c r="F297" s="24"/>
      <c r="G297" s="30"/>
      <c r="H297" s="30"/>
      <c r="I297" s="26" t="str">
        <f t="shared" si="13"/>
        <v/>
      </c>
      <c r="J297" s="21"/>
      <c r="K297" s="26" t="str">
        <f t="shared" si="14"/>
        <v/>
      </c>
      <c r="L297" s="15"/>
    </row>
    <row r="298" spans="1:12" x14ac:dyDescent="0.2">
      <c r="A298" s="23" t="str">
        <f t="shared" si="12"/>
        <v/>
      </c>
      <c r="B298" s="22"/>
      <c r="C298" s="24"/>
      <c r="D298" s="15"/>
      <c r="E298" s="15"/>
      <c r="F298" s="24"/>
      <c r="G298" s="30"/>
      <c r="H298" s="30"/>
      <c r="I298" s="26" t="str">
        <f t="shared" si="13"/>
        <v/>
      </c>
      <c r="J298" s="21"/>
      <c r="K298" s="26" t="str">
        <f t="shared" si="14"/>
        <v/>
      </c>
      <c r="L298" s="15"/>
    </row>
    <row r="299" spans="1:12" x14ac:dyDescent="0.2">
      <c r="A299" s="23" t="str">
        <f t="shared" si="12"/>
        <v/>
      </c>
      <c r="B299" s="22"/>
      <c r="C299" s="24"/>
      <c r="D299" s="15"/>
      <c r="E299" s="15"/>
      <c r="F299" s="24"/>
      <c r="G299" s="30"/>
      <c r="H299" s="30"/>
      <c r="I299" s="26" t="str">
        <f t="shared" si="13"/>
        <v/>
      </c>
      <c r="J299" s="21"/>
      <c r="K299" s="26" t="str">
        <f t="shared" si="14"/>
        <v/>
      </c>
      <c r="L299" s="15"/>
    </row>
    <row r="300" spans="1:12" x14ac:dyDescent="0.2">
      <c r="A300" s="23" t="str">
        <f t="shared" si="12"/>
        <v/>
      </c>
      <c r="B300" s="22"/>
      <c r="C300" s="24"/>
      <c r="D300" s="15"/>
      <c r="E300" s="15"/>
      <c r="F300" s="24"/>
      <c r="G300" s="30"/>
      <c r="H300" s="30"/>
      <c r="I300" s="26" t="str">
        <f t="shared" si="13"/>
        <v/>
      </c>
      <c r="J300" s="21"/>
      <c r="K300" s="26" t="str">
        <f t="shared" si="14"/>
        <v/>
      </c>
      <c r="L300" s="15"/>
    </row>
    <row r="301" spans="1:12" x14ac:dyDescent="0.2">
      <c r="A301" s="23" t="str">
        <f t="shared" si="12"/>
        <v/>
      </c>
      <c r="B301" s="22"/>
      <c r="C301" s="24"/>
      <c r="D301" s="15"/>
      <c r="E301" s="15"/>
      <c r="F301" s="24"/>
      <c r="G301" s="30"/>
      <c r="H301" s="30"/>
      <c r="I301" s="26" t="str">
        <f t="shared" si="13"/>
        <v/>
      </c>
      <c r="J301" s="21"/>
      <c r="K301" s="26" t="str">
        <f t="shared" si="14"/>
        <v/>
      </c>
      <c r="L301" s="15"/>
    </row>
    <row r="302" spans="1:12" x14ac:dyDescent="0.2">
      <c r="A302" s="23" t="str">
        <f t="shared" si="12"/>
        <v/>
      </c>
      <c r="B302" s="22"/>
      <c r="C302" s="24"/>
      <c r="D302" s="15"/>
      <c r="E302" s="15"/>
      <c r="F302" s="24"/>
      <c r="G302" s="30"/>
      <c r="H302" s="30"/>
      <c r="I302" s="26" t="str">
        <f t="shared" si="13"/>
        <v/>
      </c>
      <c r="J302" s="21"/>
      <c r="K302" s="26" t="str">
        <f t="shared" si="14"/>
        <v/>
      </c>
      <c r="L302" s="15"/>
    </row>
    <row r="303" spans="1:12" x14ac:dyDescent="0.2">
      <c r="A303" s="23" t="str">
        <f t="shared" si="12"/>
        <v/>
      </c>
      <c r="B303" s="22"/>
      <c r="C303" s="24"/>
      <c r="D303" s="15"/>
      <c r="E303" s="15"/>
      <c r="F303" s="24"/>
      <c r="G303" s="30"/>
      <c r="H303" s="30"/>
      <c r="I303" s="26" t="str">
        <f t="shared" si="13"/>
        <v/>
      </c>
      <c r="J303" s="21"/>
      <c r="K303" s="26" t="str">
        <f t="shared" si="14"/>
        <v/>
      </c>
      <c r="L303" s="15"/>
    </row>
    <row r="304" spans="1:12" x14ac:dyDescent="0.2">
      <c r="A304" s="23" t="str">
        <f t="shared" si="12"/>
        <v/>
      </c>
      <c r="B304" s="22"/>
      <c r="C304" s="24"/>
      <c r="D304" s="15"/>
      <c r="E304" s="15"/>
      <c r="F304" s="24"/>
      <c r="G304" s="30"/>
      <c r="H304" s="30"/>
      <c r="I304" s="26" t="str">
        <f t="shared" si="13"/>
        <v/>
      </c>
      <c r="J304" s="21"/>
      <c r="K304" s="26" t="str">
        <f t="shared" si="14"/>
        <v/>
      </c>
      <c r="L304" s="15"/>
    </row>
    <row r="305" spans="1:12" x14ac:dyDescent="0.2">
      <c r="A305" s="23" t="str">
        <f t="shared" si="12"/>
        <v/>
      </c>
      <c r="B305" s="22"/>
      <c r="C305" s="24"/>
      <c r="D305" s="15"/>
      <c r="E305" s="15"/>
      <c r="F305" s="24"/>
      <c r="G305" s="30"/>
      <c r="H305" s="30"/>
      <c r="I305" s="26" t="str">
        <f t="shared" si="13"/>
        <v/>
      </c>
      <c r="J305" s="21"/>
      <c r="K305" s="26" t="str">
        <f t="shared" si="14"/>
        <v/>
      </c>
      <c r="L305" s="15"/>
    </row>
    <row r="306" spans="1:12" x14ac:dyDescent="0.2">
      <c r="A306" s="23" t="str">
        <f t="shared" si="12"/>
        <v/>
      </c>
      <c r="B306" s="22"/>
      <c r="C306" s="24"/>
      <c r="D306" s="15"/>
      <c r="E306" s="15"/>
      <c r="F306" s="24"/>
      <c r="G306" s="30"/>
      <c r="H306" s="30"/>
      <c r="I306" s="26" t="str">
        <f t="shared" si="13"/>
        <v/>
      </c>
      <c r="J306" s="21"/>
      <c r="K306" s="26" t="str">
        <f t="shared" si="14"/>
        <v/>
      </c>
      <c r="L306" s="15"/>
    </row>
    <row r="307" spans="1:12" x14ac:dyDescent="0.2">
      <c r="A307" s="23" t="str">
        <f t="shared" si="12"/>
        <v/>
      </c>
      <c r="B307" s="22"/>
      <c r="C307" s="24"/>
      <c r="D307" s="15"/>
      <c r="E307" s="15"/>
      <c r="F307" s="24"/>
      <c r="G307" s="30"/>
      <c r="H307" s="30"/>
      <c r="I307" s="26" t="str">
        <f t="shared" si="13"/>
        <v/>
      </c>
      <c r="J307" s="21"/>
      <c r="K307" s="26" t="str">
        <f t="shared" si="14"/>
        <v/>
      </c>
      <c r="L307" s="15"/>
    </row>
    <row r="308" spans="1:12" x14ac:dyDescent="0.2">
      <c r="A308" s="23" t="str">
        <f t="shared" si="12"/>
        <v/>
      </c>
      <c r="B308" s="22"/>
      <c r="C308" s="24"/>
      <c r="D308" s="15"/>
      <c r="E308" s="15"/>
      <c r="F308" s="24"/>
      <c r="G308" s="30"/>
      <c r="H308" s="30"/>
      <c r="I308" s="26" t="str">
        <f t="shared" si="13"/>
        <v/>
      </c>
      <c r="J308" s="21"/>
      <c r="K308" s="26" t="str">
        <f t="shared" si="14"/>
        <v/>
      </c>
      <c r="L308" s="15"/>
    </row>
    <row r="309" spans="1:12" x14ac:dyDescent="0.2">
      <c r="A309" s="23" t="str">
        <f t="shared" si="12"/>
        <v/>
      </c>
      <c r="B309" s="22"/>
      <c r="C309" s="24"/>
      <c r="D309" s="15"/>
      <c r="E309" s="15"/>
      <c r="F309" s="24"/>
      <c r="G309" s="30"/>
      <c r="H309" s="30"/>
      <c r="I309" s="26" t="str">
        <f t="shared" si="13"/>
        <v/>
      </c>
      <c r="J309" s="21"/>
      <c r="K309" s="26" t="str">
        <f t="shared" si="14"/>
        <v/>
      </c>
      <c r="L309" s="15"/>
    </row>
    <row r="310" spans="1:12" x14ac:dyDescent="0.2">
      <c r="A310" s="23" t="str">
        <f t="shared" si="12"/>
        <v/>
      </c>
      <c r="B310" s="22"/>
      <c r="C310" s="24"/>
      <c r="D310" s="15"/>
      <c r="E310" s="15"/>
      <c r="F310" s="24"/>
      <c r="G310" s="30"/>
      <c r="H310" s="30"/>
      <c r="I310" s="26" t="str">
        <f t="shared" si="13"/>
        <v/>
      </c>
      <c r="J310" s="21"/>
      <c r="K310" s="26" t="str">
        <f t="shared" si="14"/>
        <v/>
      </c>
      <c r="L310" s="15"/>
    </row>
    <row r="311" spans="1:12" x14ac:dyDescent="0.2">
      <c r="A311" s="23" t="str">
        <f t="shared" si="12"/>
        <v/>
      </c>
      <c r="B311" s="22"/>
      <c r="C311" s="24"/>
      <c r="D311" s="15"/>
      <c r="E311" s="15"/>
      <c r="F311" s="24"/>
      <c r="G311" s="30"/>
      <c r="H311" s="30"/>
      <c r="I311" s="26" t="str">
        <f t="shared" si="13"/>
        <v/>
      </c>
      <c r="J311" s="21"/>
      <c r="K311" s="26" t="str">
        <f t="shared" si="14"/>
        <v/>
      </c>
      <c r="L311" s="15"/>
    </row>
    <row r="312" spans="1:12" x14ac:dyDescent="0.2">
      <c r="A312" s="23" t="str">
        <f t="shared" si="12"/>
        <v/>
      </c>
      <c r="B312" s="22"/>
      <c r="C312" s="24"/>
      <c r="D312" s="15"/>
      <c r="E312" s="15"/>
      <c r="F312" s="24"/>
      <c r="G312" s="30"/>
      <c r="H312" s="30"/>
      <c r="I312" s="26" t="str">
        <f t="shared" si="13"/>
        <v/>
      </c>
      <c r="J312" s="21"/>
      <c r="K312" s="26" t="str">
        <f t="shared" si="14"/>
        <v/>
      </c>
      <c r="L312" s="15"/>
    </row>
    <row r="313" spans="1:12" x14ac:dyDescent="0.2">
      <c r="A313" s="23" t="str">
        <f t="shared" si="12"/>
        <v/>
      </c>
      <c r="B313" s="22"/>
      <c r="C313" s="24"/>
      <c r="D313" s="15"/>
      <c r="E313" s="15"/>
      <c r="F313" s="24"/>
      <c r="G313" s="30"/>
      <c r="H313" s="30"/>
      <c r="I313" s="26" t="str">
        <f t="shared" si="13"/>
        <v/>
      </c>
      <c r="J313" s="21"/>
      <c r="K313" s="26" t="str">
        <f t="shared" si="14"/>
        <v/>
      </c>
      <c r="L313" s="15"/>
    </row>
    <row r="314" spans="1:12" x14ac:dyDescent="0.2">
      <c r="A314" s="23" t="str">
        <f t="shared" si="12"/>
        <v/>
      </c>
      <c r="B314" s="22"/>
      <c r="C314" s="24"/>
      <c r="D314" s="15"/>
      <c r="E314" s="15"/>
      <c r="F314" s="24"/>
      <c r="G314" s="30"/>
      <c r="H314" s="30"/>
      <c r="I314" s="26" t="str">
        <f t="shared" si="13"/>
        <v/>
      </c>
      <c r="J314" s="21"/>
      <c r="K314" s="26" t="str">
        <f t="shared" si="14"/>
        <v/>
      </c>
      <c r="L314" s="15"/>
    </row>
    <row r="315" spans="1:12" x14ac:dyDescent="0.2">
      <c r="A315" s="23" t="str">
        <f t="shared" si="12"/>
        <v/>
      </c>
      <c r="B315" s="22"/>
      <c r="C315" s="24"/>
      <c r="D315" s="15"/>
      <c r="E315" s="15"/>
      <c r="F315" s="24"/>
      <c r="G315" s="30"/>
      <c r="H315" s="30"/>
      <c r="I315" s="26" t="str">
        <f t="shared" si="13"/>
        <v/>
      </c>
      <c r="J315" s="21"/>
      <c r="K315" s="26" t="str">
        <f t="shared" si="14"/>
        <v/>
      </c>
      <c r="L315" s="15"/>
    </row>
    <row r="316" spans="1:12" x14ac:dyDescent="0.2">
      <c r="A316" s="23" t="str">
        <f t="shared" si="12"/>
        <v/>
      </c>
      <c r="B316" s="22"/>
      <c r="C316" s="24"/>
      <c r="D316" s="15"/>
      <c r="E316" s="15"/>
      <c r="F316" s="24"/>
      <c r="G316" s="30"/>
      <c r="H316" s="30"/>
      <c r="I316" s="26" t="str">
        <f t="shared" si="13"/>
        <v/>
      </c>
      <c r="J316" s="21"/>
      <c r="K316" s="26" t="str">
        <f t="shared" si="14"/>
        <v/>
      </c>
      <c r="L316" s="15"/>
    </row>
    <row r="317" spans="1:12" x14ac:dyDescent="0.2">
      <c r="A317" s="23" t="str">
        <f t="shared" si="12"/>
        <v/>
      </c>
      <c r="B317" s="22"/>
      <c r="C317" s="24"/>
      <c r="D317" s="15"/>
      <c r="E317" s="15"/>
      <c r="F317" s="24"/>
      <c r="G317" s="30"/>
      <c r="H317" s="30"/>
      <c r="I317" s="26" t="str">
        <f t="shared" si="13"/>
        <v/>
      </c>
      <c r="J317" s="21"/>
      <c r="K317" s="26" t="str">
        <f t="shared" si="14"/>
        <v/>
      </c>
      <c r="L317" s="15"/>
    </row>
    <row r="318" spans="1:12" x14ac:dyDescent="0.2">
      <c r="A318" s="23" t="str">
        <f t="shared" si="12"/>
        <v/>
      </c>
      <c r="B318" s="22"/>
      <c r="C318" s="24"/>
      <c r="D318" s="15"/>
      <c r="E318" s="15"/>
      <c r="F318" s="24"/>
      <c r="G318" s="30"/>
      <c r="H318" s="30"/>
      <c r="I318" s="26" t="str">
        <f t="shared" si="13"/>
        <v/>
      </c>
      <c r="J318" s="21"/>
      <c r="K318" s="26" t="str">
        <f t="shared" si="14"/>
        <v/>
      </c>
      <c r="L318" s="15"/>
    </row>
    <row r="319" spans="1:12" x14ac:dyDescent="0.2">
      <c r="A319" s="23" t="str">
        <f t="shared" si="12"/>
        <v/>
      </c>
      <c r="B319" s="22"/>
      <c r="C319" s="24"/>
      <c r="D319" s="15"/>
      <c r="E319" s="15"/>
      <c r="F319" s="24"/>
      <c r="G319" s="30"/>
      <c r="H319" s="30"/>
      <c r="I319" s="26" t="str">
        <f t="shared" si="13"/>
        <v/>
      </c>
      <c r="J319" s="21"/>
      <c r="K319" s="26" t="str">
        <f t="shared" si="14"/>
        <v/>
      </c>
      <c r="L319" s="15"/>
    </row>
    <row r="320" spans="1:12" x14ac:dyDescent="0.2">
      <c r="A320" s="23" t="str">
        <f t="shared" si="12"/>
        <v/>
      </c>
      <c r="B320" s="22"/>
      <c r="C320" s="24"/>
      <c r="D320" s="15"/>
      <c r="E320" s="15"/>
      <c r="F320" s="24"/>
      <c r="G320" s="30"/>
      <c r="H320" s="30"/>
      <c r="I320" s="26" t="str">
        <f t="shared" si="13"/>
        <v/>
      </c>
      <c r="J320" s="21"/>
      <c r="K320" s="26" t="str">
        <f t="shared" si="14"/>
        <v/>
      </c>
      <c r="L320" s="15"/>
    </row>
    <row r="321" spans="1:12" x14ac:dyDescent="0.2">
      <c r="A321" s="23" t="str">
        <f t="shared" si="12"/>
        <v/>
      </c>
      <c r="B321" s="22"/>
      <c r="C321" s="24"/>
      <c r="D321" s="15"/>
      <c r="E321" s="15"/>
      <c r="F321" s="24"/>
      <c r="G321" s="30"/>
      <c r="H321" s="30"/>
      <c r="I321" s="26" t="str">
        <f t="shared" si="13"/>
        <v/>
      </c>
      <c r="J321" s="21"/>
      <c r="K321" s="26" t="str">
        <f t="shared" si="14"/>
        <v/>
      </c>
      <c r="L321" s="15"/>
    </row>
    <row r="322" spans="1:12" x14ac:dyDescent="0.2">
      <c r="A322" s="23" t="str">
        <f t="shared" si="12"/>
        <v/>
      </c>
      <c r="B322" s="22"/>
      <c r="C322" s="24"/>
      <c r="D322" s="15"/>
      <c r="E322" s="15"/>
      <c r="F322" s="24"/>
      <c r="G322" s="30"/>
      <c r="H322" s="30"/>
      <c r="I322" s="26" t="str">
        <f t="shared" si="13"/>
        <v/>
      </c>
      <c r="J322" s="21"/>
      <c r="K322" s="26" t="str">
        <f t="shared" si="14"/>
        <v/>
      </c>
      <c r="L322" s="15"/>
    </row>
    <row r="323" spans="1:12" x14ac:dyDescent="0.2">
      <c r="A323" s="23" t="str">
        <f t="shared" si="12"/>
        <v/>
      </c>
      <c r="B323" s="22"/>
      <c r="C323" s="24"/>
      <c r="D323" s="15"/>
      <c r="E323" s="15"/>
      <c r="F323" s="24"/>
      <c r="G323" s="30"/>
      <c r="H323" s="30"/>
      <c r="I323" s="26" t="str">
        <f t="shared" si="13"/>
        <v/>
      </c>
      <c r="J323" s="21"/>
      <c r="K323" s="26" t="str">
        <f t="shared" si="14"/>
        <v/>
      </c>
      <c r="L323" s="15"/>
    </row>
    <row r="324" spans="1:12" x14ac:dyDescent="0.2">
      <c r="A324" s="23" t="str">
        <f t="shared" si="12"/>
        <v/>
      </c>
      <c r="B324" s="22"/>
      <c r="C324" s="24"/>
      <c r="D324" s="15"/>
      <c r="E324" s="15"/>
      <c r="F324" s="24"/>
      <c r="G324" s="30"/>
      <c r="H324" s="30"/>
      <c r="I324" s="26" t="str">
        <f t="shared" si="13"/>
        <v/>
      </c>
      <c r="J324" s="21"/>
      <c r="K324" s="26" t="str">
        <f t="shared" si="14"/>
        <v/>
      </c>
      <c r="L324" s="15"/>
    </row>
    <row r="325" spans="1:12" x14ac:dyDescent="0.2">
      <c r="A325" s="23" t="str">
        <f t="shared" ref="A325:A388" si="15">IF(B325="","",ROW()-4)</f>
        <v/>
      </c>
      <c r="B325" s="22"/>
      <c r="C325" s="24"/>
      <c r="D325" s="15"/>
      <c r="E325" s="15"/>
      <c r="F325" s="24"/>
      <c r="G325" s="30"/>
      <c r="H325" s="30"/>
      <c r="I325" s="26" t="str">
        <f t="shared" ref="I325:I388" si="16">IF(OR(G325="",H325=""),"",G325*H325)</f>
        <v/>
      </c>
      <c r="J325" s="21"/>
      <c r="K325" s="26" t="str">
        <f t="shared" ref="K325:K388" si="17">IF(OR(I325="",J325=""),"",I325*J325)</f>
        <v/>
      </c>
      <c r="L325" s="15"/>
    </row>
    <row r="326" spans="1:12" x14ac:dyDescent="0.2">
      <c r="A326" s="23" t="str">
        <f t="shared" si="15"/>
        <v/>
      </c>
      <c r="B326" s="22"/>
      <c r="C326" s="24"/>
      <c r="D326" s="15"/>
      <c r="E326" s="15"/>
      <c r="F326" s="24"/>
      <c r="G326" s="30"/>
      <c r="H326" s="30"/>
      <c r="I326" s="26" t="str">
        <f t="shared" si="16"/>
        <v/>
      </c>
      <c r="J326" s="21"/>
      <c r="K326" s="26" t="str">
        <f t="shared" si="17"/>
        <v/>
      </c>
      <c r="L326" s="15"/>
    </row>
    <row r="327" spans="1:12" x14ac:dyDescent="0.2">
      <c r="A327" s="23" t="str">
        <f t="shared" si="15"/>
        <v/>
      </c>
      <c r="B327" s="22"/>
      <c r="C327" s="24"/>
      <c r="D327" s="15"/>
      <c r="E327" s="15"/>
      <c r="F327" s="24"/>
      <c r="G327" s="30"/>
      <c r="H327" s="30"/>
      <c r="I327" s="26" t="str">
        <f t="shared" si="16"/>
        <v/>
      </c>
      <c r="J327" s="21"/>
      <c r="K327" s="26" t="str">
        <f t="shared" si="17"/>
        <v/>
      </c>
      <c r="L327" s="15"/>
    </row>
    <row r="328" spans="1:12" x14ac:dyDescent="0.2">
      <c r="A328" s="23" t="str">
        <f t="shared" si="15"/>
        <v/>
      </c>
      <c r="B328" s="22"/>
      <c r="C328" s="24"/>
      <c r="D328" s="15"/>
      <c r="E328" s="15"/>
      <c r="F328" s="24"/>
      <c r="G328" s="30"/>
      <c r="H328" s="30"/>
      <c r="I328" s="26" t="str">
        <f t="shared" si="16"/>
        <v/>
      </c>
      <c r="J328" s="21"/>
      <c r="K328" s="26" t="str">
        <f t="shared" si="17"/>
        <v/>
      </c>
      <c r="L328" s="15"/>
    </row>
    <row r="329" spans="1:12" x14ac:dyDescent="0.2">
      <c r="A329" s="23" t="str">
        <f t="shared" si="15"/>
        <v/>
      </c>
      <c r="B329" s="22"/>
      <c r="C329" s="24"/>
      <c r="D329" s="15"/>
      <c r="E329" s="15"/>
      <c r="F329" s="24"/>
      <c r="G329" s="30"/>
      <c r="H329" s="30"/>
      <c r="I329" s="26" t="str">
        <f t="shared" si="16"/>
        <v/>
      </c>
      <c r="J329" s="21"/>
      <c r="K329" s="26" t="str">
        <f t="shared" si="17"/>
        <v/>
      </c>
      <c r="L329" s="15"/>
    </row>
    <row r="330" spans="1:12" x14ac:dyDescent="0.2">
      <c r="A330" s="23" t="str">
        <f t="shared" si="15"/>
        <v/>
      </c>
      <c r="B330" s="22"/>
      <c r="C330" s="24"/>
      <c r="D330" s="15"/>
      <c r="E330" s="15"/>
      <c r="F330" s="24"/>
      <c r="G330" s="30"/>
      <c r="H330" s="30"/>
      <c r="I330" s="26" t="str">
        <f t="shared" si="16"/>
        <v/>
      </c>
      <c r="J330" s="21"/>
      <c r="K330" s="26" t="str">
        <f t="shared" si="17"/>
        <v/>
      </c>
      <c r="L330" s="15"/>
    </row>
    <row r="331" spans="1:12" x14ac:dyDescent="0.2">
      <c r="A331" s="23" t="str">
        <f t="shared" si="15"/>
        <v/>
      </c>
      <c r="B331" s="22"/>
      <c r="C331" s="24"/>
      <c r="D331" s="15"/>
      <c r="E331" s="15"/>
      <c r="F331" s="24"/>
      <c r="G331" s="30"/>
      <c r="H331" s="30"/>
      <c r="I331" s="26" t="str">
        <f t="shared" si="16"/>
        <v/>
      </c>
      <c r="J331" s="21"/>
      <c r="K331" s="26" t="str">
        <f t="shared" si="17"/>
        <v/>
      </c>
      <c r="L331" s="15"/>
    </row>
    <row r="332" spans="1:12" x14ac:dyDescent="0.2">
      <c r="A332" s="23" t="str">
        <f t="shared" si="15"/>
        <v/>
      </c>
      <c r="B332" s="22"/>
      <c r="C332" s="24"/>
      <c r="D332" s="15"/>
      <c r="E332" s="15"/>
      <c r="F332" s="24"/>
      <c r="G332" s="30"/>
      <c r="H332" s="30"/>
      <c r="I332" s="26" t="str">
        <f t="shared" si="16"/>
        <v/>
      </c>
      <c r="J332" s="21"/>
      <c r="K332" s="26" t="str">
        <f t="shared" si="17"/>
        <v/>
      </c>
      <c r="L332" s="15"/>
    </row>
    <row r="333" spans="1:12" x14ac:dyDescent="0.2">
      <c r="A333" s="23" t="str">
        <f t="shared" si="15"/>
        <v/>
      </c>
      <c r="B333" s="22"/>
      <c r="C333" s="24"/>
      <c r="D333" s="15"/>
      <c r="E333" s="15"/>
      <c r="F333" s="24"/>
      <c r="G333" s="30"/>
      <c r="H333" s="30"/>
      <c r="I333" s="26" t="str">
        <f t="shared" si="16"/>
        <v/>
      </c>
      <c r="J333" s="21"/>
      <c r="K333" s="26" t="str">
        <f t="shared" si="17"/>
        <v/>
      </c>
      <c r="L333" s="15"/>
    </row>
    <row r="334" spans="1:12" x14ac:dyDescent="0.2">
      <c r="A334" s="23" t="str">
        <f t="shared" si="15"/>
        <v/>
      </c>
      <c r="B334" s="22"/>
      <c r="C334" s="24"/>
      <c r="D334" s="15"/>
      <c r="E334" s="15"/>
      <c r="F334" s="24"/>
      <c r="G334" s="30"/>
      <c r="H334" s="30"/>
      <c r="I334" s="26" t="str">
        <f t="shared" si="16"/>
        <v/>
      </c>
      <c r="J334" s="21"/>
      <c r="K334" s="26" t="str">
        <f t="shared" si="17"/>
        <v/>
      </c>
      <c r="L334" s="15"/>
    </row>
    <row r="335" spans="1:12" x14ac:dyDescent="0.2">
      <c r="A335" s="23" t="str">
        <f t="shared" si="15"/>
        <v/>
      </c>
      <c r="B335" s="22"/>
      <c r="C335" s="24"/>
      <c r="D335" s="15"/>
      <c r="E335" s="15"/>
      <c r="F335" s="24"/>
      <c r="G335" s="30"/>
      <c r="H335" s="30"/>
      <c r="I335" s="26" t="str">
        <f t="shared" si="16"/>
        <v/>
      </c>
      <c r="J335" s="21"/>
      <c r="K335" s="26" t="str">
        <f t="shared" si="17"/>
        <v/>
      </c>
      <c r="L335" s="15"/>
    </row>
    <row r="336" spans="1:12" x14ac:dyDescent="0.2">
      <c r="A336" s="23" t="str">
        <f t="shared" si="15"/>
        <v/>
      </c>
      <c r="B336" s="22"/>
      <c r="C336" s="24"/>
      <c r="D336" s="15"/>
      <c r="E336" s="15"/>
      <c r="F336" s="24"/>
      <c r="G336" s="30"/>
      <c r="H336" s="30"/>
      <c r="I336" s="26" t="str">
        <f t="shared" si="16"/>
        <v/>
      </c>
      <c r="J336" s="21"/>
      <c r="K336" s="26" t="str">
        <f t="shared" si="17"/>
        <v/>
      </c>
      <c r="L336" s="15"/>
    </row>
    <row r="337" spans="1:12" x14ac:dyDescent="0.2">
      <c r="A337" s="23" t="str">
        <f t="shared" si="15"/>
        <v/>
      </c>
      <c r="B337" s="22"/>
      <c r="C337" s="24"/>
      <c r="D337" s="15"/>
      <c r="E337" s="15"/>
      <c r="F337" s="24"/>
      <c r="G337" s="30"/>
      <c r="H337" s="30"/>
      <c r="I337" s="26" t="str">
        <f t="shared" si="16"/>
        <v/>
      </c>
      <c r="J337" s="21"/>
      <c r="K337" s="26" t="str">
        <f t="shared" si="17"/>
        <v/>
      </c>
      <c r="L337" s="15"/>
    </row>
    <row r="338" spans="1:12" x14ac:dyDescent="0.2">
      <c r="A338" s="23" t="str">
        <f t="shared" si="15"/>
        <v/>
      </c>
      <c r="B338" s="22"/>
      <c r="C338" s="24"/>
      <c r="D338" s="15"/>
      <c r="E338" s="15"/>
      <c r="F338" s="24"/>
      <c r="G338" s="30"/>
      <c r="H338" s="30"/>
      <c r="I338" s="26" t="str">
        <f t="shared" si="16"/>
        <v/>
      </c>
      <c r="J338" s="21"/>
      <c r="K338" s="26" t="str">
        <f t="shared" si="17"/>
        <v/>
      </c>
      <c r="L338" s="15"/>
    </row>
    <row r="339" spans="1:12" x14ac:dyDescent="0.2">
      <c r="A339" s="23" t="str">
        <f t="shared" si="15"/>
        <v/>
      </c>
      <c r="B339" s="22"/>
      <c r="C339" s="24"/>
      <c r="D339" s="15"/>
      <c r="E339" s="15"/>
      <c r="F339" s="24"/>
      <c r="G339" s="30"/>
      <c r="H339" s="30"/>
      <c r="I339" s="26" t="str">
        <f t="shared" si="16"/>
        <v/>
      </c>
      <c r="J339" s="21"/>
      <c r="K339" s="26" t="str">
        <f t="shared" si="17"/>
        <v/>
      </c>
      <c r="L339" s="15"/>
    </row>
    <row r="340" spans="1:12" x14ac:dyDescent="0.2">
      <c r="A340" s="23" t="str">
        <f t="shared" si="15"/>
        <v/>
      </c>
      <c r="B340" s="22"/>
      <c r="C340" s="24"/>
      <c r="D340" s="15"/>
      <c r="E340" s="15"/>
      <c r="F340" s="24"/>
      <c r="G340" s="30"/>
      <c r="H340" s="30"/>
      <c r="I340" s="26" t="str">
        <f t="shared" si="16"/>
        <v/>
      </c>
      <c r="J340" s="21"/>
      <c r="K340" s="26" t="str">
        <f t="shared" si="17"/>
        <v/>
      </c>
      <c r="L340" s="15"/>
    </row>
    <row r="341" spans="1:12" x14ac:dyDescent="0.2">
      <c r="A341" s="23" t="str">
        <f t="shared" si="15"/>
        <v/>
      </c>
      <c r="B341" s="22"/>
      <c r="C341" s="24"/>
      <c r="D341" s="15"/>
      <c r="E341" s="15"/>
      <c r="F341" s="24"/>
      <c r="G341" s="30"/>
      <c r="H341" s="30"/>
      <c r="I341" s="26" t="str">
        <f t="shared" si="16"/>
        <v/>
      </c>
      <c r="J341" s="21"/>
      <c r="K341" s="26" t="str">
        <f t="shared" si="17"/>
        <v/>
      </c>
      <c r="L341" s="15"/>
    </row>
    <row r="342" spans="1:12" x14ac:dyDescent="0.2">
      <c r="A342" s="23" t="str">
        <f t="shared" si="15"/>
        <v/>
      </c>
      <c r="B342" s="22"/>
      <c r="C342" s="24"/>
      <c r="D342" s="15"/>
      <c r="E342" s="15"/>
      <c r="F342" s="24"/>
      <c r="G342" s="30"/>
      <c r="H342" s="30"/>
      <c r="I342" s="26" t="str">
        <f t="shared" si="16"/>
        <v/>
      </c>
      <c r="J342" s="21"/>
      <c r="K342" s="26" t="str">
        <f t="shared" si="17"/>
        <v/>
      </c>
      <c r="L342" s="15"/>
    </row>
    <row r="343" spans="1:12" x14ac:dyDescent="0.2">
      <c r="A343" s="23" t="str">
        <f t="shared" si="15"/>
        <v/>
      </c>
      <c r="B343" s="22"/>
      <c r="C343" s="24"/>
      <c r="D343" s="15"/>
      <c r="E343" s="15"/>
      <c r="F343" s="24"/>
      <c r="G343" s="30"/>
      <c r="H343" s="30"/>
      <c r="I343" s="26" t="str">
        <f t="shared" si="16"/>
        <v/>
      </c>
      <c r="J343" s="21"/>
      <c r="K343" s="26" t="str">
        <f t="shared" si="17"/>
        <v/>
      </c>
      <c r="L343" s="15"/>
    </row>
    <row r="344" spans="1:12" x14ac:dyDescent="0.2">
      <c r="A344" s="23" t="str">
        <f t="shared" si="15"/>
        <v/>
      </c>
      <c r="B344" s="22"/>
      <c r="C344" s="24"/>
      <c r="D344" s="15"/>
      <c r="E344" s="15"/>
      <c r="F344" s="24"/>
      <c r="G344" s="30"/>
      <c r="H344" s="30"/>
      <c r="I344" s="26" t="str">
        <f t="shared" si="16"/>
        <v/>
      </c>
      <c r="J344" s="21"/>
      <c r="K344" s="26" t="str">
        <f t="shared" si="17"/>
        <v/>
      </c>
      <c r="L344" s="15"/>
    </row>
    <row r="345" spans="1:12" x14ac:dyDescent="0.2">
      <c r="A345" s="23" t="str">
        <f t="shared" si="15"/>
        <v/>
      </c>
      <c r="B345" s="22"/>
      <c r="C345" s="24"/>
      <c r="D345" s="15"/>
      <c r="E345" s="15"/>
      <c r="F345" s="24"/>
      <c r="G345" s="30"/>
      <c r="H345" s="30"/>
      <c r="I345" s="26" t="str">
        <f t="shared" si="16"/>
        <v/>
      </c>
      <c r="J345" s="21"/>
      <c r="K345" s="26" t="str">
        <f t="shared" si="17"/>
        <v/>
      </c>
      <c r="L345" s="15"/>
    </row>
    <row r="346" spans="1:12" x14ac:dyDescent="0.2">
      <c r="A346" s="23" t="str">
        <f t="shared" si="15"/>
        <v/>
      </c>
      <c r="B346" s="22"/>
      <c r="C346" s="24"/>
      <c r="D346" s="15"/>
      <c r="E346" s="15"/>
      <c r="F346" s="24"/>
      <c r="G346" s="30"/>
      <c r="H346" s="30"/>
      <c r="I346" s="26" t="str">
        <f t="shared" si="16"/>
        <v/>
      </c>
      <c r="J346" s="21"/>
      <c r="K346" s="26" t="str">
        <f t="shared" si="17"/>
        <v/>
      </c>
      <c r="L346" s="15"/>
    </row>
    <row r="347" spans="1:12" x14ac:dyDescent="0.2">
      <c r="A347" s="23" t="str">
        <f t="shared" si="15"/>
        <v/>
      </c>
      <c r="B347" s="22"/>
      <c r="C347" s="24"/>
      <c r="D347" s="15"/>
      <c r="E347" s="15"/>
      <c r="F347" s="24"/>
      <c r="G347" s="30"/>
      <c r="H347" s="30"/>
      <c r="I347" s="26" t="str">
        <f t="shared" si="16"/>
        <v/>
      </c>
      <c r="J347" s="21"/>
      <c r="K347" s="26" t="str">
        <f t="shared" si="17"/>
        <v/>
      </c>
      <c r="L347" s="15"/>
    </row>
    <row r="348" spans="1:12" x14ac:dyDescent="0.2">
      <c r="A348" s="23" t="str">
        <f t="shared" si="15"/>
        <v/>
      </c>
      <c r="B348" s="22"/>
      <c r="C348" s="24"/>
      <c r="D348" s="15"/>
      <c r="E348" s="15"/>
      <c r="F348" s="24"/>
      <c r="G348" s="30"/>
      <c r="H348" s="30"/>
      <c r="I348" s="26" t="str">
        <f t="shared" si="16"/>
        <v/>
      </c>
      <c r="J348" s="21"/>
      <c r="K348" s="26" t="str">
        <f t="shared" si="17"/>
        <v/>
      </c>
      <c r="L348" s="15"/>
    </row>
    <row r="349" spans="1:12" x14ac:dyDescent="0.2">
      <c r="A349" s="23" t="str">
        <f t="shared" si="15"/>
        <v/>
      </c>
      <c r="B349" s="22"/>
      <c r="C349" s="24"/>
      <c r="D349" s="15"/>
      <c r="E349" s="15"/>
      <c r="F349" s="24"/>
      <c r="G349" s="30"/>
      <c r="H349" s="30"/>
      <c r="I349" s="26" t="str">
        <f t="shared" si="16"/>
        <v/>
      </c>
      <c r="J349" s="21"/>
      <c r="K349" s="26" t="str">
        <f t="shared" si="17"/>
        <v/>
      </c>
      <c r="L349" s="15"/>
    </row>
    <row r="350" spans="1:12" x14ac:dyDescent="0.2">
      <c r="A350" s="23" t="str">
        <f t="shared" si="15"/>
        <v/>
      </c>
      <c r="B350" s="22"/>
      <c r="C350" s="24"/>
      <c r="D350" s="15"/>
      <c r="E350" s="15"/>
      <c r="F350" s="24"/>
      <c r="G350" s="30"/>
      <c r="H350" s="30"/>
      <c r="I350" s="26" t="str">
        <f t="shared" si="16"/>
        <v/>
      </c>
      <c r="J350" s="21"/>
      <c r="K350" s="26" t="str">
        <f t="shared" si="17"/>
        <v/>
      </c>
      <c r="L350" s="15"/>
    </row>
    <row r="351" spans="1:12" x14ac:dyDescent="0.2">
      <c r="A351" s="23" t="str">
        <f t="shared" si="15"/>
        <v/>
      </c>
      <c r="B351" s="22"/>
      <c r="C351" s="24"/>
      <c r="D351" s="15"/>
      <c r="E351" s="15"/>
      <c r="F351" s="24"/>
      <c r="G351" s="30"/>
      <c r="H351" s="30"/>
      <c r="I351" s="26" t="str">
        <f t="shared" si="16"/>
        <v/>
      </c>
      <c r="J351" s="21"/>
      <c r="K351" s="26" t="str">
        <f t="shared" si="17"/>
        <v/>
      </c>
      <c r="L351" s="15"/>
    </row>
    <row r="352" spans="1:12" x14ac:dyDescent="0.2">
      <c r="A352" s="23" t="str">
        <f t="shared" si="15"/>
        <v/>
      </c>
      <c r="B352" s="22"/>
      <c r="C352" s="24"/>
      <c r="D352" s="15"/>
      <c r="E352" s="15"/>
      <c r="F352" s="24"/>
      <c r="G352" s="30"/>
      <c r="H352" s="30"/>
      <c r="I352" s="26" t="str">
        <f t="shared" si="16"/>
        <v/>
      </c>
      <c r="J352" s="21"/>
      <c r="K352" s="26" t="str">
        <f t="shared" si="17"/>
        <v/>
      </c>
      <c r="L352" s="15"/>
    </row>
    <row r="353" spans="1:12" x14ac:dyDescent="0.2">
      <c r="A353" s="23" t="str">
        <f t="shared" si="15"/>
        <v/>
      </c>
      <c r="B353" s="22"/>
      <c r="C353" s="24"/>
      <c r="D353" s="15"/>
      <c r="E353" s="15"/>
      <c r="F353" s="24"/>
      <c r="G353" s="30"/>
      <c r="H353" s="30"/>
      <c r="I353" s="26" t="str">
        <f t="shared" si="16"/>
        <v/>
      </c>
      <c r="J353" s="21"/>
      <c r="K353" s="26" t="str">
        <f t="shared" si="17"/>
        <v/>
      </c>
      <c r="L353" s="15"/>
    </row>
    <row r="354" spans="1:12" x14ac:dyDescent="0.2">
      <c r="A354" s="23" t="str">
        <f t="shared" si="15"/>
        <v/>
      </c>
      <c r="B354" s="22"/>
      <c r="C354" s="24"/>
      <c r="D354" s="15"/>
      <c r="E354" s="15"/>
      <c r="F354" s="24"/>
      <c r="G354" s="30"/>
      <c r="H354" s="30"/>
      <c r="I354" s="26" t="str">
        <f t="shared" si="16"/>
        <v/>
      </c>
      <c r="J354" s="21"/>
      <c r="K354" s="26" t="str">
        <f t="shared" si="17"/>
        <v/>
      </c>
      <c r="L354" s="15"/>
    </row>
    <row r="355" spans="1:12" x14ac:dyDescent="0.2">
      <c r="A355" s="23" t="str">
        <f t="shared" si="15"/>
        <v/>
      </c>
      <c r="B355" s="22"/>
      <c r="C355" s="24"/>
      <c r="D355" s="15"/>
      <c r="E355" s="15"/>
      <c r="F355" s="24"/>
      <c r="G355" s="30"/>
      <c r="H355" s="30"/>
      <c r="I355" s="26" t="str">
        <f t="shared" si="16"/>
        <v/>
      </c>
      <c r="J355" s="21"/>
      <c r="K355" s="26" t="str">
        <f t="shared" si="17"/>
        <v/>
      </c>
      <c r="L355" s="15"/>
    </row>
    <row r="356" spans="1:12" x14ac:dyDescent="0.2">
      <c r="A356" s="23" t="str">
        <f t="shared" si="15"/>
        <v/>
      </c>
      <c r="B356" s="22"/>
      <c r="C356" s="24"/>
      <c r="D356" s="15"/>
      <c r="E356" s="15"/>
      <c r="F356" s="24"/>
      <c r="G356" s="30"/>
      <c r="H356" s="30"/>
      <c r="I356" s="26" t="str">
        <f t="shared" si="16"/>
        <v/>
      </c>
      <c r="J356" s="21"/>
      <c r="K356" s="26" t="str">
        <f t="shared" si="17"/>
        <v/>
      </c>
      <c r="L356" s="15"/>
    </row>
    <row r="357" spans="1:12" x14ac:dyDescent="0.2">
      <c r="A357" s="23" t="str">
        <f t="shared" si="15"/>
        <v/>
      </c>
      <c r="B357" s="22"/>
      <c r="C357" s="24"/>
      <c r="D357" s="15"/>
      <c r="E357" s="15"/>
      <c r="F357" s="24"/>
      <c r="G357" s="30"/>
      <c r="H357" s="30"/>
      <c r="I357" s="26" t="str">
        <f t="shared" si="16"/>
        <v/>
      </c>
      <c r="J357" s="21"/>
      <c r="K357" s="26" t="str">
        <f t="shared" si="17"/>
        <v/>
      </c>
      <c r="L357" s="15"/>
    </row>
    <row r="358" spans="1:12" x14ac:dyDescent="0.2">
      <c r="A358" s="23" t="str">
        <f t="shared" si="15"/>
        <v/>
      </c>
      <c r="B358" s="22"/>
      <c r="C358" s="24"/>
      <c r="D358" s="15"/>
      <c r="E358" s="15"/>
      <c r="F358" s="24"/>
      <c r="G358" s="30"/>
      <c r="H358" s="30"/>
      <c r="I358" s="26" t="str">
        <f t="shared" si="16"/>
        <v/>
      </c>
      <c r="J358" s="21"/>
      <c r="K358" s="26" t="str">
        <f t="shared" si="17"/>
        <v/>
      </c>
      <c r="L358" s="15"/>
    </row>
    <row r="359" spans="1:12" x14ac:dyDescent="0.2">
      <c r="A359" s="23" t="str">
        <f t="shared" si="15"/>
        <v/>
      </c>
      <c r="B359" s="22"/>
      <c r="C359" s="24"/>
      <c r="D359" s="15"/>
      <c r="E359" s="15"/>
      <c r="F359" s="24"/>
      <c r="G359" s="30"/>
      <c r="H359" s="30"/>
      <c r="I359" s="26" t="str">
        <f t="shared" si="16"/>
        <v/>
      </c>
      <c r="J359" s="21"/>
      <c r="K359" s="26" t="str">
        <f t="shared" si="17"/>
        <v/>
      </c>
      <c r="L359" s="15"/>
    </row>
    <row r="360" spans="1:12" x14ac:dyDescent="0.2">
      <c r="A360" s="23" t="str">
        <f t="shared" si="15"/>
        <v/>
      </c>
      <c r="B360" s="22"/>
      <c r="C360" s="24"/>
      <c r="D360" s="15"/>
      <c r="E360" s="15"/>
      <c r="F360" s="24"/>
      <c r="G360" s="30"/>
      <c r="H360" s="30"/>
      <c r="I360" s="26" t="str">
        <f t="shared" si="16"/>
        <v/>
      </c>
      <c r="J360" s="21"/>
      <c r="K360" s="26" t="str">
        <f t="shared" si="17"/>
        <v/>
      </c>
      <c r="L360" s="15"/>
    </row>
    <row r="361" spans="1:12" x14ac:dyDescent="0.2">
      <c r="A361" s="23" t="str">
        <f t="shared" si="15"/>
        <v/>
      </c>
      <c r="B361" s="22"/>
      <c r="C361" s="24"/>
      <c r="D361" s="15"/>
      <c r="E361" s="15"/>
      <c r="F361" s="24"/>
      <c r="G361" s="30"/>
      <c r="H361" s="30"/>
      <c r="I361" s="26" t="str">
        <f t="shared" si="16"/>
        <v/>
      </c>
      <c r="J361" s="21"/>
      <c r="K361" s="26" t="str">
        <f t="shared" si="17"/>
        <v/>
      </c>
      <c r="L361" s="15"/>
    </row>
    <row r="362" spans="1:12" x14ac:dyDescent="0.2">
      <c r="A362" s="23" t="str">
        <f t="shared" si="15"/>
        <v/>
      </c>
      <c r="B362" s="22"/>
      <c r="C362" s="24"/>
      <c r="D362" s="15"/>
      <c r="E362" s="15"/>
      <c r="F362" s="24"/>
      <c r="G362" s="30"/>
      <c r="H362" s="30"/>
      <c r="I362" s="26" t="str">
        <f t="shared" si="16"/>
        <v/>
      </c>
      <c r="J362" s="21"/>
      <c r="K362" s="26" t="str">
        <f t="shared" si="17"/>
        <v/>
      </c>
      <c r="L362" s="15"/>
    </row>
    <row r="363" spans="1:12" x14ac:dyDescent="0.2">
      <c r="A363" s="23" t="str">
        <f t="shared" si="15"/>
        <v/>
      </c>
      <c r="B363" s="22"/>
      <c r="C363" s="24"/>
      <c r="D363" s="15"/>
      <c r="E363" s="15"/>
      <c r="F363" s="24"/>
      <c r="G363" s="30"/>
      <c r="H363" s="30"/>
      <c r="I363" s="26" t="str">
        <f t="shared" si="16"/>
        <v/>
      </c>
      <c r="J363" s="21"/>
      <c r="K363" s="26" t="str">
        <f t="shared" si="17"/>
        <v/>
      </c>
      <c r="L363" s="15"/>
    </row>
    <row r="364" spans="1:12" x14ac:dyDescent="0.2">
      <c r="A364" s="23" t="str">
        <f t="shared" si="15"/>
        <v/>
      </c>
      <c r="B364" s="22"/>
      <c r="C364" s="24"/>
      <c r="D364" s="15"/>
      <c r="E364" s="15"/>
      <c r="F364" s="24"/>
      <c r="G364" s="30"/>
      <c r="H364" s="30"/>
      <c r="I364" s="26" t="str">
        <f t="shared" si="16"/>
        <v/>
      </c>
      <c r="J364" s="21"/>
      <c r="K364" s="26" t="str">
        <f t="shared" si="17"/>
        <v/>
      </c>
      <c r="L364" s="15"/>
    </row>
    <row r="365" spans="1:12" x14ac:dyDescent="0.2">
      <c r="A365" s="23" t="str">
        <f t="shared" si="15"/>
        <v/>
      </c>
      <c r="B365" s="22"/>
      <c r="C365" s="24"/>
      <c r="D365" s="15"/>
      <c r="E365" s="15"/>
      <c r="F365" s="24"/>
      <c r="G365" s="30"/>
      <c r="H365" s="30"/>
      <c r="I365" s="26" t="str">
        <f t="shared" si="16"/>
        <v/>
      </c>
      <c r="J365" s="21"/>
      <c r="K365" s="26" t="str">
        <f t="shared" si="17"/>
        <v/>
      </c>
      <c r="L365" s="15"/>
    </row>
    <row r="366" spans="1:12" x14ac:dyDescent="0.2">
      <c r="A366" s="23" t="str">
        <f t="shared" si="15"/>
        <v/>
      </c>
      <c r="B366" s="22"/>
      <c r="C366" s="24"/>
      <c r="D366" s="15"/>
      <c r="E366" s="15"/>
      <c r="F366" s="24"/>
      <c r="G366" s="30"/>
      <c r="H366" s="30"/>
      <c r="I366" s="26" t="str">
        <f t="shared" si="16"/>
        <v/>
      </c>
      <c r="J366" s="21"/>
      <c r="K366" s="26" t="str">
        <f t="shared" si="17"/>
        <v/>
      </c>
      <c r="L366" s="15"/>
    </row>
    <row r="367" spans="1:12" x14ac:dyDescent="0.2">
      <c r="A367" s="23" t="str">
        <f t="shared" si="15"/>
        <v/>
      </c>
      <c r="B367" s="22"/>
      <c r="C367" s="24"/>
      <c r="D367" s="15"/>
      <c r="E367" s="15"/>
      <c r="F367" s="24"/>
      <c r="G367" s="30"/>
      <c r="H367" s="30"/>
      <c r="I367" s="26" t="str">
        <f t="shared" si="16"/>
        <v/>
      </c>
      <c r="J367" s="21"/>
      <c r="K367" s="26" t="str">
        <f t="shared" si="17"/>
        <v/>
      </c>
      <c r="L367" s="15"/>
    </row>
    <row r="368" spans="1:12" x14ac:dyDescent="0.2">
      <c r="A368" s="23" t="str">
        <f t="shared" si="15"/>
        <v/>
      </c>
      <c r="B368" s="22"/>
      <c r="C368" s="24"/>
      <c r="D368" s="15"/>
      <c r="E368" s="15"/>
      <c r="F368" s="24"/>
      <c r="G368" s="30"/>
      <c r="H368" s="30"/>
      <c r="I368" s="26" t="str">
        <f t="shared" si="16"/>
        <v/>
      </c>
      <c r="J368" s="21"/>
      <c r="K368" s="26" t="str">
        <f t="shared" si="17"/>
        <v/>
      </c>
      <c r="L368" s="15"/>
    </row>
    <row r="369" spans="1:12" x14ac:dyDescent="0.2">
      <c r="A369" s="23" t="str">
        <f t="shared" si="15"/>
        <v/>
      </c>
      <c r="B369" s="22"/>
      <c r="C369" s="24"/>
      <c r="D369" s="15"/>
      <c r="E369" s="15"/>
      <c r="F369" s="24"/>
      <c r="G369" s="30"/>
      <c r="H369" s="30"/>
      <c r="I369" s="26" t="str">
        <f t="shared" si="16"/>
        <v/>
      </c>
      <c r="J369" s="21"/>
      <c r="K369" s="26" t="str">
        <f t="shared" si="17"/>
        <v/>
      </c>
      <c r="L369" s="15"/>
    </row>
    <row r="370" spans="1:12" x14ac:dyDescent="0.2">
      <c r="A370" s="23" t="str">
        <f t="shared" si="15"/>
        <v/>
      </c>
      <c r="B370" s="22"/>
      <c r="C370" s="24"/>
      <c r="D370" s="15"/>
      <c r="E370" s="15"/>
      <c r="F370" s="24"/>
      <c r="G370" s="30"/>
      <c r="H370" s="30"/>
      <c r="I370" s="26" t="str">
        <f t="shared" si="16"/>
        <v/>
      </c>
      <c r="J370" s="21"/>
      <c r="K370" s="26" t="str">
        <f t="shared" si="17"/>
        <v/>
      </c>
      <c r="L370" s="15"/>
    </row>
    <row r="371" spans="1:12" x14ac:dyDescent="0.2">
      <c r="A371" s="23" t="str">
        <f t="shared" si="15"/>
        <v/>
      </c>
      <c r="B371" s="22"/>
      <c r="C371" s="24"/>
      <c r="D371" s="15"/>
      <c r="E371" s="15"/>
      <c r="F371" s="24"/>
      <c r="G371" s="30"/>
      <c r="H371" s="30"/>
      <c r="I371" s="26" t="str">
        <f t="shared" si="16"/>
        <v/>
      </c>
      <c r="J371" s="21"/>
      <c r="K371" s="26" t="str">
        <f t="shared" si="17"/>
        <v/>
      </c>
      <c r="L371" s="15"/>
    </row>
    <row r="372" spans="1:12" x14ac:dyDescent="0.2">
      <c r="A372" s="23" t="str">
        <f t="shared" si="15"/>
        <v/>
      </c>
      <c r="B372" s="22"/>
      <c r="C372" s="24"/>
      <c r="D372" s="15"/>
      <c r="E372" s="15"/>
      <c r="F372" s="24"/>
      <c r="G372" s="30"/>
      <c r="H372" s="30"/>
      <c r="I372" s="26" t="str">
        <f t="shared" si="16"/>
        <v/>
      </c>
      <c r="J372" s="21"/>
      <c r="K372" s="26" t="str">
        <f t="shared" si="17"/>
        <v/>
      </c>
      <c r="L372" s="15"/>
    </row>
    <row r="373" spans="1:12" x14ac:dyDescent="0.2">
      <c r="A373" s="23" t="str">
        <f t="shared" si="15"/>
        <v/>
      </c>
      <c r="B373" s="22"/>
      <c r="C373" s="24"/>
      <c r="D373" s="15"/>
      <c r="E373" s="15"/>
      <c r="F373" s="24"/>
      <c r="G373" s="30"/>
      <c r="H373" s="30"/>
      <c r="I373" s="26" t="str">
        <f t="shared" si="16"/>
        <v/>
      </c>
      <c r="J373" s="21"/>
      <c r="K373" s="26" t="str">
        <f t="shared" si="17"/>
        <v/>
      </c>
      <c r="L373" s="15"/>
    </row>
    <row r="374" spans="1:12" x14ac:dyDescent="0.2">
      <c r="A374" s="23" t="str">
        <f t="shared" si="15"/>
        <v/>
      </c>
      <c r="B374" s="22"/>
      <c r="C374" s="24"/>
      <c r="D374" s="15"/>
      <c r="E374" s="15"/>
      <c r="F374" s="24"/>
      <c r="G374" s="30"/>
      <c r="H374" s="30"/>
      <c r="I374" s="26" t="str">
        <f t="shared" si="16"/>
        <v/>
      </c>
      <c r="J374" s="21"/>
      <c r="K374" s="26" t="str">
        <f t="shared" si="17"/>
        <v/>
      </c>
      <c r="L374" s="15"/>
    </row>
    <row r="375" spans="1:12" x14ac:dyDescent="0.2">
      <c r="A375" s="23" t="str">
        <f t="shared" si="15"/>
        <v/>
      </c>
      <c r="B375" s="22"/>
      <c r="C375" s="24"/>
      <c r="D375" s="15"/>
      <c r="E375" s="15"/>
      <c r="F375" s="24"/>
      <c r="G375" s="30"/>
      <c r="H375" s="30"/>
      <c r="I375" s="26" t="str">
        <f t="shared" si="16"/>
        <v/>
      </c>
      <c r="J375" s="21"/>
      <c r="K375" s="26" t="str">
        <f t="shared" si="17"/>
        <v/>
      </c>
      <c r="L375" s="15"/>
    </row>
    <row r="376" spans="1:12" x14ac:dyDescent="0.2">
      <c r="A376" s="23" t="str">
        <f t="shared" si="15"/>
        <v/>
      </c>
      <c r="B376" s="22"/>
      <c r="C376" s="24"/>
      <c r="D376" s="15"/>
      <c r="E376" s="15"/>
      <c r="F376" s="24"/>
      <c r="G376" s="30"/>
      <c r="H376" s="30"/>
      <c r="I376" s="26" t="str">
        <f t="shared" si="16"/>
        <v/>
      </c>
      <c r="J376" s="21"/>
      <c r="K376" s="26" t="str">
        <f t="shared" si="17"/>
        <v/>
      </c>
      <c r="L376" s="15"/>
    </row>
    <row r="377" spans="1:12" x14ac:dyDescent="0.2">
      <c r="A377" s="23" t="str">
        <f t="shared" si="15"/>
        <v/>
      </c>
      <c r="B377" s="22"/>
      <c r="C377" s="24"/>
      <c r="D377" s="15"/>
      <c r="E377" s="15"/>
      <c r="F377" s="24"/>
      <c r="G377" s="30"/>
      <c r="H377" s="30"/>
      <c r="I377" s="26" t="str">
        <f t="shared" si="16"/>
        <v/>
      </c>
      <c r="J377" s="21"/>
      <c r="K377" s="26" t="str">
        <f t="shared" si="17"/>
        <v/>
      </c>
      <c r="L377" s="15"/>
    </row>
    <row r="378" spans="1:12" x14ac:dyDescent="0.2">
      <c r="A378" s="23" t="str">
        <f t="shared" si="15"/>
        <v/>
      </c>
      <c r="B378" s="22"/>
      <c r="C378" s="24"/>
      <c r="D378" s="15"/>
      <c r="E378" s="15"/>
      <c r="F378" s="24"/>
      <c r="G378" s="30"/>
      <c r="H378" s="30"/>
      <c r="I378" s="26" t="str">
        <f t="shared" si="16"/>
        <v/>
      </c>
      <c r="J378" s="21"/>
      <c r="K378" s="26" t="str">
        <f t="shared" si="17"/>
        <v/>
      </c>
      <c r="L378" s="15"/>
    </row>
    <row r="379" spans="1:12" x14ac:dyDescent="0.2">
      <c r="A379" s="23" t="str">
        <f t="shared" si="15"/>
        <v/>
      </c>
      <c r="B379" s="22"/>
      <c r="C379" s="24"/>
      <c r="D379" s="15"/>
      <c r="E379" s="15"/>
      <c r="F379" s="24"/>
      <c r="G379" s="30"/>
      <c r="H379" s="30"/>
      <c r="I379" s="26" t="str">
        <f t="shared" si="16"/>
        <v/>
      </c>
      <c r="J379" s="21"/>
      <c r="K379" s="26" t="str">
        <f t="shared" si="17"/>
        <v/>
      </c>
      <c r="L379" s="15"/>
    </row>
    <row r="380" spans="1:12" x14ac:dyDescent="0.2">
      <c r="A380" s="23" t="str">
        <f t="shared" si="15"/>
        <v/>
      </c>
      <c r="B380" s="22"/>
      <c r="C380" s="24"/>
      <c r="D380" s="15"/>
      <c r="E380" s="15"/>
      <c r="F380" s="24"/>
      <c r="G380" s="30"/>
      <c r="H380" s="30"/>
      <c r="I380" s="26" t="str">
        <f t="shared" si="16"/>
        <v/>
      </c>
      <c r="J380" s="21"/>
      <c r="K380" s="26" t="str">
        <f t="shared" si="17"/>
        <v/>
      </c>
      <c r="L380" s="15"/>
    </row>
    <row r="381" spans="1:12" x14ac:dyDescent="0.2">
      <c r="A381" s="23" t="str">
        <f t="shared" si="15"/>
        <v/>
      </c>
      <c r="B381" s="22"/>
      <c r="C381" s="24"/>
      <c r="D381" s="15"/>
      <c r="E381" s="15"/>
      <c r="F381" s="24"/>
      <c r="G381" s="30"/>
      <c r="H381" s="30"/>
      <c r="I381" s="26" t="str">
        <f t="shared" si="16"/>
        <v/>
      </c>
      <c r="J381" s="21"/>
      <c r="K381" s="26" t="str">
        <f t="shared" si="17"/>
        <v/>
      </c>
      <c r="L381" s="15"/>
    </row>
    <row r="382" spans="1:12" x14ac:dyDescent="0.2">
      <c r="A382" s="23" t="str">
        <f t="shared" si="15"/>
        <v/>
      </c>
      <c r="B382" s="22"/>
      <c r="C382" s="24"/>
      <c r="D382" s="15"/>
      <c r="E382" s="15"/>
      <c r="F382" s="24"/>
      <c r="G382" s="30"/>
      <c r="H382" s="30"/>
      <c r="I382" s="26" t="str">
        <f t="shared" si="16"/>
        <v/>
      </c>
      <c r="J382" s="21"/>
      <c r="K382" s="26" t="str">
        <f t="shared" si="17"/>
        <v/>
      </c>
      <c r="L382" s="15"/>
    </row>
    <row r="383" spans="1:12" x14ac:dyDescent="0.2">
      <c r="A383" s="23" t="str">
        <f t="shared" si="15"/>
        <v/>
      </c>
      <c r="B383" s="22"/>
      <c r="C383" s="24"/>
      <c r="D383" s="15"/>
      <c r="E383" s="15"/>
      <c r="F383" s="24"/>
      <c r="G383" s="30"/>
      <c r="H383" s="30"/>
      <c r="I383" s="26" t="str">
        <f t="shared" si="16"/>
        <v/>
      </c>
      <c r="J383" s="21"/>
      <c r="K383" s="26" t="str">
        <f t="shared" si="17"/>
        <v/>
      </c>
      <c r="L383" s="15"/>
    </row>
    <row r="384" spans="1:12" x14ac:dyDescent="0.2">
      <c r="A384" s="23" t="str">
        <f t="shared" si="15"/>
        <v/>
      </c>
      <c r="B384" s="22"/>
      <c r="C384" s="24"/>
      <c r="D384" s="15"/>
      <c r="E384" s="15"/>
      <c r="F384" s="24"/>
      <c r="G384" s="30"/>
      <c r="H384" s="30"/>
      <c r="I384" s="26" t="str">
        <f t="shared" si="16"/>
        <v/>
      </c>
      <c r="J384" s="21"/>
      <c r="K384" s="26" t="str">
        <f t="shared" si="17"/>
        <v/>
      </c>
      <c r="L384" s="15"/>
    </row>
    <row r="385" spans="1:12" x14ac:dyDescent="0.2">
      <c r="A385" s="23" t="str">
        <f t="shared" si="15"/>
        <v/>
      </c>
      <c r="B385" s="22"/>
      <c r="C385" s="24"/>
      <c r="D385" s="15"/>
      <c r="E385" s="15"/>
      <c r="F385" s="24"/>
      <c r="G385" s="30"/>
      <c r="H385" s="30"/>
      <c r="I385" s="26" t="str">
        <f t="shared" si="16"/>
        <v/>
      </c>
      <c r="J385" s="21"/>
      <c r="K385" s="26" t="str">
        <f t="shared" si="17"/>
        <v/>
      </c>
      <c r="L385" s="15"/>
    </row>
    <row r="386" spans="1:12" x14ac:dyDescent="0.2">
      <c r="A386" s="23" t="str">
        <f t="shared" si="15"/>
        <v/>
      </c>
      <c r="B386" s="22"/>
      <c r="C386" s="24"/>
      <c r="D386" s="15"/>
      <c r="E386" s="15"/>
      <c r="F386" s="24"/>
      <c r="G386" s="30"/>
      <c r="H386" s="30"/>
      <c r="I386" s="26" t="str">
        <f t="shared" si="16"/>
        <v/>
      </c>
      <c r="J386" s="21"/>
      <c r="K386" s="26" t="str">
        <f t="shared" si="17"/>
        <v/>
      </c>
      <c r="L386" s="15"/>
    </row>
    <row r="387" spans="1:12" x14ac:dyDescent="0.2">
      <c r="A387" s="23" t="str">
        <f t="shared" si="15"/>
        <v/>
      </c>
      <c r="B387" s="22"/>
      <c r="C387" s="24"/>
      <c r="D387" s="15"/>
      <c r="E387" s="15"/>
      <c r="F387" s="24"/>
      <c r="G387" s="30"/>
      <c r="H387" s="30"/>
      <c r="I387" s="26" t="str">
        <f t="shared" si="16"/>
        <v/>
      </c>
      <c r="J387" s="21"/>
      <c r="K387" s="26" t="str">
        <f t="shared" si="17"/>
        <v/>
      </c>
      <c r="L387" s="15"/>
    </row>
    <row r="388" spans="1:12" x14ac:dyDescent="0.2">
      <c r="A388" s="23" t="str">
        <f t="shared" si="15"/>
        <v/>
      </c>
      <c r="B388" s="22"/>
      <c r="C388" s="24"/>
      <c r="D388" s="15"/>
      <c r="E388" s="15"/>
      <c r="F388" s="24"/>
      <c r="G388" s="30"/>
      <c r="H388" s="30"/>
      <c r="I388" s="26" t="str">
        <f t="shared" si="16"/>
        <v/>
      </c>
      <c r="J388" s="21"/>
      <c r="K388" s="26" t="str">
        <f t="shared" si="17"/>
        <v/>
      </c>
      <c r="L388" s="15"/>
    </row>
    <row r="389" spans="1:12" x14ac:dyDescent="0.2">
      <c r="A389" s="23" t="str">
        <f t="shared" ref="A389:A452" si="18">IF(B389="","",ROW()-4)</f>
        <v/>
      </c>
      <c r="B389" s="22"/>
      <c r="C389" s="24"/>
      <c r="D389" s="15"/>
      <c r="E389" s="15"/>
      <c r="F389" s="24"/>
      <c r="G389" s="30"/>
      <c r="H389" s="30"/>
      <c r="I389" s="26" t="str">
        <f t="shared" ref="I389:I452" si="19">IF(OR(G389="",H389=""),"",G389*H389)</f>
        <v/>
      </c>
      <c r="J389" s="21"/>
      <c r="K389" s="26" t="str">
        <f t="shared" ref="K389:K452" si="20">IF(OR(I389="",J389=""),"",I389*J389)</f>
        <v/>
      </c>
      <c r="L389" s="15"/>
    </row>
    <row r="390" spans="1:12" x14ac:dyDescent="0.2">
      <c r="A390" s="23" t="str">
        <f t="shared" si="18"/>
        <v/>
      </c>
      <c r="B390" s="22"/>
      <c r="C390" s="24"/>
      <c r="D390" s="15"/>
      <c r="E390" s="15"/>
      <c r="F390" s="24"/>
      <c r="G390" s="30"/>
      <c r="H390" s="30"/>
      <c r="I390" s="26" t="str">
        <f t="shared" si="19"/>
        <v/>
      </c>
      <c r="J390" s="21"/>
      <c r="K390" s="26" t="str">
        <f t="shared" si="20"/>
        <v/>
      </c>
      <c r="L390" s="15"/>
    </row>
    <row r="391" spans="1:12" x14ac:dyDescent="0.2">
      <c r="A391" s="23" t="str">
        <f t="shared" si="18"/>
        <v/>
      </c>
      <c r="B391" s="22"/>
      <c r="C391" s="24"/>
      <c r="D391" s="15"/>
      <c r="E391" s="15"/>
      <c r="F391" s="24"/>
      <c r="G391" s="30"/>
      <c r="H391" s="30"/>
      <c r="I391" s="26" t="str">
        <f t="shared" si="19"/>
        <v/>
      </c>
      <c r="J391" s="21"/>
      <c r="K391" s="26" t="str">
        <f t="shared" si="20"/>
        <v/>
      </c>
      <c r="L391" s="15"/>
    </row>
    <row r="392" spans="1:12" x14ac:dyDescent="0.2">
      <c r="A392" s="23" t="str">
        <f t="shared" si="18"/>
        <v/>
      </c>
      <c r="B392" s="22"/>
      <c r="C392" s="24"/>
      <c r="D392" s="15"/>
      <c r="E392" s="15"/>
      <c r="F392" s="24"/>
      <c r="G392" s="30"/>
      <c r="H392" s="30"/>
      <c r="I392" s="26" t="str">
        <f t="shared" si="19"/>
        <v/>
      </c>
      <c r="J392" s="21"/>
      <c r="K392" s="26" t="str">
        <f t="shared" si="20"/>
        <v/>
      </c>
      <c r="L392" s="15"/>
    </row>
    <row r="393" spans="1:12" x14ac:dyDescent="0.2">
      <c r="A393" s="23" t="str">
        <f t="shared" si="18"/>
        <v/>
      </c>
      <c r="B393" s="22"/>
      <c r="C393" s="24"/>
      <c r="D393" s="15"/>
      <c r="E393" s="15"/>
      <c r="F393" s="24"/>
      <c r="G393" s="30"/>
      <c r="H393" s="30"/>
      <c r="I393" s="26" t="str">
        <f t="shared" si="19"/>
        <v/>
      </c>
      <c r="J393" s="21"/>
      <c r="K393" s="26" t="str">
        <f t="shared" si="20"/>
        <v/>
      </c>
      <c r="L393" s="15"/>
    </row>
    <row r="394" spans="1:12" x14ac:dyDescent="0.2">
      <c r="A394" s="23" t="str">
        <f t="shared" si="18"/>
        <v/>
      </c>
      <c r="B394" s="22"/>
      <c r="C394" s="24"/>
      <c r="D394" s="15"/>
      <c r="E394" s="15"/>
      <c r="F394" s="24"/>
      <c r="G394" s="30"/>
      <c r="H394" s="30"/>
      <c r="I394" s="26" t="str">
        <f t="shared" si="19"/>
        <v/>
      </c>
      <c r="J394" s="21"/>
      <c r="K394" s="26" t="str">
        <f t="shared" si="20"/>
        <v/>
      </c>
      <c r="L394" s="15"/>
    </row>
    <row r="395" spans="1:12" x14ac:dyDescent="0.2">
      <c r="A395" s="23" t="str">
        <f t="shared" si="18"/>
        <v/>
      </c>
      <c r="B395" s="22"/>
      <c r="C395" s="24"/>
      <c r="D395" s="15"/>
      <c r="E395" s="15"/>
      <c r="F395" s="24"/>
      <c r="G395" s="30"/>
      <c r="H395" s="30"/>
      <c r="I395" s="26" t="str">
        <f t="shared" si="19"/>
        <v/>
      </c>
      <c r="J395" s="21"/>
      <c r="K395" s="26" t="str">
        <f t="shared" si="20"/>
        <v/>
      </c>
      <c r="L395" s="15"/>
    </row>
    <row r="396" spans="1:12" x14ac:dyDescent="0.2">
      <c r="A396" s="23" t="str">
        <f t="shared" si="18"/>
        <v/>
      </c>
      <c r="B396" s="22"/>
      <c r="C396" s="24"/>
      <c r="D396" s="15"/>
      <c r="E396" s="15"/>
      <c r="F396" s="24"/>
      <c r="G396" s="30"/>
      <c r="H396" s="30"/>
      <c r="I396" s="26" t="str">
        <f t="shared" si="19"/>
        <v/>
      </c>
      <c r="J396" s="21"/>
      <c r="K396" s="26" t="str">
        <f t="shared" si="20"/>
        <v/>
      </c>
      <c r="L396" s="15"/>
    </row>
    <row r="397" spans="1:12" x14ac:dyDescent="0.2">
      <c r="A397" s="23" t="str">
        <f t="shared" si="18"/>
        <v/>
      </c>
      <c r="B397" s="22"/>
      <c r="C397" s="24"/>
      <c r="D397" s="15"/>
      <c r="E397" s="15"/>
      <c r="F397" s="24"/>
      <c r="G397" s="30"/>
      <c r="H397" s="30"/>
      <c r="I397" s="26" t="str">
        <f t="shared" si="19"/>
        <v/>
      </c>
      <c r="J397" s="21"/>
      <c r="K397" s="26" t="str">
        <f t="shared" si="20"/>
        <v/>
      </c>
      <c r="L397" s="15"/>
    </row>
    <row r="398" spans="1:12" x14ac:dyDescent="0.2">
      <c r="A398" s="23" t="str">
        <f t="shared" si="18"/>
        <v/>
      </c>
      <c r="B398" s="22"/>
      <c r="C398" s="24"/>
      <c r="D398" s="15"/>
      <c r="E398" s="15"/>
      <c r="F398" s="24"/>
      <c r="G398" s="30"/>
      <c r="H398" s="30"/>
      <c r="I398" s="26" t="str">
        <f t="shared" si="19"/>
        <v/>
      </c>
      <c r="J398" s="21"/>
      <c r="K398" s="26" t="str">
        <f t="shared" si="20"/>
        <v/>
      </c>
      <c r="L398" s="15"/>
    </row>
    <row r="399" spans="1:12" x14ac:dyDescent="0.2">
      <c r="A399" s="23" t="str">
        <f t="shared" si="18"/>
        <v/>
      </c>
      <c r="B399" s="22"/>
      <c r="C399" s="24"/>
      <c r="D399" s="15"/>
      <c r="E399" s="15"/>
      <c r="F399" s="24"/>
      <c r="G399" s="30"/>
      <c r="H399" s="30"/>
      <c r="I399" s="26" t="str">
        <f t="shared" si="19"/>
        <v/>
      </c>
      <c r="J399" s="21"/>
      <c r="K399" s="26" t="str">
        <f t="shared" si="20"/>
        <v/>
      </c>
      <c r="L399" s="15"/>
    </row>
    <row r="400" spans="1:12" x14ac:dyDescent="0.2">
      <c r="A400" s="23" t="str">
        <f t="shared" si="18"/>
        <v/>
      </c>
      <c r="B400" s="22"/>
      <c r="C400" s="24"/>
      <c r="D400" s="15"/>
      <c r="E400" s="15"/>
      <c r="F400" s="24"/>
      <c r="G400" s="30"/>
      <c r="H400" s="30"/>
      <c r="I400" s="26" t="str">
        <f t="shared" si="19"/>
        <v/>
      </c>
      <c r="J400" s="21"/>
      <c r="K400" s="26" t="str">
        <f t="shared" si="20"/>
        <v/>
      </c>
      <c r="L400" s="15"/>
    </row>
    <row r="401" spans="1:12" x14ac:dyDescent="0.2">
      <c r="A401" s="23" t="str">
        <f t="shared" si="18"/>
        <v/>
      </c>
      <c r="B401" s="22"/>
      <c r="C401" s="24"/>
      <c r="D401" s="15"/>
      <c r="E401" s="15"/>
      <c r="F401" s="24"/>
      <c r="G401" s="30"/>
      <c r="H401" s="30"/>
      <c r="I401" s="26" t="str">
        <f t="shared" si="19"/>
        <v/>
      </c>
      <c r="J401" s="21"/>
      <c r="K401" s="26" t="str">
        <f t="shared" si="20"/>
        <v/>
      </c>
      <c r="L401" s="15"/>
    </row>
    <row r="402" spans="1:12" x14ac:dyDescent="0.2">
      <c r="A402" s="23" t="str">
        <f t="shared" si="18"/>
        <v/>
      </c>
      <c r="B402" s="22"/>
      <c r="C402" s="24"/>
      <c r="D402" s="15"/>
      <c r="E402" s="15"/>
      <c r="F402" s="24"/>
      <c r="G402" s="30"/>
      <c r="H402" s="30"/>
      <c r="I402" s="26" t="str">
        <f t="shared" si="19"/>
        <v/>
      </c>
      <c r="J402" s="21"/>
      <c r="K402" s="26" t="str">
        <f t="shared" si="20"/>
        <v/>
      </c>
      <c r="L402" s="15"/>
    </row>
    <row r="403" spans="1:12" x14ac:dyDescent="0.2">
      <c r="A403" s="23" t="str">
        <f t="shared" si="18"/>
        <v/>
      </c>
      <c r="B403" s="22"/>
      <c r="C403" s="24"/>
      <c r="D403" s="15"/>
      <c r="E403" s="15"/>
      <c r="F403" s="24"/>
      <c r="G403" s="30"/>
      <c r="H403" s="30"/>
      <c r="I403" s="26" t="str">
        <f t="shared" si="19"/>
        <v/>
      </c>
      <c r="J403" s="21"/>
      <c r="K403" s="26" t="str">
        <f t="shared" si="20"/>
        <v/>
      </c>
      <c r="L403" s="15"/>
    </row>
    <row r="404" spans="1:12" x14ac:dyDescent="0.2">
      <c r="A404" s="23" t="str">
        <f t="shared" si="18"/>
        <v/>
      </c>
      <c r="B404" s="22"/>
      <c r="C404" s="24"/>
      <c r="D404" s="15"/>
      <c r="E404" s="15"/>
      <c r="F404" s="24"/>
      <c r="G404" s="30"/>
      <c r="H404" s="30"/>
      <c r="I404" s="26" t="str">
        <f t="shared" si="19"/>
        <v/>
      </c>
      <c r="J404" s="21"/>
      <c r="K404" s="26" t="str">
        <f t="shared" si="20"/>
        <v/>
      </c>
      <c r="L404" s="15"/>
    </row>
    <row r="405" spans="1:12" x14ac:dyDescent="0.2">
      <c r="A405" s="23" t="str">
        <f t="shared" si="18"/>
        <v/>
      </c>
      <c r="B405" s="22"/>
      <c r="C405" s="24"/>
      <c r="D405" s="15"/>
      <c r="E405" s="15"/>
      <c r="F405" s="24"/>
      <c r="G405" s="30"/>
      <c r="H405" s="30"/>
      <c r="I405" s="26" t="str">
        <f t="shared" si="19"/>
        <v/>
      </c>
      <c r="J405" s="21"/>
      <c r="K405" s="26" t="str">
        <f t="shared" si="20"/>
        <v/>
      </c>
      <c r="L405" s="15"/>
    </row>
    <row r="406" spans="1:12" x14ac:dyDescent="0.2">
      <c r="A406" s="23" t="str">
        <f t="shared" si="18"/>
        <v/>
      </c>
      <c r="B406" s="22"/>
      <c r="C406" s="24"/>
      <c r="D406" s="15"/>
      <c r="E406" s="15"/>
      <c r="F406" s="24"/>
      <c r="G406" s="30"/>
      <c r="H406" s="30"/>
      <c r="I406" s="26" t="str">
        <f t="shared" si="19"/>
        <v/>
      </c>
      <c r="J406" s="21"/>
      <c r="K406" s="26" t="str">
        <f t="shared" si="20"/>
        <v/>
      </c>
      <c r="L406" s="15"/>
    </row>
    <row r="407" spans="1:12" x14ac:dyDescent="0.2">
      <c r="A407" s="23" t="str">
        <f t="shared" si="18"/>
        <v/>
      </c>
      <c r="B407" s="22"/>
      <c r="C407" s="24"/>
      <c r="D407" s="15"/>
      <c r="E407" s="15"/>
      <c r="F407" s="24"/>
      <c r="G407" s="30"/>
      <c r="H407" s="30"/>
      <c r="I407" s="26" t="str">
        <f t="shared" si="19"/>
        <v/>
      </c>
      <c r="J407" s="21"/>
      <c r="K407" s="26" t="str">
        <f t="shared" si="20"/>
        <v/>
      </c>
      <c r="L407" s="15"/>
    </row>
    <row r="408" spans="1:12" x14ac:dyDescent="0.2">
      <c r="A408" s="23" t="str">
        <f t="shared" si="18"/>
        <v/>
      </c>
      <c r="B408" s="22"/>
      <c r="C408" s="24"/>
      <c r="D408" s="15"/>
      <c r="E408" s="15"/>
      <c r="F408" s="24"/>
      <c r="G408" s="30"/>
      <c r="H408" s="30"/>
      <c r="I408" s="26" t="str">
        <f t="shared" si="19"/>
        <v/>
      </c>
      <c r="J408" s="21"/>
      <c r="K408" s="26" t="str">
        <f t="shared" si="20"/>
        <v/>
      </c>
      <c r="L408" s="15"/>
    </row>
    <row r="409" spans="1:12" x14ac:dyDescent="0.2">
      <c r="A409" s="23" t="str">
        <f t="shared" si="18"/>
        <v/>
      </c>
      <c r="B409" s="22"/>
      <c r="C409" s="24"/>
      <c r="D409" s="15"/>
      <c r="E409" s="15"/>
      <c r="F409" s="24"/>
      <c r="G409" s="30"/>
      <c r="H409" s="30"/>
      <c r="I409" s="26" t="str">
        <f t="shared" si="19"/>
        <v/>
      </c>
      <c r="J409" s="21"/>
      <c r="K409" s="26" t="str">
        <f t="shared" si="20"/>
        <v/>
      </c>
      <c r="L409" s="15"/>
    </row>
    <row r="410" spans="1:12" x14ac:dyDescent="0.2">
      <c r="A410" s="23" t="str">
        <f t="shared" si="18"/>
        <v/>
      </c>
      <c r="B410" s="22"/>
      <c r="C410" s="24"/>
      <c r="D410" s="15"/>
      <c r="E410" s="15"/>
      <c r="F410" s="24"/>
      <c r="G410" s="30"/>
      <c r="H410" s="30"/>
      <c r="I410" s="26" t="str">
        <f t="shared" si="19"/>
        <v/>
      </c>
      <c r="J410" s="21"/>
      <c r="K410" s="26" t="str">
        <f t="shared" si="20"/>
        <v/>
      </c>
      <c r="L410" s="15"/>
    </row>
    <row r="411" spans="1:12" x14ac:dyDescent="0.2">
      <c r="A411" s="23" t="str">
        <f t="shared" si="18"/>
        <v/>
      </c>
      <c r="B411" s="22"/>
      <c r="C411" s="24"/>
      <c r="D411" s="15"/>
      <c r="E411" s="15"/>
      <c r="F411" s="24"/>
      <c r="G411" s="30"/>
      <c r="H411" s="30"/>
      <c r="I411" s="26" t="str">
        <f t="shared" si="19"/>
        <v/>
      </c>
      <c r="J411" s="21"/>
      <c r="K411" s="26" t="str">
        <f t="shared" si="20"/>
        <v/>
      </c>
      <c r="L411" s="15"/>
    </row>
    <row r="412" spans="1:12" x14ac:dyDescent="0.2">
      <c r="A412" s="23" t="str">
        <f t="shared" si="18"/>
        <v/>
      </c>
      <c r="B412" s="22"/>
      <c r="C412" s="24"/>
      <c r="D412" s="15"/>
      <c r="E412" s="15"/>
      <c r="F412" s="24"/>
      <c r="G412" s="30"/>
      <c r="H412" s="30"/>
      <c r="I412" s="26" t="str">
        <f t="shared" si="19"/>
        <v/>
      </c>
      <c r="J412" s="21"/>
      <c r="K412" s="26" t="str">
        <f t="shared" si="20"/>
        <v/>
      </c>
      <c r="L412" s="15"/>
    </row>
    <row r="413" spans="1:12" x14ac:dyDescent="0.2">
      <c r="A413" s="23" t="str">
        <f t="shared" si="18"/>
        <v/>
      </c>
      <c r="B413" s="22"/>
      <c r="C413" s="24"/>
      <c r="D413" s="15"/>
      <c r="E413" s="15"/>
      <c r="F413" s="24"/>
      <c r="G413" s="30"/>
      <c r="H413" s="30"/>
      <c r="I413" s="26" t="str">
        <f t="shared" si="19"/>
        <v/>
      </c>
      <c r="J413" s="21"/>
      <c r="K413" s="26" t="str">
        <f t="shared" si="20"/>
        <v/>
      </c>
      <c r="L413" s="15"/>
    </row>
    <row r="414" spans="1:12" x14ac:dyDescent="0.2">
      <c r="A414" s="23" t="str">
        <f t="shared" si="18"/>
        <v/>
      </c>
      <c r="B414" s="22"/>
      <c r="C414" s="24"/>
      <c r="D414" s="15"/>
      <c r="E414" s="15"/>
      <c r="F414" s="24"/>
      <c r="G414" s="30"/>
      <c r="H414" s="30"/>
      <c r="I414" s="26" t="str">
        <f t="shared" si="19"/>
        <v/>
      </c>
      <c r="J414" s="21"/>
      <c r="K414" s="26" t="str">
        <f t="shared" si="20"/>
        <v/>
      </c>
      <c r="L414" s="15"/>
    </row>
    <row r="415" spans="1:12" x14ac:dyDescent="0.2">
      <c r="A415" s="23" t="str">
        <f t="shared" si="18"/>
        <v/>
      </c>
      <c r="B415" s="22"/>
      <c r="C415" s="24"/>
      <c r="D415" s="15"/>
      <c r="E415" s="15"/>
      <c r="F415" s="24"/>
      <c r="G415" s="30"/>
      <c r="H415" s="30"/>
      <c r="I415" s="26" t="str">
        <f t="shared" si="19"/>
        <v/>
      </c>
      <c r="J415" s="21"/>
      <c r="K415" s="26" t="str">
        <f t="shared" si="20"/>
        <v/>
      </c>
      <c r="L415" s="15"/>
    </row>
    <row r="416" spans="1:12" x14ac:dyDescent="0.2">
      <c r="A416" s="23" t="str">
        <f t="shared" si="18"/>
        <v/>
      </c>
      <c r="B416" s="22"/>
      <c r="C416" s="24"/>
      <c r="D416" s="15"/>
      <c r="E416" s="15"/>
      <c r="F416" s="24"/>
      <c r="G416" s="30"/>
      <c r="H416" s="30"/>
      <c r="I416" s="26" t="str">
        <f t="shared" si="19"/>
        <v/>
      </c>
      <c r="J416" s="21"/>
      <c r="K416" s="26" t="str">
        <f t="shared" si="20"/>
        <v/>
      </c>
      <c r="L416" s="15"/>
    </row>
    <row r="417" spans="1:12" x14ac:dyDescent="0.2">
      <c r="A417" s="23" t="str">
        <f t="shared" si="18"/>
        <v/>
      </c>
      <c r="B417" s="22"/>
      <c r="C417" s="24"/>
      <c r="D417" s="15"/>
      <c r="E417" s="15"/>
      <c r="F417" s="24"/>
      <c r="G417" s="30"/>
      <c r="H417" s="30"/>
      <c r="I417" s="26" t="str">
        <f t="shared" si="19"/>
        <v/>
      </c>
      <c r="J417" s="21"/>
      <c r="K417" s="26" t="str">
        <f t="shared" si="20"/>
        <v/>
      </c>
      <c r="L417" s="15"/>
    </row>
    <row r="418" spans="1:12" x14ac:dyDescent="0.2">
      <c r="A418" s="23" t="str">
        <f t="shared" si="18"/>
        <v/>
      </c>
      <c r="B418" s="22"/>
      <c r="C418" s="24"/>
      <c r="D418" s="15"/>
      <c r="E418" s="15"/>
      <c r="F418" s="24"/>
      <c r="G418" s="30"/>
      <c r="H418" s="30"/>
      <c r="I418" s="26" t="str">
        <f t="shared" si="19"/>
        <v/>
      </c>
      <c r="J418" s="21"/>
      <c r="K418" s="26" t="str">
        <f t="shared" si="20"/>
        <v/>
      </c>
      <c r="L418" s="15"/>
    </row>
    <row r="419" spans="1:12" x14ac:dyDescent="0.2">
      <c r="A419" s="23" t="str">
        <f t="shared" si="18"/>
        <v/>
      </c>
      <c r="B419" s="22"/>
      <c r="C419" s="24"/>
      <c r="D419" s="15"/>
      <c r="E419" s="15"/>
      <c r="F419" s="24"/>
      <c r="G419" s="30"/>
      <c r="H419" s="30"/>
      <c r="I419" s="26" t="str">
        <f t="shared" si="19"/>
        <v/>
      </c>
      <c r="J419" s="21"/>
      <c r="K419" s="26" t="str">
        <f t="shared" si="20"/>
        <v/>
      </c>
      <c r="L419" s="15"/>
    </row>
    <row r="420" spans="1:12" x14ac:dyDescent="0.2">
      <c r="A420" s="23" t="str">
        <f t="shared" si="18"/>
        <v/>
      </c>
      <c r="B420" s="22"/>
      <c r="C420" s="24"/>
      <c r="D420" s="15"/>
      <c r="E420" s="15"/>
      <c r="F420" s="24"/>
      <c r="G420" s="30"/>
      <c r="H420" s="30"/>
      <c r="I420" s="26" t="str">
        <f t="shared" si="19"/>
        <v/>
      </c>
      <c r="J420" s="21"/>
      <c r="K420" s="26" t="str">
        <f t="shared" si="20"/>
        <v/>
      </c>
      <c r="L420" s="15"/>
    </row>
    <row r="421" spans="1:12" x14ac:dyDescent="0.2">
      <c r="A421" s="23" t="str">
        <f t="shared" si="18"/>
        <v/>
      </c>
      <c r="B421" s="22"/>
      <c r="C421" s="24"/>
      <c r="D421" s="15"/>
      <c r="E421" s="15"/>
      <c r="F421" s="24"/>
      <c r="G421" s="30"/>
      <c r="H421" s="30"/>
      <c r="I421" s="26" t="str">
        <f t="shared" si="19"/>
        <v/>
      </c>
      <c r="J421" s="21"/>
      <c r="K421" s="26" t="str">
        <f t="shared" si="20"/>
        <v/>
      </c>
      <c r="L421" s="15"/>
    </row>
    <row r="422" spans="1:12" x14ac:dyDescent="0.2">
      <c r="A422" s="23" t="str">
        <f t="shared" si="18"/>
        <v/>
      </c>
      <c r="B422" s="22"/>
      <c r="C422" s="24"/>
      <c r="D422" s="15"/>
      <c r="E422" s="15"/>
      <c r="F422" s="24"/>
      <c r="G422" s="30"/>
      <c r="H422" s="30"/>
      <c r="I422" s="26" t="str">
        <f t="shared" si="19"/>
        <v/>
      </c>
      <c r="J422" s="21"/>
      <c r="K422" s="26" t="str">
        <f t="shared" si="20"/>
        <v/>
      </c>
      <c r="L422" s="15"/>
    </row>
    <row r="423" spans="1:12" x14ac:dyDescent="0.2">
      <c r="A423" s="23" t="str">
        <f t="shared" si="18"/>
        <v/>
      </c>
      <c r="B423" s="22"/>
      <c r="C423" s="24"/>
      <c r="D423" s="15"/>
      <c r="E423" s="15"/>
      <c r="F423" s="24"/>
      <c r="G423" s="30"/>
      <c r="H423" s="30"/>
      <c r="I423" s="26" t="str">
        <f t="shared" si="19"/>
        <v/>
      </c>
      <c r="J423" s="21"/>
      <c r="K423" s="26" t="str">
        <f t="shared" si="20"/>
        <v/>
      </c>
      <c r="L423" s="15"/>
    </row>
    <row r="424" spans="1:12" x14ac:dyDescent="0.2">
      <c r="A424" s="23" t="str">
        <f t="shared" si="18"/>
        <v/>
      </c>
      <c r="B424" s="22"/>
      <c r="C424" s="24"/>
      <c r="D424" s="15"/>
      <c r="E424" s="15"/>
      <c r="F424" s="24"/>
      <c r="G424" s="30"/>
      <c r="H424" s="30"/>
      <c r="I424" s="26" t="str">
        <f t="shared" si="19"/>
        <v/>
      </c>
      <c r="J424" s="21"/>
      <c r="K424" s="26" t="str">
        <f t="shared" si="20"/>
        <v/>
      </c>
      <c r="L424" s="15"/>
    </row>
    <row r="425" spans="1:12" x14ac:dyDescent="0.2">
      <c r="A425" s="23" t="str">
        <f t="shared" si="18"/>
        <v/>
      </c>
      <c r="B425" s="22"/>
      <c r="C425" s="24"/>
      <c r="D425" s="15"/>
      <c r="E425" s="15"/>
      <c r="F425" s="24"/>
      <c r="G425" s="30"/>
      <c r="H425" s="30"/>
      <c r="I425" s="26" t="str">
        <f t="shared" si="19"/>
        <v/>
      </c>
      <c r="J425" s="21"/>
      <c r="K425" s="26" t="str">
        <f t="shared" si="20"/>
        <v/>
      </c>
      <c r="L425" s="15"/>
    </row>
    <row r="426" spans="1:12" x14ac:dyDescent="0.2">
      <c r="A426" s="23" t="str">
        <f t="shared" si="18"/>
        <v/>
      </c>
      <c r="B426" s="22"/>
      <c r="C426" s="24"/>
      <c r="D426" s="15"/>
      <c r="E426" s="15"/>
      <c r="F426" s="24"/>
      <c r="G426" s="30"/>
      <c r="H426" s="30"/>
      <c r="I426" s="26" t="str">
        <f t="shared" si="19"/>
        <v/>
      </c>
      <c r="J426" s="21"/>
      <c r="K426" s="26" t="str">
        <f t="shared" si="20"/>
        <v/>
      </c>
      <c r="L426" s="15"/>
    </row>
    <row r="427" spans="1:12" x14ac:dyDescent="0.2">
      <c r="A427" s="23" t="str">
        <f t="shared" si="18"/>
        <v/>
      </c>
      <c r="B427" s="22"/>
      <c r="C427" s="24"/>
      <c r="D427" s="15"/>
      <c r="E427" s="15"/>
      <c r="F427" s="24"/>
      <c r="G427" s="30"/>
      <c r="H427" s="30"/>
      <c r="I427" s="26" t="str">
        <f t="shared" si="19"/>
        <v/>
      </c>
      <c r="J427" s="21"/>
      <c r="K427" s="26" t="str">
        <f t="shared" si="20"/>
        <v/>
      </c>
      <c r="L427" s="15"/>
    </row>
    <row r="428" spans="1:12" x14ac:dyDescent="0.2">
      <c r="A428" s="23" t="str">
        <f t="shared" si="18"/>
        <v/>
      </c>
      <c r="B428" s="22"/>
      <c r="C428" s="24"/>
      <c r="D428" s="15"/>
      <c r="E428" s="15"/>
      <c r="F428" s="24"/>
      <c r="G428" s="30"/>
      <c r="H428" s="30"/>
      <c r="I428" s="26" t="str">
        <f t="shared" si="19"/>
        <v/>
      </c>
      <c r="J428" s="21"/>
      <c r="K428" s="26" t="str">
        <f t="shared" si="20"/>
        <v/>
      </c>
      <c r="L428" s="15"/>
    </row>
    <row r="429" spans="1:12" x14ac:dyDescent="0.2">
      <c r="A429" s="23" t="str">
        <f t="shared" si="18"/>
        <v/>
      </c>
      <c r="B429" s="22"/>
      <c r="C429" s="24"/>
      <c r="D429" s="15"/>
      <c r="E429" s="15"/>
      <c r="F429" s="24"/>
      <c r="G429" s="30"/>
      <c r="H429" s="30"/>
      <c r="I429" s="26" t="str">
        <f t="shared" si="19"/>
        <v/>
      </c>
      <c r="J429" s="21"/>
      <c r="K429" s="26" t="str">
        <f t="shared" si="20"/>
        <v/>
      </c>
      <c r="L429" s="15"/>
    </row>
    <row r="430" spans="1:12" x14ac:dyDescent="0.2">
      <c r="A430" s="23" t="str">
        <f t="shared" si="18"/>
        <v/>
      </c>
      <c r="B430" s="22"/>
      <c r="C430" s="24"/>
      <c r="D430" s="15"/>
      <c r="E430" s="15"/>
      <c r="F430" s="24"/>
      <c r="G430" s="30"/>
      <c r="H430" s="30"/>
      <c r="I430" s="26" t="str">
        <f t="shared" si="19"/>
        <v/>
      </c>
      <c r="J430" s="21"/>
      <c r="K430" s="26" t="str">
        <f t="shared" si="20"/>
        <v/>
      </c>
      <c r="L430" s="15"/>
    </row>
    <row r="431" spans="1:12" x14ac:dyDescent="0.2">
      <c r="A431" s="23" t="str">
        <f t="shared" si="18"/>
        <v/>
      </c>
      <c r="B431" s="22"/>
      <c r="C431" s="24"/>
      <c r="D431" s="15"/>
      <c r="E431" s="15"/>
      <c r="F431" s="24"/>
      <c r="G431" s="30"/>
      <c r="H431" s="30"/>
      <c r="I431" s="26" t="str">
        <f t="shared" si="19"/>
        <v/>
      </c>
      <c r="J431" s="21"/>
      <c r="K431" s="26" t="str">
        <f t="shared" si="20"/>
        <v/>
      </c>
      <c r="L431" s="15"/>
    </row>
    <row r="432" spans="1:12" x14ac:dyDescent="0.2">
      <c r="A432" s="23" t="str">
        <f t="shared" si="18"/>
        <v/>
      </c>
      <c r="B432" s="22"/>
      <c r="C432" s="24"/>
      <c r="D432" s="15"/>
      <c r="E432" s="15"/>
      <c r="F432" s="24"/>
      <c r="G432" s="30"/>
      <c r="H432" s="30"/>
      <c r="I432" s="26" t="str">
        <f t="shared" si="19"/>
        <v/>
      </c>
      <c r="J432" s="21"/>
      <c r="K432" s="26" t="str">
        <f t="shared" si="20"/>
        <v/>
      </c>
      <c r="L432" s="15"/>
    </row>
    <row r="433" spans="1:12" x14ac:dyDescent="0.2">
      <c r="A433" s="23" t="str">
        <f t="shared" si="18"/>
        <v/>
      </c>
      <c r="B433" s="22"/>
      <c r="C433" s="24"/>
      <c r="D433" s="15"/>
      <c r="E433" s="15"/>
      <c r="F433" s="24"/>
      <c r="G433" s="30"/>
      <c r="H433" s="30"/>
      <c r="I433" s="26" t="str">
        <f t="shared" si="19"/>
        <v/>
      </c>
      <c r="J433" s="21"/>
      <c r="K433" s="26" t="str">
        <f t="shared" si="20"/>
        <v/>
      </c>
      <c r="L433" s="15"/>
    </row>
    <row r="434" spans="1:12" x14ac:dyDescent="0.2">
      <c r="A434" s="23" t="str">
        <f t="shared" si="18"/>
        <v/>
      </c>
      <c r="B434" s="22"/>
      <c r="C434" s="24"/>
      <c r="D434" s="15"/>
      <c r="E434" s="15"/>
      <c r="F434" s="24"/>
      <c r="G434" s="30"/>
      <c r="H434" s="30"/>
      <c r="I434" s="26" t="str">
        <f t="shared" si="19"/>
        <v/>
      </c>
      <c r="J434" s="21"/>
      <c r="K434" s="26" t="str">
        <f t="shared" si="20"/>
        <v/>
      </c>
      <c r="L434" s="15"/>
    </row>
    <row r="435" spans="1:12" x14ac:dyDescent="0.2">
      <c r="A435" s="23" t="str">
        <f t="shared" si="18"/>
        <v/>
      </c>
      <c r="B435" s="22"/>
      <c r="C435" s="24"/>
      <c r="D435" s="15"/>
      <c r="E435" s="15"/>
      <c r="F435" s="24"/>
      <c r="G435" s="30"/>
      <c r="H435" s="30"/>
      <c r="I435" s="26" t="str">
        <f t="shared" si="19"/>
        <v/>
      </c>
      <c r="J435" s="21"/>
      <c r="K435" s="26" t="str">
        <f t="shared" si="20"/>
        <v/>
      </c>
      <c r="L435" s="15"/>
    </row>
    <row r="436" spans="1:12" x14ac:dyDescent="0.2">
      <c r="A436" s="23" t="str">
        <f t="shared" si="18"/>
        <v/>
      </c>
      <c r="B436" s="22"/>
      <c r="C436" s="24"/>
      <c r="D436" s="15"/>
      <c r="E436" s="15"/>
      <c r="F436" s="24"/>
      <c r="G436" s="30"/>
      <c r="H436" s="30"/>
      <c r="I436" s="26" t="str">
        <f t="shared" si="19"/>
        <v/>
      </c>
      <c r="J436" s="21"/>
      <c r="K436" s="26" t="str">
        <f t="shared" si="20"/>
        <v/>
      </c>
      <c r="L436" s="15"/>
    </row>
    <row r="437" spans="1:12" x14ac:dyDescent="0.2">
      <c r="A437" s="23" t="str">
        <f t="shared" si="18"/>
        <v/>
      </c>
      <c r="B437" s="22"/>
      <c r="C437" s="24"/>
      <c r="D437" s="15"/>
      <c r="E437" s="15"/>
      <c r="F437" s="24"/>
      <c r="G437" s="30"/>
      <c r="H437" s="30"/>
      <c r="I437" s="26" t="str">
        <f t="shared" si="19"/>
        <v/>
      </c>
      <c r="J437" s="21"/>
      <c r="K437" s="26" t="str">
        <f t="shared" si="20"/>
        <v/>
      </c>
      <c r="L437" s="15"/>
    </row>
    <row r="438" spans="1:12" x14ac:dyDescent="0.2">
      <c r="A438" s="23" t="str">
        <f t="shared" si="18"/>
        <v/>
      </c>
      <c r="B438" s="22"/>
      <c r="C438" s="24"/>
      <c r="D438" s="15"/>
      <c r="E438" s="15"/>
      <c r="F438" s="24"/>
      <c r="G438" s="30"/>
      <c r="H438" s="30"/>
      <c r="I438" s="26" t="str">
        <f t="shared" si="19"/>
        <v/>
      </c>
      <c r="J438" s="21"/>
      <c r="K438" s="26" t="str">
        <f t="shared" si="20"/>
        <v/>
      </c>
      <c r="L438" s="15"/>
    </row>
    <row r="439" spans="1:12" x14ac:dyDescent="0.2">
      <c r="A439" s="23" t="str">
        <f t="shared" si="18"/>
        <v/>
      </c>
      <c r="B439" s="22"/>
      <c r="C439" s="24"/>
      <c r="D439" s="15"/>
      <c r="E439" s="15"/>
      <c r="F439" s="24"/>
      <c r="G439" s="30"/>
      <c r="H439" s="30"/>
      <c r="I439" s="26" t="str">
        <f t="shared" si="19"/>
        <v/>
      </c>
      <c r="J439" s="21"/>
      <c r="K439" s="26" t="str">
        <f t="shared" si="20"/>
        <v/>
      </c>
      <c r="L439" s="15"/>
    </row>
    <row r="440" spans="1:12" x14ac:dyDescent="0.2">
      <c r="A440" s="23" t="str">
        <f t="shared" si="18"/>
        <v/>
      </c>
      <c r="B440" s="22"/>
      <c r="C440" s="24"/>
      <c r="D440" s="15"/>
      <c r="E440" s="15"/>
      <c r="F440" s="24"/>
      <c r="G440" s="30"/>
      <c r="H440" s="30"/>
      <c r="I440" s="26" t="str">
        <f t="shared" si="19"/>
        <v/>
      </c>
      <c r="J440" s="21"/>
      <c r="K440" s="26" t="str">
        <f t="shared" si="20"/>
        <v/>
      </c>
      <c r="L440" s="15"/>
    </row>
    <row r="441" spans="1:12" x14ac:dyDescent="0.2">
      <c r="A441" s="23" t="str">
        <f t="shared" si="18"/>
        <v/>
      </c>
      <c r="B441" s="22"/>
      <c r="C441" s="24"/>
      <c r="D441" s="15"/>
      <c r="E441" s="15"/>
      <c r="F441" s="24"/>
      <c r="G441" s="30"/>
      <c r="H441" s="30"/>
      <c r="I441" s="26" t="str">
        <f t="shared" si="19"/>
        <v/>
      </c>
      <c r="J441" s="21"/>
      <c r="K441" s="26" t="str">
        <f t="shared" si="20"/>
        <v/>
      </c>
      <c r="L441" s="15"/>
    </row>
    <row r="442" spans="1:12" x14ac:dyDescent="0.2">
      <c r="A442" s="23" t="str">
        <f t="shared" si="18"/>
        <v/>
      </c>
      <c r="B442" s="22"/>
      <c r="C442" s="24"/>
      <c r="D442" s="15"/>
      <c r="E442" s="15"/>
      <c r="F442" s="24"/>
      <c r="G442" s="30"/>
      <c r="H442" s="30"/>
      <c r="I442" s="26" t="str">
        <f t="shared" si="19"/>
        <v/>
      </c>
      <c r="J442" s="21"/>
      <c r="K442" s="26" t="str">
        <f t="shared" si="20"/>
        <v/>
      </c>
      <c r="L442" s="15"/>
    </row>
    <row r="443" spans="1:12" x14ac:dyDescent="0.2">
      <c r="A443" s="23" t="str">
        <f t="shared" si="18"/>
        <v/>
      </c>
      <c r="B443" s="22"/>
      <c r="C443" s="24"/>
      <c r="D443" s="15"/>
      <c r="E443" s="15"/>
      <c r="F443" s="24"/>
      <c r="G443" s="30"/>
      <c r="H443" s="30"/>
      <c r="I443" s="26" t="str">
        <f t="shared" si="19"/>
        <v/>
      </c>
      <c r="J443" s="21"/>
      <c r="K443" s="26" t="str">
        <f t="shared" si="20"/>
        <v/>
      </c>
      <c r="L443" s="15"/>
    </row>
    <row r="444" spans="1:12" x14ac:dyDescent="0.2">
      <c r="A444" s="23" t="str">
        <f t="shared" si="18"/>
        <v/>
      </c>
      <c r="B444" s="22"/>
      <c r="C444" s="24"/>
      <c r="D444" s="15"/>
      <c r="E444" s="15"/>
      <c r="F444" s="24"/>
      <c r="G444" s="30"/>
      <c r="H444" s="30"/>
      <c r="I444" s="26" t="str">
        <f t="shared" si="19"/>
        <v/>
      </c>
      <c r="J444" s="21"/>
      <c r="K444" s="26" t="str">
        <f t="shared" si="20"/>
        <v/>
      </c>
      <c r="L444" s="15"/>
    </row>
    <row r="445" spans="1:12" x14ac:dyDescent="0.2">
      <c r="A445" s="23" t="str">
        <f t="shared" si="18"/>
        <v/>
      </c>
      <c r="B445" s="22"/>
      <c r="C445" s="24"/>
      <c r="D445" s="15"/>
      <c r="E445" s="15"/>
      <c r="F445" s="24"/>
      <c r="G445" s="30"/>
      <c r="H445" s="30"/>
      <c r="I445" s="26" t="str">
        <f t="shared" si="19"/>
        <v/>
      </c>
      <c r="J445" s="21"/>
      <c r="K445" s="26" t="str">
        <f t="shared" si="20"/>
        <v/>
      </c>
      <c r="L445" s="15"/>
    </row>
    <row r="446" spans="1:12" x14ac:dyDescent="0.2">
      <c r="A446" s="23" t="str">
        <f t="shared" si="18"/>
        <v/>
      </c>
      <c r="B446" s="22"/>
      <c r="C446" s="24"/>
      <c r="D446" s="15"/>
      <c r="E446" s="15"/>
      <c r="F446" s="24"/>
      <c r="G446" s="30"/>
      <c r="H446" s="30"/>
      <c r="I446" s="26" t="str">
        <f t="shared" si="19"/>
        <v/>
      </c>
      <c r="J446" s="21"/>
      <c r="K446" s="26" t="str">
        <f t="shared" si="20"/>
        <v/>
      </c>
      <c r="L446" s="15"/>
    </row>
    <row r="447" spans="1:12" x14ac:dyDescent="0.2">
      <c r="A447" s="23" t="str">
        <f t="shared" si="18"/>
        <v/>
      </c>
      <c r="B447" s="22"/>
      <c r="C447" s="24"/>
      <c r="D447" s="15"/>
      <c r="E447" s="15"/>
      <c r="F447" s="24"/>
      <c r="G447" s="30"/>
      <c r="H447" s="30"/>
      <c r="I447" s="26" t="str">
        <f t="shared" si="19"/>
        <v/>
      </c>
      <c r="J447" s="21"/>
      <c r="K447" s="26" t="str">
        <f t="shared" si="20"/>
        <v/>
      </c>
      <c r="L447" s="15"/>
    </row>
    <row r="448" spans="1:12" x14ac:dyDescent="0.2">
      <c r="A448" s="23" t="str">
        <f t="shared" si="18"/>
        <v/>
      </c>
      <c r="B448" s="22"/>
      <c r="C448" s="24"/>
      <c r="D448" s="15"/>
      <c r="E448" s="15"/>
      <c r="F448" s="24"/>
      <c r="G448" s="30"/>
      <c r="H448" s="30"/>
      <c r="I448" s="26" t="str">
        <f t="shared" si="19"/>
        <v/>
      </c>
      <c r="J448" s="21"/>
      <c r="K448" s="26" t="str">
        <f t="shared" si="20"/>
        <v/>
      </c>
      <c r="L448" s="15"/>
    </row>
    <row r="449" spans="1:12" x14ac:dyDescent="0.2">
      <c r="A449" s="23" t="str">
        <f t="shared" si="18"/>
        <v/>
      </c>
      <c r="B449" s="22"/>
      <c r="C449" s="24"/>
      <c r="D449" s="15"/>
      <c r="E449" s="15"/>
      <c r="F449" s="24"/>
      <c r="G449" s="30"/>
      <c r="H449" s="30"/>
      <c r="I449" s="26" t="str">
        <f t="shared" si="19"/>
        <v/>
      </c>
      <c r="J449" s="21"/>
      <c r="K449" s="26" t="str">
        <f t="shared" si="20"/>
        <v/>
      </c>
      <c r="L449" s="15"/>
    </row>
    <row r="450" spans="1:12" x14ac:dyDescent="0.2">
      <c r="A450" s="23" t="str">
        <f t="shared" si="18"/>
        <v/>
      </c>
      <c r="B450" s="22"/>
      <c r="C450" s="24"/>
      <c r="D450" s="15"/>
      <c r="E450" s="15"/>
      <c r="F450" s="24"/>
      <c r="G450" s="30"/>
      <c r="H450" s="30"/>
      <c r="I450" s="26" t="str">
        <f t="shared" si="19"/>
        <v/>
      </c>
      <c r="J450" s="21"/>
      <c r="K450" s="26" t="str">
        <f t="shared" si="20"/>
        <v/>
      </c>
      <c r="L450" s="15"/>
    </row>
    <row r="451" spans="1:12" x14ac:dyDescent="0.2">
      <c r="A451" s="23" t="str">
        <f t="shared" si="18"/>
        <v/>
      </c>
      <c r="B451" s="22"/>
      <c r="C451" s="24"/>
      <c r="D451" s="15"/>
      <c r="E451" s="15"/>
      <c r="F451" s="24"/>
      <c r="G451" s="30"/>
      <c r="H451" s="30"/>
      <c r="I451" s="26" t="str">
        <f t="shared" si="19"/>
        <v/>
      </c>
      <c r="J451" s="21"/>
      <c r="K451" s="26" t="str">
        <f t="shared" si="20"/>
        <v/>
      </c>
      <c r="L451" s="15"/>
    </row>
    <row r="452" spans="1:12" x14ac:dyDescent="0.2">
      <c r="A452" s="23" t="str">
        <f t="shared" si="18"/>
        <v/>
      </c>
      <c r="B452" s="22"/>
      <c r="C452" s="24"/>
      <c r="D452" s="15"/>
      <c r="E452" s="15"/>
      <c r="F452" s="24"/>
      <c r="G452" s="30"/>
      <c r="H452" s="30"/>
      <c r="I452" s="26" t="str">
        <f t="shared" si="19"/>
        <v/>
      </c>
      <c r="J452" s="21"/>
      <c r="K452" s="26" t="str">
        <f t="shared" si="20"/>
        <v/>
      </c>
      <c r="L452" s="15"/>
    </row>
    <row r="453" spans="1:12" x14ac:dyDescent="0.2">
      <c r="A453" s="23" t="str">
        <f t="shared" ref="A453:A516" si="21">IF(B453="","",ROW()-4)</f>
        <v/>
      </c>
      <c r="B453" s="22"/>
      <c r="C453" s="24"/>
      <c r="D453" s="15"/>
      <c r="E453" s="15"/>
      <c r="F453" s="24"/>
      <c r="G453" s="30"/>
      <c r="H453" s="30"/>
      <c r="I453" s="26" t="str">
        <f t="shared" ref="I453:I516" si="22">IF(OR(G453="",H453=""),"",G453*H453)</f>
        <v/>
      </c>
      <c r="J453" s="21"/>
      <c r="K453" s="26" t="str">
        <f t="shared" ref="K453:K516" si="23">IF(OR(I453="",J453=""),"",I453*J453)</f>
        <v/>
      </c>
      <c r="L453" s="15"/>
    </row>
    <row r="454" spans="1:12" x14ac:dyDescent="0.2">
      <c r="A454" s="23" t="str">
        <f t="shared" si="21"/>
        <v/>
      </c>
      <c r="B454" s="22"/>
      <c r="C454" s="24"/>
      <c r="D454" s="15"/>
      <c r="E454" s="15"/>
      <c r="F454" s="24"/>
      <c r="G454" s="30"/>
      <c r="H454" s="30"/>
      <c r="I454" s="26" t="str">
        <f t="shared" si="22"/>
        <v/>
      </c>
      <c r="J454" s="21"/>
      <c r="K454" s="26" t="str">
        <f t="shared" si="23"/>
        <v/>
      </c>
      <c r="L454" s="15"/>
    </row>
    <row r="455" spans="1:12" x14ac:dyDescent="0.2">
      <c r="A455" s="23" t="str">
        <f t="shared" si="21"/>
        <v/>
      </c>
      <c r="B455" s="22"/>
      <c r="C455" s="24"/>
      <c r="D455" s="15"/>
      <c r="E455" s="15"/>
      <c r="F455" s="24"/>
      <c r="G455" s="30"/>
      <c r="H455" s="30"/>
      <c r="I455" s="26" t="str">
        <f t="shared" si="22"/>
        <v/>
      </c>
      <c r="J455" s="21"/>
      <c r="K455" s="26" t="str">
        <f t="shared" si="23"/>
        <v/>
      </c>
      <c r="L455" s="15"/>
    </row>
    <row r="456" spans="1:12" x14ac:dyDescent="0.2">
      <c r="A456" s="23" t="str">
        <f t="shared" si="21"/>
        <v/>
      </c>
      <c r="B456" s="22"/>
      <c r="C456" s="24"/>
      <c r="D456" s="15"/>
      <c r="E456" s="15"/>
      <c r="F456" s="24"/>
      <c r="G456" s="30"/>
      <c r="H456" s="30"/>
      <c r="I456" s="26" t="str">
        <f t="shared" si="22"/>
        <v/>
      </c>
      <c r="J456" s="21"/>
      <c r="K456" s="26" t="str">
        <f t="shared" si="23"/>
        <v/>
      </c>
      <c r="L456" s="15"/>
    </row>
    <row r="457" spans="1:12" x14ac:dyDescent="0.2">
      <c r="A457" s="23" t="str">
        <f t="shared" si="21"/>
        <v/>
      </c>
      <c r="B457" s="22"/>
      <c r="C457" s="24"/>
      <c r="D457" s="15"/>
      <c r="E457" s="15"/>
      <c r="F457" s="24"/>
      <c r="G457" s="30"/>
      <c r="H457" s="30"/>
      <c r="I457" s="26" t="str">
        <f t="shared" si="22"/>
        <v/>
      </c>
      <c r="J457" s="21"/>
      <c r="K457" s="26" t="str">
        <f t="shared" si="23"/>
        <v/>
      </c>
      <c r="L457" s="15"/>
    </row>
    <row r="458" spans="1:12" x14ac:dyDescent="0.2">
      <c r="A458" s="23" t="str">
        <f t="shared" si="21"/>
        <v/>
      </c>
      <c r="B458" s="22"/>
      <c r="C458" s="24"/>
      <c r="D458" s="15"/>
      <c r="E458" s="15"/>
      <c r="F458" s="24"/>
      <c r="G458" s="30"/>
      <c r="H458" s="30"/>
      <c r="I458" s="26" t="str">
        <f t="shared" si="22"/>
        <v/>
      </c>
      <c r="J458" s="21"/>
      <c r="K458" s="26" t="str">
        <f t="shared" si="23"/>
        <v/>
      </c>
      <c r="L458" s="15"/>
    </row>
    <row r="459" spans="1:12" x14ac:dyDescent="0.2">
      <c r="A459" s="23" t="str">
        <f t="shared" si="21"/>
        <v/>
      </c>
      <c r="B459" s="22"/>
      <c r="C459" s="24"/>
      <c r="D459" s="15"/>
      <c r="E459" s="15"/>
      <c r="F459" s="24"/>
      <c r="G459" s="30"/>
      <c r="H459" s="30"/>
      <c r="I459" s="26" t="str">
        <f t="shared" si="22"/>
        <v/>
      </c>
      <c r="J459" s="21"/>
      <c r="K459" s="26" t="str">
        <f t="shared" si="23"/>
        <v/>
      </c>
      <c r="L459" s="15"/>
    </row>
    <row r="460" spans="1:12" x14ac:dyDescent="0.2">
      <c r="A460" s="23" t="str">
        <f t="shared" si="21"/>
        <v/>
      </c>
      <c r="B460" s="22"/>
      <c r="C460" s="24"/>
      <c r="D460" s="15"/>
      <c r="E460" s="15"/>
      <c r="F460" s="24"/>
      <c r="G460" s="30"/>
      <c r="H460" s="30"/>
      <c r="I460" s="26" t="str">
        <f t="shared" si="22"/>
        <v/>
      </c>
      <c r="J460" s="21"/>
      <c r="K460" s="26" t="str">
        <f t="shared" si="23"/>
        <v/>
      </c>
      <c r="L460" s="15"/>
    </row>
    <row r="461" spans="1:12" x14ac:dyDescent="0.2">
      <c r="A461" s="23" t="str">
        <f t="shared" si="21"/>
        <v/>
      </c>
      <c r="B461" s="22"/>
      <c r="C461" s="24"/>
      <c r="D461" s="15"/>
      <c r="E461" s="15"/>
      <c r="F461" s="24"/>
      <c r="G461" s="30"/>
      <c r="H461" s="30"/>
      <c r="I461" s="26" t="str">
        <f t="shared" si="22"/>
        <v/>
      </c>
      <c r="J461" s="21"/>
      <c r="K461" s="26" t="str">
        <f t="shared" si="23"/>
        <v/>
      </c>
      <c r="L461" s="15"/>
    </row>
    <row r="462" spans="1:12" x14ac:dyDescent="0.2">
      <c r="A462" s="23" t="str">
        <f t="shared" si="21"/>
        <v/>
      </c>
      <c r="B462" s="22"/>
      <c r="C462" s="24"/>
      <c r="D462" s="15"/>
      <c r="E462" s="15"/>
      <c r="F462" s="24"/>
      <c r="G462" s="30"/>
      <c r="H462" s="30"/>
      <c r="I462" s="26" t="str">
        <f t="shared" si="22"/>
        <v/>
      </c>
      <c r="J462" s="21"/>
      <c r="K462" s="26" t="str">
        <f t="shared" si="23"/>
        <v/>
      </c>
      <c r="L462" s="15"/>
    </row>
    <row r="463" spans="1:12" x14ac:dyDescent="0.2">
      <c r="A463" s="23" t="str">
        <f t="shared" si="21"/>
        <v/>
      </c>
      <c r="B463" s="22"/>
      <c r="C463" s="24"/>
      <c r="D463" s="15"/>
      <c r="E463" s="15"/>
      <c r="F463" s="24"/>
      <c r="G463" s="30"/>
      <c r="H463" s="30"/>
      <c r="I463" s="26" t="str">
        <f t="shared" si="22"/>
        <v/>
      </c>
      <c r="J463" s="21"/>
      <c r="K463" s="26" t="str">
        <f t="shared" si="23"/>
        <v/>
      </c>
      <c r="L463" s="15"/>
    </row>
    <row r="464" spans="1:12" x14ac:dyDescent="0.2">
      <c r="A464" s="23" t="str">
        <f t="shared" si="21"/>
        <v/>
      </c>
      <c r="B464" s="22"/>
      <c r="C464" s="24"/>
      <c r="D464" s="15"/>
      <c r="E464" s="15"/>
      <c r="F464" s="24"/>
      <c r="G464" s="30"/>
      <c r="H464" s="30"/>
      <c r="I464" s="26" t="str">
        <f t="shared" si="22"/>
        <v/>
      </c>
      <c r="J464" s="21"/>
      <c r="K464" s="26" t="str">
        <f t="shared" si="23"/>
        <v/>
      </c>
      <c r="L464" s="15"/>
    </row>
    <row r="465" spans="1:12" x14ac:dyDescent="0.2">
      <c r="A465" s="23" t="str">
        <f t="shared" si="21"/>
        <v/>
      </c>
      <c r="B465" s="22"/>
      <c r="C465" s="24"/>
      <c r="D465" s="15"/>
      <c r="E465" s="15"/>
      <c r="F465" s="24"/>
      <c r="G465" s="30"/>
      <c r="H465" s="30"/>
      <c r="I465" s="26" t="str">
        <f t="shared" si="22"/>
        <v/>
      </c>
      <c r="J465" s="21"/>
      <c r="K465" s="26" t="str">
        <f t="shared" si="23"/>
        <v/>
      </c>
      <c r="L465" s="15"/>
    </row>
    <row r="466" spans="1:12" x14ac:dyDescent="0.2">
      <c r="A466" s="23" t="str">
        <f t="shared" si="21"/>
        <v/>
      </c>
      <c r="B466" s="22"/>
      <c r="C466" s="24"/>
      <c r="D466" s="15"/>
      <c r="E466" s="15"/>
      <c r="F466" s="24"/>
      <c r="G466" s="30"/>
      <c r="H466" s="30"/>
      <c r="I466" s="26" t="str">
        <f t="shared" si="22"/>
        <v/>
      </c>
      <c r="J466" s="21"/>
      <c r="K466" s="26" t="str">
        <f t="shared" si="23"/>
        <v/>
      </c>
      <c r="L466" s="15"/>
    </row>
    <row r="467" spans="1:12" x14ac:dyDescent="0.2">
      <c r="A467" s="23" t="str">
        <f t="shared" si="21"/>
        <v/>
      </c>
      <c r="B467" s="22"/>
      <c r="C467" s="24"/>
      <c r="D467" s="15"/>
      <c r="E467" s="15"/>
      <c r="F467" s="24"/>
      <c r="G467" s="30"/>
      <c r="H467" s="30"/>
      <c r="I467" s="26" t="str">
        <f t="shared" si="22"/>
        <v/>
      </c>
      <c r="J467" s="21"/>
      <c r="K467" s="26" t="str">
        <f t="shared" si="23"/>
        <v/>
      </c>
      <c r="L467" s="15"/>
    </row>
    <row r="468" spans="1:12" x14ac:dyDescent="0.2">
      <c r="A468" s="23" t="str">
        <f t="shared" si="21"/>
        <v/>
      </c>
      <c r="B468" s="22"/>
      <c r="C468" s="24"/>
      <c r="D468" s="15"/>
      <c r="E468" s="15"/>
      <c r="F468" s="24"/>
      <c r="G468" s="30"/>
      <c r="H468" s="30"/>
      <c r="I468" s="26" t="str">
        <f t="shared" si="22"/>
        <v/>
      </c>
      <c r="J468" s="21"/>
      <c r="K468" s="26" t="str">
        <f t="shared" si="23"/>
        <v/>
      </c>
      <c r="L468" s="15"/>
    </row>
    <row r="469" spans="1:12" x14ac:dyDescent="0.2">
      <c r="A469" s="23" t="str">
        <f t="shared" si="21"/>
        <v/>
      </c>
      <c r="B469" s="22"/>
      <c r="C469" s="24"/>
      <c r="D469" s="15"/>
      <c r="E469" s="15"/>
      <c r="F469" s="24"/>
      <c r="G469" s="30"/>
      <c r="H469" s="30"/>
      <c r="I469" s="26" t="str">
        <f t="shared" si="22"/>
        <v/>
      </c>
      <c r="J469" s="21"/>
      <c r="K469" s="26" t="str">
        <f t="shared" si="23"/>
        <v/>
      </c>
      <c r="L469" s="15"/>
    </row>
    <row r="470" spans="1:12" x14ac:dyDescent="0.2">
      <c r="A470" s="23" t="str">
        <f t="shared" si="21"/>
        <v/>
      </c>
      <c r="B470" s="22"/>
      <c r="C470" s="24"/>
      <c r="D470" s="15"/>
      <c r="E470" s="15"/>
      <c r="F470" s="24"/>
      <c r="G470" s="30"/>
      <c r="H470" s="30"/>
      <c r="I470" s="26" t="str">
        <f t="shared" si="22"/>
        <v/>
      </c>
      <c r="J470" s="21"/>
      <c r="K470" s="26" t="str">
        <f t="shared" si="23"/>
        <v/>
      </c>
      <c r="L470" s="15"/>
    </row>
    <row r="471" spans="1:12" x14ac:dyDescent="0.2">
      <c r="A471" s="23" t="str">
        <f t="shared" si="21"/>
        <v/>
      </c>
      <c r="B471" s="22"/>
      <c r="C471" s="24"/>
      <c r="D471" s="15"/>
      <c r="E471" s="15"/>
      <c r="F471" s="24"/>
      <c r="G471" s="30"/>
      <c r="H471" s="30"/>
      <c r="I471" s="26" t="str">
        <f t="shared" si="22"/>
        <v/>
      </c>
      <c r="J471" s="21"/>
      <c r="K471" s="26" t="str">
        <f t="shared" si="23"/>
        <v/>
      </c>
      <c r="L471" s="15"/>
    </row>
    <row r="472" spans="1:12" x14ac:dyDescent="0.2">
      <c r="A472" s="23" t="str">
        <f t="shared" si="21"/>
        <v/>
      </c>
      <c r="B472" s="22"/>
      <c r="C472" s="24"/>
      <c r="D472" s="15"/>
      <c r="E472" s="15"/>
      <c r="F472" s="24"/>
      <c r="G472" s="30"/>
      <c r="H472" s="30"/>
      <c r="I472" s="26" t="str">
        <f t="shared" si="22"/>
        <v/>
      </c>
      <c r="J472" s="21"/>
      <c r="K472" s="26" t="str">
        <f t="shared" si="23"/>
        <v/>
      </c>
      <c r="L472" s="15"/>
    </row>
    <row r="473" spans="1:12" x14ac:dyDescent="0.2">
      <c r="A473" s="23" t="str">
        <f t="shared" si="21"/>
        <v/>
      </c>
      <c r="B473" s="22"/>
      <c r="C473" s="24"/>
      <c r="D473" s="15"/>
      <c r="E473" s="15"/>
      <c r="F473" s="24"/>
      <c r="G473" s="30"/>
      <c r="H473" s="30"/>
      <c r="I473" s="26" t="str">
        <f t="shared" si="22"/>
        <v/>
      </c>
      <c r="J473" s="21"/>
      <c r="K473" s="26" t="str">
        <f t="shared" si="23"/>
        <v/>
      </c>
      <c r="L473" s="15"/>
    </row>
    <row r="474" spans="1:12" x14ac:dyDescent="0.2">
      <c r="A474" s="23" t="str">
        <f t="shared" si="21"/>
        <v/>
      </c>
      <c r="B474" s="22"/>
      <c r="C474" s="24"/>
      <c r="D474" s="15"/>
      <c r="E474" s="15"/>
      <c r="F474" s="24"/>
      <c r="G474" s="30"/>
      <c r="H474" s="30"/>
      <c r="I474" s="26" t="str">
        <f t="shared" si="22"/>
        <v/>
      </c>
      <c r="J474" s="21"/>
      <c r="K474" s="26" t="str">
        <f t="shared" si="23"/>
        <v/>
      </c>
      <c r="L474" s="15"/>
    </row>
    <row r="475" spans="1:12" x14ac:dyDescent="0.2">
      <c r="A475" s="23" t="str">
        <f t="shared" si="21"/>
        <v/>
      </c>
      <c r="B475" s="22"/>
      <c r="C475" s="24"/>
      <c r="D475" s="15"/>
      <c r="E475" s="15"/>
      <c r="F475" s="24"/>
      <c r="G475" s="30"/>
      <c r="H475" s="30"/>
      <c r="I475" s="26" t="str">
        <f t="shared" si="22"/>
        <v/>
      </c>
      <c r="J475" s="21"/>
      <c r="K475" s="26" t="str">
        <f t="shared" si="23"/>
        <v/>
      </c>
      <c r="L475" s="15"/>
    </row>
    <row r="476" spans="1:12" x14ac:dyDescent="0.2">
      <c r="A476" s="23" t="str">
        <f t="shared" si="21"/>
        <v/>
      </c>
      <c r="B476" s="22"/>
      <c r="C476" s="24"/>
      <c r="D476" s="15"/>
      <c r="E476" s="15"/>
      <c r="F476" s="24"/>
      <c r="G476" s="30"/>
      <c r="H476" s="30"/>
      <c r="I476" s="26" t="str">
        <f t="shared" si="22"/>
        <v/>
      </c>
      <c r="J476" s="21"/>
      <c r="K476" s="26" t="str">
        <f t="shared" si="23"/>
        <v/>
      </c>
      <c r="L476" s="15"/>
    </row>
    <row r="477" spans="1:12" x14ac:dyDescent="0.2">
      <c r="A477" s="23" t="str">
        <f t="shared" si="21"/>
        <v/>
      </c>
      <c r="B477" s="22"/>
      <c r="C477" s="24"/>
      <c r="D477" s="15"/>
      <c r="E477" s="15"/>
      <c r="F477" s="24"/>
      <c r="G477" s="30"/>
      <c r="H477" s="30"/>
      <c r="I477" s="26" t="str">
        <f t="shared" si="22"/>
        <v/>
      </c>
      <c r="J477" s="21"/>
      <c r="K477" s="26" t="str">
        <f t="shared" si="23"/>
        <v/>
      </c>
      <c r="L477" s="15"/>
    </row>
    <row r="478" spans="1:12" x14ac:dyDescent="0.2">
      <c r="A478" s="23" t="str">
        <f t="shared" si="21"/>
        <v/>
      </c>
      <c r="B478" s="22"/>
      <c r="C478" s="24"/>
      <c r="D478" s="15"/>
      <c r="E478" s="15"/>
      <c r="F478" s="24"/>
      <c r="G478" s="30"/>
      <c r="H478" s="30"/>
      <c r="I478" s="26" t="str">
        <f t="shared" si="22"/>
        <v/>
      </c>
      <c r="J478" s="21"/>
      <c r="K478" s="26" t="str">
        <f t="shared" si="23"/>
        <v/>
      </c>
      <c r="L478" s="15"/>
    </row>
    <row r="479" spans="1:12" x14ac:dyDescent="0.2">
      <c r="A479" s="23" t="str">
        <f t="shared" si="21"/>
        <v/>
      </c>
      <c r="B479" s="22"/>
      <c r="C479" s="24"/>
      <c r="D479" s="15"/>
      <c r="E479" s="15"/>
      <c r="F479" s="24"/>
      <c r="G479" s="30"/>
      <c r="H479" s="30"/>
      <c r="I479" s="26" t="str">
        <f t="shared" si="22"/>
        <v/>
      </c>
      <c r="J479" s="21"/>
      <c r="K479" s="26" t="str">
        <f t="shared" si="23"/>
        <v/>
      </c>
      <c r="L479" s="15"/>
    </row>
    <row r="480" spans="1:12" x14ac:dyDescent="0.2">
      <c r="A480" s="23" t="str">
        <f t="shared" si="21"/>
        <v/>
      </c>
      <c r="B480" s="22"/>
      <c r="C480" s="24"/>
      <c r="D480" s="15"/>
      <c r="E480" s="15"/>
      <c r="F480" s="24"/>
      <c r="G480" s="30"/>
      <c r="H480" s="30"/>
      <c r="I480" s="26" t="str">
        <f t="shared" si="22"/>
        <v/>
      </c>
      <c r="J480" s="21"/>
      <c r="K480" s="26" t="str">
        <f t="shared" si="23"/>
        <v/>
      </c>
      <c r="L480" s="15"/>
    </row>
    <row r="481" spans="1:12" x14ac:dyDescent="0.2">
      <c r="A481" s="23" t="str">
        <f t="shared" si="21"/>
        <v/>
      </c>
      <c r="B481" s="22"/>
      <c r="C481" s="24"/>
      <c r="D481" s="15"/>
      <c r="E481" s="15"/>
      <c r="F481" s="24"/>
      <c r="G481" s="30"/>
      <c r="H481" s="30"/>
      <c r="I481" s="26" t="str">
        <f t="shared" si="22"/>
        <v/>
      </c>
      <c r="J481" s="21"/>
      <c r="K481" s="26" t="str">
        <f t="shared" si="23"/>
        <v/>
      </c>
      <c r="L481" s="15"/>
    </row>
    <row r="482" spans="1:12" x14ac:dyDescent="0.2">
      <c r="A482" s="23" t="str">
        <f t="shared" si="21"/>
        <v/>
      </c>
      <c r="B482" s="22"/>
      <c r="C482" s="24"/>
      <c r="D482" s="15"/>
      <c r="E482" s="15"/>
      <c r="F482" s="24"/>
      <c r="G482" s="30"/>
      <c r="H482" s="30"/>
      <c r="I482" s="26" t="str">
        <f t="shared" si="22"/>
        <v/>
      </c>
      <c r="J482" s="21"/>
      <c r="K482" s="26" t="str">
        <f t="shared" si="23"/>
        <v/>
      </c>
      <c r="L482" s="15"/>
    </row>
    <row r="483" spans="1:12" x14ac:dyDescent="0.2">
      <c r="A483" s="23" t="str">
        <f t="shared" si="21"/>
        <v/>
      </c>
      <c r="B483" s="22"/>
      <c r="C483" s="24"/>
      <c r="D483" s="15"/>
      <c r="E483" s="15"/>
      <c r="F483" s="24"/>
      <c r="G483" s="30"/>
      <c r="H483" s="30"/>
      <c r="I483" s="26" t="str">
        <f t="shared" si="22"/>
        <v/>
      </c>
      <c r="J483" s="21"/>
      <c r="K483" s="26" t="str">
        <f t="shared" si="23"/>
        <v/>
      </c>
      <c r="L483" s="15"/>
    </row>
    <row r="484" spans="1:12" x14ac:dyDescent="0.2">
      <c r="A484" s="23" t="str">
        <f t="shared" si="21"/>
        <v/>
      </c>
      <c r="B484" s="22"/>
      <c r="C484" s="24"/>
      <c r="D484" s="15"/>
      <c r="E484" s="15"/>
      <c r="F484" s="24"/>
      <c r="G484" s="30"/>
      <c r="H484" s="30"/>
      <c r="I484" s="26" t="str">
        <f t="shared" si="22"/>
        <v/>
      </c>
      <c r="J484" s="21"/>
      <c r="K484" s="26" t="str">
        <f t="shared" si="23"/>
        <v/>
      </c>
      <c r="L484" s="15"/>
    </row>
    <row r="485" spans="1:12" x14ac:dyDescent="0.2">
      <c r="A485" s="23" t="str">
        <f t="shared" si="21"/>
        <v/>
      </c>
      <c r="B485" s="22"/>
      <c r="C485" s="24"/>
      <c r="D485" s="15"/>
      <c r="E485" s="15"/>
      <c r="F485" s="24"/>
      <c r="G485" s="30"/>
      <c r="H485" s="30"/>
      <c r="I485" s="26" t="str">
        <f t="shared" si="22"/>
        <v/>
      </c>
      <c r="J485" s="21"/>
      <c r="K485" s="26" t="str">
        <f t="shared" si="23"/>
        <v/>
      </c>
      <c r="L485" s="15"/>
    </row>
    <row r="486" spans="1:12" x14ac:dyDescent="0.2">
      <c r="A486" s="23" t="str">
        <f t="shared" si="21"/>
        <v/>
      </c>
      <c r="B486" s="22"/>
      <c r="C486" s="24"/>
      <c r="D486" s="15"/>
      <c r="E486" s="15"/>
      <c r="F486" s="24"/>
      <c r="G486" s="30"/>
      <c r="H486" s="30"/>
      <c r="I486" s="26" t="str">
        <f t="shared" si="22"/>
        <v/>
      </c>
      <c r="J486" s="21"/>
      <c r="K486" s="26" t="str">
        <f t="shared" si="23"/>
        <v/>
      </c>
      <c r="L486" s="15"/>
    </row>
    <row r="487" spans="1:12" x14ac:dyDescent="0.2">
      <c r="A487" s="23" t="str">
        <f t="shared" si="21"/>
        <v/>
      </c>
      <c r="B487" s="22"/>
      <c r="C487" s="24"/>
      <c r="D487" s="15"/>
      <c r="E487" s="15"/>
      <c r="F487" s="24"/>
      <c r="G487" s="30"/>
      <c r="H487" s="30"/>
      <c r="I487" s="26" t="str">
        <f t="shared" si="22"/>
        <v/>
      </c>
      <c r="J487" s="21"/>
      <c r="K487" s="26" t="str">
        <f t="shared" si="23"/>
        <v/>
      </c>
      <c r="L487" s="15"/>
    </row>
    <row r="488" spans="1:12" x14ac:dyDescent="0.2">
      <c r="A488" s="23" t="str">
        <f t="shared" si="21"/>
        <v/>
      </c>
      <c r="B488" s="22"/>
      <c r="C488" s="24"/>
      <c r="D488" s="15"/>
      <c r="E488" s="15"/>
      <c r="F488" s="24"/>
      <c r="G488" s="30"/>
      <c r="H488" s="30"/>
      <c r="I488" s="26" t="str">
        <f t="shared" si="22"/>
        <v/>
      </c>
      <c r="J488" s="21"/>
      <c r="K488" s="26" t="str">
        <f t="shared" si="23"/>
        <v/>
      </c>
      <c r="L488" s="15"/>
    </row>
    <row r="489" spans="1:12" x14ac:dyDescent="0.2">
      <c r="A489" s="23" t="str">
        <f t="shared" si="21"/>
        <v/>
      </c>
      <c r="B489" s="22"/>
      <c r="C489" s="24"/>
      <c r="D489" s="15"/>
      <c r="E489" s="15"/>
      <c r="F489" s="24"/>
      <c r="G489" s="30"/>
      <c r="H489" s="30"/>
      <c r="I489" s="26" t="str">
        <f t="shared" si="22"/>
        <v/>
      </c>
      <c r="J489" s="21"/>
      <c r="K489" s="26" t="str">
        <f t="shared" si="23"/>
        <v/>
      </c>
      <c r="L489" s="15"/>
    </row>
    <row r="490" spans="1:12" x14ac:dyDescent="0.2">
      <c r="A490" s="23" t="str">
        <f t="shared" si="21"/>
        <v/>
      </c>
      <c r="B490" s="22"/>
      <c r="C490" s="24"/>
      <c r="D490" s="15"/>
      <c r="E490" s="15"/>
      <c r="F490" s="24"/>
      <c r="G490" s="30"/>
      <c r="H490" s="30"/>
      <c r="I490" s="26" t="str">
        <f t="shared" si="22"/>
        <v/>
      </c>
      <c r="J490" s="21"/>
      <c r="K490" s="26" t="str">
        <f t="shared" si="23"/>
        <v/>
      </c>
      <c r="L490" s="15"/>
    </row>
    <row r="491" spans="1:12" x14ac:dyDescent="0.2">
      <c r="A491" s="23" t="str">
        <f t="shared" si="21"/>
        <v/>
      </c>
      <c r="B491" s="22"/>
      <c r="C491" s="24"/>
      <c r="D491" s="15"/>
      <c r="E491" s="15"/>
      <c r="F491" s="24"/>
      <c r="G491" s="30"/>
      <c r="H491" s="30"/>
      <c r="I491" s="26" t="str">
        <f t="shared" si="22"/>
        <v/>
      </c>
      <c r="J491" s="21"/>
      <c r="K491" s="26" t="str">
        <f t="shared" si="23"/>
        <v/>
      </c>
      <c r="L491" s="15"/>
    </row>
    <row r="492" spans="1:12" x14ac:dyDescent="0.2">
      <c r="A492" s="23" t="str">
        <f t="shared" si="21"/>
        <v/>
      </c>
      <c r="B492" s="22"/>
      <c r="C492" s="24"/>
      <c r="D492" s="15"/>
      <c r="E492" s="15"/>
      <c r="F492" s="24"/>
      <c r="G492" s="30"/>
      <c r="H492" s="30"/>
      <c r="I492" s="26" t="str">
        <f t="shared" si="22"/>
        <v/>
      </c>
      <c r="J492" s="21"/>
      <c r="K492" s="26" t="str">
        <f t="shared" si="23"/>
        <v/>
      </c>
      <c r="L492" s="15"/>
    </row>
    <row r="493" spans="1:12" x14ac:dyDescent="0.2">
      <c r="A493" s="23" t="str">
        <f t="shared" si="21"/>
        <v/>
      </c>
      <c r="B493" s="22"/>
      <c r="C493" s="24"/>
      <c r="D493" s="15"/>
      <c r="E493" s="15"/>
      <c r="F493" s="24"/>
      <c r="G493" s="30"/>
      <c r="H493" s="30"/>
      <c r="I493" s="26" t="str">
        <f t="shared" si="22"/>
        <v/>
      </c>
      <c r="J493" s="21"/>
      <c r="K493" s="26" t="str">
        <f t="shared" si="23"/>
        <v/>
      </c>
      <c r="L493" s="15"/>
    </row>
    <row r="494" spans="1:12" x14ac:dyDescent="0.2">
      <c r="A494" s="23" t="str">
        <f t="shared" si="21"/>
        <v/>
      </c>
      <c r="B494" s="22"/>
      <c r="C494" s="24"/>
      <c r="D494" s="15"/>
      <c r="E494" s="15"/>
      <c r="F494" s="24"/>
      <c r="G494" s="30"/>
      <c r="H494" s="30"/>
      <c r="I494" s="26" t="str">
        <f t="shared" si="22"/>
        <v/>
      </c>
      <c r="J494" s="21"/>
      <c r="K494" s="26" t="str">
        <f t="shared" si="23"/>
        <v/>
      </c>
      <c r="L494" s="15"/>
    </row>
    <row r="495" spans="1:12" x14ac:dyDescent="0.2">
      <c r="A495" s="23" t="str">
        <f t="shared" si="21"/>
        <v/>
      </c>
      <c r="B495" s="22"/>
      <c r="C495" s="24"/>
      <c r="D495" s="15"/>
      <c r="E495" s="15"/>
      <c r="F495" s="24"/>
      <c r="G495" s="30"/>
      <c r="H495" s="30"/>
      <c r="I495" s="26" t="str">
        <f t="shared" si="22"/>
        <v/>
      </c>
      <c r="J495" s="21"/>
      <c r="K495" s="26" t="str">
        <f t="shared" si="23"/>
        <v/>
      </c>
      <c r="L495" s="15"/>
    </row>
    <row r="496" spans="1:12" x14ac:dyDescent="0.2">
      <c r="A496" s="23" t="str">
        <f t="shared" si="21"/>
        <v/>
      </c>
      <c r="B496" s="22"/>
      <c r="C496" s="24"/>
      <c r="D496" s="15"/>
      <c r="E496" s="15"/>
      <c r="F496" s="24"/>
      <c r="G496" s="30"/>
      <c r="H496" s="30"/>
      <c r="I496" s="26" t="str">
        <f t="shared" si="22"/>
        <v/>
      </c>
      <c r="J496" s="21"/>
      <c r="K496" s="26" t="str">
        <f t="shared" si="23"/>
        <v/>
      </c>
      <c r="L496" s="15"/>
    </row>
    <row r="497" spans="1:12" x14ac:dyDescent="0.2">
      <c r="A497" s="23" t="str">
        <f t="shared" si="21"/>
        <v/>
      </c>
      <c r="B497" s="22"/>
      <c r="C497" s="24"/>
      <c r="D497" s="15"/>
      <c r="E497" s="15"/>
      <c r="F497" s="24"/>
      <c r="G497" s="30"/>
      <c r="H497" s="30"/>
      <c r="I497" s="26" t="str">
        <f t="shared" si="22"/>
        <v/>
      </c>
      <c r="J497" s="21"/>
      <c r="K497" s="26" t="str">
        <f t="shared" si="23"/>
        <v/>
      </c>
      <c r="L497" s="15"/>
    </row>
    <row r="498" spans="1:12" x14ac:dyDescent="0.2">
      <c r="A498" s="23" t="str">
        <f t="shared" si="21"/>
        <v/>
      </c>
      <c r="B498" s="22"/>
      <c r="C498" s="24"/>
      <c r="D498" s="15"/>
      <c r="E498" s="15"/>
      <c r="F498" s="24"/>
      <c r="G498" s="30"/>
      <c r="H498" s="30"/>
      <c r="I498" s="26" t="str">
        <f t="shared" si="22"/>
        <v/>
      </c>
      <c r="J498" s="21"/>
      <c r="K498" s="26" t="str">
        <f t="shared" si="23"/>
        <v/>
      </c>
      <c r="L498" s="15"/>
    </row>
    <row r="499" spans="1:12" x14ac:dyDescent="0.2">
      <c r="A499" s="23" t="str">
        <f t="shared" si="21"/>
        <v/>
      </c>
      <c r="B499" s="22"/>
      <c r="C499" s="24"/>
      <c r="D499" s="15"/>
      <c r="E499" s="15"/>
      <c r="F499" s="24"/>
      <c r="G499" s="30"/>
      <c r="H499" s="30"/>
      <c r="I499" s="26" t="str">
        <f t="shared" si="22"/>
        <v/>
      </c>
      <c r="J499" s="21"/>
      <c r="K499" s="26" t="str">
        <f t="shared" si="23"/>
        <v/>
      </c>
      <c r="L499" s="15"/>
    </row>
    <row r="500" spans="1:12" x14ac:dyDescent="0.2">
      <c r="A500" s="23" t="str">
        <f t="shared" si="21"/>
        <v/>
      </c>
      <c r="B500" s="22"/>
      <c r="C500" s="24"/>
      <c r="D500" s="15"/>
      <c r="E500" s="15"/>
      <c r="F500" s="24"/>
      <c r="G500" s="30"/>
      <c r="H500" s="30"/>
      <c r="I500" s="26" t="str">
        <f t="shared" si="22"/>
        <v/>
      </c>
      <c r="J500" s="21"/>
      <c r="K500" s="26" t="str">
        <f t="shared" si="23"/>
        <v/>
      </c>
      <c r="L500" s="15"/>
    </row>
    <row r="501" spans="1:12" x14ac:dyDescent="0.2">
      <c r="A501" s="23" t="str">
        <f t="shared" si="21"/>
        <v/>
      </c>
      <c r="B501" s="22"/>
      <c r="C501" s="24"/>
      <c r="D501" s="15"/>
      <c r="E501" s="15"/>
      <c r="F501" s="24"/>
      <c r="G501" s="30"/>
      <c r="H501" s="30"/>
      <c r="I501" s="26" t="str">
        <f t="shared" si="22"/>
        <v/>
      </c>
      <c r="J501" s="21"/>
      <c r="K501" s="26" t="str">
        <f t="shared" si="23"/>
        <v/>
      </c>
      <c r="L501" s="15"/>
    </row>
    <row r="502" spans="1:12" x14ac:dyDescent="0.2">
      <c r="A502" s="23" t="str">
        <f t="shared" si="21"/>
        <v/>
      </c>
      <c r="B502" s="22"/>
      <c r="C502" s="24"/>
      <c r="D502" s="15"/>
      <c r="E502" s="15"/>
      <c r="F502" s="24"/>
      <c r="G502" s="30"/>
      <c r="H502" s="30"/>
      <c r="I502" s="26" t="str">
        <f t="shared" si="22"/>
        <v/>
      </c>
      <c r="J502" s="21"/>
      <c r="K502" s="26" t="str">
        <f t="shared" si="23"/>
        <v/>
      </c>
      <c r="L502" s="15"/>
    </row>
    <row r="503" spans="1:12" x14ac:dyDescent="0.2">
      <c r="A503" s="23" t="str">
        <f t="shared" si="21"/>
        <v/>
      </c>
      <c r="B503" s="22"/>
      <c r="C503" s="24"/>
      <c r="D503" s="15"/>
      <c r="E503" s="15"/>
      <c r="F503" s="24"/>
      <c r="G503" s="30"/>
      <c r="H503" s="30"/>
      <c r="I503" s="26" t="str">
        <f t="shared" si="22"/>
        <v/>
      </c>
      <c r="J503" s="21"/>
      <c r="K503" s="26" t="str">
        <f t="shared" si="23"/>
        <v/>
      </c>
      <c r="L503" s="15"/>
    </row>
    <row r="504" spans="1:12" x14ac:dyDescent="0.2">
      <c r="A504" s="23" t="str">
        <f t="shared" si="21"/>
        <v/>
      </c>
      <c r="B504" s="22"/>
      <c r="C504" s="24"/>
      <c r="D504" s="15"/>
      <c r="E504" s="15"/>
      <c r="F504" s="24"/>
      <c r="G504" s="30"/>
      <c r="H504" s="30"/>
      <c r="I504" s="26" t="str">
        <f t="shared" si="22"/>
        <v/>
      </c>
      <c r="J504" s="21"/>
      <c r="K504" s="26" t="str">
        <f t="shared" si="23"/>
        <v/>
      </c>
      <c r="L504" s="15"/>
    </row>
    <row r="505" spans="1:12" x14ac:dyDescent="0.2">
      <c r="A505" s="23" t="str">
        <f t="shared" si="21"/>
        <v/>
      </c>
      <c r="B505" s="22"/>
      <c r="C505" s="24"/>
      <c r="D505" s="15"/>
      <c r="E505" s="15"/>
      <c r="F505" s="24"/>
      <c r="G505" s="30"/>
      <c r="H505" s="30"/>
      <c r="I505" s="26" t="str">
        <f t="shared" si="22"/>
        <v/>
      </c>
      <c r="J505" s="21"/>
      <c r="K505" s="26" t="str">
        <f t="shared" si="23"/>
        <v/>
      </c>
      <c r="L505" s="15"/>
    </row>
    <row r="506" spans="1:12" x14ac:dyDescent="0.2">
      <c r="A506" s="23" t="str">
        <f t="shared" si="21"/>
        <v/>
      </c>
      <c r="B506" s="22"/>
      <c r="C506" s="24"/>
      <c r="D506" s="15"/>
      <c r="E506" s="15"/>
      <c r="F506" s="24"/>
      <c r="G506" s="30"/>
      <c r="H506" s="30"/>
      <c r="I506" s="26" t="str">
        <f t="shared" si="22"/>
        <v/>
      </c>
      <c r="J506" s="21"/>
      <c r="K506" s="26" t="str">
        <f t="shared" si="23"/>
        <v/>
      </c>
      <c r="L506" s="15"/>
    </row>
    <row r="507" spans="1:12" x14ac:dyDescent="0.2">
      <c r="A507" s="23" t="str">
        <f t="shared" si="21"/>
        <v/>
      </c>
      <c r="B507" s="22"/>
      <c r="C507" s="24"/>
      <c r="D507" s="15"/>
      <c r="E507" s="15"/>
      <c r="F507" s="24"/>
      <c r="G507" s="30"/>
      <c r="H507" s="30"/>
      <c r="I507" s="26" t="str">
        <f t="shared" si="22"/>
        <v/>
      </c>
      <c r="J507" s="21"/>
      <c r="K507" s="26" t="str">
        <f t="shared" si="23"/>
        <v/>
      </c>
      <c r="L507" s="15"/>
    </row>
    <row r="508" spans="1:12" x14ac:dyDescent="0.2">
      <c r="A508" s="23" t="str">
        <f t="shared" si="21"/>
        <v/>
      </c>
      <c r="B508" s="22"/>
      <c r="C508" s="24"/>
      <c r="D508" s="15"/>
      <c r="E508" s="15"/>
      <c r="F508" s="24"/>
      <c r="G508" s="30"/>
      <c r="H508" s="30"/>
      <c r="I508" s="26" t="str">
        <f t="shared" si="22"/>
        <v/>
      </c>
      <c r="J508" s="21"/>
      <c r="K508" s="26" t="str">
        <f t="shared" si="23"/>
        <v/>
      </c>
      <c r="L508" s="15"/>
    </row>
    <row r="509" spans="1:12" x14ac:dyDescent="0.2">
      <c r="A509" s="23" t="str">
        <f t="shared" si="21"/>
        <v/>
      </c>
      <c r="B509" s="22"/>
      <c r="C509" s="24"/>
      <c r="D509" s="15"/>
      <c r="E509" s="15"/>
      <c r="F509" s="24"/>
      <c r="G509" s="30"/>
      <c r="H509" s="30"/>
      <c r="I509" s="26" t="str">
        <f t="shared" si="22"/>
        <v/>
      </c>
      <c r="J509" s="21"/>
      <c r="K509" s="26" t="str">
        <f t="shared" si="23"/>
        <v/>
      </c>
      <c r="L509" s="15"/>
    </row>
    <row r="510" spans="1:12" x14ac:dyDescent="0.2">
      <c r="A510" s="23" t="str">
        <f t="shared" si="21"/>
        <v/>
      </c>
      <c r="B510" s="22"/>
      <c r="C510" s="24"/>
      <c r="D510" s="15"/>
      <c r="E510" s="15"/>
      <c r="F510" s="24"/>
      <c r="G510" s="30"/>
      <c r="H510" s="30"/>
      <c r="I510" s="26" t="str">
        <f t="shared" si="22"/>
        <v/>
      </c>
      <c r="J510" s="21"/>
      <c r="K510" s="26" t="str">
        <f t="shared" si="23"/>
        <v/>
      </c>
      <c r="L510" s="15"/>
    </row>
    <row r="511" spans="1:12" x14ac:dyDescent="0.2">
      <c r="A511" s="23" t="str">
        <f t="shared" si="21"/>
        <v/>
      </c>
      <c r="B511" s="22"/>
      <c r="C511" s="24"/>
      <c r="D511" s="15"/>
      <c r="E511" s="15"/>
      <c r="F511" s="24"/>
      <c r="G511" s="30"/>
      <c r="H511" s="30"/>
      <c r="I511" s="26" t="str">
        <f t="shared" si="22"/>
        <v/>
      </c>
      <c r="J511" s="21"/>
      <c r="K511" s="26" t="str">
        <f t="shared" si="23"/>
        <v/>
      </c>
      <c r="L511" s="15"/>
    </row>
    <row r="512" spans="1:12" x14ac:dyDescent="0.2">
      <c r="A512" s="23" t="str">
        <f t="shared" si="21"/>
        <v/>
      </c>
      <c r="B512" s="22"/>
      <c r="C512" s="24"/>
      <c r="D512" s="15"/>
      <c r="E512" s="15"/>
      <c r="F512" s="24"/>
      <c r="G512" s="30"/>
      <c r="H512" s="30"/>
      <c r="I512" s="26" t="str">
        <f t="shared" si="22"/>
        <v/>
      </c>
      <c r="J512" s="21"/>
      <c r="K512" s="26" t="str">
        <f t="shared" si="23"/>
        <v/>
      </c>
      <c r="L512" s="15"/>
    </row>
    <row r="513" spans="1:12" x14ac:dyDescent="0.2">
      <c r="A513" s="23" t="str">
        <f t="shared" si="21"/>
        <v/>
      </c>
      <c r="B513" s="22"/>
      <c r="C513" s="24"/>
      <c r="D513" s="15"/>
      <c r="E513" s="15"/>
      <c r="F513" s="24"/>
      <c r="G513" s="30"/>
      <c r="H513" s="30"/>
      <c r="I513" s="26" t="str">
        <f t="shared" si="22"/>
        <v/>
      </c>
      <c r="J513" s="21"/>
      <c r="K513" s="26" t="str">
        <f t="shared" si="23"/>
        <v/>
      </c>
      <c r="L513" s="15"/>
    </row>
    <row r="514" spans="1:12" x14ac:dyDescent="0.2">
      <c r="A514" s="23" t="str">
        <f t="shared" si="21"/>
        <v/>
      </c>
      <c r="B514" s="22"/>
      <c r="C514" s="24"/>
      <c r="D514" s="15"/>
      <c r="E514" s="15"/>
      <c r="F514" s="24"/>
      <c r="G514" s="30"/>
      <c r="H514" s="30"/>
      <c r="I514" s="26" t="str">
        <f t="shared" si="22"/>
        <v/>
      </c>
      <c r="J514" s="21"/>
      <c r="K514" s="26" t="str">
        <f t="shared" si="23"/>
        <v/>
      </c>
      <c r="L514" s="15"/>
    </row>
    <row r="515" spans="1:12" x14ac:dyDescent="0.2">
      <c r="A515" s="23" t="str">
        <f t="shared" si="21"/>
        <v/>
      </c>
      <c r="B515" s="22"/>
      <c r="C515" s="24"/>
      <c r="D515" s="15"/>
      <c r="E515" s="15"/>
      <c r="F515" s="24"/>
      <c r="G515" s="30"/>
      <c r="H515" s="30"/>
      <c r="I515" s="26" t="str">
        <f t="shared" si="22"/>
        <v/>
      </c>
      <c r="J515" s="21"/>
      <c r="K515" s="26" t="str">
        <f t="shared" si="23"/>
        <v/>
      </c>
      <c r="L515" s="15"/>
    </row>
    <row r="516" spans="1:12" x14ac:dyDescent="0.2">
      <c r="A516" s="23" t="str">
        <f t="shared" si="21"/>
        <v/>
      </c>
      <c r="B516" s="22"/>
      <c r="C516" s="24"/>
      <c r="D516" s="15"/>
      <c r="E516" s="15"/>
      <c r="F516" s="24"/>
      <c r="G516" s="30"/>
      <c r="H516" s="30"/>
      <c r="I516" s="26" t="str">
        <f t="shared" si="22"/>
        <v/>
      </c>
      <c r="J516" s="21"/>
      <c r="K516" s="26" t="str">
        <f t="shared" si="23"/>
        <v/>
      </c>
      <c r="L516" s="15"/>
    </row>
    <row r="517" spans="1:12" x14ac:dyDescent="0.2">
      <c r="A517" s="23" t="str">
        <f t="shared" ref="A517:A580" si="24">IF(B517="","",ROW()-4)</f>
        <v/>
      </c>
      <c r="B517" s="22"/>
      <c r="C517" s="24"/>
      <c r="D517" s="15"/>
      <c r="E517" s="15"/>
      <c r="F517" s="24"/>
      <c r="G517" s="30"/>
      <c r="H517" s="30"/>
      <c r="I517" s="26" t="str">
        <f t="shared" ref="I517:I580" si="25">IF(OR(G517="",H517=""),"",G517*H517)</f>
        <v/>
      </c>
      <c r="J517" s="21"/>
      <c r="K517" s="26" t="str">
        <f t="shared" ref="K517:K580" si="26">IF(OR(I517="",J517=""),"",I517*J517)</f>
        <v/>
      </c>
      <c r="L517" s="15"/>
    </row>
    <row r="518" spans="1:12" x14ac:dyDescent="0.2">
      <c r="A518" s="23" t="str">
        <f t="shared" si="24"/>
        <v/>
      </c>
      <c r="B518" s="22"/>
      <c r="C518" s="24"/>
      <c r="D518" s="15"/>
      <c r="E518" s="15"/>
      <c r="F518" s="24"/>
      <c r="G518" s="30"/>
      <c r="H518" s="30"/>
      <c r="I518" s="26" t="str">
        <f t="shared" si="25"/>
        <v/>
      </c>
      <c r="J518" s="21"/>
      <c r="K518" s="26" t="str">
        <f t="shared" si="26"/>
        <v/>
      </c>
      <c r="L518" s="15"/>
    </row>
    <row r="519" spans="1:12" x14ac:dyDescent="0.2">
      <c r="A519" s="23" t="str">
        <f t="shared" si="24"/>
        <v/>
      </c>
      <c r="B519" s="22"/>
      <c r="C519" s="24"/>
      <c r="D519" s="15"/>
      <c r="E519" s="15"/>
      <c r="F519" s="24"/>
      <c r="G519" s="30"/>
      <c r="H519" s="30"/>
      <c r="I519" s="26" t="str">
        <f t="shared" si="25"/>
        <v/>
      </c>
      <c r="J519" s="21"/>
      <c r="K519" s="26" t="str">
        <f t="shared" si="26"/>
        <v/>
      </c>
      <c r="L519" s="15"/>
    </row>
    <row r="520" spans="1:12" x14ac:dyDescent="0.2">
      <c r="A520" s="23" t="str">
        <f t="shared" si="24"/>
        <v/>
      </c>
      <c r="B520" s="22"/>
      <c r="C520" s="24"/>
      <c r="D520" s="15"/>
      <c r="E520" s="15"/>
      <c r="F520" s="24"/>
      <c r="G520" s="30"/>
      <c r="H520" s="30"/>
      <c r="I520" s="26" t="str">
        <f t="shared" si="25"/>
        <v/>
      </c>
      <c r="J520" s="21"/>
      <c r="K520" s="26" t="str">
        <f t="shared" si="26"/>
        <v/>
      </c>
      <c r="L520" s="15"/>
    </row>
    <row r="521" spans="1:12" x14ac:dyDescent="0.2">
      <c r="A521" s="23" t="str">
        <f t="shared" si="24"/>
        <v/>
      </c>
      <c r="B521" s="22"/>
      <c r="C521" s="24"/>
      <c r="D521" s="15"/>
      <c r="E521" s="15"/>
      <c r="F521" s="24"/>
      <c r="G521" s="30"/>
      <c r="H521" s="30"/>
      <c r="I521" s="26" t="str">
        <f t="shared" si="25"/>
        <v/>
      </c>
      <c r="J521" s="21"/>
      <c r="K521" s="26" t="str">
        <f t="shared" si="26"/>
        <v/>
      </c>
      <c r="L521" s="15"/>
    </row>
    <row r="522" spans="1:12" x14ac:dyDescent="0.2">
      <c r="A522" s="23" t="str">
        <f t="shared" si="24"/>
        <v/>
      </c>
      <c r="B522" s="22"/>
      <c r="C522" s="24"/>
      <c r="D522" s="15"/>
      <c r="E522" s="15"/>
      <c r="F522" s="24"/>
      <c r="G522" s="30"/>
      <c r="H522" s="30"/>
      <c r="I522" s="26" t="str">
        <f t="shared" si="25"/>
        <v/>
      </c>
      <c r="J522" s="21"/>
      <c r="K522" s="26" t="str">
        <f t="shared" si="26"/>
        <v/>
      </c>
      <c r="L522" s="15"/>
    </row>
    <row r="523" spans="1:12" x14ac:dyDescent="0.2">
      <c r="A523" s="23" t="str">
        <f t="shared" si="24"/>
        <v/>
      </c>
      <c r="B523" s="22"/>
      <c r="C523" s="24"/>
      <c r="D523" s="15"/>
      <c r="E523" s="15"/>
      <c r="F523" s="24"/>
      <c r="G523" s="30"/>
      <c r="H523" s="30"/>
      <c r="I523" s="26" t="str">
        <f t="shared" si="25"/>
        <v/>
      </c>
      <c r="J523" s="21"/>
      <c r="K523" s="26" t="str">
        <f t="shared" si="26"/>
        <v/>
      </c>
      <c r="L523" s="15"/>
    </row>
    <row r="524" spans="1:12" x14ac:dyDescent="0.2">
      <c r="A524" s="23" t="str">
        <f t="shared" si="24"/>
        <v/>
      </c>
      <c r="B524" s="22"/>
      <c r="C524" s="24"/>
      <c r="D524" s="15"/>
      <c r="E524" s="15"/>
      <c r="F524" s="24"/>
      <c r="G524" s="30"/>
      <c r="H524" s="30"/>
      <c r="I524" s="26" t="str">
        <f t="shared" si="25"/>
        <v/>
      </c>
      <c r="J524" s="21"/>
      <c r="K524" s="26" t="str">
        <f t="shared" si="26"/>
        <v/>
      </c>
      <c r="L524" s="15"/>
    </row>
    <row r="525" spans="1:12" x14ac:dyDescent="0.2">
      <c r="A525" s="23" t="str">
        <f t="shared" si="24"/>
        <v/>
      </c>
      <c r="B525" s="22"/>
      <c r="C525" s="24"/>
      <c r="D525" s="15"/>
      <c r="E525" s="15"/>
      <c r="F525" s="24"/>
      <c r="G525" s="30"/>
      <c r="H525" s="30"/>
      <c r="I525" s="26" t="str">
        <f t="shared" si="25"/>
        <v/>
      </c>
      <c r="J525" s="21"/>
      <c r="K525" s="26" t="str">
        <f t="shared" si="26"/>
        <v/>
      </c>
      <c r="L525" s="15"/>
    </row>
    <row r="526" spans="1:12" x14ac:dyDescent="0.2">
      <c r="A526" s="23" t="str">
        <f t="shared" si="24"/>
        <v/>
      </c>
      <c r="B526" s="22"/>
      <c r="C526" s="24"/>
      <c r="D526" s="15"/>
      <c r="E526" s="15"/>
      <c r="F526" s="24"/>
      <c r="G526" s="30"/>
      <c r="H526" s="30"/>
      <c r="I526" s="26" t="str">
        <f t="shared" si="25"/>
        <v/>
      </c>
      <c r="J526" s="21"/>
      <c r="K526" s="26" t="str">
        <f t="shared" si="26"/>
        <v/>
      </c>
      <c r="L526" s="15"/>
    </row>
    <row r="527" spans="1:12" x14ac:dyDescent="0.2">
      <c r="A527" s="23" t="str">
        <f t="shared" si="24"/>
        <v/>
      </c>
      <c r="B527" s="22"/>
      <c r="C527" s="24"/>
      <c r="D527" s="15"/>
      <c r="E527" s="15"/>
      <c r="F527" s="24"/>
      <c r="G527" s="30"/>
      <c r="H527" s="30"/>
      <c r="I527" s="26" t="str">
        <f t="shared" si="25"/>
        <v/>
      </c>
      <c r="J527" s="21"/>
      <c r="K527" s="26" t="str">
        <f t="shared" si="26"/>
        <v/>
      </c>
      <c r="L527" s="15"/>
    </row>
    <row r="528" spans="1:12" x14ac:dyDescent="0.2">
      <c r="A528" s="23" t="str">
        <f t="shared" si="24"/>
        <v/>
      </c>
      <c r="B528" s="22"/>
      <c r="C528" s="24"/>
      <c r="D528" s="15"/>
      <c r="E528" s="15"/>
      <c r="F528" s="24"/>
      <c r="G528" s="30"/>
      <c r="H528" s="30"/>
      <c r="I528" s="26" t="str">
        <f t="shared" si="25"/>
        <v/>
      </c>
      <c r="J528" s="21"/>
      <c r="K528" s="26" t="str">
        <f t="shared" si="26"/>
        <v/>
      </c>
      <c r="L528" s="15"/>
    </row>
    <row r="529" spans="1:12" x14ac:dyDescent="0.2">
      <c r="A529" s="23" t="str">
        <f t="shared" si="24"/>
        <v/>
      </c>
      <c r="B529" s="22"/>
      <c r="C529" s="24"/>
      <c r="D529" s="15"/>
      <c r="E529" s="15"/>
      <c r="F529" s="24"/>
      <c r="G529" s="30"/>
      <c r="H529" s="30"/>
      <c r="I529" s="26" t="str">
        <f t="shared" si="25"/>
        <v/>
      </c>
      <c r="J529" s="21"/>
      <c r="K529" s="26" t="str">
        <f t="shared" si="26"/>
        <v/>
      </c>
      <c r="L529" s="15"/>
    </row>
    <row r="530" spans="1:12" x14ac:dyDescent="0.2">
      <c r="A530" s="23" t="str">
        <f t="shared" si="24"/>
        <v/>
      </c>
      <c r="B530" s="22"/>
      <c r="C530" s="24"/>
      <c r="D530" s="15"/>
      <c r="E530" s="15"/>
      <c r="F530" s="24"/>
      <c r="G530" s="30"/>
      <c r="H530" s="30"/>
      <c r="I530" s="26" t="str">
        <f t="shared" si="25"/>
        <v/>
      </c>
      <c r="J530" s="21"/>
      <c r="K530" s="26" t="str">
        <f t="shared" si="26"/>
        <v/>
      </c>
      <c r="L530" s="15"/>
    </row>
    <row r="531" spans="1:12" x14ac:dyDescent="0.2">
      <c r="A531" s="23" t="str">
        <f t="shared" si="24"/>
        <v/>
      </c>
      <c r="B531" s="22"/>
      <c r="C531" s="24"/>
      <c r="D531" s="15"/>
      <c r="E531" s="15"/>
      <c r="F531" s="24"/>
      <c r="G531" s="30"/>
      <c r="H531" s="30"/>
      <c r="I531" s="26" t="str">
        <f t="shared" si="25"/>
        <v/>
      </c>
      <c r="J531" s="21"/>
      <c r="K531" s="26" t="str">
        <f t="shared" si="26"/>
        <v/>
      </c>
      <c r="L531" s="15"/>
    </row>
    <row r="532" spans="1:12" x14ac:dyDescent="0.2">
      <c r="A532" s="23" t="str">
        <f t="shared" si="24"/>
        <v/>
      </c>
      <c r="B532" s="22"/>
      <c r="C532" s="24"/>
      <c r="D532" s="15"/>
      <c r="E532" s="15"/>
      <c r="F532" s="24"/>
      <c r="G532" s="30"/>
      <c r="H532" s="30"/>
      <c r="I532" s="26" t="str">
        <f t="shared" si="25"/>
        <v/>
      </c>
      <c r="J532" s="21"/>
      <c r="K532" s="26" t="str">
        <f t="shared" si="26"/>
        <v/>
      </c>
      <c r="L532" s="15"/>
    </row>
    <row r="533" spans="1:12" x14ac:dyDescent="0.2">
      <c r="A533" s="23" t="str">
        <f t="shared" si="24"/>
        <v/>
      </c>
      <c r="B533" s="22"/>
      <c r="C533" s="24"/>
      <c r="D533" s="15"/>
      <c r="E533" s="15"/>
      <c r="F533" s="24"/>
      <c r="G533" s="30"/>
      <c r="H533" s="30"/>
      <c r="I533" s="26" t="str">
        <f t="shared" si="25"/>
        <v/>
      </c>
      <c r="J533" s="21"/>
      <c r="K533" s="26" t="str">
        <f t="shared" si="26"/>
        <v/>
      </c>
      <c r="L533" s="15"/>
    </row>
    <row r="534" spans="1:12" x14ac:dyDescent="0.2">
      <c r="A534" s="23" t="str">
        <f t="shared" si="24"/>
        <v/>
      </c>
      <c r="B534" s="22"/>
      <c r="C534" s="24"/>
      <c r="D534" s="15"/>
      <c r="E534" s="15"/>
      <c r="F534" s="24"/>
      <c r="G534" s="30"/>
      <c r="H534" s="30"/>
      <c r="I534" s="26" t="str">
        <f t="shared" si="25"/>
        <v/>
      </c>
      <c r="J534" s="21"/>
      <c r="K534" s="26" t="str">
        <f t="shared" si="26"/>
        <v/>
      </c>
      <c r="L534" s="15"/>
    </row>
    <row r="535" spans="1:12" x14ac:dyDescent="0.2">
      <c r="A535" s="23" t="str">
        <f t="shared" si="24"/>
        <v/>
      </c>
      <c r="B535" s="22"/>
      <c r="C535" s="24"/>
      <c r="D535" s="15"/>
      <c r="E535" s="15"/>
      <c r="F535" s="24"/>
      <c r="G535" s="30"/>
      <c r="H535" s="30"/>
      <c r="I535" s="26" t="str">
        <f t="shared" si="25"/>
        <v/>
      </c>
      <c r="J535" s="21"/>
      <c r="K535" s="26" t="str">
        <f t="shared" si="26"/>
        <v/>
      </c>
      <c r="L535" s="15"/>
    </row>
    <row r="536" spans="1:12" x14ac:dyDescent="0.2">
      <c r="A536" s="23" t="str">
        <f t="shared" si="24"/>
        <v/>
      </c>
      <c r="B536" s="22"/>
      <c r="C536" s="24"/>
      <c r="D536" s="15"/>
      <c r="E536" s="15"/>
      <c r="F536" s="24"/>
      <c r="G536" s="30"/>
      <c r="H536" s="30"/>
      <c r="I536" s="26" t="str">
        <f t="shared" si="25"/>
        <v/>
      </c>
      <c r="J536" s="21"/>
      <c r="K536" s="26" t="str">
        <f t="shared" si="26"/>
        <v/>
      </c>
      <c r="L536" s="15"/>
    </row>
    <row r="537" spans="1:12" x14ac:dyDescent="0.2">
      <c r="A537" s="23" t="str">
        <f t="shared" si="24"/>
        <v/>
      </c>
      <c r="B537" s="22"/>
      <c r="C537" s="24"/>
      <c r="D537" s="15"/>
      <c r="E537" s="15"/>
      <c r="F537" s="24"/>
      <c r="G537" s="30"/>
      <c r="H537" s="30"/>
      <c r="I537" s="26" t="str">
        <f t="shared" si="25"/>
        <v/>
      </c>
      <c r="J537" s="21"/>
      <c r="K537" s="26" t="str">
        <f t="shared" si="26"/>
        <v/>
      </c>
      <c r="L537" s="15"/>
    </row>
    <row r="538" spans="1:12" x14ac:dyDescent="0.2">
      <c r="A538" s="23" t="str">
        <f t="shared" si="24"/>
        <v/>
      </c>
      <c r="B538" s="22"/>
      <c r="C538" s="24"/>
      <c r="D538" s="15"/>
      <c r="E538" s="15"/>
      <c r="F538" s="24"/>
      <c r="G538" s="30"/>
      <c r="H538" s="30"/>
      <c r="I538" s="26" t="str">
        <f t="shared" si="25"/>
        <v/>
      </c>
      <c r="J538" s="21"/>
      <c r="K538" s="26" t="str">
        <f t="shared" si="26"/>
        <v/>
      </c>
      <c r="L538" s="15"/>
    </row>
    <row r="539" spans="1:12" x14ac:dyDescent="0.2">
      <c r="A539" s="23" t="str">
        <f t="shared" si="24"/>
        <v/>
      </c>
      <c r="B539" s="22"/>
      <c r="C539" s="24"/>
      <c r="D539" s="15"/>
      <c r="E539" s="15"/>
      <c r="F539" s="24"/>
      <c r="G539" s="30"/>
      <c r="H539" s="30"/>
      <c r="I539" s="26" t="str">
        <f t="shared" si="25"/>
        <v/>
      </c>
      <c r="J539" s="21"/>
      <c r="K539" s="26" t="str">
        <f t="shared" si="26"/>
        <v/>
      </c>
      <c r="L539" s="15"/>
    </row>
    <row r="540" spans="1:12" x14ac:dyDescent="0.2">
      <c r="A540" s="23" t="str">
        <f t="shared" si="24"/>
        <v/>
      </c>
      <c r="B540" s="22"/>
      <c r="C540" s="24"/>
      <c r="D540" s="15"/>
      <c r="E540" s="15"/>
      <c r="F540" s="24"/>
      <c r="G540" s="30"/>
      <c r="H540" s="30"/>
      <c r="I540" s="26" t="str">
        <f t="shared" si="25"/>
        <v/>
      </c>
      <c r="J540" s="21"/>
      <c r="K540" s="26" t="str">
        <f t="shared" si="26"/>
        <v/>
      </c>
      <c r="L540" s="15"/>
    </row>
    <row r="541" spans="1:12" x14ac:dyDescent="0.2">
      <c r="A541" s="23" t="str">
        <f t="shared" si="24"/>
        <v/>
      </c>
      <c r="B541" s="22"/>
      <c r="C541" s="24"/>
      <c r="D541" s="15"/>
      <c r="E541" s="15"/>
      <c r="F541" s="24"/>
      <c r="G541" s="30"/>
      <c r="H541" s="30"/>
      <c r="I541" s="26" t="str">
        <f t="shared" si="25"/>
        <v/>
      </c>
      <c r="J541" s="21"/>
      <c r="K541" s="26" t="str">
        <f t="shared" si="26"/>
        <v/>
      </c>
      <c r="L541" s="15"/>
    </row>
    <row r="542" spans="1:12" x14ac:dyDescent="0.2">
      <c r="A542" s="23" t="str">
        <f t="shared" si="24"/>
        <v/>
      </c>
      <c r="B542" s="22"/>
      <c r="C542" s="24"/>
      <c r="D542" s="15"/>
      <c r="E542" s="15"/>
      <c r="F542" s="24"/>
      <c r="G542" s="30"/>
      <c r="H542" s="30"/>
      <c r="I542" s="26" t="str">
        <f t="shared" si="25"/>
        <v/>
      </c>
      <c r="J542" s="21"/>
      <c r="K542" s="26" t="str">
        <f t="shared" si="26"/>
        <v/>
      </c>
      <c r="L542" s="15"/>
    </row>
    <row r="543" spans="1:12" x14ac:dyDescent="0.2">
      <c r="A543" s="23" t="str">
        <f t="shared" si="24"/>
        <v/>
      </c>
      <c r="B543" s="22"/>
      <c r="C543" s="24"/>
      <c r="D543" s="15"/>
      <c r="E543" s="15"/>
      <c r="F543" s="24"/>
      <c r="G543" s="30"/>
      <c r="H543" s="30"/>
      <c r="I543" s="26" t="str">
        <f t="shared" si="25"/>
        <v/>
      </c>
      <c r="J543" s="21"/>
      <c r="K543" s="26" t="str">
        <f t="shared" si="26"/>
        <v/>
      </c>
      <c r="L543" s="15"/>
    </row>
    <row r="544" spans="1:12" x14ac:dyDescent="0.2">
      <c r="A544" s="23" t="str">
        <f t="shared" si="24"/>
        <v/>
      </c>
      <c r="B544" s="22"/>
      <c r="C544" s="24"/>
      <c r="D544" s="15"/>
      <c r="E544" s="15"/>
      <c r="F544" s="24"/>
      <c r="G544" s="30"/>
      <c r="H544" s="30"/>
      <c r="I544" s="26" t="str">
        <f t="shared" si="25"/>
        <v/>
      </c>
      <c r="J544" s="21"/>
      <c r="K544" s="26" t="str">
        <f t="shared" si="26"/>
        <v/>
      </c>
      <c r="L544" s="15"/>
    </row>
    <row r="545" spans="1:12" x14ac:dyDescent="0.2">
      <c r="A545" s="23" t="str">
        <f t="shared" si="24"/>
        <v/>
      </c>
      <c r="B545" s="22"/>
      <c r="C545" s="24"/>
      <c r="D545" s="15"/>
      <c r="E545" s="15"/>
      <c r="F545" s="24"/>
      <c r="G545" s="30"/>
      <c r="H545" s="30"/>
      <c r="I545" s="26" t="str">
        <f t="shared" si="25"/>
        <v/>
      </c>
      <c r="J545" s="21"/>
      <c r="K545" s="26" t="str">
        <f t="shared" si="26"/>
        <v/>
      </c>
      <c r="L545" s="15"/>
    </row>
    <row r="546" spans="1:12" x14ac:dyDescent="0.2">
      <c r="A546" s="23" t="str">
        <f t="shared" si="24"/>
        <v/>
      </c>
      <c r="B546" s="22"/>
      <c r="C546" s="24"/>
      <c r="D546" s="15"/>
      <c r="E546" s="15"/>
      <c r="F546" s="24"/>
      <c r="G546" s="30"/>
      <c r="H546" s="30"/>
      <c r="I546" s="26" t="str">
        <f t="shared" si="25"/>
        <v/>
      </c>
      <c r="J546" s="21"/>
      <c r="K546" s="26" t="str">
        <f t="shared" si="26"/>
        <v/>
      </c>
      <c r="L546" s="15"/>
    </row>
    <row r="547" spans="1:12" x14ac:dyDescent="0.2">
      <c r="A547" s="23" t="str">
        <f t="shared" si="24"/>
        <v/>
      </c>
      <c r="B547" s="22"/>
      <c r="C547" s="24"/>
      <c r="D547" s="15"/>
      <c r="E547" s="15"/>
      <c r="F547" s="24"/>
      <c r="G547" s="30"/>
      <c r="H547" s="30"/>
      <c r="I547" s="26" t="str">
        <f t="shared" si="25"/>
        <v/>
      </c>
      <c r="J547" s="21"/>
      <c r="K547" s="26" t="str">
        <f t="shared" si="26"/>
        <v/>
      </c>
      <c r="L547" s="15"/>
    </row>
    <row r="548" spans="1:12" x14ac:dyDescent="0.2">
      <c r="A548" s="23" t="str">
        <f t="shared" si="24"/>
        <v/>
      </c>
      <c r="B548" s="22"/>
      <c r="C548" s="24"/>
      <c r="D548" s="15"/>
      <c r="E548" s="15"/>
      <c r="F548" s="24"/>
      <c r="G548" s="30"/>
      <c r="H548" s="30"/>
      <c r="I548" s="26" t="str">
        <f t="shared" si="25"/>
        <v/>
      </c>
      <c r="J548" s="21"/>
      <c r="K548" s="26" t="str">
        <f t="shared" si="26"/>
        <v/>
      </c>
      <c r="L548" s="15"/>
    </row>
    <row r="549" spans="1:12" x14ac:dyDescent="0.2">
      <c r="A549" s="23" t="str">
        <f t="shared" si="24"/>
        <v/>
      </c>
      <c r="B549" s="22"/>
      <c r="C549" s="24"/>
      <c r="D549" s="15"/>
      <c r="E549" s="15"/>
      <c r="F549" s="24"/>
      <c r="G549" s="30"/>
      <c r="H549" s="30"/>
      <c r="I549" s="26" t="str">
        <f t="shared" si="25"/>
        <v/>
      </c>
      <c r="J549" s="21"/>
      <c r="K549" s="26" t="str">
        <f t="shared" si="26"/>
        <v/>
      </c>
      <c r="L549" s="15"/>
    </row>
    <row r="550" spans="1:12" x14ac:dyDescent="0.2">
      <c r="A550" s="23" t="str">
        <f t="shared" si="24"/>
        <v/>
      </c>
      <c r="B550" s="22"/>
      <c r="C550" s="24"/>
      <c r="D550" s="15"/>
      <c r="E550" s="15"/>
      <c r="F550" s="24"/>
      <c r="G550" s="30"/>
      <c r="H550" s="30"/>
      <c r="I550" s="26" t="str">
        <f t="shared" si="25"/>
        <v/>
      </c>
      <c r="J550" s="21"/>
      <c r="K550" s="26" t="str">
        <f t="shared" si="26"/>
        <v/>
      </c>
      <c r="L550" s="15"/>
    </row>
    <row r="551" spans="1:12" x14ac:dyDescent="0.2">
      <c r="A551" s="23" t="str">
        <f t="shared" si="24"/>
        <v/>
      </c>
      <c r="B551" s="22"/>
      <c r="C551" s="24"/>
      <c r="D551" s="15"/>
      <c r="E551" s="15"/>
      <c r="F551" s="24"/>
      <c r="G551" s="30"/>
      <c r="H551" s="30"/>
      <c r="I551" s="26" t="str">
        <f t="shared" si="25"/>
        <v/>
      </c>
      <c r="J551" s="21"/>
      <c r="K551" s="26" t="str">
        <f t="shared" si="26"/>
        <v/>
      </c>
      <c r="L551" s="15"/>
    </row>
    <row r="552" spans="1:12" x14ac:dyDescent="0.2">
      <c r="A552" s="23" t="str">
        <f t="shared" si="24"/>
        <v/>
      </c>
      <c r="B552" s="22"/>
      <c r="C552" s="24"/>
      <c r="D552" s="15"/>
      <c r="E552" s="15"/>
      <c r="F552" s="24"/>
      <c r="G552" s="30"/>
      <c r="H552" s="30"/>
      <c r="I552" s="26" t="str">
        <f t="shared" si="25"/>
        <v/>
      </c>
      <c r="J552" s="21"/>
      <c r="K552" s="26" t="str">
        <f t="shared" si="26"/>
        <v/>
      </c>
      <c r="L552" s="15"/>
    </row>
    <row r="553" spans="1:12" x14ac:dyDescent="0.2">
      <c r="A553" s="23" t="str">
        <f t="shared" si="24"/>
        <v/>
      </c>
      <c r="B553" s="22"/>
      <c r="C553" s="24"/>
      <c r="D553" s="15"/>
      <c r="E553" s="15"/>
      <c r="F553" s="24"/>
      <c r="G553" s="30"/>
      <c r="H553" s="30"/>
      <c r="I553" s="26" t="str">
        <f t="shared" si="25"/>
        <v/>
      </c>
      <c r="J553" s="21"/>
      <c r="K553" s="26" t="str">
        <f t="shared" si="26"/>
        <v/>
      </c>
      <c r="L553" s="15"/>
    </row>
    <row r="554" spans="1:12" x14ac:dyDescent="0.2">
      <c r="A554" s="23" t="str">
        <f t="shared" si="24"/>
        <v/>
      </c>
      <c r="B554" s="22"/>
      <c r="C554" s="24"/>
      <c r="D554" s="15"/>
      <c r="E554" s="15"/>
      <c r="F554" s="24"/>
      <c r="G554" s="30"/>
      <c r="H554" s="30"/>
      <c r="I554" s="26" t="str">
        <f t="shared" si="25"/>
        <v/>
      </c>
      <c r="J554" s="21"/>
      <c r="K554" s="26" t="str">
        <f t="shared" si="26"/>
        <v/>
      </c>
      <c r="L554" s="15"/>
    </row>
    <row r="555" spans="1:12" x14ac:dyDescent="0.2">
      <c r="A555" s="23" t="str">
        <f t="shared" si="24"/>
        <v/>
      </c>
      <c r="B555" s="22"/>
      <c r="C555" s="24"/>
      <c r="D555" s="15"/>
      <c r="E555" s="15"/>
      <c r="F555" s="24"/>
      <c r="G555" s="30"/>
      <c r="H555" s="30"/>
      <c r="I555" s="26" t="str">
        <f t="shared" si="25"/>
        <v/>
      </c>
      <c r="J555" s="21"/>
      <c r="K555" s="26" t="str">
        <f t="shared" si="26"/>
        <v/>
      </c>
      <c r="L555" s="15"/>
    </row>
    <row r="556" spans="1:12" x14ac:dyDescent="0.2">
      <c r="A556" s="23" t="str">
        <f t="shared" si="24"/>
        <v/>
      </c>
      <c r="B556" s="22"/>
      <c r="C556" s="24"/>
      <c r="D556" s="15"/>
      <c r="E556" s="15"/>
      <c r="F556" s="24"/>
      <c r="G556" s="30"/>
      <c r="H556" s="30"/>
      <c r="I556" s="26" t="str">
        <f t="shared" si="25"/>
        <v/>
      </c>
      <c r="J556" s="21"/>
      <c r="K556" s="26" t="str">
        <f t="shared" si="26"/>
        <v/>
      </c>
      <c r="L556" s="15"/>
    </row>
    <row r="557" spans="1:12" x14ac:dyDescent="0.2">
      <c r="A557" s="23" t="str">
        <f t="shared" si="24"/>
        <v/>
      </c>
      <c r="B557" s="22"/>
      <c r="C557" s="24"/>
      <c r="D557" s="15"/>
      <c r="E557" s="15"/>
      <c r="F557" s="24"/>
      <c r="G557" s="30"/>
      <c r="H557" s="30"/>
      <c r="I557" s="26" t="str">
        <f t="shared" si="25"/>
        <v/>
      </c>
      <c r="J557" s="21"/>
      <c r="K557" s="26" t="str">
        <f t="shared" si="26"/>
        <v/>
      </c>
      <c r="L557" s="15"/>
    </row>
    <row r="558" spans="1:12" x14ac:dyDescent="0.2">
      <c r="A558" s="23" t="str">
        <f t="shared" si="24"/>
        <v/>
      </c>
      <c r="B558" s="22"/>
      <c r="C558" s="24"/>
      <c r="D558" s="15"/>
      <c r="E558" s="15"/>
      <c r="F558" s="24"/>
      <c r="G558" s="30"/>
      <c r="H558" s="30"/>
      <c r="I558" s="26" t="str">
        <f t="shared" si="25"/>
        <v/>
      </c>
      <c r="J558" s="21"/>
      <c r="K558" s="26" t="str">
        <f t="shared" si="26"/>
        <v/>
      </c>
      <c r="L558" s="15"/>
    </row>
    <row r="559" spans="1:12" x14ac:dyDescent="0.2">
      <c r="A559" s="23" t="str">
        <f t="shared" si="24"/>
        <v/>
      </c>
      <c r="B559" s="22"/>
      <c r="C559" s="24"/>
      <c r="D559" s="15"/>
      <c r="E559" s="15"/>
      <c r="F559" s="24"/>
      <c r="G559" s="30"/>
      <c r="H559" s="30"/>
      <c r="I559" s="26" t="str">
        <f t="shared" si="25"/>
        <v/>
      </c>
      <c r="J559" s="21"/>
      <c r="K559" s="26" t="str">
        <f t="shared" si="26"/>
        <v/>
      </c>
      <c r="L559" s="15"/>
    </row>
    <row r="560" spans="1:12" x14ac:dyDescent="0.2">
      <c r="A560" s="23" t="str">
        <f t="shared" si="24"/>
        <v/>
      </c>
      <c r="B560" s="22"/>
      <c r="C560" s="24"/>
      <c r="D560" s="15"/>
      <c r="E560" s="15"/>
      <c r="F560" s="24"/>
      <c r="G560" s="30"/>
      <c r="H560" s="30"/>
      <c r="I560" s="26" t="str">
        <f t="shared" si="25"/>
        <v/>
      </c>
      <c r="J560" s="21"/>
      <c r="K560" s="26" t="str">
        <f t="shared" si="26"/>
        <v/>
      </c>
      <c r="L560" s="15"/>
    </row>
    <row r="561" spans="1:12" x14ac:dyDescent="0.2">
      <c r="A561" s="23" t="str">
        <f t="shared" si="24"/>
        <v/>
      </c>
      <c r="B561" s="22"/>
      <c r="C561" s="24"/>
      <c r="D561" s="15"/>
      <c r="E561" s="15"/>
      <c r="F561" s="24"/>
      <c r="G561" s="30"/>
      <c r="H561" s="30"/>
      <c r="I561" s="26" t="str">
        <f t="shared" si="25"/>
        <v/>
      </c>
      <c r="J561" s="21"/>
      <c r="K561" s="26" t="str">
        <f t="shared" si="26"/>
        <v/>
      </c>
      <c r="L561" s="15"/>
    </row>
    <row r="562" spans="1:12" x14ac:dyDescent="0.2">
      <c r="A562" s="23" t="str">
        <f t="shared" si="24"/>
        <v/>
      </c>
      <c r="B562" s="22"/>
      <c r="C562" s="24"/>
      <c r="D562" s="15"/>
      <c r="E562" s="15"/>
      <c r="F562" s="24"/>
      <c r="G562" s="30"/>
      <c r="H562" s="30"/>
      <c r="I562" s="26" t="str">
        <f t="shared" si="25"/>
        <v/>
      </c>
      <c r="J562" s="21"/>
      <c r="K562" s="26" t="str">
        <f t="shared" si="26"/>
        <v/>
      </c>
      <c r="L562" s="15"/>
    </row>
    <row r="563" spans="1:12" x14ac:dyDescent="0.2">
      <c r="A563" s="23" t="str">
        <f t="shared" si="24"/>
        <v/>
      </c>
      <c r="B563" s="22"/>
      <c r="C563" s="24"/>
      <c r="D563" s="15"/>
      <c r="E563" s="15"/>
      <c r="F563" s="24"/>
      <c r="G563" s="30"/>
      <c r="H563" s="30"/>
      <c r="I563" s="26" t="str">
        <f t="shared" si="25"/>
        <v/>
      </c>
      <c r="J563" s="21"/>
      <c r="K563" s="26" t="str">
        <f t="shared" si="26"/>
        <v/>
      </c>
      <c r="L563" s="15"/>
    </row>
    <row r="564" spans="1:12" x14ac:dyDescent="0.2">
      <c r="A564" s="23" t="str">
        <f t="shared" si="24"/>
        <v/>
      </c>
      <c r="B564" s="22"/>
      <c r="C564" s="24"/>
      <c r="D564" s="15"/>
      <c r="E564" s="15"/>
      <c r="F564" s="24"/>
      <c r="G564" s="30"/>
      <c r="H564" s="30"/>
      <c r="I564" s="26" t="str">
        <f t="shared" si="25"/>
        <v/>
      </c>
      <c r="J564" s="21"/>
      <c r="K564" s="26" t="str">
        <f t="shared" si="26"/>
        <v/>
      </c>
      <c r="L564" s="15"/>
    </row>
    <row r="565" spans="1:12" x14ac:dyDescent="0.2">
      <c r="A565" s="23" t="str">
        <f t="shared" si="24"/>
        <v/>
      </c>
      <c r="B565" s="22"/>
      <c r="C565" s="24"/>
      <c r="D565" s="15"/>
      <c r="E565" s="15"/>
      <c r="F565" s="24"/>
      <c r="G565" s="30"/>
      <c r="H565" s="30"/>
      <c r="I565" s="26" t="str">
        <f t="shared" si="25"/>
        <v/>
      </c>
      <c r="J565" s="21"/>
      <c r="K565" s="26" t="str">
        <f t="shared" si="26"/>
        <v/>
      </c>
      <c r="L565" s="15"/>
    </row>
    <row r="566" spans="1:12" x14ac:dyDescent="0.2">
      <c r="A566" s="23" t="str">
        <f t="shared" si="24"/>
        <v/>
      </c>
      <c r="B566" s="22"/>
      <c r="C566" s="24"/>
      <c r="D566" s="15"/>
      <c r="E566" s="15"/>
      <c r="F566" s="24"/>
      <c r="G566" s="30"/>
      <c r="H566" s="30"/>
      <c r="I566" s="26" t="str">
        <f t="shared" si="25"/>
        <v/>
      </c>
      <c r="J566" s="21"/>
      <c r="K566" s="26" t="str">
        <f t="shared" si="26"/>
        <v/>
      </c>
      <c r="L566" s="15"/>
    </row>
    <row r="567" spans="1:12" x14ac:dyDescent="0.2">
      <c r="A567" s="23" t="str">
        <f t="shared" si="24"/>
        <v/>
      </c>
      <c r="B567" s="22"/>
      <c r="C567" s="24"/>
      <c r="D567" s="15"/>
      <c r="E567" s="15"/>
      <c r="F567" s="24"/>
      <c r="G567" s="30"/>
      <c r="H567" s="30"/>
      <c r="I567" s="26" t="str">
        <f t="shared" si="25"/>
        <v/>
      </c>
      <c r="J567" s="21"/>
      <c r="K567" s="26" t="str">
        <f t="shared" si="26"/>
        <v/>
      </c>
      <c r="L567" s="15"/>
    </row>
    <row r="568" spans="1:12" x14ac:dyDescent="0.2">
      <c r="A568" s="23" t="str">
        <f t="shared" si="24"/>
        <v/>
      </c>
      <c r="B568" s="22"/>
      <c r="C568" s="24"/>
      <c r="D568" s="15"/>
      <c r="E568" s="15"/>
      <c r="F568" s="24"/>
      <c r="G568" s="30"/>
      <c r="H568" s="30"/>
      <c r="I568" s="26" t="str">
        <f t="shared" si="25"/>
        <v/>
      </c>
      <c r="J568" s="21"/>
      <c r="K568" s="26" t="str">
        <f t="shared" si="26"/>
        <v/>
      </c>
      <c r="L568" s="15"/>
    </row>
    <row r="569" spans="1:12" x14ac:dyDescent="0.2">
      <c r="A569" s="23" t="str">
        <f t="shared" si="24"/>
        <v/>
      </c>
      <c r="B569" s="22"/>
      <c r="C569" s="24"/>
      <c r="D569" s="15"/>
      <c r="E569" s="15"/>
      <c r="F569" s="24"/>
      <c r="G569" s="30"/>
      <c r="H569" s="30"/>
      <c r="I569" s="26" t="str">
        <f t="shared" si="25"/>
        <v/>
      </c>
      <c r="J569" s="21"/>
      <c r="K569" s="26" t="str">
        <f t="shared" si="26"/>
        <v/>
      </c>
      <c r="L569" s="15"/>
    </row>
    <row r="570" spans="1:12" x14ac:dyDescent="0.2">
      <c r="A570" s="23" t="str">
        <f t="shared" si="24"/>
        <v/>
      </c>
      <c r="B570" s="22"/>
      <c r="C570" s="24"/>
      <c r="D570" s="15"/>
      <c r="E570" s="15"/>
      <c r="F570" s="24"/>
      <c r="G570" s="30"/>
      <c r="H570" s="30"/>
      <c r="I570" s="26" t="str">
        <f t="shared" si="25"/>
        <v/>
      </c>
      <c r="J570" s="21"/>
      <c r="K570" s="26" t="str">
        <f t="shared" si="26"/>
        <v/>
      </c>
      <c r="L570" s="15"/>
    </row>
    <row r="571" spans="1:12" x14ac:dyDescent="0.2">
      <c r="A571" s="23" t="str">
        <f t="shared" si="24"/>
        <v/>
      </c>
      <c r="B571" s="22"/>
      <c r="C571" s="24"/>
      <c r="D571" s="15"/>
      <c r="E571" s="15"/>
      <c r="F571" s="24"/>
      <c r="G571" s="30"/>
      <c r="H571" s="30"/>
      <c r="I571" s="26" t="str">
        <f t="shared" si="25"/>
        <v/>
      </c>
      <c r="J571" s="21"/>
      <c r="K571" s="26" t="str">
        <f t="shared" si="26"/>
        <v/>
      </c>
      <c r="L571" s="15"/>
    </row>
    <row r="572" spans="1:12" x14ac:dyDescent="0.2">
      <c r="A572" s="23" t="str">
        <f t="shared" si="24"/>
        <v/>
      </c>
      <c r="B572" s="22"/>
      <c r="C572" s="24"/>
      <c r="D572" s="15"/>
      <c r="E572" s="15"/>
      <c r="F572" s="24"/>
      <c r="G572" s="30"/>
      <c r="H572" s="30"/>
      <c r="I572" s="26" t="str">
        <f t="shared" si="25"/>
        <v/>
      </c>
      <c r="J572" s="21"/>
      <c r="K572" s="26" t="str">
        <f t="shared" si="26"/>
        <v/>
      </c>
      <c r="L572" s="15"/>
    </row>
    <row r="573" spans="1:12" x14ac:dyDescent="0.2">
      <c r="A573" s="23" t="str">
        <f t="shared" si="24"/>
        <v/>
      </c>
      <c r="B573" s="22"/>
      <c r="C573" s="24"/>
      <c r="D573" s="15"/>
      <c r="E573" s="15"/>
      <c r="F573" s="24"/>
      <c r="G573" s="30"/>
      <c r="H573" s="30"/>
      <c r="I573" s="26" t="str">
        <f t="shared" si="25"/>
        <v/>
      </c>
      <c r="J573" s="21"/>
      <c r="K573" s="26" t="str">
        <f t="shared" si="26"/>
        <v/>
      </c>
      <c r="L573" s="15"/>
    </row>
    <row r="574" spans="1:12" x14ac:dyDescent="0.2">
      <c r="A574" s="23" t="str">
        <f t="shared" si="24"/>
        <v/>
      </c>
      <c r="B574" s="22"/>
      <c r="C574" s="24"/>
      <c r="D574" s="15"/>
      <c r="E574" s="15"/>
      <c r="F574" s="24"/>
      <c r="G574" s="30"/>
      <c r="H574" s="30"/>
      <c r="I574" s="26" t="str">
        <f t="shared" si="25"/>
        <v/>
      </c>
      <c r="J574" s="21"/>
      <c r="K574" s="26" t="str">
        <f t="shared" si="26"/>
        <v/>
      </c>
      <c r="L574" s="15"/>
    </row>
    <row r="575" spans="1:12" x14ac:dyDescent="0.2">
      <c r="A575" s="23" t="str">
        <f t="shared" si="24"/>
        <v/>
      </c>
      <c r="B575" s="22"/>
      <c r="C575" s="24"/>
      <c r="D575" s="15"/>
      <c r="E575" s="15"/>
      <c r="F575" s="24"/>
      <c r="G575" s="30"/>
      <c r="H575" s="30"/>
      <c r="I575" s="26" t="str">
        <f t="shared" si="25"/>
        <v/>
      </c>
      <c r="J575" s="21"/>
      <c r="K575" s="26" t="str">
        <f t="shared" si="26"/>
        <v/>
      </c>
      <c r="L575" s="15"/>
    </row>
    <row r="576" spans="1:12" x14ac:dyDescent="0.2">
      <c r="A576" s="23" t="str">
        <f t="shared" si="24"/>
        <v/>
      </c>
      <c r="B576" s="22"/>
      <c r="C576" s="24"/>
      <c r="D576" s="15"/>
      <c r="E576" s="15"/>
      <c r="F576" s="24"/>
      <c r="G576" s="30"/>
      <c r="H576" s="30"/>
      <c r="I576" s="26" t="str">
        <f t="shared" si="25"/>
        <v/>
      </c>
      <c r="J576" s="21"/>
      <c r="K576" s="26" t="str">
        <f t="shared" si="26"/>
        <v/>
      </c>
      <c r="L576" s="15"/>
    </row>
    <row r="577" spans="1:12" x14ac:dyDescent="0.2">
      <c r="A577" s="23" t="str">
        <f t="shared" si="24"/>
        <v/>
      </c>
      <c r="B577" s="22"/>
      <c r="C577" s="24"/>
      <c r="D577" s="15"/>
      <c r="E577" s="15"/>
      <c r="F577" s="24"/>
      <c r="G577" s="30"/>
      <c r="H577" s="30"/>
      <c r="I577" s="26" t="str">
        <f t="shared" si="25"/>
        <v/>
      </c>
      <c r="J577" s="21"/>
      <c r="K577" s="26" t="str">
        <f t="shared" si="26"/>
        <v/>
      </c>
      <c r="L577" s="15"/>
    </row>
    <row r="578" spans="1:12" x14ac:dyDescent="0.2">
      <c r="A578" s="23" t="str">
        <f t="shared" si="24"/>
        <v/>
      </c>
      <c r="B578" s="22"/>
      <c r="C578" s="24"/>
      <c r="D578" s="15"/>
      <c r="E578" s="15"/>
      <c r="F578" s="24"/>
      <c r="G578" s="30"/>
      <c r="H578" s="30"/>
      <c r="I578" s="26" t="str">
        <f t="shared" si="25"/>
        <v/>
      </c>
      <c r="J578" s="21"/>
      <c r="K578" s="26" t="str">
        <f t="shared" si="26"/>
        <v/>
      </c>
      <c r="L578" s="15"/>
    </row>
    <row r="579" spans="1:12" x14ac:dyDescent="0.2">
      <c r="A579" s="23" t="str">
        <f t="shared" si="24"/>
        <v/>
      </c>
      <c r="B579" s="22"/>
      <c r="C579" s="24"/>
      <c r="D579" s="15"/>
      <c r="E579" s="15"/>
      <c r="F579" s="24"/>
      <c r="G579" s="30"/>
      <c r="H579" s="30"/>
      <c r="I579" s="26" t="str">
        <f t="shared" si="25"/>
        <v/>
      </c>
      <c r="J579" s="21"/>
      <c r="K579" s="26" t="str">
        <f t="shared" si="26"/>
        <v/>
      </c>
      <c r="L579" s="15"/>
    </row>
    <row r="580" spans="1:12" x14ac:dyDescent="0.2">
      <c r="A580" s="23" t="str">
        <f t="shared" si="24"/>
        <v/>
      </c>
      <c r="B580" s="22"/>
      <c r="C580" s="24"/>
      <c r="D580" s="15"/>
      <c r="E580" s="15"/>
      <c r="F580" s="24"/>
      <c r="G580" s="30"/>
      <c r="H580" s="30"/>
      <c r="I580" s="26" t="str">
        <f t="shared" si="25"/>
        <v/>
      </c>
      <c r="J580" s="21"/>
      <c r="K580" s="26" t="str">
        <f t="shared" si="26"/>
        <v/>
      </c>
      <c r="L580" s="15"/>
    </row>
    <row r="581" spans="1:12" x14ac:dyDescent="0.2">
      <c r="A581" s="23" t="str">
        <f t="shared" ref="A581:A644" si="27">IF(B581="","",ROW()-4)</f>
        <v/>
      </c>
      <c r="B581" s="22"/>
      <c r="C581" s="24"/>
      <c r="D581" s="15"/>
      <c r="E581" s="15"/>
      <c r="F581" s="24"/>
      <c r="G581" s="30"/>
      <c r="H581" s="30"/>
      <c r="I581" s="26" t="str">
        <f t="shared" ref="I581:I644" si="28">IF(OR(G581="",H581=""),"",G581*H581)</f>
        <v/>
      </c>
      <c r="J581" s="21"/>
      <c r="K581" s="26" t="str">
        <f t="shared" ref="K581:K644" si="29">IF(OR(I581="",J581=""),"",I581*J581)</f>
        <v/>
      </c>
      <c r="L581" s="15"/>
    </row>
    <row r="582" spans="1:12" x14ac:dyDescent="0.2">
      <c r="A582" s="23" t="str">
        <f t="shared" si="27"/>
        <v/>
      </c>
      <c r="B582" s="22"/>
      <c r="C582" s="24"/>
      <c r="D582" s="15"/>
      <c r="E582" s="15"/>
      <c r="F582" s="24"/>
      <c r="G582" s="30"/>
      <c r="H582" s="30"/>
      <c r="I582" s="26" t="str">
        <f t="shared" si="28"/>
        <v/>
      </c>
      <c r="J582" s="21"/>
      <c r="K582" s="26" t="str">
        <f t="shared" si="29"/>
        <v/>
      </c>
      <c r="L582" s="15"/>
    </row>
    <row r="583" spans="1:12" x14ac:dyDescent="0.2">
      <c r="A583" s="23" t="str">
        <f t="shared" si="27"/>
        <v/>
      </c>
      <c r="B583" s="22"/>
      <c r="C583" s="24"/>
      <c r="D583" s="15"/>
      <c r="E583" s="15"/>
      <c r="F583" s="24"/>
      <c r="G583" s="30"/>
      <c r="H583" s="30"/>
      <c r="I583" s="26" t="str">
        <f t="shared" si="28"/>
        <v/>
      </c>
      <c r="J583" s="21"/>
      <c r="K583" s="26" t="str">
        <f t="shared" si="29"/>
        <v/>
      </c>
      <c r="L583" s="15"/>
    </row>
    <row r="584" spans="1:12" x14ac:dyDescent="0.2">
      <c r="A584" s="23" t="str">
        <f t="shared" si="27"/>
        <v/>
      </c>
      <c r="B584" s="22"/>
      <c r="C584" s="24"/>
      <c r="D584" s="15"/>
      <c r="E584" s="15"/>
      <c r="F584" s="24"/>
      <c r="G584" s="30"/>
      <c r="H584" s="30"/>
      <c r="I584" s="26" t="str">
        <f t="shared" si="28"/>
        <v/>
      </c>
      <c r="J584" s="21"/>
      <c r="K584" s="26" t="str">
        <f t="shared" si="29"/>
        <v/>
      </c>
      <c r="L584" s="15"/>
    </row>
    <row r="585" spans="1:12" x14ac:dyDescent="0.2">
      <c r="A585" s="23" t="str">
        <f t="shared" si="27"/>
        <v/>
      </c>
      <c r="B585" s="22"/>
      <c r="C585" s="24"/>
      <c r="D585" s="15"/>
      <c r="E585" s="15"/>
      <c r="F585" s="24"/>
      <c r="G585" s="30"/>
      <c r="H585" s="30"/>
      <c r="I585" s="26" t="str">
        <f t="shared" si="28"/>
        <v/>
      </c>
      <c r="J585" s="21"/>
      <c r="K585" s="26" t="str">
        <f t="shared" si="29"/>
        <v/>
      </c>
      <c r="L585" s="15"/>
    </row>
    <row r="586" spans="1:12" x14ac:dyDescent="0.2">
      <c r="A586" s="23" t="str">
        <f t="shared" si="27"/>
        <v/>
      </c>
      <c r="B586" s="22"/>
      <c r="C586" s="24"/>
      <c r="D586" s="15"/>
      <c r="E586" s="15"/>
      <c r="F586" s="24"/>
      <c r="G586" s="30"/>
      <c r="H586" s="30"/>
      <c r="I586" s="26" t="str">
        <f t="shared" si="28"/>
        <v/>
      </c>
      <c r="J586" s="21"/>
      <c r="K586" s="26" t="str">
        <f t="shared" si="29"/>
        <v/>
      </c>
      <c r="L586" s="15"/>
    </row>
    <row r="587" spans="1:12" x14ac:dyDescent="0.2">
      <c r="A587" s="23" t="str">
        <f t="shared" si="27"/>
        <v/>
      </c>
      <c r="B587" s="22"/>
      <c r="C587" s="24"/>
      <c r="D587" s="15"/>
      <c r="E587" s="15"/>
      <c r="F587" s="24"/>
      <c r="G587" s="30"/>
      <c r="H587" s="30"/>
      <c r="I587" s="26" t="str">
        <f t="shared" si="28"/>
        <v/>
      </c>
      <c r="J587" s="21"/>
      <c r="K587" s="26" t="str">
        <f t="shared" si="29"/>
        <v/>
      </c>
      <c r="L587" s="15"/>
    </row>
    <row r="588" spans="1:12" x14ac:dyDescent="0.2">
      <c r="A588" s="23" t="str">
        <f t="shared" si="27"/>
        <v/>
      </c>
      <c r="B588" s="22"/>
      <c r="C588" s="24"/>
      <c r="D588" s="15"/>
      <c r="E588" s="15"/>
      <c r="F588" s="24"/>
      <c r="G588" s="30"/>
      <c r="H588" s="30"/>
      <c r="I588" s="26" t="str">
        <f t="shared" si="28"/>
        <v/>
      </c>
      <c r="J588" s="21"/>
      <c r="K588" s="26" t="str">
        <f t="shared" si="29"/>
        <v/>
      </c>
      <c r="L588" s="15"/>
    </row>
    <row r="589" spans="1:12" x14ac:dyDescent="0.2">
      <c r="A589" s="23" t="str">
        <f t="shared" si="27"/>
        <v/>
      </c>
      <c r="B589" s="22"/>
      <c r="C589" s="24"/>
      <c r="D589" s="15"/>
      <c r="E589" s="15"/>
      <c r="F589" s="24"/>
      <c r="G589" s="30"/>
      <c r="H589" s="30"/>
      <c r="I589" s="26" t="str">
        <f t="shared" si="28"/>
        <v/>
      </c>
      <c r="J589" s="21"/>
      <c r="K589" s="26" t="str">
        <f t="shared" si="29"/>
        <v/>
      </c>
      <c r="L589" s="15"/>
    </row>
    <row r="590" spans="1:12" x14ac:dyDescent="0.2">
      <c r="A590" s="23" t="str">
        <f t="shared" si="27"/>
        <v/>
      </c>
      <c r="B590" s="22"/>
      <c r="C590" s="24"/>
      <c r="D590" s="15"/>
      <c r="E590" s="15"/>
      <c r="F590" s="24"/>
      <c r="G590" s="30"/>
      <c r="H590" s="30"/>
      <c r="I590" s="26" t="str">
        <f t="shared" si="28"/>
        <v/>
      </c>
      <c r="J590" s="21"/>
      <c r="K590" s="26" t="str">
        <f t="shared" si="29"/>
        <v/>
      </c>
      <c r="L590" s="15"/>
    </row>
    <row r="591" spans="1:12" x14ac:dyDescent="0.2">
      <c r="A591" s="23" t="str">
        <f t="shared" si="27"/>
        <v/>
      </c>
      <c r="B591" s="22"/>
      <c r="C591" s="24"/>
      <c r="D591" s="15"/>
      <c r="E591" s="15"/>
      <c r="F591" s="24"/>
      <c r="G591" s="30"/>
      <c r="H591" s="30"/>
      <c r="I591" s="26" t="str">
        <f t="shared" si="28"/>
        <v/>
      </c>
      <c r="J591" s="21"/>
      <c r="K591" s="26" t="str">
        <f t="shared" si="29"/>
        <v/>
      </c>
      <c r="L591" s="15"/>
    </row>
    <row r="592" spans="1:12" x14ac:dyDescent="0.2">
      <c r="A592" s="23" t="str">
        <f t="shared" si="27"/>
        <v/>
      </c>
      <c r="B592" s="22"/>
      <c r="C592" s="24"/>
      <c r="D592" s="15"/>
      <c r="E592" s="15"/>
      <c r="F592" s="24"/>
      <c r="G592" s="30"/>
      <c r="H592" s="30"/>
      <c r="I592" s="26" t="str">
        <f t="shared" si="28"/>
        <v/>
      </c>
      <c r="J592" s="21"/>
      <c r="K592" s="26" t="str">
        <f t="shared" si="29"/>
        <v/>
      </c>
      <c r="L592" s="15"/>
    </row>
    <row r="593" spans="1:12" x14ac:dyDescent="0.2">
      <c r="A593" s="23" t="str">
        <f t="shared" si="27"/>
        <v/>
      </c>
      <c r="B593" s="22"/>
      <c r="C593" s="24"/>
      <c r="D593" s="15"/>
      <c r="E593" s="15"/>
      <c r="F593" s="24"/>
      <c r="G593" s="30"/>
      <c r="H593" s="30"/>
      <c r="I593" s="26" t="str">
        <f t="shared" si="28"/>
        <v/>
      </c>
      <c r="J593" s="21"/>
      <c r="K593" s="26" t="str">
        <f t="shared" si="29"/>
        <v/>
      </c>
      <c r="L593" s="15"/>
    </row>
    <row r="594" spans="1:12" x14ac:dyDescent="0.2">
      <c r="A594" s="23" t="str">
        <f t="shared" si="27"/>
        <v/>
      </c>
      <c r="B594" s="22"/>
      <c r="C594" s="24"/>
      <c r="D594" s="15"/>
      <c r="E594" s="15"/>
      <c r="F594" s="24"/>
      <c r="G594" s="30"/>
      <c r="H594" s="30"/>
      <c r="I594" s="26" t="str">
        <f t="shared" si="28"/>
        <v/>
      </c>
      <c r="J594" s="21"/>
      <c r="K594" s="26" t="str">
        <f t="shared" si="29"/>
        <v/>
      </c>
      <c r="L594" s="15"/>
    </row>
    <row r="595" spans="1:12" x14ac:dyDescent="0.2">
      <c r="A595" s="23" t="str">
        <f t="shared" si="27"/>
        <v/>
      </c>
      <c r="B595" s="22"/>
      <c r="C595" s="24"/>
      <c r="D595" s="15"/>
      <c r="E595" s="15"/>
      <c r="F595" s="24"/>
      <c r="G595" s="30"/>
      <c r="H595" s="30"/>
      <c r="I595" s="26" t="str">
        <f t="shared" si="28"/>
        <v/>
      </c>
      <c r="J595" s="21"/>
      <c r="K595" s="26" t="str">
        <f t="shared" si="29"/>
        <v/>
      </c>
      <c r="L595" s="15"/>
    </row>
    <row r="596" spans="1:12" x14ac:dyDescent="0.2">
      <c r="A596" s="23" t="str">
        <f t="shared" si="27"/>
        <v/>
      </c>
      <c r="B596" s="22"/>
      <c r="C596" s="24"/>
      <c r="D596" s="15"/>
      <c r="E596" s="15"/>
      <c r="F596" s="24"/>
      <c r="G596" s="30"/>
      <c r="H596" s="30"/>
      <c r="I596" s="26" t="str">
        <f t="shared" si="28"/>
        <v/>
      </c>
      <c r="J596" s="21"/>
      <c r="K596" s="26" t="str">
        <f t="shared" si="29"/>
        <v/>
      </c>
      <c r="L596" s="15"/>
    </row>
    <row r="597" spans="1:12" x14ac:dyDescent="0.2">
      <c r="A597" s="23" t="str">
        <f t="shared" si="27"/>
        <v/>
      </c>
      <c r="B597" s="22"/>
      <c r="C597" s="24"/>
      <c r="D597" s="15"/>
      <c r="E597" s="15"/>
      <c r="F597" s="24"/>
      <c r="G597" s="30"/>
      <c r="H597" s="30"/>
      <c r="I597" s="26" t="str">
        <f t="shared" si="28"/>
        <v/>
      </c>
      <c r="J597" s="21"/>
      <c r="K597" s="26" t="str">
        <f t="shared" si="29"/>
        <v/>
      </c>
      <c r="L597" s="15"/>
    </row>
    <row r="598" spans="1:12" x14ac:dyDescent="0.2">
      <c r="A598" s="23" t="str">
        <f t="shared" si="27"/>
        <v/>
      </c>
      <c r="B598" s="22"/>
      <c r="C598" s="24"/>
      <c r="D598" s="15"/>
      <c r="E598" s="15"/>
      <c r="F598" s="24"/>
      <c r="G598" s="30"/>
      <c r="H598" s="30"/>
      <c r="I598" s="26" t="str">
        <f t="shared" si="28"/>
        <v/>
      </c>
      <c r="J598" s="21"/>
      <c r="K598" s="26" t="str">
        <f t="shared" si="29"/>
        <v/>
      </c>
      <c r="L598" s="15"/>
    </row>
    <row r="599" spans="1:12" x14ac:dyDescent="0.2">
      <c r="A599" s="23" t="str">
        <f t="shared" si="27"/>
        <v/>
      </c>
      <c r="B599" s="22"/>
      <c r="C599" s="24"/>
      <c r="D599" s="15"/>
      <c r="E599" s="15"/>
      <c r="F599" s="24"/>
      <c r="G599" s="30"/>
      <c r="H599" s="30"/>
      <c r="I599" s="26" t="str">
        <f t="shared" si="28"/>
        <v/>
      </c>
      <c r="J599" s="21"/>
      <c r="K599" s="26" t="str">
        <f t="shared" si="29"/>
        <v/>
      </c>
      <c r="L599" s="15"/>
    </row>
    <row r="600" spans="1:12" x14ac:dyDescent="0.2">
      <c r="A600" s="23" t="str">
        <f t="shared" si="27"/>
        <v/>
      </c>
      <c r="B600" s="22"/>
      <c r="C600" s="24"/>
      <c r="D600" s="15"/>
      <c r="E600" s="15"/>
      <c r="F600" s="24"/>
      <c r="G600" s="30"/>
      <c r="H600" s="30"/>
      <c r="I600" s="26" t="str">
        <f t="shared" si="28"/>
        <v/>
      </c>
      <c r="J600" s="21"/>
      <c r="K600" s="26" t="str">
        <f t="shared" si="29"/>
        <v/>
      </c>
      <c r="L600" s="15"/>
    </row>
    <row r="601" spans="1:12" x14ac:dyDescent="0.2">
      <c r="A601" s="23" t="str">
        <f t="shared" si="27"/>
        <v/>
      </c>
      <c r="B601" s="22"/>
      <c r="C601" s="24"/>
      <c r="D601" s="15"/>
      <c r="E601" s="15"/>
      <c r="F601" s="24"/>
      <c r="G601" s="30"/>
      <c r="H601" s="30"/>
      <c r="I601" s="26" t="str">
        <f t="shared" si="28"/>
        <v/>
      </c>
      <c r="J601" s="21"/>
      <c r="K601" s="26" t="str">
        <f t="shared" si="29"/>
        <v/>
      </c>
      <c r="L601" s="15"/>
    </row>
    <row r="602" spans="1:12" x14ac:dyDescent="0.2">
      <c r="A602" s="23" t="str">
        <f t="shared" si="27"/>
        <v/>
      </c>
      <c r="B602" s="22"/>
      <c r="C602" s="24"/>
      <c r="D602" s="15"/>
      <c r="E602" s="15"/>
      <c r="F602" s="24"/>
      <c r="G602" s="30"/>
      <c r="H602" s="30"/>
      <c r="I602" s="26" t="str">
        <f t="shared" si="28"/>
        <v/>
      </c>
      <c r="J602" s="21"/>
      <c r="K602" s="26" t="str">
        <f t="shared" si="29"/>
        <v/>
      </c>
      <c r="L602" s="15"/>
    </row>
    <row r="603" spans="1:12" x14ac:dyDescent="0.2">
      <c r="A603" s="23" t="str">
        <f t="shared" si="27"/>
        <v/>
      </c>
      <c r="B603" s="22"/>
      <c r="C603" s="24"/>
      <c r="D603" s="15"/>
      <c r="E603" s="15"/>
      <c r="F603" s="24"/>
      <c r="G603" s="30"/>
      <c r="H603" s="30"/>
      <c r="I603" s="26" t="str">
        <f t="shared" si="28"/>
        <v/>
      </c>
      <c r="J603" s="21"/>
      <c r="K603" s="26" t="str">
        <f t="shared" si="29"/>
        <v/>
      </c>
      <c r="L603" s="15"/>
    </row>
    <row r="604" spans="1:12" x14ac:dyDescent="0.2">
      <c r="A604" s="23" t="str">
        <f t="shared" si="27"/>
        <v/>
      </c>
      <c r="B604" s="22"/>
      <c r="C604" s="24"/>
      <c r="D604" s="15"/>
      <c r="E604" s="15"/>
      <c r="F604" s="24"/>
      <c r="G604" s="30"/>
      <c r="H604" s="30"/>
      <c r="I604" s="26" t="str">
        <f t="shared" si="28"/>
        <v/>
      </c>
      <c r="J604" s="21"/>
      <c r="K604" s="26" t="str">
        <f t="shared" si="29"/>
        <v/>
      </c>
      <c r="L604" s="15"/>
    </row>
    <row r="605" spans="1:12" x14ac:dyDescent="0.2">
      <c r="A605" s="23" t="str">
        <f t="shared" si="27"/>
        <v/>
      </c>
      <c r="B605" s="22"/>
      <c r="C605" s="24"/>
      <c r="D605" s="15"/>
      <c r="E605" s="15"/>
      <c r="F605" s="24"/>
      <c r="G605" s="30"/>
      <c r="H605" s="30"/>
      <c r="I605" s="26" t="str">
        <f t="shared" si="28"/>
        <v/>
      </c>
      <c r="J605" s="21"/>
      <c r="K605" s="26" t="str">
        <f t="shared" si="29"/>
        <v/>
      </c>
      <c r="L605" s="15"/>
    </row>
    <row r="606" spans="1:12" x14ac:dyDescent="0.2">
      <c r="A606" s="23" t="str">
        <f t="shared" si="27"/>
        <v/>
      </c>
      <c r="B606" s="22"/>
      <c r="C606" s="24"/>
      <c r="D606" s="15"/>
      <c r="E606" s="15"/>
      <c r="F606" s="24"/>
      <c r="G606" s="30"/>
      <c r="H606" s="30"/>
      <c r="I606" s="26" t="str">
        <f t="shared" si="28"/>
        <v/>
      </c>
      <c r="J606" s="21"/>
      <c r="K606" s="26" t="str">
        <f t="shared" si="29"/>
        <v/>
      </c>
      <c r="L606" s="15"/>
    </row>
    <row r="607" spans="1:12" x14ac:dyDescent="0.2">
      <c r="A607" s="23" t="str">
        <f t="shared" si="27"/>
        <v/>
      </c>
      <c r="B607" s="22"/>
      <c r="C607" s="24"/>
      <c r="D607" s="15"/>
      <c r="E607" s="15"/>
      <c r="F607" s="24"/>
      <c r="G607" s="30"/>
      <c r="H607" s="30"/>
      <c r="I607" s="26" t="str">
        <f t="shared" si="28"/>
        <v/>
      </c>
      <c r="J607" s="21"/>
      <c r="K607" s="26" t="str">
        <f t="shared" si="29"/>
        <v/>
      </c>
      <c r="L607" s="15"/>
    </row>
    <row r="608" spans="1:12" x14ac:dyDescent="0.2">
      <c r="A608" s="23" t="str">
        <f t="shared" si="27"/>
        <v/>
      </c>
      <c r="B608" s="22"/>
      <c r="C608" s="24"/>
      <c r="D608" s="15"/>
      <c r="E608" s="15"/>
      <c r="F608" s="24"/>
      <c r="G608" s="30"/>
      <c r="H608" s="30"/>
      <c r="I608" s="26" t="str">
        <f t="shared" si="28"/>
        <v/>
      </c>
      <c r="J608" s="21"/>
      <c r="K608" s="26" t="str">
        <f t="shared" si="29"/>
        <v/>
      </c>
      <c r="L608" s="15"/>
    </row>
    <row r="609" spans="1:12" x14ac:dyDescent="0.2">
      <c r="A609" s="23" t="str">
        <f t="shared" si="27"/>
        <v/>
      </c>
      <c r="B609" s="22"/>
      <c r="C609" s="24"/>
      <c r="D609" s="15"/>
      <c r="E609" s="15"/>
      <c r="F609" s="24"/>
      <c r="G609" s="30"/>
      <c r="H609" s="30"/>
      <c r="I609" s="26" t="str">
        <f t="shared" si="28"/>
        <v/>
      </c>
      <c r="J609" s="21"/>
      <c r="K609" s="26" t="str">
        <f t="shared" si="29"/>
        <v/>
      </c>
      <c r="L609" s="15"/>
    </row>
    <row r="610" spans="1:12" x14ac:dyDescent="0.2">
      <c r="A610" s="23" t="str">
        <f t="shared" si="27"/>
        <v/>
      </c>
      <c r="B610" s="22"/>
      <c r="C610" s="24"/>
      <c r="D610" s="15"/>
      <c r="E610" s="15"/>
      <c r="F610" s="24"/>
      <c r="G610" s="30"/>
      <c r="H610" s="30"/>
      <c r="I610" s="26" t="str">
        <f t="shared" si="28"/>
        <v/>
      </c>
      <c r="J610" s="21"/>
      <c r="K610" s="26" t="str">
        <f t="shared" si="29"/>
        <v/>
      </c>
      <c r="L610" s="15"/>
    </row>
    <row r="611" spans="1:12" x14ac:dyDescent="0.2">
      <c r="A611" s="23" t="str">
        <f t="shared" si="27"/>
        <v/>
      </c>
      <c r="B611" s="22"/>
      <c r="C611" s="24"/>
      <c r="D611" s="15"/>
      <c r="E611" s="15"/>
      <c r="F611" s="24"/>
      <c r="G611" s="30"/>
      <c r="H611" s="30"/>
      <c r="I611" s="26" t="str">
        <f t="shared" si="28"/>
        <v/>
      </c>
      <c r="J611" s="21"/>
      <c r="K611" s="26" t="str">
        <f t="shared" si="29"/>
        <v/>
      </c>
      <c r="L611" s="15"/>
    </row>
    <row r="612" spans="1:12" x14ac:dyDescent="0.2">
      <c r="A612" s="23" t="str">
        <f t="shared" si="27"/>
        <v/>
      </c>
      <c r="B612" s="22"/>
      <c r="C612" s="24"/>
      <c r="D612" s="15"/>
      <c r="E612" s="15"/>
      <c r="F612" s="24"/>
      <c r="G612" s="30"/>
      <c r="H612" s="30"/>
      <c r="I612" s="26" t="str">
        <f t="shared" si="28"/>
        <v/>
      </c>
      <c r="J612" s="21"/>
      <c r="K612" s="26" t="str">
        <f t="shared" si="29"/>
        <v/>
      </c>
      <c r="L612" s="15"/>
    </row>
    <row r="613" spans="1:12" x14ac:dyDescent="0.2">
      <c r="A613" s="23" t="str">
        <f t="shared" si="27"/>
        <v/>
      </c>
      <c r="B613" s="22"/>
      <c r="C613" s="24"/>
      <c r="D613" s="15"/>
      <c r="E613" s="15"/>
      <c r="F613" s="24"/>
      <c r="G613" s="30"/>
      <c r="H613" s="30"/>
      <c r="I613" s="26" t="str">
        <f t="shared" si="28"/>
        <v/>
      </c>
      <c r="J613" s="21"/>
      <c r="K613" s="26" t="str">
        <f t="shared" si="29"/>
        <v/>
      </c>
      <c r="L613" s="15"/>
    </row>
    <row r="614" spans="1:12" x14ac:dyDescent="0.2">
      <c r="A614" s="23" t="str">
        <f t="shared" si="27"/>
        <v/>
      </c>
      <c r="B614" s="22"/>
      <c r="C614" s="24"/>
      <c r="D614" s="15"/>
      <c r="E614" s="15"/>
      <c r="F614" s="24"/>
      <c r="G614" s="30"/>
      <c r="H614" s="30"/>
      <c r="I614" s="26" t="str">
        <f t="shared" si="28"/>
        <v/>
      </c>
      <c r="J614" s="21"/>
      <c r="K614" s="26" t="str">
        <f t="shared" si="29"/>
        <v/>
      </c>
      <c r="L614" s="15"/>
    </row>
    <row r="615" spans="1:12" x14ac:dyDescent="0.2">
      <c r="A615" s="23" t="str">
        <f t="shared" si="27"/>
        <v/>
      </c>
      <c r="B615" s="22"/>
      <c r="C615" s="24"/>
      <c r="D615" s="15"/>
      <c r="E615" s="15"/>
      <c r="F615" s="24"/>
      <c r="G615" s="30"/>
      <c r="H615" s="30"/>
      <c r="I615" s="26" t="str">
        <f t="shared" si="28"/>
        <v/>
      </c>
      <c r="J615" s="21"/>
      <c r="K615" s="26" t="str">
        <f t="shared" si="29"/>
        <v/>
      </c>
      <c r="L615" s="15"/>
    </row>
    <row r="616" spans="1:12" x14ac:dyDescent="0.2">
      <c r="A616" s="23" t="str">
        <f t="shared" si="27"/>
        <v/>
      </c>
      <c r="B616" s="22"/>
      <c r="C616" s="24"/>
      <c r="D616" s="15"/>
      <c r="E616" s="15"/>
      <c r="F616" s="24"/>
      <c r="G616" s="30"/>
      <c r="H616" s="30"/>
      <c r="I616" s="26" t="str">
        <f t="shared" si="28"/>
        <v/>
      </c>
      <c r="J616" s="21"/>
      <c r="K616" s="26" t="str">
        <f t="shared" si="29"/>
        <v/>
      </c>
      <c r="L616" s="15"/>
    </row>
    <row r="617" spans="1:12" x14ac:dyDescent="0.2">
      <c r="A617" s="23" t="str">
        <f t="shared" si="27"/>
        <v/>
      </c>
      <c r="B617" s="22"/>
      <c r="C617" s="24"/>
      <c r="D617" s="15"/>
      <c r="E617" s="15"/>
      <c r="F617" s="24"/>
      <c r="G617" s="30"/>
      <c r="H617" s="30"/>
      <c r="I617" s="26" t="str">
        <f t="shared" si="28"/>
        <v/>
      </c>
      <c r="J617" s="21"/>
      <c r="K617" s="26" t="str">
        <f t="shared" si="29"/>
        <v/>
      </c>
      <c r="L617" s="15"/>
    </row>
    <row r="618" spans="1:12" x14ac:dyDescent="0.2">
      <c r="A618" s="23" t="str">
        <f t="shared" si="27"/>
        <v/>
      </c>
      <c r="B618" s="22"/>
      <c r="C618" s="24"/>
      <c r="D618" s="15"/>
      <c r="E618" s="15"/>
      <c r="F618" s="24"/>
      <c r="G618" s="30"/>
      <c r="H618" s="30"/>
      <c r="I618" s="26" t="str">
        <f t="shared" si="28"/>
        <v/>
      </c>
      <c r="J618" s="21"/>
      <c r="K618" s="26" t="str">
        <f t="shared" si="29"/>
        <v/>
      </c>
      <c r="L618" s="15"/>
    </row>
    <row r="619" spans="1:12" x14ac:dyDescent="0.2">
      <c r="A619" s="23" t="str">
        <f t="shared" si="27"/>
        <v/>
      </c>
      <c r="B619" s="22"/>
      <c r="C619" s="24"/>
      <c r="D619" s="15"/>
      <c r="E619" s="15"/>
      <c r="F619" s="24"/>
      <c r="G619" s="30"/>
      <c r="H619" s="30"/>
      <c r="I619" s="26" t="str">
        <f t="shared" si="28"/>
        <v/>
      </c>
      <c r="J619" s="21"/>
      <c r="K619" s="26" t="str">
        <f t="shared" si="29"/>
        <v/>
      </c>
      <c r="L619" s="15"/>
    </row>
    <row r="620" spans="1:12" x14ac:dyDescent="0.2">
      <c r="A620" s="23" t="str">
        <f t="shared" si="27"/>
        <v/>
      </c>
      <c r="B620" s="22"/>
      <c r="C620" s="24"/>
      <c r="D620" s="15"/>
      <c r="E620" s="15"/>
      <c r="F620" s="24"/>
      <c r="G620" s="30"/>
      <c r="H620" s="30"/>
      <c r="I620" s="26" t="str">
        <f t="shared" si="28"/>
        <v/>
      </c>
      <c r="J620" s="21"/>
      <c r="K620" s="26" t="str">
        <f t="shared" si="29"/>
        <v/>
      </c>
      <c r="L620" s="15"/>
    </row>
    <row r="621" spans="1:12" x14ac:dyDescent="0.2">
      <c r="A621" s="23" t="str">
        <f t="shared" si="27"/>
        <v/>
      </c>
      <c r="B621" s="22"/>
      <c r="C621" s="24"/>
      <c r="D621" s="15"/>
      <c r="E621" s="15"/>
      <c r="F621" s="24"/>
      <c r="G621" s="30"/>
      <c r="H621" s="30"/>
      <c r="I621" s="26" t="str">
        <f t="shared" si="28"/>
        <v/>
      </c>
      <c r="J621" s="21"/>
      <c r="K621" s="26" t="str">
        <f t="shared" si="29"/>
        <v/>
      </c>
      <c r="L621" s="15"/>
    </row>
    <row r="622" spans="1:12" x14ac:dyDescent="0.2">
      <c r="A622" s="23" t="str">
        <f t="shared" si="27"/>
        <v/>
      </c>
      <c r="B622" s="22"/>
      <c r="C622" s="24"/>
      <c r="D622" s="15"/>
      <c r="E622" s="15"/>
      <c r="F622" s="24"/>
      <c r="G622" s="30"/>
      <c r="H622" s="30"/>
      <c r="I622" s="26" t="str">
        <f t="shared" si="28"/>
        <v/>
      </c>
      <c r="J622" s="21"/>
      <c r="K622" s="26" t="str">
        <f t="shared" si="29"/>
        <v/>
      </c>
      <c r="L622" s="15"/>
    </row>
    <row r="623" spans="1:12" x14ac:dyDescent="0.2">
      <c r="A623" s="23" t="str">
        <f t="shared" si="27"/>
        <v/>
      </c>
      <c r="B623" s="22"/>
      <c r="C623" s="24"/>
      <c r="D623" s="15"/>
      <c r="E623" s="15"/>
      <c r="F623" s="24"/>
      <c r="G623" s="30"/>
      <c r="H623" s="30"/>
      <c r="I623" s="26" t="str">
        <f t="shared" si="28"/>
        <v/>
      </c>
      <c r="J623" s="21"/>
      <c r="K623" s="26" t="str">
        <f t="shared" si="29"/>
        <v/>
      </c>
      <c r="L623" s="15"/>
    </row>
    <row r="624" spans="1:12" x14ac:dyDescent="0.2">
      <c r="A624" s="23" t="str">
        <f t="shared" si="27"/>
        <v/>
      </c>
      <c r="B624" s="22"/>
      <c r="C624" s="24"/>
      <c r="D624" s="15"/>
      <c r="E624" s="15"/>
      <c r="F624" s="24"/>
      <c r="G624" s="30"/>
      <c r="H624" s="30"/>
      <c r="I624" s="26" t="str">
        <f t="shared" si="28"/>
        <v/>
      </c>
      <c r="J624" s="21"/>
      <c r="K624" s="26" t="str">
        <f t="shared" si="29"/>
        <v/>
      </c>
      <c r="L624" s="15"/>
    </row>
    <row r="625" spans="1:12" x14ac:dyDescent="0.2">
      <c r="A625" s="23" t="str">
        <f t="shared" si="27"/>
        <v/>
      </c>
      <c r="B625" s="22"/>
      <c r="C625" s="24"/>
      <c r="D625" s="15"/>
      <c r="E625" s="15"/>
      <c r="F625" s="24"/>
      <c r="G625" s="30"/>
      <c r="H625" s="30"/>
      <c r="I625" s="26" t="str">
        <f t="shared" si="28"/>
        <v/>
      </c>
      <c r="J625" s="21"/>
      <c r="K625" s="26" t="str">
        <f t="shared" si="29"/>
        <v/>
      </c>
      <c r="L625" s="15"/>
    </row>
    <row r="626" spans="1:12" x14ac:dyDescent="0.2">
      <c r="A626" s="23" t="str">
        <f t="shared" si="27"/>
        <v/>
      </c>
      <c r="B626" s="22"/>
      <c r="C626" s="24"/>
      <c r="D626" s="15"/>
      <c r="E626" s="15"/>
      <c r="F626" s="24"/>
      <c r="G626" s="30"/>
      <c r="H626" s="30"/>
      <c r="I626" s="26" t="str">
        <f t="shared" si="28"/>
        <v/>
      </c>
      <c r="J626" s="21"/>
      <c r="K626" s="26" t="str">
        <f t="shared" si="29"/>
        <v/>
      </c>
      <c r="L626" s="15"/>
    </row>
    <row r="627" spans="1:12" x14ac:dyDescent="0.2">
      <c r="A627" s="23" t="str">
        <f t="shared" si="27"/>
        <v/>
      </c>
      <c r="B627" s="22"/>
      <c r="C627" s="24"/>
      <c r="D627" s="15"/>
      <c r="E627" s="15"/>
      <c r="F627" s="24"/>
      <c r="G627" s="30"/>
      <c r="H627" s="30"/>
      <c r="I627" s="26" t="str">
        <f t="shared" si="28"/>
        <v/>
      </c>
      <c r="J627" s="21"/>
      <c r="K627" s="26" t="str">
        <f t="shared" si="29"/>
        <v/>
      </c>
      <c r="L627" s="15"/>
    </row>
    <row r="628" spans="1:12" x14ac:dyDescent="0.2">
      <c r="A628" s="23" t="str">
        <f t="shared" si="27"/>
        <v/>
      </c>
      <c r="B628" s="22"/>
      <c r="C628" s="24"/>
      <c r="D628" s="15"/>
      <c r="E628" s="15"/>
      <c r="F628" s="24"/>
      <c r="G628" s="30"/>
      <c r="H628" s="30"/>
      <c r="I628" s="26" t="str">
        <f t="shared" si="28"/>
        <v/>
      </c>
      <c r="J628" s="21"/>
      <c r="K628" s="26" t="str">
        <f t="shared" si="29"/>
        <v/>
      </c>
      <c r="L628" s="15"/>
    </row>
    <row r="629" spans="1:12" x14ac:dyDescent="0.2">
      <c r="A629" s="23" t="str">
        <f t="shared" si="27"/>
        <v/>
      </c>
      <c r="B629" s="22"/>
      <c r="C629" s="24"/>
      <c r="D629" s="15"/>
      <c r="E629" s="15"/>
      <c r="F629" s="24"/>
      <c r="G629" s="30"/>
      <c r="H629" s="30"/>
      <c r="I629" s="26" t="str">
        <f t="shared" si="28"/>
        <v/>
      </c>
      <c r="J629" s="21"/>
      <c r="K629" s="26" t="str">
        <f t="shared" si="29"/>
        <v/>
      </c>
      <c r="L629" s="15"/>
    </row>
    <row r="630" spans="1:12" x14ac:dyDescent="0.2">
      <c r="A630" s="23" t="str">
        <f t="shared" si="27"/>
        <v/>
      </c>
      <c r="B630" s="22"/>
      <c r="C630" s="24"/>
      <c r="D630" s="15"/>
      <c r="E630" s="15"/>
      <c r="F630" s="24"/>
      <c r="G630" s="30"/>
      <c r="H630" s="30"/>
      <c r="I630" s="26" t="str">
        <f t="shared" si="28"/>
        <v/>
      </c>
      <c r="J630" s="21"/>
      <c r="K630" s="26" t="str">
        <f t="shared" si="29"/>
        <v/>
      </c>
      <c r="L630" s="15"/>
    </row>
    <row r="631" spans="1:12" x14ac:dyDescent="0.2">
      <c r="A631" s="23" t="str">
        <f t="shared" si="27"/>
        <v/>
      </c>
      <c r="B631" s="22"/>
      <c r="C631" s="24"/>
      <c r="D631" s="15"/>
      <c r="E631" s="15"/>
      <c r="F631" s="24"/>
      <c r="G631" s="30"/>
      <c r="H631" s="30"/>
      <c r="I631" s="26" t="str">
        <f t="shared" si="28"/>
        <v/>
      </c>
      <c r="J631" s="21"/>
      <c r="K631" s="26" t="str">
        <f t="shared" si="29"/>
        <v/>
      </c>
      <c r="L631" s="15"/>
    </row>
    <row r="632" spans="1:12" x14ac:dyDescent="0.2">
      <c r="A632" s="23" t="str">
        <f t="shared" si="27"/>
        <v/>
      </c>
      <c r="B632" s="22"/>
      <c r="C632" s="24"/>
      <c r="D632" s="15"/>
      <c r="E632" s="15"/>
      <c r="F632" s="24"/>
      <c r="G632" s="30"/>
      <c r="H632" s="30"/>
      <c r="I632" s="26" t="str">
        <f t="shared" si="28"/>
        <v/>
      </c>
      <c r="J632" s="21"/>
      <c r="K632" s="26" t="str">
        <f t="shared" si="29"/>
        <v/>
      </c>
      <c r="L632" s="15"/>
    </row>
    <row r="633" spans="1:12" x14ac:dyDescent="0.2">
      <c r="A633" s="23" t="str">
        <f t="shared" si="27"/>
        <v/>
      </c>
      <c r="B633" s="22"/>
      <c r="C633" s="24"/>
      <c r="D633" s="15"/>
      <c r="E633" s="15"/>
      <c r="F633" s="24"/>
      <c r="G633" s="30"/>
      <c r="H633" s="30"/>
      <c r="I633" s="26" t="str">
        <f t="shared" si="28"/>
        <v/>
      </c>
      <c r="J633" s="21"/>
      <c r="K633" s="26" t="str">
        <f t="shared" si="29"/>
        <v/>
      </c>
      <c r="L633" s="15"/>
    </row>
    <row r="634" spans="1:12" x14ac:dyDescent="0.2">
      <c r="A634" s="23" t="str">
        <f t="shared" si="27"/>
        <v/>
      </c>
      <c r="B634" s="22"/>
      <c r="C634" s="24"/>
      <c r="D634" s="15"/>
      <c r="E634" s="15"/>
      <c r="F634" s="24"/>
      <c r="G634" s="30"/>
      <c r="H634" s="30"/>
      <c r="I634" s="26" t="str">
        <f t="shared" si="28"/>
        <v/>
      </c>
      <c r="J634" s="21"/>
      <c r="K634" s="26" t="str">
        <f t="shared" si="29"/>
        <v/>
      </c>
      <c r="L634" s="15"/>
    </row>
    <row r="635" spans="1:12" x14ac:dyDescent="0.2">
      <c r="A635" s="23" t="str">
        <f t="shared" si="27"/>
        <v/>
      </c>
      <c r="B635" s="22"/>
      <c r="C635" s="24"/>
      <c r="D635" s="15"/>
      <c r="E635" s="15"/>
      <c r="F635" s="24"/>
      <c r="G635" s="30"/>
      <c r="H635" s="30"/>
      <c r="I635" s="26" t="str">
        <f t="shared" si="28"/>
        <v/>
      </c>
      <c r="J635" s="21"/>
      <c r="K635" s="26" t="str">
        <f t="shared" si="29"/>
        <v/>
      </c>
      <c r="L635" s="15"/>
    </row>
    <row r="636" spans="1:12" x14ac:dyDescent="0.2">
      <c r="A636" s="23" t="str">
        <f t="shared" si="27"/>
        <v/>
      </c>
      <c r="B636" s="22"/>
      <c r="C636" s="24"/>
      <c r="D636" s="15"/>
      <c r="E636" s="15"/>
      <c r="F636" s="24"/>
      <c r="G636" s="30"/>
      <c r="H636" s="30"/>
      <c r="I636" s="26" t="str">
        <f t="shared" si="28"/>
        <v/>
      </c>
      <c r="J636" s="21"/>
      <c r="K636" s="26" t="str">
        <f t="shared" si="29"/>
        <v/>
      </c>
      <c r="L636" s="15"/>
    </row>
    <row r="637" spans="1:12" x14ac:dyDescent="0.2">
      <c r="A637" s="23" t="str">
        <f t="shared" si="27"/>
        <v/>
      </c>
      <c r="B637" s="22"/>
      <c r="C637" s="24"/>
      <c r="D637" s="15"/>
      <c r="E637" s="15"/>
      <c r="F637" s="24"/>
      <c r="G637" s="30"/>
      <c r="H637" s="30"/>
      <c r="I637" s="26" t="str">
        <f t="shared" si="28"/>
        <v/>
      </c>
      <c r="J637" s="21"/>
      <c r="K637" s="26" t="str">
        <f t="shared" si="29"/>
        <v/>
      </c>
      <c r="L637" s="15"/>
    </row>
    <row r="638" spans="1:12" x14ac:dyDescent="0.2">
      <c r="A638" s="23" t="str">
        <f t="shared" si="27"/>
        <v/>
      </c>
      <c r="B638" s="22"/>
      <c r="C638" s="24"/>
      <c r="D638" s="15"/>
      <c r="E638" s="15"/>
      <c r="F638" s="24"/>
      <c r="G638" s="30"/>
      <c r="H638" s="30"/>
      <c r="I638" s="26" t="str">
        <f t="shared" si="28"/>
        <v/>
      </c>
      <c r="J638" s="21"/>
      <c r="K638" s="26" t="str">
        <f t="shared" si="29"/>
        <v/>
      </c>
      <c r="L638" s="15"/>
    </row>
    <row r="639" spans="1:12" x14ac:dyDescent="0.2">
      <c r="A639" s="23" t="str">
        <f t="shared" si="27"/>
        <v/>
      </c>
      <c r="B639" s="22"/>
      <c r="C639" s="24"/>
      <c r="D639" s="15"/>
      <c r="E639" s="15"/>
      <c r="F639" s="24"/>
      <c r="G639" s="30"/>
      <c r="H639" s="30"/>
      <c r="I639" s="26" t="str">
        <f t="shared" si="28"/>
        <v/>
      </c>
      <c r="J639" s="21"/>
      <c r="K639" s="26" t="str">
        <f t="shared" si="29"/>
        <v/>
      </c>
      <c r="L639" s="15"/>
    </row>
    <row r="640" spans="1:12" x14ac:dyDescent="0.2">
      <c r="A640" s="23" t="str">
        <f t="shared" si="27"/>
        <v/>
      </c>
      <c r="B640" s="22"/>
      <c r="C640" s="24"/>
      <c r="D640" s="15"/>
      <c r="E640" s="15"/>
      <c r="F640" s="24"/>
      <c r="G640" s="30"/>
      <c r="H640" s="30"/>
      <c r="I640" s="26" t="str">
        <f t="shared" si="28"/>
        <v/>
      </c>
      <c r="J640" s="21"/>
      <c r="K640" s="26" t="str">
        <f t="shared" si="29"/>
        <v/>
      </c>
      <c r="L640" s="15"/>
    </row>
    <row r="641" spans="1:12" x14ac:dyDescent="0.2">
      <c r="A641" s="23" t="str">
        <f t="shared" si="27"/>
        <v/>
      </c>
      <c r="B641" s="22"/>
      <c r="C641" s="24"/>
      <c r="D641" s="15"/>
      <c r="E641" s="15"/>
      <c r="F641" s="24"/>
      <c r="G641" s="30"/>
      <c r="H641" s="30"/>
      <c r="I641" s="26" t="str">
        <f t="shared" si="28"/>
        <v/>
      </c>
      <c r="J641" s="21"/>
      <c r="K641" s="26" t="str">
        <f t="shared" si="29"/>
        <v/>
      </c>
      <c r="L641" s="15"/>
    </row>
    <row r="642" spans="1:12" x14ac:dyDescent="0.2">
      <c r="A642" s="23" t="str">
        <f t="shared" si="27"/>
        <v/>
      </c>
      <c r="B642" s="22"/>
      <c r="C642" s="24"/>
      <c r="D642" s="15"/>
      <c r="E642" s="15"/>
      <c r="F642" s="24"/>
      <c r="G642" s="30"/>
      <c r="H642" s="30"/>
      <c r="I642" s="26" t="str">
        <f t="shared" si="28"/>
        <v/>
      </c>
      <c r="J642" s="21"/>
      <c r="K642" s="26" t="str">
        <f t="shared" si="29"/>
        <v/>
      </c>
      <c r="L642" s="15"/>
    </row>
    <row r="643" spans="1:12" x14ac:dyDescent="0.2">
      <c r="A643" s="23" t="str">
        <f t="shared" si="27"/>
        <v/>
      </c>
      <c r="B643" s="22"/>
      <c r="C643" s="24"/>
      <c r="D643" s="15"/>
      <c r="E643" s="15"/>
      <c r="F643" s="24"/>
      <c r="G643" s="30"/>
      <c r="H643" s="30"/>
      <c r="I643" s="26" t="str">
        <f t="shared" si="28"/>
        <v/>
      </c>
      <c r="J643" s="21"/>
      <c r="K643" s="26" t="str">
        <f t="shared" si="29"/>
        <v/>
      </c>
      <c r="L643" s="15"/>
    </row>
    <row r="644" spans="1:12" x14ac:dyDescent="0.2">
      <c r="A644" s="23" t="str">
        <f t="shared" si="27"/>
        <v/>
      </c>
      <c r="B644" s="22"/>
      <c r="C644" s="24"/>
      <c r="D644" s="15"/>
      <c r="E644" s="15"/>
      <c r="F644" s="24"/>
      <c r="G644" s="30"/>
      <c r="H644" s="30"/>
      <c r="I644" s="26" t="str">
        <f t="shared" si="28"/>
        <v/>
      </c>
      <c r="J644" s="21"/>
      <c r="K644" s="26" t="str">
        <f t="shared" si="29"/>
        <v/>
      </c>
      <c r="L644" s="15"/>
    </row>
    <row r="645" spans="1:12" x14ac:dyDescent="0.2">
      <c r="A645" s="23" t="str">
        <f t="shared" ref="A645:A708" si="30">IF(B645="","",ROW()-4)</f>
        <v/>
      </c>
      <c r="B645" s="22"/>
      <c r="C645" s="24"/>
      <c r="D645" s="15"/>
      <c r="E645" s="15"/>
      <c r="F645" s="24"/>
      <c r="G645" s="30"/>
      <c r="H645" s="30"/>
      <c r="I645" s="26" t="str">
        <f t="shared" ref="I645:I708" si="31">IF(OR(G645="",H645=""),"",G645*H645)</f>
        <v/>
      </c>
      <c r="J645" s="21"/>
      <c r="K645" s="26" t="str">
        <f t="shared" ref="K645:K708" si="32">IF(OR(I645="",J645=""),"",I645*J645)</f>
        <v/>
      </c>
      <c r="L645" s="15"/>
    </row>
    <row r="646" spans="1:12" x14ac:dyDescent="0.2">
      <c r="A646" s="23" t="str">
        <f t="shared" si="30"/>
        <v/>
      </c>
      <c r="B646" s="22"/>
      <c r="C646" s="24"/>
      <c r="D646" s="15"/>
      <c r="E646" s="15"/>
      <c r="F646" s="24"/>
      <c r="G646" s="30"/>
      <c r="H646" s="30"/>
      <c r="I646" s="26" t="str">
        <f t="shared" si="31"/>
        <v/>
      </c>
      <c r="J646" s="21"/>
      <c r="K646" s="26" t="str">
        <f t="shared" si="32"/>
        <v/>
      </c>
      <c r="L646" s="15"/>
    </row>
    <row r="647" spans="1:12" x14ac:dyDescent="0.2">
      <c r="A647" s="23" t="str">
        <f t="shared" si="30"/>
        <v/>
      </c>
      <c r="B647" s="22"/>
      <c r="C647" s="24"/>
      <c r="D647" s="15"/>
      <c r="E647" s="15"/>
      <c r="F647" s="24"/>
      <c r="G647" s="30"/>
      <c r="H647" s="30"/>
      <c r="I647" s="26" t="str">
        <f t="shared" si="31"/>
        <v/>
      </c>
      <c r="J647" s="21"/>
      <c r="K647" s="26" t="str">
        <f t="shared" si="32"/>
        <v/>
      </c>
      <c r="L647" s="15"/>
    </row>
    <row r="648" spans="1:12" x14ac:dyDescent="0.2">
      <c r="A648" s="23" t="str">
        <f t="shared" si="30"/>
        <v/>
      </c>
      <c r="B648" s="22"/>
      <c r="C648" s="24"/>
      <c r="D648" s="15"/>
      <c r="E648" s="15"/>
      <c r="F648" s="24"/>
      <c r="G648" s="30"/>
      <c r="H648" s="30"/>
      <c r="I648" s="26" t="str">
        <f t="shared" si="31"/>
        <v/>
      </c>
      <c r="J648" s="21"/>
      <c r="K648" s="26" t="str">
        <f t="shared" si="32"/>
        <v/>
      </c>
      <c r="L648" s="15"/>
    </row>
    <row r="649" spans="1:12" x14ac:dyDescent="0.2">
      <c r="A649" s="23" t="str">
        <f t="shared" si="30"/>
        <v/>
      </c>
      <c r="B649" s="22"/>
      <c r="C649" s="24"/>
      <c r="D649" s="15"/>
      <c r="E649" s="15"/>
      <c r="F649" s="24"/>
      <c r="G649" s="30"/>
      <c r="H649" s="30"/>
      <c r="I649" s="26" t="str">
        <f t="shared" si="31"/>
        <v/>
      </c>
      <c r="J649" s="21"/>
      <c r="K649" s="26" t="str">
        <f t="shared" si="32"/>
        <v/>
      </c>
      <c r="L649" s="15"/>
    </row>
    <row r="650" spans="1:12" x14ac:dyDescent="0.2">
      <c r="A650" s="23" t="str">
        <f t="shared" si="30"/>
        <v/>
      </c>
      <c r="B650" s="22"/>
      <c r="C650" s="24"/>
      <c r="D650" s="15"/>
      <c r="E650" s="15"/>
      <c r="F650" s="24"/>
      <c r="G650" s="30"/>
      <c r="H650" s="30"/>
      <c r="I650" s="26" t="str">
        <f t="shared" si="31"/>
        <v/>
      </c>
      <c r="J650" s="21"/>
      <c r="K650" s="26" t="str">
        <f t="shared" si="32"/>
        <v/>
      </c>
      <c r="L650" s="15"/>
    </row>
    <row r="651" spans="1:12" x14ac:dyDescent="0.2">
      <c r="A651" s="23" t="str">
        <f t="shared" si="30"/>
        <v/>
      </c>
      <c r="B651" s="22"/>
      <c r="C651" s="24"/>
      <c r="D651" s="15"/>
      <c r="E651" s="15"/>
      <c r="F651" s="24"/>
      <c r="G651" s="30"/>
      <c r="H651" s="30"/>
      <c r="I651" s="26" t="str">
        <f t="shared" si="31"/>
        <v/>
      </c>
      <c r="J651" s="21"/>
      <c r="K651" s="26" t="str">
        <f t="shared" si="32"/>
        <v/>
      </c>
      <c r="L651" s="15"/>
    </row>
    <row r="652" spans="1:12" x14ac:dyDescent="0.2">
      <c r="A652" s="23" t="str">
        <f t="shared" si="30"/>
        <v/>
      </c>
      <c r="B652" s="22"/>
      <c r="C652" s="24"/>
      <c r="D652" s="15"/>
      <c r="E652" s="15"/>
      <c r="F652" s="24"/>
      <c r="G652" s="30"/>
      <c r="H652" s="30"/>
      <c r="I652" s="26" t="str">
        <f t="shared" si="31"/>
        <v/>
      </c>
      <c r="J652" s="21"/>
      <c r="K652" s="26" t="str">
        <f t="shared" si="32"/>
        <v/>
      </c>
      <c r="L652" s="15"/>
    </row>
    <row r="653" spans="1:12" x14ac:dyDescent="0.2">
      <c r="A653" s="23" t="str">
        <f t="shared" si="30"/>
        <v/>
      </c>
      <c r="B653" s="22"/>
      <c r="C653" s="24"/>
      <c r="D653" s="15"/>
      <c r="E653" s="15"/>
      <c r="F653" s="24"/>
      <c r="G653" s="30"/>
      <c r="H653" s="30"/>
      <c r="I653" s="26" t="str">
        <f t="shared" si="31"/>
        <v/>
      </c>
      <c r="J653" s="21"/>
      <c r="K653" s="26" t="str">
        <f t="shared" si="32"/>
        <v/>
      </c>
      <c r="L653" s="15"/>
    </row>
    <row r="654" spans="1:12" x14ac:dyDescent="0.2">
      <c r="A654" s="23" t="str">
        <f t="shared" si="30"/>
        <v/>
      </c>
      <c r="B654" s="22"/>
      <c r="C654" s="24"/>
      <c r="D654" s="15"/>
      <c r="E654" s="15"/>
      <c r="F654" s="24"/>
      <c r="G654" s="30"/>
      <c r="H654" s="30"/>
      <c r="I654" s="26" t="str">
        <f t="shared" si="31"/>
        <v/>
      </c>
      <c r="J654" s="21"/>
      <c r="K654" s="26" t="str">
        <f t="shared" si="32"/>
        <v/>
      </c>
      <c r="L654" s="15"/>
    </row>
    <row r="655" spans="1:12" x14ac:dyDescent="0.2">
      <c r="A655" s="23" t="str">
        <f t="shared" si="30"/>
        <v/>
      </c>
      <c r="B655" s="22"/>
      <c r="C655" s="24"/>
      <c r="D655" s="15"/>
      <c r="E655" s="15"/>
      <c r="F655" s="24"/>
      <c r="G655" s="30"/>
      <c r="H655" s="30"/>
      <c r="I655" s="26" t="str">
        <f t="shared" si="31"/>
        <v/>
      </c>
      <c r="J655" s="21"/>
      <c r="K655" s="26" t="str">
        <f t="shared" si="32"/>
        <v/>
      </c>
      <c r="L655" s="15"/>
    </row>
    <row r="656" spans="1:12" x14ac:dyDescent="0.2">
      <c r="A656" s="23" t="str">
        <f t="shared" si="30"/>
        <v/>
      </c>
      <c r="B656" s="22"/>
      <c r="C656" s="24"/>
      <c r="D656" s="15"/>
      <c r="E656" s="15"/>
      <c r="F656" s="24"/>
      <c r="G656" s="30"/>
      <c r="H656" s="30"/>
      <c r="I656" s="26" t="str">
        <f t="shared" si="31"/>
        <v/>
      </c>
      <c r="J656" s="21"/>
      <c r="K656" s="26" t="str">
        <f t="shared" si="32"/>
        <v/>
      </c>
      <c r="L656" s="15"/>
    </row>
    <row r="657" spans="1:12" x14ac:dyDescent="0.2">
      <c r="A657" s="23" t="str">
        <f t="shared" si="30"/>
        <v/>
      </c>
      <c r="B657" s="22"/>
      <c r="C657" s="24"/>
      <c r="D657" s="15"/>
      <c r="E657" s="15"/>
      <c r="F657" s="24"/>
      <c r="G657" s="30"/>
      <c r="H657" s="30"/>
      <c r="I657" s="26" t="str">
        <f t="shared" si="31"/>
        <v/>
      </c>
      <c r="J657" s="21"/>
      <c r="K657" s="26" t="str">
        <f t="shared" si="32"/>
        <v/>
      </c>
      <c r="L657" s="15"/>
    </row>
    <row r="658" spans="1:12" x14ac:dyDescent="0.2">
      <c r="A658" s="23" t="str">
        <f t="shared" si="30"/>
        <v/>
      </c>
      <c r="B658" s="22"/>
      <c r="C658" s="24"/>
      <c r="D658" s="15"/>
      <c r="E658" s="15"/>
      <c r="F658" s="24"/>
      <c r="G658" s="30"/>
      <c r="H658" s="30"/>
      <c r="I658" s="26" t="str">
        <f t="shared" si="31"/>
        <v/>
      </c>
      <c r="J658" s="21"/>
      <c r="K658" s="26" t="str">
        <f t="shared" si="32"/>
        <v/>
      </c>
      <c r="L658" s="15"/>
    </row>
    <row r="659" spans="1:12" x14ac:dyDescent="0.2">
      <c r="A659" s="23" t="str">
        <f t="shared" si="30"/>
        <v/>
      </c>
      <c r="B659" s="22"/>
      <c r="C659" s="24"/>
      <c r="D659" s="15"/>
      <c r="E659" s="15"/>
      <c r="F659" s="24"/>
      <c r="G659" s="30"/>
      <c r="H659" s="30"/>
      <c r="I659" s="26" t="str">
        <f t="shared" si="31"/>
        <v/>
      </c>
      <c r="J659" s="21"/>
      <c r="K659" s="26" t="str">
        <f t="shared" si="32"/>
        <v/>
      </c>
      <c r="L659" s="15"/>
    </row>
    <row r="660" spans="1:12" x14ac:dyDescent="0.2">
      <c r="A660" s="23" t="str">
        <f t="shared" si="30"/>
        <v/>
      </c>
      <c r="B660" s="22"/>
      <c r="C660" s="24"/>
      <c r="D660" s="15"/>
      <c r="E660" s="15"/>
      <c r="F660" s="24"/>
      <c r="G660" s="30"/>
      <c r="H660" s="30"/>
      <c r="I660" s="26" t="str">
        <f t="shared" si="31"/>
        <v/>
      </c>
      <c r="J660" s="21"/>
      <c r="K660" s="26" t="str">
        <f t="shared" si="32"/>
        <v/>
      </c>
      <c r="L660" s="15"/>
    </row>
    <row r="661" spans="1:12" x14ac:dyDescent="0.2">
      <c r="A661" s="23" t="str">
        <f t="shared" si="30"/>
        <v/>
      </c>
      <c r="B661" s="22"/>
      <c r="C661" s="24"/>
      <c r="D661" s="15"/>
      <c r="E661" s="15"/>
      <c r="F661" s="24"/>
      <c r="G661" s="30"/>
      <c r="H661" s="30"/>
      <c r="I661" s="26" t="str">
        <f t="shared" si="31"/>
        <v/>
      </c>
      <c r="J661" s="21"/>
      <c r="K661" s="26" t="str">
        <f t="shared" si="32"/>
        <v/>
      </c>
      <c r="L661" s="15"/>
    </row>
    <row r="662" spans="1:12" x14ac:dyDescent="0.2">
      <c r="A662" s="23" t="str">
        <f t="shared" si="30"/>
        <v/>
      </c>
      <c r="B662" s="22"/>
      <c r="C662" s="24"/>
      <c r="D662" s="15"/>
      <c r="E662" s="15"/>
      <c r="F662" s="24"/>
      <c r="G662" s="30"/>
      <c r="H662" s="30"/>
      <c r="I662" s="26" t="str">
        <f t="shared" si="31"/>
        <v/>
      </c>
      <c r="J662" s="21"/>
      <c r="K662" s="26" t="str">
        <f t="shared" si="32"/>
        <v/>
      </c>
      <c r="L662" s="15"/>
    </row>
    <row r="663" spans="1:12" x14ac:dyDescent="0.2">
      <c r="A663" s="23" t="str">
        <f t="shared" si="30"/>
        <v/>
      </c>
      <c r="B663" s="22"/>
      <c r="C663" s="24"/>
      <c r="D663" s="15"/>
      <c r="E663" s="15"/>
      <c r="F663" s="24"/>
      <c r="G663" s="30"/>
      <c r="H663" s="30"/>
      <c r="I663" s="26" t="str">
        <f t="shared" si="31"/>
        <v/>
      </c>
      <c r="J663" s="21"/>
      <c r="K663" s="26" t="str">
        <f t="shared" si="32"/>
        <v/>
      </c>
      <c r="L663" s="15"/>
    </row>
    <row r="664" spans="1:12" x14ac:dyDescent="0.2">
      <c r="A664" s="23" t="str">
        <f t="shared" si="30"/>
        <v/>
      </c>
      <c r="B664" s="22"/>
      <c r="C664" s="24"/>
      <c r="D664" s="15"/>
      <c r="E664" s="15"/>
      <c r="F664" s="24"/>
      <c r="G664" s="30"/>
      <c r="H664" s="30"/>
      <c r="I664" s="26" t="str">
        <f t="shared" si="31"/>
        <v/>
      </c>
      <c r="J664" s="21"/>
      <c r="K664" s="26" t="str">
        <f t="shared" si="32"/>
        <v/>
      </c>
      <c r="L664" s="15"/>
    </row>
    <row r="665" spans="1:12" x14ac:dyDescent="0.2">
      <c r="A665" s="23" t="str">
        <f t="shared" si="30"/>
        <v/>
      </c>
      <c r="B665" s="22"/>
      <c r="C665" s="24"/>
      <c r="D665" s="15"/>
      <c r="E665" s="15"/>
      <c r="F665" s="24"/>
      <c r="G665" s="30"/>
      <c r="H665" s="30"/>
      <c r="I665" s="26" t="str">
        <f t="shared" si="31"/>
        <v/>
      </c>
      <c r="J665" s="21"/>
      <c r="K665" s="26" t="str">
        <f t="shared" si="32"/>
        <v/>
      </c>
      <c r="L665" s="15"/>
    </row>
    <row r="666" spans="1:12" x14ac:dyDescent="0.2">
      <c r="A666" s="23" t="str">
        <f t="shared" si="30"/>
        <v/>
      </c>
      <c r="B666" s="22"/>
      <c r="C666" s="24"/>
      <c r="D666" s="15"/>
      <c r="E666" s="15"/>
      <c r="F666" s="24"/>
      <c r="G666" s="30"/>
      <c r="H666" s="30"/>
      <c r="I666" s="26" t="str">
        <f t="shared" si="31"/>
        <v/>
      </c>
      <c r="J666" s="21"/>
      <c r="K666" s="26" t="str">
        <f t="shared" si="32"/>
        <v/>
      </c>
      <c r="L666" s="15"/>
    </row>
    <row r="667" spans="1:12" x14ac:dyDescent="0.2">
      <c r="A667" s="23" t="str">
        <f t="shared" si="30"/>
        <v/>
      </c>
      <c r="B667" s="22"/>
      <c r="C667" s="24"/>
      <c r="D667" s="15"/>
      <c r="E667" s="15"/>
      <c r="F667" s="24"/>
      <c r="G667" s="30"/>
      <c r="H667" s="30"/>
      <c r="I667" s="26" t="str">
        <f t="shared" si="31"/>
        <v/>
      </c>
      <c r="J667" s="21"/>
      <c r="K667" s="26" t="str">
        <f t="shared" si="32"/>
        <v/>
      </c>
      <c r="L667" s="15"/>
    </row>
    <row r="668" spans="1:12" x14ac:dyDescent="0.2">
      <c r="A668" s="23" t="str">
        <f t="shared" si="30"/>
        <v/>
      </c>
      <c r="B668" s="22"/>
      <c r="C668" s="24"/>
      <c r="D668" s="15"/>
      <c r="E668" s="15"/>
      <c r="F668" s="24"/>
      <c r="G668" s="30"/>
      <c r="H668" s="30"/>
      <c r="I668" s="26" t="str">
        <f t="shared" si="31"/>
        <v/>
      </c>
      <c r="J668" s="21"/>
      <c r="K668" s="26" t="str">
        <f t="shared" si="32"/>
        <v/>
      </c>
      <c r="L668" s="15"/>
    </row>
    <row r="669" spans="1:12" x14ac:dyDescent="0.2">
      <c r="A669" s="23" t="str">
        <f t="shared" si="30"/>
        <v/>
      </c>
      <c r="B669" s="22"/>
      <c r="C669" s="24"/>
      <c r="D669" s="15"/>
      <c r="E669" s="15"/>
      <c r="F669" s="24"/>
      <c r="G669" s="30"/>
      <c r="H669" s="30"/>
      <c r="I669" s="26" t="str">
        <f t="shared" si="31"/>
        <v/>
      </c>
      <c r="J669" s="21"/>
      <c r="K669" s="26" t="str">
        <f t="shared" si="32"/>
        <v/>
      </c>
      <c r="L669" s="15"/>
    </row>
    <row r="670" spans="1:12" x14ac:dyDescent="0.2">
      <c r="A670" s="23" t="str">
        <f t="shared" si="30"/>
        <v/>
      </c>
      <c r="B670" s="22"/>
      <c r="C670" s="24"/>
      <c r="D670" s="15"/>
      <c r="E670" s="15"/>
      <c r="F670" s="24"/>
      <c r="G670" s="30"/>
      <c r="H670" s="30"/>
      <c r="I670" s="26" t="str">
        <f t="shared" si="31"/>
        <v/>
      </c>
      <c r="J670" s="21"/>
      <c r="K670" s="26" t="str">
        <f t="shared" si="32"/>
        <v/>
      </c>
      <c r="L670" s="15"/>
    </row>
    <row r="671" spans="1:12" x14ac:dyDescent="0.2">
      <c r="A671" s="23" t="str">
        <f t="shared" si="30"/>
        <v/>
      </c>
      <c r="B671" s="22"/>
      <c r="C671" s="24"/>
      <c r="D671" s="15"/>
      <c r="E671" s="15"/>
      <c r="F671" s="24"/>
      <c r="G671" s="30"/>
      <c r="H671" s="30"/>
      <c r="I671" s="26" t="str">
        <f t="shared" si="31"/>
        <v/>
      </c>
      <c r="J671" s="21"/>
      <c r="K671" s="26" t="str">
        <f t="shared" si="32"/>
        <v/>
      </c>
      <c r="L671" s="15"/>
    </row>
    <row r="672" spans="1:12" x14ac:dyDescent="0.2">
      <c r="A672" s="23" t="str">
        <f t="shared" si="30"/>
        <v/>
      </c>
      <c r="B672" s="22"/>
      <c r="C672" s="24"/>
      <c r="D672" s="15"/>
      <c r="E672" s="15"/>
      <c r="F672" s="24"/>
      <c r="G672" s="30"/>
      <c r="H672" s="30"/>
      <c r="I672" s="26" t="str">
        <f t="shared" si="31"/>
        <v/>
      </c>
      <c r="J672" s="21"/>
      <c r="K672" s="26" t="str">
        <f t="shared" si="32"/>
        <v/>
      </c>
      <c r="L672" s="15"/>
    </row>
    <row r="673" spans="1:12" x14ac:dyDescent="0.2">
      <c r="A673" s="23" t="str">
        <f t="shared" si="30"/>
        <v/>
      </c>
      <c r="B673" s="22"/>
      <c r="C673" s="24"/>
      <c r="D673" s="15"/>
      <c r="E673" s="15"/>
      <c r="F673" s="24"/>
      <c r="G673" s="30"/>
      <c r="H673" s="30"/>
      <c r="I673" s="26" t="str">
        <f t="shared" si="31"/>
        <v/>
      </c>
      <c r="J673" s="21"/>
      <c r="K673" s="26" t="str">
        <f t="shared" si="32"/>
        <v/>
      </c>
      <c r="L673" s="15"/>
    </row>
    <row r="674" spans="1:12" x14ac:dyDescent="0.2">
      <c r="A674" s="23" t="str">
        <f t="shared" si="30"/>
        <v/>
      </c>
      <c r="B674" s="22"/>
      <c r="C674" s="24"/>
      <c r="D674" s="15"/>
      <c r="E674" s="15"/>
      <c r="F674" s="24"/>
      <c r="G674" s="30"/>
      <c r="H674" s="30"/>
      <c r="I674" s="26" t="str">
        <f t="shared" si="31"/>
        <v/>
      </c>
      <c r="J674" s="21"/>
      <c r="K674" s="26" t="str">
        <f t="shared" si="32"/>
        <v/>
      </c>
      <c r="L674" s="15"/>
    </row>
    <row r="675" spans="1:12" x14ac:dyDescent="0.2">
      <c r="A675" s="23" t="str">
        <f t="shared" si="30"/>
        <v/>
      </c>
      <c r="B675" s="22"/>
      <c r="C675" s="24"/>
      <c r="D675" s="15"/>
      <c r="E675" s="15"/>
      <c r="F675" s="24"/>
      <c r="G675" s="30"/>
      <c r="H675" s="30"/>
      <c r="I675" s="26" t="str">
        <f t="shared" si="31"/>
        <v/>
      </c>
      <c r="J675" s="21"/>
      <c r="K675" s="26" t="str">
        <f t="shared" si="32"/>
        <v/>
      </c>
      <c r="L675" s="15"/>
    </row>
    <row r="676" spans="1:12" x14ac:dyDescent="0.2">
      <c r="A676" s="23" t="str">
        <f t="shared" si="30"/>
        <v/>
      </c>
      <c r="B676" s="22"/>
      <c r="C676" s="24"/>
      <c r="D676" s="15"/>
      <c r="E676" s="15"/>
      <c r="F676" s="24"/>
      <c r="G676" s="30"/>
      <c r="H676" s="30"/>
      <c r="I676" s="26" t="str">
        <f t="shared" si="31"/>
        <v/>
      </c>
      <c r="J676" s="21"/>
      <c r="K676" s="26" t="str">
        <f t="shared" si="32"/>
        <v/>
      </c>
      <c r="L676" s="15"/>
    </row>
    <row r="677" spans="1:12" x14ac:dyDescent="0.2">
      <c r="A677" s="23" t="str">
        <f t="shared" si="30"/>
        <v/>
      </c>
      <c r="B677" s="22"/>
      <c r="C677" s="24"/>
      <c r="D677" s="15"/>
      <c r="E677" s="15"/>
      <c r="F677" s="24"/>
      <c r="G677" s="30"/>
      <c r="H677" s="30"/>
      <c r="I677" s="26" t="str">
        <f t="shared" si="31"/>
        <v/>
      </c>
      <c r="J677" s="21"/>
      <c r="K677" s="26" t="str">
        <f t="shared" si="32"/>
        <v/>
      </c>
      <c r="L677" s="15"/>
    </row>
    <row r="678" spans="1:12" x14ac:dyDescent="0.2">
      <c r="A678" s="23" t="str">
        <f t="shared" si="30"/>
        <v/>
      </c>
      <c r="B678" s="22"/>
      <c r="C678" s="24"/>
      <c r="D678" s="15"/>
      <c r="E678" s="15"/>
      <c r="F678" s="24"/>
      <c r="G678" s="30"/>
      <c r="H678" s="30"/>
      <c r="I678" s="26" t="str">
        <f t="shared" si="31"/>
        <v/>
      </c>
      <c r="J678" s="21"/>
      <c r="K678" s="26" t="str">
        <f t="shared" si="32"/>
        <v/>
      </c>
      <c r="L678" s="15"/>
    </row>
    <row r="679" spans="1:12" x14ac:dyDescent="0.2">
      <c r="A679" s="23" t="str">
        <f t="shared" si="30"/>
        <v/>
      </c>
      <c r="B679" s="22"/>
      <c r="C679" s="24"/>
      <c r="D679" s="15"/>
      <c r="E679" s="15"/>
      <c r="F679" s="24"/>
      <c r="G679" s="30"/>
      <c r="H679" s="30"/>
      <c r="I679" s="26" t="str">
        <f t="shared" si="31"/>
        <v/>
      </c>
      <c r="J679" s="21"/>
      <c r="K679" s="26" t="str">
        <f t="shared" si="32"/>
        <v/>
      </c>
      <c r="L679" s="15"/>
    </row>
    <row r="680" spans="1:12" x14ac:dyDescent="0.2">
      <c r="A680" s="23" t="str">
        <f t="shared" si="30"/>
        <v/>
      </c>
      <c r="B680" s="22"/>
      <c r="C680" s="24"/>
      <c r="D680" s="15"/>
      <c r="E680" s="15"/>
      <c r="F680" s="24"/>
      <c r="G680" s="30"/>
      <c r="H680" s="30"/>
      <c r="I680" s="26" t="str">
        <f t="shared" si="31"/>
        <v/>
      </c>
      <c r="J680" s="21"/>
      <c r="K680" s="26" t="str">
        <f t="shared" si="32"/>
        <v/>
      </c>
      <c r="L680" s="15"/>
    </row>
    <row r="681" spans="1:12" x14ac:dyDescent="0.2">
      <c r="A681" s="23" t="str">
        <f t="shared" si="30"/>
        <v/>
      </c>
      <c r="B681" s="22"/>
      <c r="C681" s="24"/>
      <c r="D681" s="15"/>
      <c r="E681" s="15"/>
      <c r="F681" s="24"/>
      <c r="G681" s="30"/>
      <c r="H681" s="30"/>
      <c r="I681" s="26" t="str">
        <f t="shared" si="31"/>
        <v/>
      </c>
      <c r="J681" s="21"/>
      <c r="K681" s="26" t="str">
        <f t="shared" si="32"/>
        <v/>
      </c>
      <c r="L681" s="15"/>
    </row>
    <row r="682" spans="1:12" x14ac:dyDescent="0.2">
      <c r="A682" s="23" t="str">
        <f t="shared" si="30"/>
        <v/>
      </c>
      <c r="B682" s="22"/>
      <c r="C682" s="24"/>
      <c r="D682" s="15"/>
      <c r="E682" s="15"/>
      <c r="F682" s="24"/>
      <c r="G682" s="30"/>
      <c r="H682" s="30"/>
      <c r="I682" s="26" t="str">
        <f t="shared" si="31"/>
        <v/>
      </c>
      <c r="J682" s="21"/>
      <c r="K682" s="26" t="str">
        <f t="shared" si="32"/>
        <v/>
      </c>
      <c r="L682" s="15"/>
    </row>
    <row r="683" spans="1:12" x14ac:dyDescent="0.2">
      <c r="A683" s="23" t="str">
        <f t="shared" si="30"/>
        <v/>
      </c>
      <c r="B683" s="22"/>
      <c r="C683" s="24"/>
      <c r="D683" s="15"/>
      <c r="E683" s="15"/>
      <c r="F683" s="24"/>
      <c r="G683" s="30"/>
      <c r="H683" s="30"/>
      <c r="I683" s="26" t="str">
        <f t="shared" si="31"/>
        <v/>
      </c>
      <c r="J683" s="21"/>
      <c r="K683" s="26" t="str">
        <f t="shared" si="32"/>
        <v/>
      </c>
      <c r="L683" s="15"/>
    </row>
    <row r="684" spans="1:12" x14ac:dyDescent="0.2">
      <c r="A684" s="23" t="str">
        <f t="shared" si="30"/>
        <v/>
      </c>
      <c r="B684" s="22"/>
      <c r="C684" s="24"/>
      <c r="D684" s="15"/>
      <c r="E684" s="15"/>
      <c r="F684" s="24"/>
      <c r="G684" s="30"/>
      <c r="H684" s="30"/>
      <c r="I684" s="26" t="str">
        <f t="shared" si="31"/>
        <v/>
      </c>
      <c r="J684" s="21"/>
      <c r="K684" s="26" t="str">
        <f t="shared" si="32"/>
        <v/>
      </c>
      <c r="L684" s="15"/>
    </row>
    <row r="685" spans="1:12" x14ac:dyDescent="0.2">
      <c r="A685" s="23" t="str">
        <f t="shared" si="30"/>
        <v/>
      </c>
      <c r="B685" s="22"/>
      <c r="C685" s="24"/>
      <c r="D685" s="15"/>
      <c r="E685" s="15"/>
      <c r="F685" s="24"/>
      <c r="G685" s="30"/>
      <c r="H685" s="30"/>
      <c r="I685" s="26" t="str">
        <f t="shared" si="31"/>
        <v/>
      </c>
      <c r="J685" s="21"/>
      <c r="K685" s="26" t="str">
        <f t="shared" si="32"/>
        <v/>
      </c>
      <c r="L685" s="15"/>
    </row>
    <row r="686" spans="1:12" x14ac:dyDescent="0.2">
      <c r="A686" s="23" t="str">
        <f t="shared" si="30"/>
        <v/>
      </c>
      <c r="B686" s="22"/>
      <c r="C686" s="24"/>
      <c r="D686" s="15"/>
      <c r="E686" s="15"/>
      <c r="F686" s="24"/>
      <c r="G686" s="30"/>
      <c r="H686" s="30"/>
      <c r="I686" s="26" t="str">
        <f t="shared" si="31"/>
        <v/>
      </c>
      <c r="J686" s="21"/>
      <c r="K686" s="26" t="str">
        <f t="shared" si="32"/>
        <v/>
      </c>
      <c r="L686" s="15"/>
    </row>
    <row r="687" spans="1:12" x14ac:dyDescent="0.2">
      <c r="A687" s="23" t="str">
        <f t="shared" si="30"/>
        <v/>
      </c>
      <c r="B687" s="22"/>
      <c r="C687" s="24"/>
      <c r="D687" s="15"/>
      <c r="E687" s="15"/>
      <c r="F687" s="24"/>
      <c r="G687" s="30"/>
      <c r="H687" s="30"/>
      <c r="I687" s="26" t="str">
        <f t="shared" si="31"/>
        <v/>
      </c>
      <c r="J687" s="21"/>
      <c r="K687" s="26" t="str">
        <f t="shared" si="32"/>
        <v/>
      </c>
      <c r="L687" s="15"/>
    </row>
    <row r="688" spans="1:12" x14ac:dyDescent="0.2">
      <c r="A688" s="23" t="str">
        <f t="shared" si="30"/>
        <v/>
      </c>
      <c r="B688" s="22"/>
      <c r="C688" s="24"/>
      <c r="D688" s="15"/>
      <c r="E688" s="15"/>
      <c r="F688" s="24"/>
      <c r="G688" s="30"/>
      <c r="H688" s="30"/>
      <c r="I688" s="26" t="str">
        <f t="shared" si="31"/>
        <v/>
      </c>
      <c r="J688" s="21"/>
      <c r="K688" s="26" t="str">
        <f t="shared" si="32"/>
        <v/>
      </c>
      <c r="L688" s="15"/>
    </row>
    <row r="689" spans="1:12" x14ac:dyDescent="0.2">
      <c r="A689" s="23" t="str">
        <f t="shared" si="30"/>
        <v/>
      </c>
      <c r="B689" s="22"/>
      <c r="C689" s="24"/>
      <c r="D689" s="15"/>
      <c r="E689" s="15"/>
      <c r="F689" s="24"/>
      <c r="G689" s="30"/>
      <c r="H689" s="30"/>
      <c r="I689" s="26" t="str">
        <f t="shared" si="31"/>
        <v/>
      </c>
      <c r="J689" s="21"/>
      <c r="K689" s="26" t="str">
        <f t="shared" si="32"/>
        <v/>
      </c>
      <c r="L689" s="15"/>
    </row>
    <row r="690" spans="1:12" x14ac:dyDescent="0.2">
      <c r="A690" s="23" t="str">
        <f t="shared" si="30"/>
        <v/>
      </c>
      <c r="B690" s="22"/>
      <c r="C690" s="24"/>
      <c r="D690" s="15"/>
      <c r="E690" s="15"/>
      <c r="F690" s="24"/>
      <c r="G690" s="30"/>
      <c r="H690" s="30"/>
      <c r="I690" s="26" t="str">
        <f t="shared" si="31"/>
        <v/>
      </c>
      <c r="J690" s="21"/>
      <c r="K690" s="26" t="str">
        <f t="shared" si="32"/>
        <v/>
      </c>
      <c r="L690" s="15"/>
    </row>
    <row r="691" spans="1:12" x14ac:dyDescent="0.2">
      <c r="A691" s="23" t="str">
        <f t="shared" si="30"/>
        <v/>
      </c>
      <c r="B691" s="22"/>
      <c r="C691" s="24"/>
      <c r="D691" s="15"/>
      <c r="E691" s="15"/>
      <c r="F691" s="24"/>
      <c r="G691" s="30"/>
      <c r="H691" s="30"/>
      <c r="I691" s="26" t="str">
        <f t="shared" si="31"/>
        <v/>
      </c>
      <c r="J691" s="21"/>
      <c r="K691" s="26" t="str">
        <f t="shared" si="32"/>
        <v/>
      </c>
      <c r="L691" s="15"/>
    </row>
    <row r="692" spans="1:12" x14ac:dyDescent="0.2">
      <c r="A692" s="23" t="str">
        <f t="shared" si="30"/>
        <v/>
      </c>
      <c r="B692" s="22"/>
      <c r="C692" s="24"/>
      <c r="D692" s="15"/>
      <c r="E692" s="15"/>
      <c r="F692" s="24"/>
      <c r="G692" s="30"/>
      <c r="H692" s="30"/>
      <c r="I692" s="26" t="str">
        <f t="shared" si="31"/>
        <v/>
      </c>
      <c r="J692" s="21"/>
      <c r="K692" s="26" t="str">
        <f t="shared" si="32"/>
        <v/>
      </c>
      <c r="L692" s="15"/>
    </row>
    <row r="693" spans="1:12" x14ac:dyDescent="0.2">
      <c r="A693" s="23" t="str">
        <f t="shared" si="30"/>
        <v/>
      </c>
      <c r="B693" s="22"/>
      <c r="C693" s="24"/>
      <c r="D693" s="15"/>
      <c r="E693" s="15"/>
      <c r="F693" s="24"/>
      <c r="G693" s="30"/>
      <c r="H693" s="30"/>
      <c r="I693" s="26" t="str">
        <f t="shared" si="31"/>
        <v/>
      </c>
      <c r="J693" s="21"/>
      <c r="K693" s="26" t="str">
        <f t="shared" si="32"/>
        <v/>
      </c>
      <c r="L693" s="15"/>
    </row>
    <row r="694" spans="1:12" x14ac:dyDescent="0.2">
      <c r="A694" s="23" t="str">
        <f t="shared" si="30"/>
        <v/>
      </c>
      <c r="B694" s="22"/>
      <c r="C694" s="24"/>
      <c r="D694" s="15"/>
      <c r="E694" s="15"/>
      <c r="F694" s="24"/>
      <c r="G694" s="30"/>
      <c r="H694" s="30"/>
      <c r="I694" s="26" t="str">
        <f t="shared" si="31"/>
        <v/>
      </c>
      <c r="J694" s="21"/>
      <c r="K694" s="26" t="str">
        <f t="shared" si="32"/>
        <v/>
      </c>
      <c r="L694" s="15"/>
    </row>
    <row r="695" spans="1:12" x14ac:dyDescent="0.2">
      <c r="A695" s="23" t="str">
        <f t="shared" si="30"/>
        <v/>
      </c>
      <c r="B695" s="22"/>
      <c r="C695" s="24"/>
      <c r="D695" s="15"/>
      <c r="E695" s="15"/>
      <c r="F695" s="24"/>
      <c r="G695" s="30"/>
      <c r="H695" s="30"/>
      <c r="I695" s="26" t="str">
        <f t="shared" si="31"/>
        <v/>
      </c>
      <c r="J695" s="21"/>
      <c r="K695" s="26" t="str">
        <f t="shared" si="32"/>
        <v/>
      </c>
      <c r="L695" s="15"/>
    </row>
    <row r="696" spans="1:12" x14ac:dyDescent="0.2">
      <c r="A696" s="23" t="str">
        <f t="shared" si="30"/>
        <v/>
      </c>
      <c r="B696" s="22"/>
      <c r="C696" s="24"/>
      <c r="D696" s="15"/>
      <c r="E696" s="15"/>
      <c r="F696" s="24"/>
      <c r="G696" s="30"/>
      <c r="H696" s="30"/>
      <c r="I696" s="26" t="str">
        <f t="shared" si="31"/>
        <v/>
      </c>
      <c r="J696" s="21"/>
      <c r="K696" s="26" t="str">
        <f t="shared" si="32"/>
        <v/>
      </c>
      <c r="L696" s="15"/>
    </row>
    <row r="697" spans="1:12" x14ac:dyDescent="0.2">
      <c r="A697" s="23" t="str">
        <f t="shared" si="30"/>
        <v/>
      </c>
      <c r="B697" s="22"/>
      <c r="C697" s="24"/>
      <c r="D697" s="15"/>
      <c r="E697" s="15"/>
      <c r="F697" s="24"/>
      <c r="G697" s="30"/>
      <c r="H697" s="30"/>
      <c r="I697" s="26" t="str">
        <f t="shared" si="31"/>
        <v/>
      </c>
      <c r="J697" s="21"/>
      <c r="K697" s="26" t="str">
        <f t="shared" si="32"/>
        <v/>
      </c>
      <c r="L697" s="15"/>
    </row>
    <row r="698" spans="1:12" x14ac:dyDescent="0.2">
      <c r="A698" s="23" t="str">
        <f t="shared" si="30"/>
        <v/>
      </c>
      <c r="B698" s="22"/>
      <c r="C698" s="24"/>
      <c r="D698" s="15"/>
      <c r="E698" s="15"/>
      <c r="F698" s="24"/>
      <c r="G698" s="30"/>
      <c r="H698" s="30"/>
      <c r="I698" s="26" t="str">
        <f t="shared" si="31"/>
        <v/>
      </c>
      <c r="J698" s="21"/>
      <c r="K698" s="26" t="str">
        <f t="shared" si="32"/>
        <v/>
      </c>
      <c r="L698" s="15"/>
    </row>
    <row r="699" spans="1:12" x14ac:dyDescent="0.2">
      <c r="A699" s="23" t="str">
        <f t="shared" si="30"/>
        <v/>
      </c>
      <c r="B699" s="22"/>
      <c r="C699" s="24"/>
      <c r="D699" s="15"/>
      <c r="E699" s="15"/>
      <c r="F699" s="24"/>
      <c r="G699" s="30"/>
      <c r="H699" s="30"/>
      <c r="I699" s="26" t="str">
        <f t="shared" si="31"/>
        <v/>
      </c>
      <c r="J699" s="21"/>
      <c r="K699" s="26" t="str">
        <f t="shared" si="32"/>
        <v/>
      </c>
      <c r="L699" s="15"/>
    </row>
    <row r="700" spans="1:12" x14ac:dyDescent="0.2">
      <c r="A700" s="23" t="str">
        <f t="shared" si="30"/>
        <v/>
      </c>
      <c r="B700" s="22"/>
      <c r="C700" s="24"/>
      <c r="D700" s="15"/>
      <c r="E700" s="15"/>
      <c r="F700" s="24"/>
      <c r="G700" s="30"/>
      <c r="H700" s="30"/>
      <c r="I700" s="26" t="str">
        <f t="shared" si="31"/>
        <v/>
      </c>
      <c r="J700" s="21"/>
      <c r="K700" s="26" t="str">
        <f t="shared" si="32"/>
        <v/>
      </c>
      <c r="L700" s="15"/>
    </row>
    <row r="701" spans="1:12" x14ac:dyDescent="0.2">
      <c r="A701" s="23" t="str">
        <f t="shared" si="30"/>
        <v/>
      </c>
      <c r="B701" s="22"/>
      <c r="C701" s="24"/>
      <c r="D701" s="15"/>
      <c r="E701" s="15"/>
      <c r="F701" s="24"/>
      <c r="G701" s="30"/>
      <c r="H701" s="30"/>
      <c r="I701" s="26" t="str">
        <f t="shared" si="31"/>
        <v/>
      </c>
      <c r="J701" s="21"/>
      <c r="K701" s="26" t="str">
        <f t="shared" si="32"/>
        <v/>
      </c>
      <c r="L701" s="15"/>
    </row>
    <row r="702" spans="1:12" x14ac:dyDescent="0.2">
      <c r="A702" s="23" t="str">
        <f t="shared" si="30"/>
        <v/>
      </c>
      <c r="B702" s="22"/>
      <c r="C702" s="24"/>
      <c r="D702" s="15"/>
      <c r="E702" s="15"/>
      <c r="F702" s="24"/>
      <c r="G702" s="30"/>
      <c r="H702" s="30"/>
      <c r="I702" s="26" t="str">
        <f t="shared" si="31"/>
        <v/>
      </c>
      <c r="J702" s="21"/>
      <c r="K702" s="26" t="str">
        <f t="shared" si="32"/>
        <v/>
      </c>
      <c r="L702" s="15"/>
    </row>
    <row r="703" spans="1:12" x14ac:dyDescent="0.2">
      <c r="A703" s="23" t="str">
        <f t="shared" si="30"/>
        <v/>
      </c>
      <c r="B703" s="22"/>
      <c r="C703" s="24"/>
      <c r="D703" s="15"/>
      <c r="E703" s="15"/>
      <c r="F703" s="24"/>
      <c r="G703" s="30"/>
      <c r="H703" s="30"/>
      <c r="I703" s="26" t="str">
        <f t="shared" si="31"/>
        <v/>
      </c>
      <c r="J703" s="21"/>
      <c r="K703" s="26" t="str">
        <f t="shared" si="32"/>
        <v/>
      </c>
      <c r="L703" s="15"/>
    </row>
    <row r="704" spans="1:12" x14ac:dyDescent="0.2">
      <c r="A704" s="23" t="str">
        <f t="shared" si="30"/>
        <v/>
      </c>
      <c r="B704" s="22"/>
      <c r="C704" s="24"/>
      <c r="D704" s="15"/>
      <c r="E704" s="15"/>
      <c r="F704" s="24"/>
      <c r="G704" s="30"/>
      <c r="H704" s="30"/>
      <c r="I704" s="26" t="str">
        <f t="shared" si="31"/>
        <v/>
      </c>
      <c r="J704" s="21"/>
      <c r="K704" s="26" t="str">
        <f t="shared" si="32"/>
        <v/>
      </c>
      <c r="L704" s="15"/>
    </row>
    <row r="705" spans="1:12" x14ac:dyDescent="0.2">
      <c r="A705" s="23" t="str">
        <f t="shared" si="30"/>
        <v/>
      </c>
      <c r="B705" s="22"/>
      <c r="C705" s="24"/>
      <c r="D705" s="15"/>
      <c r="E705" s="15"/>
      <c r="F705" s="24"/>
      <c r="G705" s="30"/>
      <c r="H705" s="30"/>
      <c r="I705" s="26" t="str">
        <f t="shared" si="31"/>
        <v/>
      </c>
      <c r="J705" s="21"/>
      <c r="K705" s="26" t="str">
        <f t="shared" si="32"/>
        <v/>
      </c>
      <c r="L705" s="15"/>
    </row>
    <row r="706" spans="1:12" x14ac:dyDescent="0.2">
      <c r="A706" s="23" t="str">
        <f t="shared" si="30"/>
        <v/>
      </c>
      <c r="B706" s="22"/>
      <c r="C706" s="24"/>
      <c r="D706" s="15"/>
      <c r="E706" s="15"/>
      <c r="F706" s="24"/>
      <c r="G706" s="30"/>
      <c r="H706" s="30"/>
      <c r="I706" s="26" t="str">
        <f t="shared" si="31"/>
        <v/>
      </c>
      <c r="J706" s="21"/>
      <c r="K706" s="26" t="str">
        <f t="shared" si="32"/>
        <v/>
      </c>
      <c r="L706" s="15"/>
    </row>
    <row r="707" spans="1:12" x14ac:dyDescent="0.2">
      <c r="A707" s="23" t="str">
        <f t="shared" si="30"/>
        <v/>
      </c>
      <c r="B707" s="22"/>
      <c r="C707" s="24"/>
      <c r="D707" s="15"/>
      <c r="E707" s="15"/>
      <c r="F707" s="24"/>
      <c r="G707" s="30"/>
      <c r="H707" s="30"/>
      <c r="I707" s="26" t="str">
        <f t="shared" si="31"/>
        <v/>
      </c>
      <c r="J707" s="21"/>
      <c r="K707" s="26" t="str">
        <f t="shared" si="32"/>
        <v/>
      </c>
      <c r="L707" s="15"/>
    </row>
    <row r="708" spans="1:12" x14ac:dyDescent="0.2">
      <c r="A708" s="23" t="str">
        <f t="shared" si="30"/>
        <v/>
      </c>
      <c r="B708" s="22"/>
      <c r="C708" s="24"/>
      <c r="D708" s="15"/>
      <c r="E708" s="15"/>
      <c r="F708" s="24"/>
      <c r="G708" s="30"/>
      <c r="H708" s="30"/>
      <c r="I708" s="26" t="str">
        <f t="shared" si="31"/>
        <v/>
      </c>
      <c r="J708" s="21"/>
      <c r="K708" s="26" t="str">
        <f t="shared" si="32"/>
        <v/>
      </c>
      <c r="L708" s="15"/>
    </row>
    <row r="709" spans="1:12" x14ac:dyDescent="0.2">
      <c r="A709" s="23" t="str">
        <f t="shared" ref="A709:A772" si="33">IF(B709="","",ROW()-4)</f>
        <v/>
      </c>
      <c r="B709" s="22"/>
      <c r="C709" s="24"/>
      <c r="D709" s="15"/>
      <c r="E709" s="15"/>
      <c r="F709" s="24"/>
      <c r="G709" s="30"/>
      <c r="H709" s="30"/>
      <c r="I709" s="26" t="str">
        <f t="shared" ref="I709:I772" si="34">IF(OR(G709="",H709=""),"",G709*H709)</f>
        <v/>
      </c>
      <c r="J709" s="21"/>
      <c r="K709" s="26" t="str">
        <f t="shared" ref="K709:K772" si="35">IF(OR(I709="",J709=""),"",I709*J709)</f>
        <v/>
      </c>
      <c r="L709" s="15"/>
    </row>
    <row r="710" spans="1:12" x14ac:dyDescent="0.2">
      <c r="A710" s="23" t="str">
        <f t="shared" si="33"/>
        <v/>
      </c>
      <c r="B710" s="22"/>
      <c r="C710" s="24"/>
      <c r="D710" s="15"/>
      <c r="E710" s="15"/>
      <c r="F710" s="24"/>
      <c r="G710" s="30"/>
      <c r="H710" s="30"/>
      <c r="I710" s="26" t="str">
        <f t="shared" si="34"/>
        <v/>
      </c>
      <c r="J710" s="21"/>
      <c r="K710" s="26" t="str">
        <f t="shared" si="35"/>
        <v/>
      </c>
      <c r="L710" s="15"/>
    </row>
    <row r="711" spans="1:12" x14ac:dyDescent="0.2">
      <c r="A711" s="23" t="str">
        <f t="shared" si="33"/>
        <v/>
      </c>
      <c r="B711" s="22"/>
      <c r="C711" s="24"/>
      <c r="D711" s="15"/>
      <c r="E711" s="15"/>
      <c r="F711" s="24"/>
      <c r="G711" s="30"/>
      <c r="H711" s="30"/>
      <c r="I711" s="26" t="str">
        <f t="shared" si="34"/>
        <v/>
      </c>
      <c r="J711" s="21"/>
      <c r="K711" s="26" t="str">
        <f t="shared" si="35"/>
        <v/>
      </c>
      <c r="L711" s="15"/>
    </row>
    <row r="712" spans="1:12" x14ac:dyDescent="0.2">
      <c r="A712" s="23" t="str">
        <f t="shared" si="33"/>
        <v/>
      </c>
      <c r="B712" s="22"/>
      <c r="C712" s="24"/>
      <c r="D712" s="15"/>
      <c r="E712" s="15"/>
      <c r="F712" s="24"/>
      <c r="G712" s="30"/>
      <c r="H712" s="30"/>
      <c r="I712" s="26" t="str">
        <f t="shared" si="34"/>
        <v/>
      </c>
      <c r="J712" s="21"/>
      <c r="K712" s="26" t="str">
        <f t="shared" si="35"/>
        <v/>
      </c>
      <c r="L712" s="15"/>
    </row>
    <row r="713" spans="1:12" x14ac:dyDescent="0.2">
      <c r="A713" s="23" t="str">
        <f t="shared" si="33"/>
        <v/>
      </c>
      <c r="B713" s="22"/>
      <c r="C713" s="24"/>
      <c r="D713" s="15"/>
      <c r="E713" s="15"/>
      <c r="F713" s="24"/>
      <c r="G713" s="30"/>
      <c r="H713" s="30"/>
      <c r="I713" s="26" t="str">
        <f t="shared" si="34"/>
        <v/>
      </c>
      <c r="J713" s="21"/>
      <c r="K713" s="26" t="str">
        <f t="shared" si="35"/>
        <v/>
      </c>
      <c r="L713" s="15"/>
    </row>
    <row r="714" spans="1:12" x14ac:dyDescent="0.2">
      <c r="A714" s="23" t="str">
        <f t="shared" si="33"/>
        <v/>
      </c>
      <c r="B714" s="22"/>
      <c r="C714" s="24"/>
      <c r="D714" s="15"/>
      <c r="E714" s="15"/>
      <c r="F714" s="24"/>
      <c r="G714" s="30"/>
      <c r="H714" s="30"/>
      <c r="I714" s="26" t="str">
        <f t="shared" si="34"/>
        <v/>
      </c>
      <c r="J714" s="21"/>
      <c r="K714" s="26" t="str">
        <f t="shared" si="35"/>
        <v/>
      </c>
      <c r="L714" s="15"/>
    </row>
    <row r="715" spans="1:12" x14ac:dyDescent="0.2">
      <c r="A715" s="23" t="str">
        <f t="shared" si="33"/>
        <v/>
      </c>
      <c r="B715" s="22"/>
      <c r="C715" s="24"/>
      <c r="D715" s="15"/>
      <c r="E715" s="15"/>
      <c r="F715" s="24"/>
      <c r="G715" s="30"/>
      <c r="H715" s="30"/>
      <c r="I715" s="26" t="str">
        <f t="shared" si="34"/>
        <v/>
      </c>
      <c r="J715" s="21"/>
      <c r="K715" s="26" t="str">
        <f t="shared" si="35"/>
        <v/>
      </c>
      <c r="L715" s="15"/>
    </row>
    <row r="716" spans="1:12" x14ac:dyDescent="0.2">
      <c r="A716" s="23" t="str">
        <f t="shared" si="33"/>
        <v/>
      </c>
      <c r="B716" s="22"/>
      <c r="C716" s="24"/>
      <c r="D716" s="15"/>
      <c r="E716" s="15"/>
      <c r="F716" s="24"/>
      <c r="G716" s="30"/>
      <c r="H716" s="30"/>
      <c r="I716" s="26" t="str">
        <f t="shared" si="34"/>
        <v/>
      </c>
      <c r="J716" s="21"/>
      <c r="K716" s="26" t="str">
        <f t="shared" si="35"/>
        <v/>
      </c>
      <c r="L716" s="15"/>
    </row>
    <row r="717" spans="1:12" x14ac:dyDescent="0.2">
      <c r="A717" s="23" t="str">
        <f t="shared" si="33"/>
        <v/>
      </c>
      <c r="B717" s="22"/>
      <c r="C717" s="24"/>
      <c r="D717" s="15"/>
      <c r="E717" s="15"/>
      <c r="F717" s="24"/>
      <c r="G717" s="30"/>
      <c r="H717" s="30"/>
      <c r="I717" s="26" t="str">
        <f t="shared" si="34"/>
        <v/>
      </c>
      <c r="J717" s="21"/>
      <c r="K717" s="26" t="str">
        <f t="shared" si="35"/>
        <v/>
      </c>
      <c r="L717" s="15"/>
    </row>
    <row r="718" spans="1:12" x14ac:dyDescent="0.2">
      <c r="A718" s="23" t="str">
        <f t="shared" si="33"/>
        <v/>
      </c>
      <c r="B718" s="22"/>
      <c r="C718" s="24"/>
      <c r="D718" s="15"/>
      <c r="E718" s="15"/>
      <c r="F718" s="24"/>
      <c r="G718" s="30"/>
      <c r="H718" s="30"/>
      <c r="I718" s="26" t="str">
        <f t="shared" si="34"/>
        <v/>
      </c>
      <c r="J718" s="21"/>
      <c r="K718" s="26" t="str">
        <f t="shared" si="35"/>
        <v/>
      </c>
      <c r="L718" s="15"/>
    </row>
    <row r="719" spans="1:12" x14ac:dyDescent="0.2">
      <c r="A719" s="23" t="str">
        <f t="shared" si="33"/>
        <v/>
      </c>
      <c r="B719" s="22"/>
      <c r="C719" s="24"/>
      <c r="D719" s="15"/>
      <c r="E719" s="15"/>
      <c r="F719" s="24"/>
      <c r="G719" s="30"/>
      <c r="H719" s="30"/>
      <c r="I719" s="26" t="str">
        <f t="shared" si="34"/>
        <v/>
      </c>
      <c r="J719" s="21"/>
      <c r="K719" s="26" t="str">
        <f t="shared" si="35"/>
        <v/>
      </c>
      <c r="L719" s="15"/>
    </row>
    <row r="720" spans="1:12" x14ac:dyDescent="0.2">
      <c r="A720" s="23" t="str">
        <f t="shared" si="33"/>
        <v/>
      </c>
      <c r="B720" s="22"/>
      <c r="C720" s="24"/>
      <c r="D720" s="15"/>
      <c r="E720" s="15"/>
      <c r="F720" s="24"/>
      <c r="G720" s="30"/>
      <c r="H720" s="30"/>
      <c r="I720" s="26" t="str">
        <f t="shared" si="34"/>
        <v/>
      </c>
      <c r="J720" s="21"/>
      <c r="K720" s="26" t="str">
        <f t="shared" si="35"/>
        <v/>
      </c>
      <c r="L720" s="15"/>
    </row>
    <row r="721" spans="1:12" x14ac:dyDescent="0.2">
      <c r="A721" s="23" t="str">
        <f t="shared" si="33"/>
        <v/>
      </c>
      <c r="B721" s="22"/>
      <c r="C721" s="24"/>
      <c r="D721" s="15"/>
      <c r="E721" s="15"/>
      <c r="F721" s="24"/>
      <c r="G721" s="30"/>
      <c r="H721" s="30"/>
      <c r="I721" s="26" t="str">
        <f t="shared" si="34"/>
        <v/>
      </c>
      <c r="J721" s="21"/>
      <c r="K721" s="26" t="str">
        <f t="shared" si="35"/>
        <v/>
      </c>
      <c r="L721" s="15"/>
    </row>
    <row r="722" spans="1:12" x14ac:dyDescent="0.2">
      <c r="A722" s="23" t="str">
        <f t="shared" si="33"/>
        <v/>
      </c>
      <c r="B722" s="22"/>
      <c r="C722" s="24"/>
      <c r="D722" s="15"/>
      <c r="E722" s="15"/>
      <c r="F722" s="24"/>
      <c r="G722" s="30"/>
      <c r="H722" s="30"/>
      <c r="I722" s="26" t="str">
        <f t="shared" si="34"/>
        <v/>
      </c>
      <c r="J722" s="21"/>
      <c r="K722" s="26" t="str">
        <f t="shared" si="35"/>
        <v/>
      </c>
      <c r="L722" s="15"/>
    </row>
    <row r="723" spans="1:12" x14ac:dyDescent="0.2">
      <c r="A723" s="23" t="str">
        <f t="shared" si="33"/>
        <v/>
      </c>
      <c r="B723" s="22"/>
      <c r="C723" s="24"/>
      <c r="D723" s="15"/>
      <c r="E723" s="15"/>
      <c r="F723" s="24"/>
      <c r="G723" s="30"/>
      <c r="H723" s="30"/>
      <c r="I723" s="26" t="str">
        <f t="shared" si="34"/>
        <v/>
      </c>
      <c r="J723" s="21"/>
      <c r="K723" s="26" t="str">
        <f t="shared" si="35"/>
        <v/>
      </c>
      <c r="L723" s="15"/>
    </row>
    <row r="724" spans="1:12" x14ac:dyDescent="0.2">
      <c r="A724" s="23" t="str">
        <f t="shared" si="33"/>
        <v/>
      </c>
      <c r="B724" s="22"/>
      <c r="C724" s="24"/>
      <c r="D724" s="15"/>
      <c r="E724" s="15"/>
      <c r="F724" s="24"/>
      <c r="G724" s="30"/>
      <c r="H724" s="30"/>
      <c r="I724" s="26" t="str">
        <f t="shared" si="34"/>
        <v/>
      </c>
      <c r="J724" s="21"/>
      <c r="K724" s="26" t="str">
        <f t="shared" si="35"/>
        <v/>
      </c>
      <c r="L724" s="15"/>
    </row>
    <row r="725" spans="1:12" x14ac:dyDescent="0.2">
      <c r="A725" s="23" t="str">
        <f t="shared" si="33"/>
        <v/>
      </c>
      <c r="B725" s="22"/>
      <c r="C725" s="24"/>
      <c r="D725" s="15"/>
      <c r="E725" s="15"/>
      <c r="F725" s="24"/>
      <c r="G725" s="30"/>
      <c r="H725" s="30"/>
      <c r="I725" s="26" t="str">
        <f t="shared" si="34"/>
        <v/>
      </c>
      <c r="J725" s="21"/>
      <c r="K725" s="26" t="str">
        <f t="shared" si="35"/>
        <v/>
      </c>
      <c r="L725" s="15"/>
    </row>
    <row r="726" spans="1:12" x14ac:dyDescent="0.2">
      <c r="A726" s="23" t="str">
        <f t="shared" si="33"/>
        <v/>
      </c>
      <c r="B726" s="22"/>
      <c r="C726" s="24"/>
      <c r="D726" s="15"/>
      <c r="E726" s="15"/>
      <c r="F726" s="24"/>
      <c r="G726" s="30"/>
      <c r="H726" s="30"/>
      <c r="I726" s="26" t="str">
        <f t="shared" si="34"/>
        <v/>
      </c>
      <c r="J726" s="21"/>
      <c r="K726" s="26" t="str">
        <f t="shared" si="35"/>
        <v/>
      </c>
      <c r="L726" s="15"/>
    </row>
    <row r="727" spans="1:12" x14ac:dyDescent="0.2">
      <c r="A727" s="23" t="str">
        <f t="shared" si="33"/>
        <v/>
      </c>
      <c r="B727" s="22"/>
      <c r="C727" s="24"/>
      <c r="D727" s="15"/>
      <c r="E727" s="15"/>
      <c r="F727" s="24"/>
      <c r="G727" s="30"/>
      <c r="H727" s="30"/>
      <c r="I727" s="26" t="str">
        <f t="shared" si="34"/>
        <v/>
      </c>
      <c r="J727" s="21"/>
      <c r="K727" s="26" t="str">
        <f t="shared" si="35"/>
        <v/>
      </c>
      <c r="L727" s="15"/>
    </row>
    <row r="728" spans="1:12" x14ac:dyDescent="0.2">
      <c r="A728" s="23" t="str">
        <f t="shared" si="33"/>
        <v/>
      </c>
      <c r="B728" s="22"/>
      <c r="C728" s="24"/>
      <c r="D728" s="15"/>
      <c r="E728" s="15"/>
      <c r="F728" s="24"/>
      <c r="G728" s="30"/>
      <c r="H728" s="30"/>
      <c r="I728" s="26" t="str">
        <f t="shared" si="34"/>
        <v/>
      </c>
      <c r="J728" s="21"/>
      <c r="K728" s="26" t="str">
        <f t="shared" si="35"/>
        <v/>
      </c>
      <c r="L728" s="15"/>
    </row>
    <row r="729" spans="1:12" x14ac:dyDescent="0.2">
      <c r="A729" s="23" t="str">
        <f t="shared" si="33"/>
        <v/>
      </c>
      <c r="B729" s="22"/>
      <c r="C729" s="24"/>
      <c r="D729" s="15"/>
      <c r="E729" s="15"/>
      <c r="F729" s="24"/>
      <c r="G729" s="30"/>
      <c r="H729" s="30"/>
      <c r="I729" s="26" t="str">
        <f t="shared" si="34"/>
        <v/>
      </c>
      <c r="J729" s="21"/>
      <c r="K729" s="26" t="str">
        <f t="shared" si="35"/>
        <v/>
      </c>
      <c r="L729" s="15"/>
    </row>
    <row r="730" spans="1:12" x14ac:dyDescent="0.2">
      <c r="A730" s="23" t="str">
        <f t="shared" si="33"/>
        <v/>
      </c>
      <c r="B730" s="22"/>
      <c r="C730" s="24"/>
      <c r="D730" s="15"/>
      <c r="E730" s="15"/>
      <c r="F730" s="24"/>
      <c r="G730" s="30"/>
      <c r="H730" s="30"/>
      <c r="I730" s="26" t="str">
        <f t="shared" si="34"/>
        <v/>
      </c>
      <c r="J730" s="21"/>
      <c r="K730" s="26" t="str">
        <f t="shared" si="35"/>
        <v/>
      </c>
      <c r="L730" s="15"/>
    </row>
    <row r="731" spans="1:12" x14ac:dyDescent="0.2">
      <c r="A731" s="23" t="str">
        <f t="shared" si="33"/>
        <v/>
      </c>
      <c r="B731" s="22"/>
      <c r="C731" s="24"/>
      <c r="D731" s="15"/>
      <c r="E731" s="15"/>
      <c r="F731" s="24"/>
      <c r="G731" s="30"/>
      <c r="H731" s="30"/>
      <c r="I731" s="26" t="str">
        <f t="shared" si="34"/>
        <v/>
      </c>
      <c r="J731" s="21"/>
      <c r="K731" s="26" t="str">
        <f t="shared" si="35"/>
        <v/>
      </c>
      <c r="L731" s="15"/>
    </row>
    <row r="732" spans="1:12" x14ac:dyDescent="0.2">
      <c r="A732" s="23" t="str">
        <f t="shared" si="33"/>
        <v/>
      </c>
      <c r="B732" s="22"/>
      <c r="C732" s="24"/>
      <c r="D732" s="15"/>
      <c r="E732" s="15"/>
      <c r="F732" s="24"/>
      <c r="G732" s="30"/>
      <c r="H732" s="30"/>
      <c r="I732" s="26" t="str">
        <f t="shared" si="34"/>
        <v/>
      </c>
      <c r="J732" s="21"/>
      <c r="K732" s="26" t="str">
        <f t="shared" si="35"/>
        <v/>
      </c>
      <c r="L732" s="15"/>
    </row>
    <row r="733" spans="1:12" x14ac:dyDescent="0.2">
      <c r="A733" s="23" t="str">
        <f t="shared" si="33"/>
        <v/>
      </c>
      <c r="B733" s="22"/>
      <c r="C733" s="24"/>
      <c r="D733" s="15"/>
      <c r="E733" s="15"/>
      <c r="F733" s="24"/>
      <c r="G733" s="30"/>
      <c r="H733" s="30"/>
      <c r="I733" s="26" t="str">
        <f t="shared" si="34"/>
        <v/>
      </c>
      <c r="J733" s="21"/>
      <c r="K733" s="26" t="str">
        <f t="shared" si="35"/>
        <v/>
      </c>
      <c r="L733" s="15"/>
    </row>
    <row r="734" spans="1:12" x14ac:dyDescent="0.2">
      <c r="A734" s="23" t="str">
        <f t="shared" si="33"/>
        <v/>
      </c>
      <c r="B734" s="22"/>
      <c r="C734" s="24"/>
      <c r="D734" s="15"/>
      <c r="E734" s="15"/>
      <c r="F734" s="24"/>
      <c r="G734" s="30"/>
      <c r="H734" s="30"/>
      <c r="I734" s="26" t="str">
        <f t="shared" si="34"/>
        <v/>
      </c>
      <c r="J734" s="21"/>
      <c r="K734" s="26" t="str">
        <f t="shared" si="35"/>
        <v/>
      </c>
      <c r="L734" s="15"/>
    </row>
    <row r="735" spans="1:12" x14ac:dyDescent="0.2">
      <c r="A735" s="23" t="str">
        <f t="shared" si="33"/>
        <v/>
      </c>
      <c r="B735" s="22"/>
      <c r="C735" s="24"/>
      <c r="D735" s="15"/>
      <c r="E735" s="15"/>
      <c r="F735" s="24"/>
      <c r="G735" s="30"/>
      <c r="H735" s="30"/>
      <c r="I735" s="26" t="str">
        <f t="shared" si="34"/>
        <v/>
      </c>
      <c r="J735" s="21"/>
      <c r="K735" s="26" t="str">
        <f t="shared" si="35"/>
        <v/>
      </c>
      <c r="L735" s="15"/>
    </row>
    <row r="736" spans="1:12" x14ac:dyDescent="0.2">
      <c r="A736" s="23" t="str">
        <f t="shared" si="33"/>
        <v/>
      </c>
      <c r="B736" s="22"/>
      <c r="C736" s="24"/>
      <c r="D736" s="15"/>
      <c r="E736" s="15"/>
      <c r="F736" s="24"/>
      <c r="G736" s="30"/>
      <c r="H736" s="30"/>
      <c r="I736" s="26" t="str">
        <f t="shared" si="34"/>
        <v/>
      </c>
      <c r="J736" s="21"/>
      <c r="K736" s="26" t="str">
        <f t="shared" si="35"/>
        <v/>
      </c>
      <c r="L736" s="15"/>
    </row>
    <row r="737" spans="1:12" x14ac:dyDescent="0.2">
      <c r="A737" s="23" t="str">
        <f t="shared" si="33"/>
        <v/>
      </c>
      <c r="B737" s="22"/>
      <c r="C737" s="24"/>
      <c r="D737" s="15"/>
      <c r="E737" s="15"/>
      <c r="F737" s="24"/>
      <c r="G737" s="30"/>
      <c r="H737" s="30"/>
      <c r="I737" s="26" t="str">
        <f t="shared" si="34"/>
        <v/>
      </c>
      <c r="J737" s="21"/>
      <c r="K737" s="26" t="str">
        <f t="shared" si="35"/>
        <v/>
      </c>
      <c r="L737" s="15"/>
    </row>
    <row r="738" spans="1:12" x14ac:dyDescent="0.2">
      <c r="A738" s="23" t="str">
        <f t="shared" si="33"/>
        <v/>
      </c>
      <c r="B738" s="22"/>
      <c r="C738" s="24"/>
      <c r="D738" s="15"/>
      <c r="E738" s="15"/>
      <c r="F738" s="24"/>
      <c r="G738" s="30"/>
      <c r="H738" s="30"/>
      <c r="I738" s="26" t="str">
        <f t="shared" si="34"/>
        <v/>
      </c>
      <c r="J738" s="21"/>
      <c r="K738" s="26" t="str">
        <f t="shared" si="35"/>
        <v/>
      </c>
      <c r="L738" s="15"/>
    </row>
    <row r="739" spans="1:12" x14ac:dyDescent="0.2">
      <c r="A739" s="23" t="str">
        <f t="shared" si="33"/>
        <v/>
      </c>
      <c r="B739" s="22"/>
      <c r="C739" s="24"/>
      <c r="D739" s="15"/>
      <c r="E739" s="15"/>
      <c r="F739" s="24"/>
      <c r="G739" s="30"/>
      <c r="H739" s="30"/>
      <c r="I739" s="26" t="str">
        <f t="shared" si="34"/>
        <v/>
      </c>
      <c r="J739" s="21"/>
      <c r="K739" s="26" t="str">
        <f t="shared" si="35"/>
        <v/>
      </c>
      <c r="L739" s="15"/>
    </row>
    <row r="740" spans="1:12" x14ac:dyDescent="0.2">
      <c r="A740" s="23" t="str">
        <f t="shared" si="33"/>
        <v/>
      </c>
      <c r="B740" s="22"/>
      <c r="C740" s="24"/>
      <c r="D740" s="15"/>
      <c r="E740" s="15"/>
      <c r="F740" s="24"/>
      <c r="G740" s="30"/>
      <c r="H740" s="30"/>
      <c r="I740" s="26" t="str">
        <f t="shared" si="34"/>
        <v/>
      </c>
      <c r="J740" s="21"/>
      <c r="K740" s="26" t="str">
        <f t="shared" si="35"/>
        <v/>
      </c>
      <c r="L740" s="15"/>
    </row>
    <row r="741" spans="1:12" x14ac:dyDescent="0.2">
      <c r="A741" s="23" t="str">
        <f t="shared" si="33"/>
        <v/>
      </c>
      <c r="B741" s="22"/>
      <c r="C741" s="24"/>
      <c r="D741" s="15"/>
      <c r="E741" s="15"/>
      <c r="F741" s="24"/>
      <c r="G741" s="30"/>
      <c r="H741" s="30"/>
      <c r="I741" s="26" t="str">
        <f t="shared" si="34"/>
        <v/>
      </c>
      <c r="J741" s="21"/>
      <c r="K741" s="26" t="str">
        <f t="shared" si="35"/>
        <v/>
      </c>
      <c r="L741" s="15"/>
    </row>
    <row r="742" spans="1:12" x14ac:dyDescent="0.2">
      <c r="A742" s="23" t="str">
        <f t="shared" si="33"/>
        <v/>
      </c>
      <c r="B742" s="22"/>
      <c r="C742" s="24"/>
      <c r="D742" s="15"/>
      <c r="E742" s="15"/>
      <c r="F742" s="24"/>
      <c r="G742" s="30"/>
      <c r="H742" s="30"/>
      <c r="I742" s="26" t="str">
        <f t="shared" si="34"/>
        <v/>
      </c>
      <c r="J742" s="21"/>
      <c r="K742" s="26" t="str">
        <f t="shared" si="35"/>
        <v/>
      </c>
      <c r="L742" s="15"/>
    </row>
    <row r="743" spans="1:12" x14ac:dyDescent="0.2">
      <c r="A743" s="23" t="str">
        <f t="shared" si="33"/>
        <v/>
      </c>
      <c r="B743" s="22"/>
      <c r="C743" s="24"/>
      <c r="D743" s="15"/>
      <c r="E743" s="15"/>
      <c r="F743" s="24"/>
      <c r="G743" s="30"/>
      <c r="H743" s="30"/>
      <c r="I743" s="26" t="str">
        <f t="shared" si="34"/>
        <v/>
      </c>
      <c r="J743" s="21"/>
      <c r="K743" s="26" t="str">
        <f t="shared" si="35"/>
        <v/>
      </c>
      <c r="L743" s="15"/>
    </row>
    <row r="744" spans="1:12" x14ac:dyDescent="0.2">
      <c r="A744" s="23" t="str">
        <f t="shared" si="33"/>
        <v/>
      </c>
      <c r="B744" s="22"/>
      <c r="C744" s="24"/>
      <c r="D744" s="15"/>
      <c r="E744" s="15"/>
      <c r="F744" s="24"/>
      <c r="G744" s="30"/>
      <c r="H744" s="30"/>
      <c r="I744" s="26" t="str">
        <f t="shared" si="34"/>
        <v/>
      </c>
      <c r="J744" s="21"/>
      <c r="K744" s="26" t="str">
        <f t="shared" si="35"/>
        <v/>
      </c>
      <c r="L744" s="15"/>
    </row>
    <row r="745" spans="1:12" x14ac:dyDescent="0.2">
      <c r="A745" s="23" t="str">
        <f t="shared" si="33"/>
        <v/>
      </c>
      <c r="B745" s="22"/>
      <c r="C745" s="24"/>
      <c r="D745" s="15"/>
      <c r="E745" s="15"/>
      <c r="F745" s="24"/>
      <c r="G745" s="30"/>
      <c r="H745" s="30"/>
      <c r="I745" s="26" t="str">
        <f t="shared" si="34"/>
        <v/>
      </c>
      <c r="J745" s="21"/>
      <c r="K745" s="26" t="str">
        <f t="shared" si="35"/>
        <v/>
      </c>
      <c r="L745" s="15"/>
    </row>
    <row r="746" spans="1:12" x14ac:dyDescent="0.2">
      <c r="A746" s="23" t="str">
        <f t="shared" si="33"/>
        <v/>
      </c>
      <c r="B746" s="22"/>
      <c r="C746" s="24"/>
      <c r="D746" s="15"/>
      <c r="E746" s="15"/>
      <c r="F746" s="24"/>
      <c r="G746" s="30"/>
      <c r="H746" s="30"/>
      <c r="I746" s="26" t="str">
        <f t="shared" si="34"/>
        <v/>
      </c>
      <c r="J746" s="21"/>
      <c r="K746" s="26" t="str">
        <f t="shared" si="35"/>
        <v/>
      </c>
      <c r="L746" s="15"/>
    </row>
    <row r="747" spans="1:12" x14ac:dyDescent="0.2">
      <c r="A747" s="23" t="str">
        <f t="shared" si="33"/>
        <v/>
      </c>
      <c r="B747" s="22"/>
      <c r="C747" s="24"/>
      <c r="D747" s="15"/>
      <c r="E747" s="15"/>
      <c r="F747" s="24"/>
      <c r="G747" s="30"/>
      <c r="H747" s="30"/>
      <c r="I747" s="26" t="str">
        <f t="shared" si="34"/>
        <v/>
      </c>
      <c r="J747" s="21"/>
      <c r="K747" s="26" t="str">
        <f t="shared" si="35"/>
        <v/>
      </c>
      <c r="L747" s="15"/>
    </row>
    <row r="748" spans="1:12" x14ac:dyDescent="0.2">
      <c r="A748" s="23" t="str">
        <f t="shared" si="33"/>
        <v/>
      </c>
      <c r="B748" s="22"/>
      <c r="C748" s="24"/>
      <c r="D748" s="15"/>
      <c r="E748" s="15"/>
      <c r="F748" s="24"/>
      <c r="G748" s="30"/>
      <c r="H748" s="30"/>
      <c r="I748" s="26" t="str">
        <f t="shared" si="34"/>
        <v/>
      </c>
      <c r="J748" s="21"/>
      <c r="K748" s="26" t="str">
        <f t="shared" si="35"/>
        <v/>
      </c>
      <c r="L748" s="15"/>
    </row>
    <row r="749" spans="1:12" x14ac:dyDescent="0.2">
      <c r="A749" s="23" t="str">
        <f t="shared" si="33"/>
        <v/>
      </c>
      <c r="B749" s="22"/>
      <c r="C749" s="24"/>
      <c r="D749" s="15"/>
      <c r="E749" s="15"/>
      <c r="F749" s="24"/>
      <c r="G749" s="30"/>
      <c r="H749" s="30"/>
      <c r="I749" s="26" t="str">
        <f t="shared" si="34"/>
        <v/>
      </c>
      <c r="J749" s="21"/>
      <c r="K749" s="26" t="str">
        <f t="shared" si="35"/>
        <v/>
      </c>
      <c r="L749" s="15"/>
    </row>
    <row r="750" spans="1:12" x14ac:dyDescent="0.2">
      <c r="A750" s="23" t="str">
        <f t="shared" si="33"/>
        <v/>
      </c>
      <c r="B750" s="22"/>
      <c r="C750" s="24"/>
      <c r="D750" s="15"/>
      <c r="E750" s="15"/>
      <c r="F750" s="24"/>
      <c r="G750" s="30"/>
      <c r="H750" s="30"/>
      <c r="I750" s="26" t="str">
        <f t="shared" si="34"/>
        <v/>
      </c>
      <c r="J750" s="21"/>
      <c r="K750" s="26" t="str">
        <f t="shared" si="35"/>
        <v/>
      </c>
      <c r="L750" s="15"/>
    </row>
    <row r="751" spans="1:12" x14ac:dyDescent="0.2">
      <c r="A751" s="23" t="str">
        <f t="shared" si="33"/>
        <v/>
      </c>
      <c r="B751" s="22"/>
      <c r="C751" s="24"/>
      <c r="D751" s="15"/>
      <c r="E751" s="15"/>
      <c r="F751" s="24"/>
      <c r="G751" s="30"/>
      <c r="H751" s="30"/>
      <c r="I751" s="26" t="str">
        <f t="shared" si="34"/>
        <v/>
      </c>
      <c r="J751" s="21"/>
      <c r="K751" s="26" t="str">
        <f t="shared" si="35"/>
        <v/>
      </c>
      <c r="L751" s="15"/>
    </row>
    <row r="752" spans="1:12" x14ac:dyDescent="0.2">
      <c r="A752" s="23" t="str">
        <f t="shared" si="33"/>
        <v/>
      </c>
      <c r="B752" s="22"/>
      <c r="C752" s="24"/>
      <c r="D752" s="15"/>
      <c r="E752" s="15"/>
      <c r="F752" s="24"/>
      <c r="G752" s="30"/>
      <c r="H752" s="30"/>
      <c r="I752" s="26" t="str">
        <f t="shared" si="34"/>
        <v/>
      </c>
      <c r="J752" s="21"/>
      <c r="K752" s="26" t="str">
        <f t="shared" si="35"/>
        <v/>
      </c>
      <c r="L752" s="15"/>
    </row>
    <row r="753" spans="1:12" x14ac:dyDescent="0.2">
      <c r="A753" s="23" t="str">
        <f t="shared" si="33"/>
        <v/>
      </c>
      <c r="B753" s="22"/>
      <c r="C753" s="24"/>
      <c r="D753" s="15"/>
      <c r="E753" s="15"/>
      <c r="F753" s="24"/>
      <c r="G753" s="30"/>
      <c r="H753" s="30"/>
      <c r="I753" s="26" t="str">
        <f t="shared" si="34"/>
        <v/>
      </c>
      <c r="J753" s="21"/>
      <c r="K753" s="26" t="str">
        <f t="shared" si="35"/>
        <v/>
      </c>
      <c r="L753" s="15"/>
    </row>
    <row r="754" spans="1:12" x14ac:dyDescent="0.2">
      <c r="A754" s="23" t="str">
        <f t="shared" si="33"/>
        <v/>
      </c>
      <c r="B754" s="22"/>
      <c r="C754" s="24"/>
      <c r="D754" s="15"/>
      <c r="E754" s="15"/>
      <c r="F754" s="24"/>
      <c r="G754" s="30"/>
      <c r="H754" s="30"/>
      <c r="I754" s="26" t="str">
        <f t="shared" si="34"/>
        <v/>
      </c>
      <c r="J754" s="21"/>
      <c r="K754" s="26" t="str">
        <f t="shared" si="35"/>
        <v/>
      </c>
      <c r="L754" s="15"/>
    </row>
    <row r="755" spans="1:12" x14ac:dyDescent="0.2">
      <c r="A755" s="23" t="str">
        <f t="shared" si="33"/>
        <v/>
      </c>
      <c r="B755" s="22"/>
      <c r="C755" s="24"/>
      <c r="D755" s="15"/>
      <c r="E755" s="15"/>
      <c r="F755" s="24"/>
      <c r="G755" s="30"/>
      <c r="H755" s="30"/>
      <c r="I755" s="26" t="str">
        <f t="shared" si="34"/>
        <v/>
      </c>
      <c r="J755" s="21"/>
      <c r="K755" s="26" t="str">
        <f t="shared" si="35"/>
        <v/>
      </c>
      <c r="L755" s="15"/>
    </row>
    <row r="756" spans="1:12" x14ac:dyDescent="0.2">
      <c r="A756" s="23" t="str">
        <f t="shared" si="33"/>
        <v/>
      </c>
      <c r="B756" s="22"/>
      <c r="C756" s="24"/>
      <c r="D756" s="15"/>
      <c r="E756" s="15"/>
      <c r="F756" s="24"/>
      <c r="G756" s="30"/>
      <c r="H756" s="30"/>
      <c r="I756" s="26" t="str">
        <f t="shared" si="34"/>
        <v/>
      </c>
      <c r="J756" s="21"/>
      <c r="K756" s="26" t="str">
        <f t="shared" si="35"/>
        <v/>
      </c>
      <c r="L756" s="15"/>
    </row>
    <row r="757" spans="1:12" x14ac:dyDescent="0.2">
      <c r="A757" s="23" t="str">
        <f t="shared" si="33"/>
        <v/>
      </c>
      <c r="B757" s="22"/>
      <c r="C757" s="24"/>
      <c r="D757" s="15"/>
      <c r="E757" s="15"/>
      <c r="F757" s="24"/>
      <c r="G757" s="30"/>
      <c r="H757" s="30"/>
      <c r="I757" s="26" t="str">
        <f t="shared" si="34"/>
        <v/>
      </c>
      <c r="J757" s="21"/>
      <c r="K757" s="26" t="str">
        <f t="shared" si="35"/>
        <v/>
      </c>
      <c r="L757" s="15"/>
    </row>
    <row r="758" spans="1:12" x14ac:dyDescent="0.2">
      <c r="A758" s="23" t="str">
        <f t="shared" si="33"/>
        <v/>
      </c>
      <c r="B758" s="22"/>
      <c r="C758" s="24"/>
      <c r="D758" s="15"/>
      <c r="E758" s="15"/>
      <c r="F758" s="24"/>
      <c r="G758" s="30"/>
      <c r="H758" s="30"/>
      <c r="I758" s="26" t="str">
        <f t="shared" si="34"/>
        <v/>
      </c>
      <c r="J758" s="21"/>
      <c r="K758" s="26" t="str">
        <f t="shared" si="35"/>
        <v/>
      </c>
      <c r="L758" s="15"/>
    </row>
    <row r="759" spans="1:12" x14ac:dyDescent="0.2">
      <c r="A759" s="23" t="str">
        <f t="shared" si="33"/>
        <v/>
      </c>
      <c r="B759" s="22"/>
      <c r="C759" s="24"/>
      <c r="D759" s="15"/>
      <c r="E759" s="15"/>
      <c r="F759" s="24"/>
      <c r="G759" s="30"/>
      <c r="H759" s="30"/>
      <c r="I759" s="26" t="str">
        <f t="shared" si="34"/>
        <v/>
      </c>
      <c r="J759" s="21"/>
      <c r="K759" s="26" t="str">
        <f t="shared" si="35"/>
        <v/>
      </c>
      <c r="L759" s="15"/>
    </row>
    <row r="760" spans="1:12" x14ac:dyDescent="0.2">
      <c r="A760" s="23" t="str">
        <f t="shared" si="33"/>
        <v/>
      </c>
      <c r="B760" s="22"/>
      <c r="C760" s="24"/>
      <c r="D760" s="15"/>
      <c r="E760" s="15"/>
      <c r="F760" s="24"/>
      <c r="G760" s="30"/>
      <c r="H760" s="30"/>
      <c r="I760" s="26" t="str">
        <f t="shared" si="34"/>
        <v/>
      </c>
      <c r="J760" s="21"/>
      <c r="K760" s="26" t="str">
        <f t="shared" si="35"/>
        <v/>
      </c>
      <c r="L760" s="15"/>
    </row>
    <row r="761" spans="1:12" x14ac:dyDescent="0.2">
      <c r="A761" s="23" t="str">
        <f t="shared" si="33"/>
        <v/>
      </c>
      <c r="B761" s="22"/>
      <c r="C761" s="24"/>
      <c r="D761" s="15"/>
      <c r="E761" s="15"/>
      <c r="F761" s="24"/>
      <c r="G761" s="30"/>
      <c r="H761" s="30"/>
      <c r="I761" s="26" t="str">
        <f t="shared" si="34"/>
        <v/>
      </c>
      <c r="J761" s="21"/>
      <c r="K761" s="26" t="str">
        <f t="shared" si="35"/>
        <v/>
      </c>
      <c r="L761" s="15"/>
    </row>
    <row r="762" spans="1:12" x14ac:dyDescent="0.2">
      <c r="A762" s="23" t="str">
        <f t="shared" si="33"/>
        <v/>
      </c>
      <c r="B762" s="22"/>
      <c r="C762" s="24"/>
      <c r="D762" s="15"/>
      <c r="E762" s="15"/>
      <c r="F762" s="24"/>
      <c r="G762" s="30"/>
      <c r="H762" s="30"/>
      <c r="I762" s="26" t="str">
        <f t="shared" si="34"/>
        <v/>
      </c>
      <c r="J762" s="21"/>
      <c r="K762" s="26" t="str">
        <f t="shared" si="35"/>
        <v/>
      </c>
      <c r="L762" s="15"/>
    </row>
    <row r="763" spans="1:12" x14ac:dyDescent="0.2">
      <c r="A763" s="23" t="str">
        <f t="shared" si="33"/>
        <v/>
      </c>
      <c r="B763" s="22"/>
      <c r="C763" s="24"/>
      <c r="D763" s="15"/>
      <c r="E763" s="15"/>
      <c r="F763" s="24"/>
      <c r="G763" s="30"/>
      <c r="H763" s="30"/>
      <c r="I763" s="26" t="str">
        <f t="shared" si="34"/>
        <v/>
      </c>
      <c r="J763" s="21"/>
      <c r="K763" s="26" t="str">
        <f t="shared" si="35"/>
        <v/>
      </c>
      <c r="L763" s="15"/>
    </row>
    <row r="764" spans="1:12" x14ac:dyDescent="0.2">
      <c r="A764" s="23" t="str">
        <f t="shared" si="33"/>
        <v/>
      </c>
      <c r="B764" s="22"/>
      <c r="C764" s="24"/>
      <c r="D764" s="15"/>
      <c r="E764" s="15"/>
      <c r="F764" s="24"/>
      <c r="G764" s="30"/>
      <c r="H764" s="30"/>
      <c r="I764" s="26" t="str">
        <f t="shared" si="34"/>
        <v/>
      </c>
      <c r="J764" s="21"/>
      <c r="K764" s="26" t="str">
        <f t="shared" si="35"/>
        <v/>
      </c>
      <c r="L764" s="15"/>
    </row>
    <row r="765" spans="1:12" x14ac:dyDescent="0.2">
      <c r="A765" s="23" t="str">
        <f t="shared" si="33"/>
        <v/>
      </c>
      <c r="B765" s="22"/>
      <c r="C765" s="24"/>
      <c r="D765" s="15"/>
      <c r="E765" s="15"/>
      <c r="F765" s="24"/>
      <c r="G765" s="30"/>
      <c r="H765" s="30"/>
      <c r="I765" s="26" t="str">
        <f t="shared" si="34"/>
        <v/>
      </c>
      <c r="J765" s="21"/>
      <c r="K765" s="26" t="str">
        <f t="shared" si="35"/>
        <v/>
      </c>
      <c r="L765" s="15"/>
    </row>
    <row r="766" spans="1:12" x14ac:dyDescent="0.2">
      <c r="A766" s="23" t="str">
        <f t="shared" si="33"/>
        <v/>
      </c>
      <c r="B766" s="22"/>
      <c r="C766" s="24"/>
      <c r="D766" s="15"/>
      <c r="E766" s="15"/>
      <c r="F766" s="24"/>
      <c r="G766" s="30"/>
      <c r="H766" s="30"/>
      <c r="I766" s="26" t="str">
        <f t="shared" si="34"/>
        <v/>
      </c>
      <c r="J766" s="21"/>
      <c r="K766" s="26" t="str">
        <f t="shared" si="35"/>
        <v/>
      </c>
      <c r="L766" s="15"/>
    </row>
    <row r="767" spans="1:12" x14ac:dyDescent="0.2">
      <c r="A767" s="23" t="str">
        <f t="shared" si="33"/>
        <v/>
      </c>
      <c r="B767" s="22"/>
      <c r="C767" s="24"/>
      <c r="D767" s="15"/>
      <c r="E767" s="15"/>
      <c r="F767" s="24"/>
      <c r="G767" s="30"/>
      <c r="H767" s="30"/>
      <c r="I767" s="26" t="str">
        <f t="shared" si="34"/>
        <v/>
      </c>
      <c r="J767" s="21"/>
      <c r="K767" s="26" t="str">
        <f t="shared" si="35"/>
        <v/>
      </c>
      <c r="L767" s="15"/>
    </row>
    <row r="768" spans="1:12" x14ac:dyDescent="0.2">
      <c r="A768" s="23" t="str">
        <f t="shared" si="33"/>
        <v/>
      </c>
      <c r="B768" s="22"/>
      <c r="C768" s="24"/>
      <c r="D768" s="15"/>
      <c r="E768" s="15"/>
      <c r="F768" s="24"/>
      <c r="G768" s="30"/>
      <c r="H768" s="30"/>
      <c r="I768" s="26" t="str">
        <f t="shared" si="34"/>
        <v/>
      </c>
      <c r="J768" s="21"/>
      <c r="K768" s="26" t="str">
        <f t="shared" si="35"/>
        <v/>
      </c>
      <c r="L768" s="15"/>
    </row>
    <row r="769" spans="1:12" x14ac:dyDescent="0.2">
      <c r="A769" s="23" t="str">
        <f t="shared" si="33"/>
        <v/>
      </c>
      <c r="B769" s="22"/>
      <c r="C769" s="24"/>
      <c r="D769" s="15"/>
      <c r="E769" s="15"/>
      <c r="F769" s="24"/>
      <c r="G769" s="30"/>
      <c r="H769" s="30"/>
      <c r="I769" s="26" t="str">
        <f t="shared" si="34"/>
        <v/>
      </c>
      <c r="J769" s="21"/>
      <c r="K769" s="26" t="str">
        <f t="shared" si="35"/>
        <v/>
      </c>
      <c r="L769" s="15"/>
    </row>
    <row r="770" spans="1:12" x14ac:dyDescent="0.2">
      <c r="A770" s="23" t="str">
        <f t="shared" si="33"/>
        <v/>
      </c>
      <c r="B770" s="22"/>
      <c r="C770" s="24"/>
      <c r="D770" s="15"/>
      <c r="E770" s="15"/>
      <c r="F770" s="24"/>
      <c r="G770" s="30"/>
      <c r="H770" s="30"/>
      <c r="I770" s="26" t="str">
        <f t="shared" si="34"/>
        <v/>
      </c>
      <c r="J770" s="21"/>
      <c r="K770" s="26" t="str">
        <f t="shared" si="35"/>
        <v/>
      </c>
      <c r="L770" s="15"/>
    </row>
    <row r="771" spans="1:12" x14ac:dyDescent="0.2">
      <c r="A771" s="23" t="str">
        <f t="shared" si="33"/>
        <v/>
      </c>
      <c r="B771" s="22"/>
      <c r="C771" s="24"/>
      <c r="D771" s="15"/>
      <c r="E771" s="15"/>
      <c r="F771" s="24"/>
      <c r="G771" s="30"/>
      <c r="H771" s="30"/>
      <c r="I771" s="26" t="str">
        <f t="shared" si="34"/>
        <v/>
      </c>
      <c r="J771" s="21"/>
      <c r="K771" s="26" t="str">
        <f t="shared" si="35"/>
        <v/>
      </c>
      <c r="L771" s="15"/>
    </row>
    <row r="772" spans="1:12" x14ac:dyDescent="0.2">
      <c r="A772" s="23" t="str">
        <f t="shared" si="33"/>
        <v/>
      </c>
      <c r="B772" s="22"/>
      <c r="C772" s="24"/>
      <c r="D772" s="15"/>
      <c r="E772" s="15"/>
      <c r="F772" s="24"/>
      <c r="G772" s="30"/>
      <c r="H772" s="30"/>
      <c r="I772" s="26" t="str">
        <f t="shared" si="34"/>
        <v/>
      </c>
      <c r="J772" s="21"/>
      <c r="K772" s="26" t="str">
        <f t="shared" si="35"/>
        <v/>
      </c>
      <c r="L772" s="15"/>
    </row>
    <row r="773" spans="1:12" x14ac:dyDescent="0.2">
      <c r="A773" s="23" t="str">
        <f t="shared" ref="A773:A836" si="36">IF(B773="","",ROW()-4)</f>
        <v/>
      </c>
      <c r="B773" s="22"/>
      <c r="C773" s="24"/>
      <c r="D773" s="15"/>
      <c r="E773" s="15"/>
      <c r="F773" s="24"/>
      <c r="G773" s="30"/>
      <c r="H773" s="30"/>
      <c r="I773" s="26" t="str">
        <f t="shared" ref="I773:I836" si="37">IF(OR(G773="",H773=""),"",G773*H773)</f>
        <v/>
      </c>
      <c r="J773" s="21"/>
      <c r="K773" s="26" t="str">
        <f t="shared" ref="K773:K836" si="38">IF(OR(I773="",J773=""),"",I773*J773)</f>
        <v/>
      </c>
      <c r="L773" s="15"/>
    </row>
    <row r="774" spans="1:12" x14ac:dyDescent="0.2">
      <c r="A774" s="23" t="str">
        <f t="shared" si="36"/>
        <v/>
      </c>
      <c r="B774" s="22"/>
      <c r="C774" s="24"/>
      <c r="D774" s="15"/>
      <c r="E774" s="15"/>
      <c r="F774" s="24"/>
      <c r="G774" s="30"/>
      <c r="H774" s="30"/>
      <c r="I774" s="26" t="str">
        <f t="shared" si="37"/>
        <v/>
      </c>
      <c r="J774" s="21"/>
      <c r="K774" s="26" t="str">
        <f t="shared" si="38"/>
        <v/>
      </c>
      <c r="L774" s="15"/>
    </row>
    <row r="775" spans="1:12" x14ac:dyDescent="0.2">
      <c r="A775" s="23" t="str">
        <f t="shared" si="36"/>
        <v/>
      </c>
      <c r="B775" s="22"/>
      <c r="C775" s="24"/>
      <c r="D775" s="15"/>
      <c r="E775" s="15"/>
      <c r="F775" s="24"/>
      <c r="G775" s="30"/>
      <c r="H775" s="30"/>
      <c r="I775" s="26" t="str">
        <f t="shared" si="37"/>
        <v/>
      </c>
      <c r="J775" s="21"/>
      <c r="K775" s="26" t="str">
        <f t="shared" si="38"/>
        <v/>
      </c>
      <c r="L775" s="15"/>
    </row>
    <row r="776" spans="1:12" x14ac:dyDescent="0.2">
      <c r="A776" s="23" t="str">
        <f t="shared" si="36"/>
        <v/>
      </c>
      <c r="B776" s="22"/>
      <c r="C776" s="24"/>
      <c r="D776" s="15"/>
      <c r="E776" s="15"/>
      <c r="F776" s="24"/>
      <c r="G776" s="30"/>
      <c r="H776" s="30"/>
      <c r="I776" s="26" t="str">
        <f t="shared" si="37"/>
        <v/>
      </c>
      <c r="J776" s="21"/>
      <c r="K776" s="26" t="str">
        <f t="shared" si="38"/>
        <v/>
      </c>
      <c r="L776" s="15"/>
    </row>
    <row r="777" spans="1:12" x14ac:dyDescent="0.2">
      <c r="A777" s="23" t="str">
        <f t="shared" si="36"/>
        <v/>
      </c>
      <c r="B777" s="22"/>
      <c r="C777" s="24"/>
      <c r="D777" s="15"/>
      <c r="E777" s="15"/>
      <c r="F777" s="24"/>
      <c r="G777" s="30"/>
      <c r="H777" s="30"/>
      <c r="I777" s="26" t="str">
        <f t="shared" si="37"/>
        <v/>
      </c>
      <c r="J777" s="21"/>
      <c r="K777" s="26" t="str">
        <f t="shared" si="38"/>
        <v/>
      </c>
      <c r="L777" s="15"/>
    </row>
    <row r="778" spans="1:12" x14ac:dyDescent="0.2">
      <c r="A778" s="23" t="str">
        <f t="shared" si="36"/>
        <v/>
      </c>
      <c r="B778" s="22"/>
      <c r="C778" s="24"/>
      <c r="D778" s="15"/>
      <c r="E778" s="15"/>
      <c r="F778" s="24"/>
      <c r="G778" s="30"/>
      <c r="H778" s="30"/>
      <c r="I778" s="26" t="str">
        <f t="shared" si="37"/>
        <v/>
      </c>
      <c r="J778" s="21"/>
      <c r="K778" s="26" t="str">
        <f t="shared" si="38"/>
        <v/>
      </c>
      <c r="L778" s="15"/>
    </row>
    <row r="779" spans="1:12" x14ac:dyDescent="0.2">
      <c r="A779" s="23" t="str">
        <f t="shared" si="36"/>
        <v/>
      </c>
      <c r="B779" s="22"/>
      <c r="C779" s="24"/>
      <c r="D779" s="15"/>
      <c r="E779" s="15"/>
      <c r="F779" s="24"/>
      <c r="G779" s="30"/>
      <c r="H779" s="30"/>
      <c r="I779" s="26" t="str">
        <f t="shared" si="37"/>
        <v/>
      </c>
      <c r="J779" s="21"/>
      <c r="K779" s="26" t="str">
        <f t="shared" si="38"/>
        <v/>
      </c>
      <c r="L779" s="15"/>
    </row>
    <row r="780" spans="1:12" x14ac:dyDescent="0.2">
      <c r="A780" s="23" t="str">
        <f t="shared" si="36"/>
        <v/>
      </c>
      <c r="B780" s="22"/>
      <c r="C780" s="24"/>
      <c r="D780" s="15"/>
      <c r="E780" s="15"/>
      <c r="F780" s="24"/>
      <c r="G780" s="30"/>
      <c r="H780" s="30"/>
      <c r="I780" s="26" t="str">
        <f t="shared" si="37"/>
        <v/>
      </c>
      <c r="J780" s="21"/>
      <c r="K780" s="26" t="str">
        <f t="shared" si="38"/>
        <v/>
      </c>
      <c r="L780" s="15"/>
    </row>
    <row r="781" spans="1:12" x14ac:dyDescent="0.2">
      <c r="A781" s="23" t="str">
        <f t="shared" si="36"/>
        <v/>
      </c>
      <c r="B781" s="22"/>
      <c r="C781" s="24"/>
      <c r="D781" s="15"/>
      <c r="E781" s="15"/>
      <c r="F781" s="24"/>
      <c r="G781" s="30"/>
      <c r="H781" s="30"/>
      <c r="I781" s="26" t="str">
        <f t="shared" si="37"/>
        <v/>
      </c>
      <c r="J781" s="21"/>
      <c r="K781" s="26" t="str">
        <f t="shared" si="38"/>
        <v/>
      </c>
      <c r="L781" s="15"/>
    </row>
    <row r="782" spans="1:12" x14ac:dyDescent="0.2">
      <c r="A782" s="23" t="str">
        <f t="shared" si="36"/>
        <v/>
      </c>
      <c r="B782" s="22"/>
      <c r="C782" s="24"/>
      <c r="D782" s="15"/>
      <c r="E782" s="15"/>
      <c r="F782" s="24"/>
      <c r="G782" s="30"/>
      <c r="H782" s="30"/>
      <c r="I782" s="26" t="str">
        <f t="shared" si="37"/>
        <v/>
      </c>
      <c r="J782" s="21"/>
      <c r="K782" s="26" t="str">
        <f t="shared" si="38"/>
        <v/>
      </c>
      <c r="L782" s="15"/>
    </row>
    <row r="783" spans="1:12" x14ac:dyDescent="0.2">
      <c r="A783" s="23" t="str">
        <f t="shared" si="36"/>
        <v/>
      </c>
      <c r="B783" s="22"/>
      <c r="C783" s="24"/>
      <c r="D783" s="15"/>
      <c r="E783" s="15"/>
      <c r="F783" s="24"/>
      <c r="G783" s="30"/>
      <c r="H783" s="30"/>
      <c r="I783" s="26" t="str">
        <f t="shared" si="37"/>
        <v/>
      </c>
      <c r="J783" s="21"/>
      <c r="K783" s="26" t="str">
        <f t="shared" si="38"/>
        <v/>
      </c>
      <c r="L783" s="15"/>
    </row>
    <row r="784" spans="1:12" x14ac:dyDescent="0.2">
      <c r="A784" s="23" t="str">
        <f t="shared" si="36"/>
        <v/>
      </c>
      <c r="B784" s="22"/>
      <c r="C784" s="24"/>
      <c r="D784" s="15"/>
      <c r="E784" s="15"/>
      <c r="F784" s="24"/>
      <c r="G784" s="30"/>
      <c r="H784" s="30"/>
      <c r="I784" s="26" t="str">
        <f t="shared" si="37"/>
        <v/>
      </c>
      <c r="J784" s="21"/>
      <c r="K784" s="26" t="str">
        <f t="shared" si="38"/>
        <v/>
      </c>
      <c r="L784" s="15"/>
    </row>
    <row r="785" spans="1:12" x14ac:dyDescent="0.2">
      <c r="A785" s="23" t="str">
        <f t="shared" si="36"/>
        <v/>
      </c>
      <c r="B785" s="22"/>
      <c r="C785" s="24"/>
      <c r="D785" s="15"/>
      <c r="E785" s="15"/>
      <c r="F785" s="24"/>
      <c r="G785" s="30"/>
      <c r="H785" s="30"/>
      <c r="I785" s="26" t="str">
        <f t="shared" si="37"/>
        <v/>
      </c>
      <c r="J785" s="21"/>
      <c r="K785" s="26" t="str">
        <f t="shared" si="38"/>
        <v/>
      </c>
      <c r="L785" s="15"/>
    </row>
    <row r="786" spans="1:12" x14ac:dyDescent="0.2">
      <c r="A786" s="23" t="str">
        <f t="shared" si="36"/>
        <v/>
      </c>
      <c r="B786" s="22"/>
      <c r="C786" s="24"/>
      <c r="D786" s="15"/>
      <c r="E786" s="15"/>
      <c r="F786" s="24"/>
      <c r="G786" s="30"/>
      <c r="H786" s="30"/>
      <c r="I786" s="26" t="str">
        <f t="shared" si="37"/>
        <v/>
      </c>
      <c r="J786" s="21"/>
      <c r="K786" s="26" t="str">
        <f t="shared" si="38"/>
        <v/>
      </c>
      <c r="L786" s="15"/>
    </row>
    <row r="787" spans="1:12" x14ac:dyDescent="0.2">
      <c r="A787" s="23" t="str">
        <f t="shared" si="36"/>
        <v/>
      </c>
      <c r="B787" s="22"/>
      <c r="C787" s="24"/>
      <c r="D787" s="15"/>
      <c r="E787" s="15"/>
      <c r="F787" s="24"/>
      <c r="G787" s="30"/>
      <c r="H787" s="30"/>
      <c r="I787" s="26" t="str">
        <f t="shared" si="37"/>
        <v/>
      </c>
      <c r="J787" s="21"/>
      <c r="K787" s="26" t="str">
        <f t="shared" si="38"/>
        <v/>
      </c>
      <c r="L787" s="15"/>
    </row>
    <row r="788" spans="1:12" x14ac:dyDescent="0.2">
      <c r="A788" s="23" t="str">
        <f t="shared" si="36"/>
        <v/>
      </c>
      <c r="B788" s="22"/>
      <c r="C788" s="24"/>
      <c r="D788" s="15"/>
      <c r="E788" s="15"/>
      <c r="F788" s="24"/>
      <c r="G788" s="30"/>
      <c r="H788" s="30"/>
      <c r="I788" s="26" t="str">
        <f t="shared" si="37"/>
        <v/>
      </c>
      <c r="J788" s="21"/>
      <c r="K788" s="26" t="str">
        <f t="shared" si="38"/>
        <v/>
      </c>
      <c r="L788" s="15"/>
    </row>
    <row r="789" spans="1:12" x14ac:dyDescent="0.2">
      <c r="A789" s="23" t="str">
        <f t="shared" si="36"/>
        <v/>
      </c>
      <c r="B789" s="22"/>
      <c r="C789" s="24"/>
      <c r="D789" s="15"/>
      <c r="E789" s="15"/>
      <c r="F789" s="24"/>
      <c r="G789" s="30"/>
      <c r="H789" s="30"/>
      <c r="I789" s="26" t="str">
        <f t="shared" si="37"/>
        <v/>
      </c>
      <c r="J789" s="21"/>
      <c r="K789" s="26" t="str">
        <f t="shared" si="38"/>
        <v/>
      </c>
      <c r="L789" s="15"/>
    </row>
    <row r="790" spans="1:12" x14ac:dyDescent="0.2">
      <c r="A790" s="23" t="str">
        <f t="shared" si="36"/>
        <v/>
      </c>
      <c r="B790" s="22"/>
      <c r="C790" s="24"/>
      <c r="D790" s="15"/>
      <c r="E790" s="15"/>
      <c r="F790" s="24"/>
      <c r="G790" s="30"/>
      <c r="H790" s="30"/>
      <c r="I790" s="26" t="str">
        <f t="shared" si="37"/>
        <v/>
      </c>
      <c r="J790" s="21"/>
      <c r="K790" s="26" t="str">
        <f t="shared" si="38"/>
        <v/>
      </c>
      <c r="L790" s="15"/>
    </row>
    <row r="791" spans="1:12" x14ac:dyDescent="0.2">
      <c r="A791" s="23" t="str">
        <f t="shared" si="36"/>
        <v/>
      </c>
      <c r="B791" s="22"/>
      <c r="C791" s="24"/>
      <c r="D791" s="15"/>
      <c r="E791" s="15"/>
      <c r="F791" s="24"/>
      <c r="G791" s="30"/>
      <c r="H791" s="30"/>
      <c r="I791" s="26" t="str">
        <f t="shared" si="37"/>
        <v/>
      </c>
      <c r="J791" s="21"/>
      <c r="K791" s="26" t="str">
        <f t="shared" si="38"/>
        <v/>
      </c>
      <c r="L791" s="15"/>
    </row>
    <row r="792" spans="1:12" x14ac:dyDescent="0.2">
      <c r="A792" s="23" t="str">
        <f t="shared" si="36"/>
        <v/>
      </c>
      <c r="B792" s="22"/>
      <c r="C792" s="24"/>
      <c r="D792" s="15"/>
      <c r="E792" s="15"/>
      <c r="F792" s="24"/>
      <c r="G792" s="30"/>
      <c r="H792" s="30"/>
      <c r="I792" s="26" t="str">
        <f t="shared" si="37"/>
        <v/>
      </c>
      <c r="J792" s="21"/>
      <c r="K792" s="26" t="str">
        <f t="shared" si="38"/>
        <v/>
      </c>
      <c r="L792" s="15"/>
    </row>
    <row r="793" spans="1:12" x14ac:dyDescent="0.2">
      <c r="A793" s="23" t="str">
        <f t="shared" si="36"/>
        <v/>
      </c>
      <c r="B793" s="22"/>
      <c r="C793" s="24"/>
      <c r="D793" s="15"/>
      <c r="E793" s="15"/>
      <c r="F793" s="24"/>
      <c r="G793" s="30"/>
      <c r="H793" s="30"/>
      <c r="I793" s="26" t="str">
        <f t="shared" si="37"/>
        <v/>
      </c>
      <c r="J793" s="21"/>
      <c r="K793" s="26" t="str">
        <f t="shared" si="38"/>
        <v/>
      </c>
      <c r="L793" s="15"/>
    </row>
    <row r="794" spans="1:12" x14ac:dyDescent="0.2">
      <c r="A794" s="23" t="str">
        <f t="shared" si="36"/>
        <v/>
      </c>
      <c r="B794" s="22"/>
      <c r="C794" s="24"/>
      <c r="D794" s="15"/>
      <c r="E794" s="15"/>
      <c r="F794" s="24"/>
      <c r="G794" s="30"/>
      <c r="H794" s="30"/>
      <c r="I794" s="26" t="str">
        <f t="shared" si="37"/>
        <v/>
      </c>
      <c r="J794" s="21"/>
      <c r="K794" s="26" t="str">
        <f t="shared" si="38"/>
        <v/>
      </c>
      <c r="L794" s="15"/>
    </row>
    <row r="795" spans="1:12" x14ac:dyDescent="0.2">
      <c r="A795" s="23" t="str">
        <f t="shared" si="36"/>
        <v/>
      </c>
      <c r="B795" s="22"/>
      <c r="C795" s="24"/>
      <c r="D795" s="15"/>
      <c r="E795" s="15"/>
      <c r="F795" s="24"/>
      <c r="G795" s="30"/>
      <c r="H795" s="30"/>
      <c r="I795" s="26" t="str">
        <f t="shared" si="37"/>
        <v/>
      </c>
      <c r="J795" s="21"/>
      <c r="K795" s="26" t="str">
        <f t="shared" si="38"/>
        <v/>
      </c>
      <c r="L795" s="15"/>
    </row>
    <row r="796" spans="1:12" x14ac:dyDescent="0.2">
      <c r="A796" s="23" t="str">
        <f t="shared" si="36"/>
        <v/>
      </c>
      <c r="B796" s="22"/>
      <c r="C796" s="24"/>
      <c r="D796" s="15"/>
      <c r="E796" s="15"/>
      <c r="F796" s="24"/>
      <c r="G796" s="30"/>
      <c r="H796" s="30"/>
      <c r="I796" s="26" t="str">
        <f t="shared" si="37"/>
        <v/>
      </c>
      <c r="J796" s="21"/>
      <c r="K796" s="26" t="str">
        <f t="shared" si="38"/>
        <v/>
      </c>
      <c r="L796" s="15"/>
    </row>
    <row r="797" spans="1:12" x14ac:dyDescent="0.2">
      <c r="A797" s="23" t="str">
        <f t="shared" si="36"/>
        <v/>
      </c>
      <c r="B797" s="22"/>
      <c r="C797" s="24"/>
      <c r="D797" s="15"/>
      <c r="E797" s="15"/>
      <c r="F797" s="24"/>
      <c r="G797" s="30"/>
      <c r="H797" s="30"/>
      <c r="I797" s="26" t="str">
        <f t="shared" si="37"/>
        <v/>
      </c>
      <c r="J797" s="21"/>
      <c r="K797" s="26" t="str">
        <f t="shared" si="38"/>
        <v/>
      </c>
      <c r="L797" s="15"/>
    </row>
    <row r="798" spans="1:12" x14ac:dyDescent="0.2">
      <c r="A798" s="23" t="str">
        <f t="shared" si="36"/>
        <v/>
      </c>
      <c r="B798" s="22"/>
      <c r="C798" s="24"/>
      <c r="D798" s="15"/>
      <c r="E798" s="15"/>
      <c r="F798" s="24"/>
      <c r="G798" s="30"/>
      <c r="H798" s="30"/>
      <c r="I798" s="26" t="str">
        <f t="shared" si="37"/>
        <v/>
      </c>
      <c r="J798" s="21"/>
      <c r="K798" s="26" t="str">
        <f t="shared" si="38"/>
        <v/>
      </c>
      <c r="L798" s="15"/>
    </row>
    <row r="799" spans="1:12" x14ac:dyDescent="0.2">
      <c r="A799" s="23" t="str">
        <f t="shared" si="36"/>
        <v/>
      </c>
      <c r="B799" s="22"/>
      <c r="C799" s="24"/>
      <c r="D799" s="15"/>
      <c r="E799" s="15"/>
      <c r="F799" s="24"/>
      <c r="G799" s="30"/>
      <c r="H799" s="30"/>
      <c r="I799" s="26" t="str">
        <f t="shared" si="37"/>
        <v/>
      </c>
      <c r="J799" s="21"/>
      <c r="K799" s="26" t="str">
        <f t="shared" si="38"/>
        <v/>
      </c>
      <c r="L799" s="15"/>
    </row>
    <row r="800" spans="1:12" x14ac:dyDescent="0.2">
      <c r="A800" s="23" t="str">
        <f t="shared" si="36"/>
        <v/>
      </c>
      <c r="B800" s="22"/>
      <c r="C800" s="24"/>
      <c r="D800" s="15"/>
      <c r="E800" s="15"/>
      <c r="F800" s="24"/>
      <c r="G800" s="30"/>
      <c r="H800" s="30"/>
      <c r="I800" s="26" t="str">
        <f t="shared" si="37"/>
        <v/>
      </c>
      <c r="J800" s="21"/>
      <c r="K800" s="26" t="str">
        <f t="shared" si="38"/>
        <v/>
      </c>
      <c r="L800" s="15"/>
    </row>
    <row r="801" spans="1:12" x14ac:dyDescent="0.2">
      <c r="A801" s="23" t="str">
        <f t="shared" si="36"/>
        <v/>
      </c>
      <c r="B801" s="22"/>
      <c r="C801" s="24"/>
      <c r="D801" s="15"/>
      <c r="E801" s="15"/>
      <c r="F801" s="24"/>
      <c r="G801" s="30"/>
      <c r="H801" s="30"/>
      <c r="I801" s="26" t="str">
        <f t="shared" si="37"/>
        <v/>
      </c>
      <c r="J801" s="21"/>
      <c r="K801" s="26" t="str">
        <f t="shared" si="38"/>
        <v/>
      </c>
      <c r="L801" s="15"/>
    </row>
    <row r="802" spans="1:12" x14ac:dyDescent="0.2">
      <c r="A802" s="23" t="str">
        <f t="shared" si="36"/>
        <v/>
      </c>
      <c r="B802" s="22"/>
      <c r="C802" s="24"/>
      <c r="D802" s="15"/>
      <c r="E802" s="15"/>
      <c r="F802" s="24"/>
      <c r="G802" s="30"/>
      <c r="H802" s="30"/>
      <c r="I802" s="26" t="str">
        <f t="shared" si="37"/>
        <v/>
      </c>
      <c r="J802" s="21"/>
      <c r="K802" s="26" t="str">
        <f t="shared" si="38"/>
        <v/>
      </c>
      <c r="L802" s="15"/>
    </row>
    <row r="803" spans="1:12" x14ac:dyDescent="0.2">
      <c r="A803" s="23" t="str">
        <f t="shared" si="36"/>
        <v/>
      </c>
      <c r="B803" s="22"/>
      <c r="C803" s="24"/>
      <c r="D803" s="15"/>
      <c r="E803" s="15"/>
      <c r="F803" s="24"/>
      <c r="G803" s="30"/>
      <c r="H803" s="30"/>
      <c r="I803" s="26" t="str">
        <f t="shared" si="37"/>
        <v/>
      </c>
      <c r="J803" s="21"/>
      <c r="K803" s="26" t="str">
        <f t="shared" si="38"/>
        <v/>
      </c>
      <c r="L803" s="15"/>
    </row>
    <row r="804" spans="1:12" x14ac:dyDescent="0.2">
      <c r="A804" s="23" t="str">
        <f t="shared" si="36"/>
        <v/>
      </c>
      <c r="B804" s="22"/>
      <c r="C804" s="24"/>
      <c r="D804" s="15"/>
      <c r="E804" s="15"/>
      <c r="F804" s="24"/>
      <c r="G804" s="30"/>
      <c r="H804" s="30"/>
      <c r="I804" s="26" t="str">
        <f t="shared" si="37"/>
        <v/>
      </c>
      <c r="J804" s="21"/>
      <c r="K804" s="26" t="str">
        <f t="shared" si="38"/>
        <v/>
      </c>
      <c r="L804" s="15"/>
    </row>
    <row r="805" spans="1:12" x14ac:dyDescent="0.2">
      <c r="A805" s="23" t="str">
        <f t="shared" si="36"/>
        <v/>
      </c>
      <c r="B805" s="22"/>
      <c r="C805" s="24"/>
      <c r="D805" s="15"/>
      <c r="E805" s="15"/>
      <c r="F805" s="24"/>
      <c r="G805" s="30"/>
      <c r="H805" s="30"/>
      <c r="I805" s="26" t="str">
        <f t="shared" si="37"/>
        <v/>
      </c>
      <c r="J805" s="21"/>
      <c r="K805" s="26" t="str">
        <f t="shared" si="38"/>
        <v/>
      </c>
      <c r="L805" s="15"/>
    </row>
    <row r="806" spans="1:12" x14ac:dyDescent="0.2">
      <c r="A806" s="23" t="str">
        <f t="shared" si="36"/>
        <v/>
      </c>
      <c r="B806" s="22"/>
      <c r="C806" s="24"/>
      <c r="D806" s="15"/>
      <c r="E806" s="15"/>
      <c r="F806" s="24"/>
      <c r="G806" s="30"/>
      <c r="H806" s="30"/>
      <c r="I806" s="26" t="str">
        <f t="shared" si="37"/>
        <v/>
      </c>
      <c r="J806" s="21"/>
      <c r="K806" s="26" t="str">
        <f t="shared" si="38"/>
        <v/>
      </c>
      <c r="L806" s="15"/>
    </row>
    <row r="807" spans="1:12" x14ac:dyDescent="0.2">
      <c r="A807" s="23" t="str">
        <f t="shared" si="36"/>
        <v/>
      </c>
      <c r="B807" s="22"/>
      <c r="C807" s="24"/>
      <c r="D807" s="15"/>
      <c r="E807" s="15"/>
      <c r="F807" s="24"/>
      <c r="G807" s="30"/>
      <c r="H807" s="30"/>
      <c r="I807" s="26" t="str">
        <f t="shared" si="37"/>
        <v/>
      </c>
      <c r="J807" s="21"/>
      <c r="K807" s="26" t="str">
        <f t="shared" si="38"/>
        <v/>
      </c>
      <c r="L807" s="15"/>
    </row>
    <row r="808" spans="1:12" x14ac:dyDescent="0.2">
      <c r="A808" s="23" t="str">
        <f t="shared" si="36"/>
        <v/>
      </c>
      <c r="B808" s="22"/>
      <c r="C808" s="24"/>
      <c r="D808" s="15"/>
      <c r="E808" s="15"/>
      <c r="F808" s="24"/>
      <c r="G808" s="30"/>
      <c r="H808" s="30"/>
      <c r="I808" s="26" t="str">
        <f t="shared" si="37"/>
        <v/>
      </c>
      <c r="J808" s="21"/>
      <c r="K808" s="26" t="str">
        <f t="shared" si="38"/>
        <v/>
      </c>
      <c r="L808" s="15"/>
    </row>
    <row r="809" spans="1:12" x14ac:dyDescent="0.2">
      <c r="A809" s="23" t="str">
        <f t="shared" si="36"/>
        <v/>
      </c>
      <c r="B809" s="22"/>
      <c r="C809" s="24"/>
      <c r="D809" s="15"/>
      <c r="E809" s="15"/>
      <c r="F809" s="24"/>
      <c r="G809" s="30"/>
      <c r="H809" s="30"/>
      <c r="I809" s="26" t="str">
        <f t="shared" si="37"/>
        <v/>
      </c>
      <c r="J809" s="21"/>
      <c r="K809" s="26" t="str">
        <f t="shared" si="38"/>
        <v/>
      </c>
      <c r="L809" s="15"/>
    </row>
    <row r="810" spans="1:12" x14ac:dyDescent="0.2">
      <c r="A810" s="23" t="str">
        <f t="shared" si="36"/>
        <v/>
      </c>
      <c r="B810" s="22"/>
      <c r="C810" s="24"/>
      <c r="D810" s="15"/>
      <c r="E810" s="15"/>
      <c r="F810" s="24"/>
      <c r="G810" s="30"/>
      <c r="H810" s="30"/>
      <c r="I810" s="26" t="str">
        <f t="shared" si="37"/>
        <v/>
      </c>
      <c r="J810" s="21"/>
      <c r="K810" s="26" t="str">
        <f t="shared" si="38"/>
        <v/>
      </c>
      <c r="L810" s="15"/>
    </row>
    <row r="811" spans="1:12" x14ac:dyDescent="0.2">
      <c r="A811" s="23" t="str">
        <f t="shared" si="36"/>
        <v/>
      </c>
      <c r="B811" s="22"/>
      <c r="C811" s="24"/>
      <c r="D811" s="15"/>
      <c r="E811" s="15"/>
      <c r="F811" s="24"/>
      <c r="G811" s="30"/>
      <c r="H811" s="30"/>
      <c r="I811" s="26" t="str">
        <f t="shared" si="37"/>
        <v/>
      </c>
      <c r="J811" s="21"/>
      <c r="K811" s="26" t="str">
        <f t="shared" si="38"/>
        <v/>
      </c>
      <c r="L811" s="15"/>
    </row>
    <row r="812" spans="1:12" x14ac:dyDescent="0.2">
      <c r="A812" s="23" t="str">
        <f t="shared" si="36"/>
        <v/>
      </c>
      <c r="B812" s="22"/>
      <c r="C812" s="24"/>
      <c r="D812" s="15"/>
      <c r="E812" s="15"/>
      <c r="F812" s="24"/>
      <c r="G812" s="30"/>
      <c r="H812" s="30"/>
      <c r="I812" s="26" t="str">
        <f t="shared" si="37"/>
        <v/>
      </c>
      <c r="J812" s="21"/>
      <c r="K812" s="26" t="str">
        <f t="shared" si="38"/>
        <v/>
      </c>
      <c r="L812" s="15"/>
    </row>
    <row r="813" spans="1:12" x14ac:dyDescent="0.2">
      <c r="A813" s="23" t="str">
        <f t="shared" si="36"/>
        <v/>
      </c>
      <c r="B813" s="22"/>
      <c r="C813" s="24"/>
      <c r="D813" s="15"/>
      <c r="E813" s="15"/>
      <c r="F813" s="24"/>
      <c r="G813" s="30"/>
      <c r="H813" s="30"/>
      <c r="I813" s="26" t="str">
        <f t="shared" si="37"/>
        <v/>
      </c>
      <c r="J813" s="21"/>
      <c r="K813" s="26" t="str">
        <f t="shared" si="38"/>
        <v/>
      </c>
      <c r="L813" s="15"/>
    </row>
    <row r="814" spans="1:12" x14ac:dyDescent="0.2">
      <c r="A814" s="23" t="str">
        <f t="shared" si="36"/>
        <v/>
      </c>
      <c r="B814" s="22"/>
      <c r="C814" s="24"/>
      <c r="D814" s="15"/>
      <c r="E814" s="15"/>
      <c r="F814" s="24"/>
      <c r="G814" s="30"/>
      <c r="H814" s="30"/>
      <c r="I814" s="26" t="str">
        <f t="shared" si="37"/>
        <v/>
      </c>
      <c r="J814" s="21"/>
      <c r="K814" s="26" t="str">
        <f t="shared" si="38"/>
        <v/>
      </c>
      <c r="L814" s="15"/>
    </row>
    <row r="815" spans="1:12" x14ac:dyDescent="0.2">
      <c r="A815" s="23" t="str">
        <f t="shared" si="36"/>
        <v/>
      </c>
      <c r="B815" s="22"/>
      <c r="C815" s="24"/>
      <c r="D815" s="15"/>
      <c r="E815" s="15"/>
      <c r="F815" s="24"/>
      <c r="G815" s="30"/>
      <c r="H815" s="30"/>
      <c r="I815" s="26" t="str">
        <f t="shared" si="37"/>
        <v/>
      </c>
      <c r="J815" s="21"/>
      <c r="K815" s="26" t="str">
        <f t="shared" si="38"/>
        <v/>
      </c>
      <c r="L815" s="15"/>
    </row>
    <row r="816" spans="1:12" x14ac:dyDescent="0.2">
      <c r="A816" s="23" t="str">
        <f t="shared" si="36"/>
        <v/>
      </c>
      <c r="B816" s="22"/>
      <c r="C816" s="24"/>
      <c r="D816" s="15"/>
      <c r="E816" s="15"/>
      <c r="F816" s="24"/>
      <c r="G816" s="30"/>
      <c r="H816" s="30"/>
      <c r="I816" s="26" t="str">
        <f t="shared" si="37"/>
        <v/>
      </c>
      <c r="J816" s="21"/>
      <c r="K816" s="26" t="str">
        <f t="shared" si="38"/>
        <v/>
      </c>
      <c r="L816" s="15"/>
    </row>
    <row r="817" spans="1:12" x14ac:dyDescent="0.2">
      <c r="A817" s="23" t="str">
        <f t="shared" si="36"/>
        <v/>
      </c>
      <c r="B817" s="22"/>
      <c r="C817" s="24"/>
      <c r="D817" s="15"/>
      <c r="E817" s="15"/>
      <c r="F817" s="24"/>
      <c r="G817" s="30"/>
      <c r="H817" s="30"/>
      <c r="I817" s="26" t="str">
        <f t="shared" si="37"/>
        <v/>
      </c>
      <c r="J817" s="21"/>
      <c r="K817" s="26" t="str">
        <f t="shared" si="38"/>
        <v/>
      </c>
      <c r="L817" s="15"/>
    </row>
    <row r="818" spans="1:12" x14ac:dyDescent="0.2">
      <c r="A818" s="23" t="str">
        <f t="shared" si="36"/>
        <v/>
      </c>
      <c r="B818" s="22"/>
      <c r="C818" s="24"/>
      <c r="D818" s="15"/>
      <c r="E818" s="15"/>
      <c r="F818" s="24"/>
      <c r="G818" s="30"/>
      <c r="H818" s="30"/>
      <c r="I818" s="26" t="str">
        <f t="shared" si="37"/>
        <v/>
      </c>
      <c r="J818" s="21"/>
      <c r="K818" s="26" t="str">
        <f t="shared" si="38"/>
        <v/>
      </c>
      <c r="L818" s="15"/>
    </row>
    <row r="819" spans="1:12" x14ac:dyDescent="0.2">
      <c r="A819" s="23" t="str">
        <f t="shared" si="36"/>
        <v/>
      </c>
      <c r="B819" s="22"/>
      <c r="C819" s="24"/>
      <c r="D819" s="15"/>
      <c r="E819" s="15"/>
      <c r="F819" s="24"/>
      <c r="G819" s="30"/>
      <c r="H819" s="30"/>
      <c r="I819" s="26" t="str">
        <f t="shared" si="37"/>
        <v/>
      </c>
      <c r="J819" s="21"/>
      <c r="K819" s="26" t="str">
        <f t="shared" si="38"/>
        <v/>
      </c>
      <c r="L819" s="15"/>
    </row>
    <row r="820" spans="1:12" x14ac:dyDescent="0.2">
      <c r="A820" s="23" t="str">
        <f t="shared" si="36"/>
        <v/>
      </c>
      <c r="B820" s="22"/>
      <c r="C820" s="24"/>
      <c r="D820" s="15"/>
      <c r="E820" s="15"/>
      <c r="F820" s="24"/>
      <c r="G820" s="30"/>
      <c r="H820" s="30"/>
      <c r="I820" s="26" t="str">
        <f t="shared" si="37"/>
        <v/>
      </c>
      <c r="J820" s="21"/>
      <c r="K820" s="26" t="str">
        <f t="shared" si="38"/>
        <v/>
      </c>
      <c r="L820" s="15"/>
    </row>
    <row r="821" spans="1:12" x14ac:dyDescent="0.2">
      <c r="A821" s="23" t="str">
        <f t="shared" si="36"/>
        <v/>
      </c>
      <c r="B821" s="22"/>
      <c r="C821" s="24"/>
      <c r="D821" s="15"/>
      <c r="E821" s="15"/>
      <c r="F821" s="24"/>
      <c r="G821" s="30"/>
      <c r="H821" s="30"/>
      <c r="I821" s="26" t="str">
        <f t="shared" si="37"/>
        <v/>
      </c>
      <c r="J821" s="21"/>
      <c r="K821" s="26" t="str">
        <f t="shared" si="38"/>
        <v/>
      </c>
      <c r="L821" s="15"/>
    </row>
    <row r="822" spans="1:12" x14ac:dyDescent="0.2">
      <c r="A822" s="23" t="str">
        <f t="shared" si="36"/>
        <v/>
      </c>
      <c r="B822" s="22"/>
      <c r="C822" s="24"/>
      <c r="D822" s="15"/>
      <c r="E822" s="15"/>
      <c r="F822" s="24"/>
      <c r="G822" s="30"/>
      <c r="H822" s="30"/>
      <c r="I822" s="26" t="str">
        <f t="shared" si="37"/>
        <v/>
      </c>
      <c r="J822" s="21"/>
      <c r="K822" s="26" t="str">
        <f t="shared" si="38"/>
        <v/>
      </c>
      <c r="L822" s="15"/>
    </row>
    <row r="823" spans="1:12" x14ac:dyDescent="0.2">
      <c r="A823" s="23" t="str">
        <f t="shared" si="36"/>
        <v/>
      </c>
      <c r="B823" s="22"/>
      <c r="C823" s="24"/>
      <c r="D823" s="15"/>
      <c r="E823" s="15"/>
      <c r="F823" s="24"/>
      <c r="G823" s="30"/>
      <c r="H823" s="30"/>
      <c r="I823" s="26" t="str">
        <f t="shared" si="37"/>
        <v/>
      </c>
      <c r="J823" s="21"/>
      <c r="K823" s="26" t="str">
        <f t="shared" si="38"/>
        <v/>
      </c>
      <c r="L823" s="15"/>
    </row>
    <row r="824" spans="1:12" x14ac:dyDescent="0.2">
      <c r="A824" s="23" t="str">
        <f t="shared" si="36"/>
        <v/>
      </c>
      <c r="B824" s="22"/>
      <c r="C824" s="24"/>
      <c r="D824" s="15"/>
      <c r="E824" s="15"/>
      <c r="F824" s="24"/>
      <c r="G824" s="30"/>
      <c r="H824" s="30"/>
      <c r="I824" s="26" t="str">
        <f t="shared" si="37"/>
        <v/>
      </c>
      <c r="J824" s="21"/>
      <c r="K824" s="26" t="str">
        <f t="shared" si="38"/>
        <v/>
      </c>
      <c r="L824" s="15"/>
    </row>
    <row r="825" spans="1:12" x14ac:dyDescent="0.2">
      <c r="A825" s="23" t="str">
        <f t="shared" si="36"/>
        <v/>
      </c>
      <c r="B825" s="22"/>
      <c r="C825" s="24"/>
      <c r="D825" s="15"/>
      <c r="E825" s="15"/>
      <c r="F825" s="24"/>
      <c r="G825" s="30"/>
      <c r="H825" s="30"/>
      <c r="I825" s="26" t="str">
        <f t="shared" si="37"/>
        <v/>
      </c>
      <c r="J825" s="21"/>
      <c r="K825" s="26" t="str">
        <f t="shared" si="38"/>
        <v/>
      </c>
      <c r="L825" s="15"/>
    </row>
    <row r="826" spans="1:12" x14ac:dyDescent="0.2">
      <c r="A826" s="23" t="str">
        <f t="shared" si="36"/>
        <v/>
      </c>
      <c r="B826" s="22"/>
      <c r="C826" s="24"/>
      <c r="D826" s="15"/>
      <c r="E826" s="15"/>
      <c r="F826" s="24"/>
      <c r="G826" s="30"/>
      <c r="H826" s="30"/>
      <c r="I826" s="26" t="str">
        <f t="shared" si="37"/>
        <v/>
      </c>
      <c r="J826" s="21"/>
      <c r="K826" s="26" t="str">
        <f t="shared" si="38"/>
        <v/>
      </c>
      <c r="L826" s="15"/>
    </row>
    <row r="827" spans="1:12" x14ac:dyDescent="0.2">
      <c r="A827" s="23" t="str">
        <f t="shared" si="36"/>
        <v/>
      </c>
      <c r="B827" s="22"/>
      <c r="C827" s="24"/>
      <c r="D827" s="15"/>
      <c r="E827" s="15"/>
      <c r="F827" s="24"/>
      <c r="G827" s="30"/>
      <c r="H827" s="30"/>
      <c r="I827" s="26" t="str">
        <f t="shared" si="37"/>
        <v/>
      </c>
      <c r="J827" s="21"/>
      <c r="K827" s="26" t="str">
        <f t="shared" si="38"/>
        <v/>
      </c>
      <c r="L827" s="15"/>
    </row>
    <row r="828" spans="1:12" x14ac:dyDescent="0.2">
      <c r="A828" s="23" t="str">
        <f t="shared" si="36"/>
        <v/>
      </c>
      <c r="B828" s="22"/>
      <c r="C828" s="24"/>
      <c r="D828" s="15"/>
      <c r="E828" s="15"/>
      <c r="F828" s="24"/>
      <c r="G828" s="30"/>
      <c r="H828" s="30"/>
      <c r="I828" s="26" t="str">
        <f t="shared" si="37"/>
        <v/>
      </c>
      <c r="J828" s="21"/>
      <c r="K828" s="26" t="str">
        <f t="shared" si="38"/>
        <v/>
      </c>
      <c r="L828" s="15"/>
    </row>
    <row r="829" spans="1:12" x14ac:dyDescent="0.2">
      <c r="A829" s="23" t="str">
        <f t="shared" si="36"/>
        <v/>
      </c>
      <c r="B829" s="22"/>
      <c r="C829" s="24"/>
      <c r="D829" s="15"/>
      <c r="E829" s="15"/>
      <c r="F829" s="24"/>
      <c r="G829" s="30"/>
      <c r="H829" s="30"/>
      <c r="I829" s="26" t="str">
        <f t="shared" si="37"/>
        <v/>
      </c>
      <c r="J829" s="21"/>
      <c r="K829" s="26" t="str">
        <f t="shared" si="38"/>
        <v/>
      </c>
      <c r="L829" s="15"/>
    </row>
    <row r="830" spans="1:12" x14ac:dyDescent="0.2">
      <c r="A830" s="23" t="str">
        <f t="shared" si="36"/>
        <v/>
      </c>
      <c r="B830" s="22"/>
      <c r="C830" s="24"/>
      <c r="D830" s="15"/>
      <c r="E830" s="15"/>
      <c r="F830" s="24"/>
      <c r="G830" s="30"/>
      <c r="H830" s="30"/>
      <c r="I830" s="26" t="str">
        <f t="shared" si="37"/>
        <v/>
      </c>
      <c r="J830" s="21"/>
      <c r="K830" s="26" t="str">
        <f t="shared" si="38"/>
        <v/>
      </c>
      <c r="L830" s="15"/>
    </row>
    <row r="831" spans="1:12" x14ac:dyDescent="0.2">
      <c r="A831" s="23" t="str">
        <f t="shared" si="36"/>
        <v/>
      </c>
      <c r="B831" s="22"/>
      <c r="C831" s="24"/>
      <c r="D831" s="15"/>
      <c r="E831" s="15"/>
      <c r="F831" s="24"/>
      <c r="G831" s="30"/>
      <c r="H831" s="30"/>
      <c r="I831" s="26" t="str">
        <f t="shared" si="37"/>
        <v/>
      </c>
      <c r="J831" s="21"/>
      <c r="K831" s="26" t="str">
        <f t="shared" si="38"/>
        <v/>
      </c>
      <c r="L831" s="15"/>
    </row>
    <row r="832" spans="1:12" x14ac:dyDescent="0.2">
      <c r="A832" s="23" t="str">
        <f t="shared" si="36"/>
        <v/>
      </c>
      <c r="B832" s="22"/>
      <c r="C832" s="24"/>
      <c r="D832" s="15"/>
      <c r="E832" s="15"/>
      <c r="F832" s="24"/>
      <c r="G832" s="30"/>
      <c r="H832" s="30"/>
      <c r="I832" s="26" t="str">
        <f t="shared" si="37"/>
        <v/>
      </c>
      <c r="J832" s="21"/>
      <c r="K832" s="26" t="str">
        <f t="shared" si="38"/>
        <v/>
      </c>
      <c r="L832" s="15"/>
    </row>
    <row r="833" spans="1:12" x14ac:dyDescent="0.2">
      <c r="A833" s="23" t="str">
        <f t="shared" si="36"/>
        <v/>
      </c>
      <c r="B833" s="22"/>
      <c r="C833" s="24"/>
      <c r="D833" s="15"/>
      <c r="E833" s="15"/>
      <c r="F833" s="24"/>
      <c r="G833" s="30"/>
      <c r="H833" s="30"/>
      <c r="I833" s="26" t="str">
        <f t="shared" si="37"/>
        <v/>
      </c>
      <c r="J833" s="21"/>
      <c r="K833" s="26" t="str">
        <f t="shared" si="38"/>
        <v/>
      </c>
      <c r="L833" s="15"/>
    </row>
    <row r="834" spans="1:12" x14ac:dyDescent="0.2">
      <c r="A834" s="23" t="str">
        <f t="shared" si="36"/>
        <v/>
      </c>
      <c r="B834" s="22"/>
      <c r="C834" s="24"/>
      <c r="D834" s="15"/>
      <c r="E834" s="15"/>
      <c r="F834" s="24"/>
      <c r="G834" s="30"/>
      <c r="H834" s="30"/>
      <c r="I834" s="26" t="str">
        <f t="shared" si="37"/>
        <v/>
      </c>
      <c r="J834" s="21"/>
      <c r="K834" s="26" t="str">
        <f t="shared" si="38"/>
        <v/>
      </c>
      <c r="L834" s="15"/>
    </row>
    <row r="835" spans="1:12" x14ac:dyDescent="0.2">
      <c r="A835" s="23" t="str">
        <f t="shared" si="36"/>
        <v/>
      </c>
      <c r="B835" s="22"/>
      <c r="C835" s="24"/>
      <c r="D835" s="15"/>
      <c r="E835" s="15"/>
      <c r="F835" s="24"/>
      <c r="G835" s="30"/>
      <c r="H835" s="30"/>
      <c r="I835" s="26" t="str">
        <f t="shared" si="37"/>
        <v/>
      </c>
      <c r="J835" s="21"/>
      <c r="K835" s="26" t="str">
        <f t="shared" si="38"/>
        <v/>
      </c>
      <c r="L835" s="15"/>
    </row>
    <row r="836" spans="1:12" x14ac:dyDescent="0.2">
      <c r="A836" s="23" t="str">
        <f t="shared" si="36"/>
        <v/>
      </c>
      <c r="B836" s="22"/>
      <c r="C836" s="24"/>
      <c r="D836" s="15"/>
      <c r="E836" s="15"/>
      <c r="F836" s="24"/>
      <c r="G836" s="30"/>
      <c r="H836" s="30"/>
      <c r="I836" s="26" t="str">
        <f t="shared" si="37"/>
        <v/>
      </c>
      <c r="J836" s="21"/>
      <c r="K836" s="26" t="str">
        <f t="shared" si="38"/>
        <v/>
      </c>
      <c r="L836" s="15"/>
    </row>
    <row r="837" spans="1:12" x14ac:dyDescent="0.2">
      <c r="A837" s="23" t="str">
        <f t="shared" ref="A837:A900" si="39">IF(B837="","",ROW()-4)</f>
        <v/>
      </c>
      <c r="B837" s="22"/>
      <c r="C837" s="24"/>
      <c r="D837" s="15"/>
      <c r="E837" s="15"/>
      <c r="F837" s="24"/>
      <c r="G837" s="30"/>
      <c r="H837" s="30"/>
      <c r="I837" s="26" t="str">
        <f t="shared" ref="I837:I900" si="40">IF(OR(G837="",H837=""),"",G837*H837)</f>
        <v/>
      </c>
      <c r="J837" s="21"/>
      <c r="K837" s="26" t="str">
        <f t="shared" ref="K837:K900" si="41">IF(OR(I837="",J837=""),"",I837*J837)</f>
        <v/>
      </c>
      <c r="L837" s="15"/>
    </row>
    <row r="838" spans="1:12" x14ac:dyDescent="0.2">
      <c r="A838" s="23" t="str">
        <f t="shared" si="39"/>
        <v/>
      </c>
      <c r="B838" s="22"/>
      <c r="C838" s="24"/>
      <c r="D838" s="15"/>
      <c r="E838" s="15"/>
      <c r="F838" s="24"/>
      <c r="G838" s="30"/>
      <c r="H838" s="30"/>
      <c r="I838" s="26" t="str">
        <f t="shared" si="40"/>
        <v/>
      </c>
      <c r="J838" s="21"/>
      <c r="K838" s="26" t="str">
        <f t="shared" si="41"/>
        <v/>
      </c>
      <c r="L838" s="15"/>
    </row>
    <row r="839" spans="1:12" x14ac:dyDescent="0.2">
      <c r="A839" s="23" t="str">
        <f t="shared" si="39"/>
        <v/>
      </c>
      <c r="B839" s="22"/>
      <c r="C839" s="24"/>
      <c r="D839" s="15"/>
      <c r="E839" s="15"/>
      <c r="F839" s="24"/>
      <c r="G839" s="30"/>
      <c r="H839" s="30"/>
      <c r="I839" s="26" t="str">
        <f t="shared" si="40"/>
        <v/>
      </c>
      <c r="J839" s="21"/>
      <c r="K839" s="26" t="str">
        <f t="shared" si="41"/>
        <v/>
      </c>
      <c r="L839" s="15"/>
    </row>
    <row r="840" spans="1:12" x14ac:dyDescent="0.2">
      <c r="A840" s="23" t="str">
        <f t="shared" si="39"/>
        <v/>
      </c>
      <c r="B840" s="22"/>
      <c r="C840" s="24"/>
      <c r="D840" s="15"/>
      <c r="E840" s="15"/>
      <c r="F840" s="24"/>
      <c r="G840" s="30"/>
      <c r="H840" s="30"/>
      <c r="I840" s="26" t="str">
        <f t="shared" si="40"/>
        <v/>
      </c>
      <c r="J840" s="21"/>
      <c r="K840" s="26" t="str">
        <f t="shared" si="41"/>
        <v/>
      </c>
      <c r="L840" s="15"/>
    </row>
    <row r="841" spans="1:12" x14ac:dyDescent="0.2">
      <c r="A841" s="23" t="str">
        <f t="shared" si="39"/>
        <v/>
      </c>
      <c r="B841" s="22"/>
      <c r="C841" s="24"/>
      <c r="D841" s="15"/>
      <c r="E841" s="15"/>
      <c r="F841" s="24"/>
      <c r="G841" s="30"/>
      <c r="H841" s="30"/>
      <c r="I841" s="26" t="str">
        <f t="shared" si="40"/>
        <v/>
      </c>
      <c r="J841" s="21"/>
      <c r="K841" s="26" t="str">
        <f t="shared" si="41"/>
        <v/>
      </c>
      <c r="L841" s="15"/>
    </row>
    <row r="842" spans="1:12" x14ac:dyDescent="0.2">
      <c r="A842" s="23" t="str">
        <f t="shared" si="39"/>
        <v/>
      </c>
      <c r="B842" s="22"/>
      <c r="C842" s="24"/>
      <c r="D842" s="15"/>
      <c r="E842" s="15"/>
      <c r="F842" s="24"/>
      <c r="G842" s="30"/>
      <c r="H842" s="30"/>
      <c r="I842" s="26" t="str">
        <f t="shared" si="40"/>
        <v/>
      </c>
      <c r="J842" s="21"/>
      <c r="K842" s="26" t="str">
        <f t="shared" si="41"/>
        <v/>
      </c>
      <c r="L842" s="15"/>
    </row>
    <row r="843" spans="1:12" x14ac:dyDescent="0.2">
      <c r="A843" s="23" t="str">
        <f t="shared" si="39"/>
        <v/>
      </c>
      <c r="B843" s="22"/>
      <c r="C843" s="24"/>
      <c r="D843" s="15"/>
      <c r="E843" s="15"/>
      <c r="F843" s="24"/>
      <c r="G843" s="30"/>
      <c r="H843" s="30"/>
      <c r="I843" s="26" t="str">
        <f t="shared" si="40"/>
        <v/>
      </c>
      <c r="J843" s="21"/>
      <c r="K843" s="26" t="str">
        <f t="shared" si="41"/>
        <v/>
      </c>
      <c r="L843" s="15"/>
    </row>
    <row r="844" spans="1:12" x14ac:dyDescent="0.2">
      <c r="A844" s="23" t="str">
        <f t="shared" si="39"/>
        <v/>
      </c>
      <c r="B844" s="22"/>
      <c r="C844" s="24"/>
      <c r="D844" s="15"/>
      <c r="E844" s="15"/>
      <c r="F844" s="24"/>
      <c r="G844" s="30"/>
      <c r="H844" s="30"/>
      <c r="I844" s="26" t="str">
        <f t="shared" si="40"/>
        <v/>
      </c>
      <c r="J844" s="21"/>
      <c r="K844" s="26" t="str">
        <f t="shared" si="41"/>
        <v/>
      </c>
      <c r="L844" s="15"/>
    </row>
    <row r="845" spans="1:12" x14ac:dyDescent="0.2">
      <c r="A845" s="23" t="str">
        <f t="shared" si="39"/>
        <v/>
      </c>
      <c r="B845" s="22"/>
      <c r="C845" s="24"/>
      <c r="D845" s="15"/>
      <c r="E845" s="15"/>
      <c r="F845" s="24"/>
      <c r="G845" s="30"/>
      <c r="H845" s="30"/>
      <c r="I845" s="26" t="str">
        <f t="shared" si="40"/>
        <v/>
      </c>
      <c r="J845" s="21"/>
      <c r="K845" s="26" t="str">
        <f t="shared" si="41"/>
        <v/>
      </c>
      <c r="L845" s="15"/>
    </row>
    <row r="846" spans="1:12" x14ac:dyDescent="0.2">
      <c r="A846" s="23" t="str">
        <f t="shared" si="39"/>
        <v/>
      </c>
      <c r="B846" s="22"/>
      <c r="C846" s="24"/>
      <c r="D846" s="15"/>
      <c r="E846" s="15"/>
      <c r="F846" s="24"/>
      <c r="G846" s="30"/>
      <c r="H846" s="30"/>
      <c r="I846" s="26" t="str">
        <f t="shared" si="40"/>
        <v/>
      </c>
      <c r="J846" s="21"/>
      <c r="K846" s="26" t="str">
        <f t="shared" si="41"/>
        <v/>
      </c>
      <c r="L846" s="15"/>
    </row>
    <row r="847" spans="1:12" x14ac:dyDescent="0.2">
      <c r="A847" s="23" t="str">
        <f t="shared" si="39"/>
        <v/>
      </c>
      <c r="B847" s="22"/>
      <c r="C847" s="24"/>
      <c r="D847" s="15"/>
      <c r="E847" s="15"/>
      <c r="F847" s="24"/>
      <c r="G847" s="30"/>
      <c r="H847" s="30"/>
      <c r="I847" s="26" t="str">
        <f t="shared" si="40"/>
        <v/>
      </c>
      <c r="J847" s="21"/>
      <c r="K847" s="26" t="str">
        <f t="shared" si="41"/>
        <v/>
      </c>
      <c r="L847" s="15"/>
    </row>
    <row r="848" spans="1:12" x14ac:dyDescent="0.2">
      <c r="A848" s="23" t="str">
        <f t="shared" si="39"/>
        <v/>
      </c>
      <c r="B848" s="22"/>
      <c r="C848" s="24"/>
      <c r="D848" s="15"/>
      <c r="E848" s="15"/>
      <c r="F848" s="24"/>
      <c r="G848" s="30"/>
      <c r="H848" s="30"/>
      <c r="I848" s="26" t="str">
        <f t="shared" si="40"/>
        <v/>
      </c>
      <c r="J848" s="21"/>
      <c r="K848" s="26" t="str">
        <f t="shared" si="41"/>
        <v/>
      </c>
      <c r="L848" s="15"/>
    </row>
    <row r="849" spans="1:12" x14ac:dyDescent="0.2">
      <c r="A849" s="23" t="str">
        <f t="shared" si="39"/>
        <v/>
      </c>
      <c r="B849" s="22"/>
      <c r="C849" s="24"/>
      <c r="D849" s="15"/>
      <c r="E849" s="15"/>
      <c r="F849" s="24"/>
      <c r="G849" s="30"/>
      <c r="H849" s="30"/>
      <c r="I849" s="26" t="str">
        <f t="shared" si="40"/>
        <v/>
      </c>
      <c r="J849" s="21"/>
      <c r="K849" s="26" t="str">
        <f t="shared" si="41"/>
        <v/>
      </c>
      <c r="L849" s="15"/>
    </row>
    <row r="850" spans="1:12" x14ac:dyDescent="0.2">
      <c r="A850" s="23" t="str">
        <f t="shared" si="39"/>
        <v/>
      </c>
      <c r="B850" s="22"/>
      <c r="C850" s="24"/>
      <c r="D850" s="15"/>
      <c r="E850" s="15"/>
      <c r="F850" s="24"/>
      <c r="G850" s="30"/>
      <c r="H850" s="30"/>
      <c r="I850" s="26" t="str">
        <f t="shared" si="40"/>
        <v/>
      </c>
      <c r="J850" s="21"/>
      <c r="K850" s="26" t="str">
        <f t="shared" si="41"/>
        <v/>
      </c>
      <c r="L850" s="15"/>
    </row>
    <row r="851" spans="1:12" x14ac:dyDescent="0.2">
      <c r="A851" s="23" t="str">
        <f t="shared" si="39"/>
        <v/>
      </c>
      <c r="B851" s="22"/>
      <c r="C851" s="24"/>
      <c r="D851" s="15"/>
      <c r="E851" s="15"/>
      <c r="F851" s="24"/>
      <c r="G851" s="30"/>
      <c r="H851" s="30"/>
      <c r="I851" s="26" t="str">
        <f t="shared" si="40"/>
        <v/>
      </c>
      <c r="J851" s="21"/>
      <c r="K851" s="26" t="str">
        <f t="shared" si="41"/>
        <v/>
      </c>
      <c r="L851" s="15"/>
    </row>
    <row r="852" spans="1:12" x14ac:dyDescent="0.2">
      <c r="A852" s="23" t="str">
        <f t="shared" si="39"/>
        <v/>
      </c>
      <c r="B852" s="22"/>
      <c r="C852" s="24"/>
      <c r="D852" s="15"/>
      <c r="E852" s="15"/>
      <c r="F852" s="24"/>
      <c r="G852" s="30"/>
      <c r="H852" s="30"/>
      <c r="I852" s="26" t="str">
        <f t="shared" si="40"/>
        <v/>
      </c>
      <c r="J852" s="21"/>
      <c r="K852" s="26" t="str">
        <f t="shared" si="41"/>
        <v/>
      </c>
      <c r="L852" s="15"/>
    </row>
    <row r="853" spans="1:12" x14ac:dyDescent="0.2">
      <c r="A853" s="23" t="str">
        <f t="shared" si="39"/>
        <v/>
      </c>
      <c r="B853" s="22"/>
      <c r="C853" s="24"/>
      <c r="D853" s="15"/>
      <c r="E853" s="15"/>
      <c r="F853" s="24"/>
      <c r="G853" s="30"/>
      <c r="H853" s="30"/>
      <c r="I853" s="26" t="str">
        <f t="shared" si="40"/>
        <v/>
      </c>
      <c r="J853" s="21"/>
      <c r="K853" s="26" t="str">
        <f t="shared" si="41"/>
        <v/>
      </c>
      <c r="L853" s="15"/>
    </row>
    <row r="854" spans="1:12" x14ac:dyDescent="0.2">
      <c r="A854" s="23" t="str">
        <f t="shared" si="39"/>
        <v/>
      </c>
      <c r="B854" s="22"/>
      <c r="C854" s="24"/>
      <c r="D854" s="15"/>
      <c r="E854" s="15"/>
      <c r="F854" s="24"/>
      <c r="G854" s="30"/>
      <c r="H854" s="30"/>
      <c r="I854" s="26" t="str">
        <f t="shared" si="40"/>
        <v/>
      </c>
      <c r="J854" s="21"/>
      <c r="K854" s="26" t="str">
        <f t="shared" si="41"/>
        <v/>
      </c>
      <c r="L854" s="15"/>
    </row>
    <row r="855" spans="1:12" x14ac:dyDescent="0.2">
      <c r="A855" s="23" t="str">
        <f t="shared" si="39"/>
        <v/>
      </c>
      <c r="B855" s="22"/>
      <c r="C855" s="24"/>
      <c r="D855" s="15"/>
      <c r="E855" s="15"/>
      <c r="F855" s="24"/>
      <c r="G855" s="30"/>
      <c r="H855" s="30"/>
      <c r="I855" s="26" t="str">
        <f t="shared" si="40"/>
        <v/>
      </c>
      <c r="J855" s="21"/>
      <c r="K855" s="26" t="str">
        <f t="shared" si="41"/>
        <v/>
      </c>
      <c r="L855" s="15"/>
    </row>
    <row r="856" spans="1:12" x14ac:dyDescent="0.2">
      <c r="A856" s="23" t="str">
        <f t="shared" si="39"/>
        <v/>
      </c>
      <c r="B856" s="22"/>
      <c r="C856" s="24"/>
      <c r="D856" s="15"/>
      <c r="E856" s="15"/>
      <c r="F856" s="24"/>
      <c r="G856" s="30"/>
      <c r="H856" s="30"/>
      <c r="I856" s="26" t="str">
        <f t="shared" si="40"/>
        <v/>
      </c>
      <c r="J856" s="21"/>
      <c r="K856" s="26" t="str">
        <f t="shared" si="41"/>
        <v/>
      </c>
      <c r="L856" s="15"/>
    </row>
    <row r="857" spans="1:12" x14ac:dyDescent="0.2">
      <c r="A857" s="23" t="str">
        <f t="shared" si="39"/>
        <v/>
      </c>
      <c r="B857" s="22"/>
      <c r="C857" s="24"/>
      <c r="D857" s="15"/>
      <c r="E857" s="15"/>
      <c r="F857" s="24"/>
      <c r="G857" s="30"/>
      <c r="H857" s="30"/>
      <c r="I857" s="26" t="str">
        <f t="shared" si="40"/>
        <v/>
      </c>
      <c r="J857" s="21"/>
      <c r="K857" s="26" t="str">
        <f t="shared" si="41"/>
        <v/>
      </c>
      <c r="L857" s="15"/>
    </row>
    <row r="858" spans="1:12" x14ac:dyDescent="0.2">
      <c r="A858" s="23" t="str">
        <f t="shared" si="39"/>
        <v/>
      </c>
      <c r="B858" s="22"/>
      <c r="C858" s="24"/>
      <c r="D858" s="15"/>
      <c r="E858" s="15"/>
      <c r="F858" s="24"/>
      <c r="G858" s="30"/>
      <c r="H858" s="30"/>
      <c r="I858" s="26" t="str">
        <f t="shared" si="40"/>
        <v/>
      </c>
      <c r="J858" s="21"/>
      <c r="K858" s="26" t="str">
        <f t="shared" si="41"/>
        <v/>
      </c>
      <c r="L858" s="15"/>
    </row>
    <row r="859" spans="1:12" x14ac:dyDescent="0.2">
      <c r="A859" s="23" t="str">
        <f t="shared" si="39"/>
        <v/>
      </c>
      <c r="B859" s="22"/>
      <c r="C859" s="24"/>
      <c r="D859" s="15"/>
      <c r="E859" s="15"/>
      <c r="F859" s="24"/>
      <c r="G859" s="30"/>
      <c r="H859" s="30"/>
      <c r="I859" s="26" t="str">
        <f t="shared" si="40"/>
        <v/>
      </c>
      <c r="J859" s="21"/>
      <c r="K859" s="26" t="str">
        <f t="shared" si="41"/>
        <v/>
      </c>
      <c r="L859" s="15"/>
    </row>
    <row r="860" spans="1:12" x14ac:dyDescent="0.2">
      <c r="A860" s="23" t="str">
        <f t="shared" si="39"/>
        <v/>
      </c>
      <c r="B860" s="22"/>
      <c r="C860" s="24"/>
      <c r="D860" s="15"/>
      <c r="E860" s="15"/>
      <c r="F860" s="24"/>
      <c r="G860" s="30"/>
      <c r="H860" s="30"/>
      <c r="I860" s="26" t="str">
        <f t="shared" si="40"/>
        <v/>
      </c>
      <c r="J860" s="21"/>
      <c r="K860" s="26" t="str">
        <f t="shared" si="41"/>
        <v/>
      </c>
      <c r="L860" s="15"/>
    </row>
    <row r="861" spans="1:12" x14ac:dyDescent="0.2">
      <c r="A861" s="23" t="str">
        <f t="shared" si="39"/>
        <v/>
      </c>
      <c r="B861" s="22"/>
      <c r="C861" s="24"/>
      <c r="D861" s="15"/>
      <c r="E861" s="15"/>
      <c r="F861" s="24"/>
      <c r="G861" s="30"/>
      <c r="H861" s="30"/>
      <c r="I861" s="26" t="str">
        <f t="shared" si="40"/>
        <v/>
      </c>
      <c r="J861" s="21"/>
      <c r="K861" s="26" t="str">
        <f t="shared" si="41"/>
        <v/>
      </c>
      <c r="L861" s="15"/>
    </row>
    <row r="862" spans="1:12" x14ac:dyDescent="0.2">
      <c r="A862" s="23" t="str">
        <f t="shared" si="39"/>
        <v/>
      </c>
      <c r="B862" s="22"/>
      <c r="C862" s="24"/>
      <c r="D862" s="15"/>
      <c r="E862" s="15"/>
      <c r="F862" s="24"/>
      <c r="G862" s="30"/>
      <c r="H862" s="30"/>
      <c r="I862" s="26" t="str">
        <f t="shared" si="40"/>
        <v/>
      </c>
      <c r="J862" s="21"/>
      <c r="K862" s="26" t="str">
        <f t="shared" si="41"/>
        <v/>
      </c>
      <c r="L862" s="15"/>
    </row>
    <row r="863" spans="1:12" x14ac:dyDescent="0.2">
      <c r="A863" s="23" t="str">
        <f t="shared" si="39"/>
        <v/>
      </c>
      <c r="B863" s="22"/>
      <c r="C863" s="24"/>
      <c r="D863" s="15"/>
      <c r="E863" s="15"/>
      <c r="F863" s="24"/>
      <c r="G863" s="30"/>
      <c r="H863" s="30"/>
      <c r="I863" s="26" t="str">
        <f t="shared" si="40"/>
        <v/>
      </c>
      <c r="J863" s="21"/>
      <c r="K863" s="26" t="str">
        <f t="shared" si="41"/>
        <v/>
      </c>
      <c r="L863" s="15"/>
    </row>
    <row r="864" spans="1:12" x14ac:dyDescent="0.2">
      <c r="A864" s="23" t="str">
        <f t="shared" si="39"/>
        <v/>
      </c>
      <c r="B864" s="22"/>
      <c r="C864" s="24"/>
      <c r="D864" s="15"/>
      <c r="E864" s="15"/>
      <c r="F864" s="24"/>
      <c r="G864" s="30"/>
      <c r="H864" s="30"/>
      <c r="I864" s="26" t="str">
        <f t="shared" si="40"/>
        <v/>
      </c>
      <c r="J864" s="21"/>
      <c r="K864" s="26" t="str">
        <f t="shared" si="41"/>
        <v/>
      </c>
      <c r="L864" s="15"/>
    </row>
    <row r="865" spans="1:12" x14ac:dyDescent="0.2">
      <c r="A865" s="23" t="str">
        <f t="shared" si="39"/>
        <v/>
      </c>
      <c r="B865" s="22"/>
      <c r="C865" s="24"/>
      <c r="D865" s="15"/>
      <c r="E865" s="15"/>
      <c r="F865" s="24"/>
      <c r="G865" s="30"/>
      <c r="H865" s="30"/>
      <c r="I865" s="26" t="str">
        <f t="shared" si="40"/>
        <v/>
      </c>
      <c r="J865" s="21"/>
      <c r="K865" s="26" t="str">
        <f t="shared" si="41"/>
        <v/>
      </c>
      <c r="L865" s="15"/>
    </row>
    <row r="866" spans="1:12" x14ac:dyDescent="0.2">
      <c r="A866" s="23" t="str">
        <f t="shared" si="39"/>
        <v/>
      </c>
      <c r="B866" s="22"/>
      <c r="C866" s="24"/>
      <c r="D866" s="15"/>
      <c r="E866" s="15"/>
      <c r="F866" s="24"/>
      <c r="G866" s="30"/>
      <c r="H866" s="30"/>
      <c r="I866" s="26" t="str">
        <f t="shared" si="40"/>
        <v/>
      </c>
      <c r="J866" s="21"/>
      <c r="K866" s="26" t="str">
        <f t="shared" si="41"/>
        <v/>
      </c>
      <c r="L866" s="15"/>
    </row>
    <row r="867" spans="1:12" x14ac:dyDescent="0.2">
      <c r="A867" s="23" t="str">
        <f t="shared" si="39"/>
        <v/>
      </c>
      <c r="B867" s="22"/>
      <c r="C867" s="24"/>
      <c r="D867" s="15"/>
      <c r="E867" s="15"/>
      <c r="F867" s="24"/>
      <c r="G867" s="30"/>
      <c r="H867" s="30"/>
      <c r="I867" s="26" t="str">
        <f t="shared" si="40"/>
        <v/>
      </c>
      <c r="J867" s="21"/>
      <c r="K867" s="26" t="str">
        <f t="shared" si="41"/>
        <v/>
      </c>
      <c r="L867" s="15"/>
    </row>
    <row r="868" spans="1:12" x14ac:dyDescent="0.2">
      <c r="A868" s="23" t="str">
        <f t="shared" si="39"/>
        <v/>
      </c>
      <c r="B868" s="22"/>
      <c r="C868" s="24"/>
      <c r="D868" s="15"/>
      <c r="E868" s="15"/>
      <c r="F868" s="24"/>
      <c r="G868" s="30"/>
      <c r="H868" s="30"/>
      <c r="I868" s="26" t="str">
        <f t="shared" si="40"/>
        <v/>
      </c>
      <c r="J868" s="21"/>
      <c r="K868" s="26" t="str">
        <f t="shared" si="41"/>
        <v/>
      </c>
      <c r="L868" s="15"/>
    </row>
    <row r="869" spans="1:12" x14ac:dyDescent="0.2">
      <c r="A869" s="23" t="str">
        <f t="shared" si="39"/>
        <v/>
      </c>
      <c r="B869" s="22"/>
      <c r="C869" s="24"/>
      <c r="D869" s="15"/>
      <c r="E869" s="15"/>
      <c r="F869" s="24"/>
      <c r="G869" s="30"/>
      <c r="H869" s="30"/>
      <c r="I869" s="26" t="str">
        <f t="shared" si="40"/>
        <v/>
      </c>
      <c r="J869" s="21"/>
      <c r="K869" s="26" t="str">
        <f t="shared" si="41"/>
        <v/>
      </c>
      <c r="L869" s="15"/>
    </row>
    <row r="870" spans="1:12" x14ac:dyDescent="0.2">
      <c r="A870" s="23" t="str">
        <f t="shared" si="39"/>
        <v/>
      </c>
      <c r="B870" s="22"/>
      <c r="C870" s="24"/>
      <c r="D870" s="15"/>
      <c r="E870" s="15"/>
      <c r="F870" s="24"/>
      <c r="G870" s="30"/>
      <c r="H870" s="30"/>
      <c r="I870" s="26" t="str">
        <f t="shared" si="40"/>
        <v/>
      </c>
      <c r="J870" s="21"/>
      <c r="K870" s="26" t="str">
        <f t="shared" si="41"/>
        <v/>
      </c>
      <c r="L870" s="15"/>
    </row>
    <row r="871" spans="1:12" x14ac:dyDescent="0.2">
      <c r="A871" s="23" t="str">
        <f t="shared" si="39"/>
        <v/>
      </c>
      <c r="B871" s="22"/>
      <c r="C871" s="24"/>
      <c r="D871" s="15"/>
      <c r="E871" s="15"/>
      <c r="F871" s="24"/>
      <c r="G871" s="30"/>
      <c r="H871" s="30"/>
      <c r="I871" s="26" t="str">
        <f t="shared" si="40"/>
        <v/>
      </c>
      <c r="J871" s="21"/>
      <c r="K871" s="26" t="str">
        <f t="shared" si="41"/>
        <v/>
      </c>
      <c r="L871" s="15"/>
    </row>
    <row r="872" spans="1:12" x14ac:dyDescent="0.2">
      <c r="A872" s="23" t="str">
        <f t="shared" si="39"/>
        <v/>
      </c>
      <c r="B872" s="22"/>
      <c r="C872" s="24"/>
      <c r="D872" s="15"/>
      <c r="E872" s="15"/>
      <c r="F872" s="24"/>
      <c r="G872" s="30"/>
      <c r="H872" s="30"/>
      <c r="I872" s="26" t="str">
        <f t="shared" si="40"/>
        <v/>
      </c>
      <c r="J872" s="21"/>
      <c r="K872" s="26" t="str">
        <f t="shared" si="41"/>
        <v/>
      </c>
      <c r="L872" s="15"/>
    </row>
    <row r="873" spans="1:12" x14ac:dyDescent="0.2">
      <c r="A873" s="23" t="str">
        <f t="shared" si="39"/>
        <v/>
      </c>
      <c r="B873" s="22"/>
      <c r="C873" s="24"/>
      <c r="D873" s="15"/>
      <c r="E873" s="15"/>
      <c r="F873" s="24"/>
      <c r="G873" s="30"/>
      <c r="H873" s="30"/>
      <c r="I873" s="26" t="str">
        <f t="shared" si="40"/>
        <v/>
      </c>
      <c r="J873" s="21"/>
      <c r="K873" s="26" t="str">
        <f t="shared" si="41"/>
        <v/>
      </c>
      <c r="L873" s="15"/>
    </row>
    <row r="874" spans="1:12" x14ac:dyDescent="0.2">
      <c r="A874" s="23" t="str">
        <f t="shared" si="39"/>
        <v/>
      </c>
      <c r="B874" s="22"/>
      <c r="C874" s="24"/>
      <c r="D874" s="15"/>
      <c r="E874" s="15"/>
      <c r="F874" s="24"/>
      <c r="G874" s="30"/>
      <c r="H874" s="30"/>
      <c r="I874" s="26" t="str">
        <f t="shared" si="40"/>
        <v/>
      </c>
      <c r="J874" s="21"/>
      <c r="K874" s="26" t="str">
        <f t="shared" si="41"/>
        <v/>
      </c>
      <c r="L874" s="15"/>
    </row>
    <row r="875" spans="1:12" x14ac:dyDescent="0.2">
      <c r="A875" s="23" t="str">
        <f t="shared" si="39"/>
        <v/>
      </c>
      <c r="B875" s="22"/>
      <c r="C875" s="24"/>
      <c r="D875" s="15"/>
      <c r="E875" s="15"/>
      <c r="F875" s="24"/>
      <c r="G875" s="30"/>
      <c r="H875" s="30"/>
      <c r="I875" s="26" t="str">
        <f t="shared" si="40"/>
        <v/>
      </c>
      <c r="J875" s="21"/>
      <c r="K875" s="26" t="str">
        <f t="shared" si="41"/>
        <v/>
      </c>
      <c r="L875" s="15"/>
    </row>
    <row r="876" spans="1:12" x14ac:dyDescent="0.2">
      <c r="A876" s="23" t="str">
        <f t="shared" si="39"/>
        <v/>
      </c>
      <c r="B876" s="22"/>
      <c r="C876" s="24"/>
      <c r="D876" s="15"/>
      <c r="E876" s="15"/>
      <c r="F876" s="24"/>
      <c r="G876" s="30"/>
      <c r="H876" s="30"/>
      <c r="I876" s="26" t="str">
        <f t="shared" si="40"/>
        <v/>
      </c>
      <c r="J876" s="21"/>
      <c r="K876" s="26" t="str">
        <f t="shared" si="41"/>
        <v/>
      </c>
      <c r="L876" s="15"/>
    </row>
    <row r="877" spans="1:12" x14ac:dyDescent="0.2">
      <c r="A877" s="23" t="str">
        <f t="shared" si="39"/>
        <v/>
      </c>
      <c r="B877" s="22"/>
      <c r="C877" s="24"/>
      <c r="D877" s="15"/>
      <c r="E877" s="15"/>
      <c r="F877" s="24"/>
      <c r="G877" s="30"/>
      <c r="H877" s="30"/>
      <c r="I877" s="26" t="str">
        <f t="shared" si="40"/>
        <v/>
      </c>
      <c r="J877" s="21"/>
      <c r="K877" s="26" t="str">
        <f t="shared" si="41"/>
        <v/>
      </c>
      <c r="L877" s="15"/>
    </row>
    <row r="878" spans="1:12" x14ac:dyDescent="0.2">
      <c r="A878" s="23" t="str">
        <f t="shared" si="39"/>
        <v/>
      </c>
      <c r="B878" s="22"/>
      <c r="C878" s="24"/>
      <c r="D878" s="15"/>
      <c r="E878" s="15"/>
      <c r="F878" s="24"/>
      <c r="G878" s="30"/>
      <c r="H878" s="30"/>
      <c r="I878" s="26" t="str">
        <f t="shared" si="40"/>
        <v/>
      </c>
      <c r="J878" s="21"/>
      <c r="K878" s="26" t="str">
        <f t="shared" si="41"/>
        <v/>
      </c>
      <c r="L878" s="15"/>
    </row>
    <row r="879" spans="1:12" x14ac:dyDescent="0.2">
      <c r="A879" s="23" t="str">
        <f t="shared" si="39"/>
        <v/>
      </c>
      <c r="B879" s="22"/>
      <c r="C879" s="24"/>
      <c r="D879" s="15"/>
      <c r="E879" s="15"/>
      <c r="F879" s="24"/>
      <c r="G879" s="30"/>
      <c r="H879" s="30"/>
      <c r="I879" s="26" t="str">
        <f t="shared" si="40"/>
        <v/>
      </c>
      <c r="J879" s="21"/>
      <c r="K879" s="26" t="str">
        <f t="shared" si="41"/>
        <v/>
      </c>
      <c r="L879" s="15"/>
    </row>
    <row r="880" spans="1:12" x14ac:dyDescent="0.2">
      <c r="A880" s="23" t="str">
        <f t="shared" si="39"/>
        <v/>
      </c>
      <c r="B880" s="22"/>
      <c r="C880" s="24"/>
      <c r="D880" s="15"/>
      <c r="E880" s="15"/>
      <c r="F880" s="24"/>
      <c r="G880" s="30"/>
      <c r="H880" s="30"/>
      <c r="I880" s="26" t="str">
        <f t="shared" si="40"/>
        <v/>
      </c>
      <c r="J880" s="21"/>
      <c r="K880" s="26" t="str">
        <f t="shared" si="41"/>
        <v/>
      </c>
      <c r="L880" s="15"/>
    </row>
    <row r="881" spans="1:12" x14ac:dyDescent="0.2">
      <c r="A881" s="23" t="str">
        <f t="shared" si="39"/>
        <v/>
      </c>
      <c r="B881" s="22"/>
      <c r="C881" s="24"/>
      <c r="D881" s="15"/>
      <c r="E881" s="15"/>
      <c r="F881" s="24"/>
      <c r="G881" s="30"/>
      <c r="H881" s="30"/>
      <c r="I881" s="26" t="str">
        <f t="shared" si="40"/>
        <v/>
      </c>
      <c r="J881" s="21"/>
      <c r="K881" s="26" t="str">
        <f t="shared" si="41"/>
        <v/>
      </c>
      <c r="L881" s="15"/>
    </row>
    <row r="882" spans="1:12" x14ac:dyDescent="0.2">
      <c r="A882" s="23" t="str">
        <f t="shared" si="39"/>
        <v/>
      </c>
      <c r="B882" s="22"/>
      <c r="C882" s="24"/>
      <c r="D882" s="15"/>
      <c r="E882" s="15"/>
      <c r="F882" s="24"/>
      <c r="G882" s="30"/>
      <c r="H882" s="30"/>
      <c r="I882" s="26" t="str">
        <f t="shared" si="40"/>
        <v/>
      </c>
      <c r="J882" s="21"/>
      <c r="K882" s="26" t="str">
        <f t="shared" si="41"/>
        <v/>
      </c>
      <c r="L882" s="15"/>
    </row>
    <row r="883" spans="1:12" x14ac:dyDescent="0.2">
      <c r="A883" s="23" t="str">
        <f t="shared" si="39"/>
        <v/>
      </c>
      <c r="B883" s="22"/>
      <c r="C883" s="24"/>
      <c r="D883" s="15"/>
      <c r="E883" s="15"/>
      <c r="F883" s="24"/>
      <c r="G883" s="30"/>
      <c r="H883" s="30"/>
      <c r="I883" s="26" t="str">
        <f t="shared" si="40"/>
        <v/>
      </c>
      <c r="J883" s="21"/>
      <c r="K883" s="26" t="str">
        <f t="shared" si="41"/>
        <v/>
      </c>
      <c r="L883" s="15"/>
    </row>
    <row r="884" spans="1:12" x14ac:dyDescent="0.2">
      <c r="A884" s="23" t="str">
        <f t="shared" si="39"/>
        <v/>
      </c>
      <c r="B884" s="22"/>
      <c r="C884" s="24"/>
      <c r="D884" s="15"/>
      <c r="E884" s="15"/>
      <c r="F884" s="24"/>
      <c r="G884" s="30"/>
      <c r="H884" s="30"/>
      <c r="I884" s="26" t="str">
        <f t="shared" si="40"/>
        <v/>
      </c>
      <c r="J884" s="21"/>
      <c r="K884" s="26" t="str">
        <f t="shared" si="41"/>
        <v/>
      </c>
      <c r="L884" s="15"/>
    </row>
    <row r="885" spans="1:12" x14ac:dyDescent="0.2">
      <c r="A885" s="23" t="str">
        <f t="shared" si="39"/>
        <v/>
      </c>
      <c r="B885" s="22"/>
      <c r="C885" s="24"/>
      <c r="D885" s="15"/>
      <c r="E885" s="15"/>
      <c r="F885" s="24"/>
      <c r="G885" s="30"/>
      <c r="H885" s="30"/>
      <c r="I885" s="26" t="str">
        <f t="shared" si="40"/>
        <v/>
      </c>
      <c r="J885" s="21"/>
      <c r="K885" s="26" t="str">
        <f t="shared" si="41"/>
        <v/>
      </c>
      <c r="L885" s="15"/>
    </row>
    <row r="886" spans="1:12" x14ac:dyDescent="0.2">
      <c r="A886" s="23" t="str">
        <f t="shared" si="39"/>
        <v/>
      </c>
      <c r="B886" s="22"/>
      <c r="C886" s="24"/>
      <c r="D886" s="15"/>
      <c r="E886" s="15"/>
      <c r="F886" s="24"/>
      <c r="G886" s="30"/>
      <c r="H886" s="30"/>
      <c r="I886" s="26" t="str">
        <f t="shared" si="40"/>
        <v/>
      </c>
      <c r="J886" s="21"/>
      <c r="K886" s="26" t="str">
        <f t="shared" si="41"/>
        <v/>
      </c>
      <c r="L886" s="15"/>
    </row>
    <row r="887" spans="1:12" x14ac:dyDescent="0.2">
      <c r="A887" s="23" t="str">
        <f t="shared" si="39"/>
        <v/>
      </c>
      <c r="B887" s="22"/>
      <c r="C887" s="24"/>
      <c r="D887" s="15"/>
      <c r="E887" s="15"/>
      <c r="F887" s="24"/>
      <c r="G887" s="30"/>
      <c r="H887" s="30"/>
      <c r="I887" s="26" t="str">
        <f t="shared" si="40"/>
        <v/>
      </c>
      <c r="J887" s="21"/>
      <c r="K887" s="26" t="str">
        <f t="shared" si="41"/>
        <v/>
      </c>
      <c r="L887" s="15"/>
    </row>
    <row r="888" spans="1:12" x14ac:dyDescent="0.2">
      <c r="A888" s="23" t="str">
        <f t="shared" si="39"/>
        <v/>
      </c>
      <c r="B888" s="22"/>
      <c r="C888" s="24"/>
      <c r="D888" s="15"/>
      <c r="E888" s="15"/>
      <c r="F888" s="24"/>
      <c r="G888" s="30"/>
      <c r="H888" s="30"/>
      <c r="I888" s="26" t="str">
        <f t="shared" si="40"/>
        <v/>
      </c>
      <c r="J888" s="21"/>
      <c r="K888" s="26" t="str">
        <f t="shared" si="41"/>
        <v/>
      </c>
      <c r="L888" s="15"/>
    </row>
    <row r="889" spans="1:12" x14ac:dyDescent="0.2">
      <c r="A889" s="23" t="str">
        <f t="shared" si="39"/>
        <v/>
      </c>
      <c r="B889" s="22"/>
      <c r="C889" s="24"/>
      <c r="D889" s="15"/>
      <c r="E889" s="15"/>
      <c r="F889" s="24"/>
      <c r="G889" s="30"/>
      <c r="H889" s="30"/>
      <c r="I889" s="26" t="str">
        <f t="shared" si="40"/>
        <v/>
      </c>
      <c r="J889" s="21"/>
      <c r="K889" s="26" t="str">
        <f t="shared" si="41"/>
        <v/>
      </c>
      <c r="L889" s="15"/>
    </row>
    <row r="890" spans="1:12" x14ac:dyDescent="0.2">
      <c r="A890" s="23" t="str">
        <f t="shared" si="39"/>
        <v/>
      </c>
      <c r="B890" s="22"/>
      <c r="C890" s="24"/>
      <c r="D890" s="15"/>
      <c r="E890" s="15"/>
      <c r="F890" s="24"/>
      <c r="G890" s="30"/>
      <c r="H890" s="30"/>
      <c r="I890" s="26" t="str">
        <f t="shared" si="40"/>
        <v/>
      </c>
      <c r="J890" s="21"/>
      <c r="K890" s="26" t="str">
        <f t="shared" si="41"/>
        <v/>
      </c>
      <c r="L890" s="15"/>
    </row>
    <row r="891" spans="1:12" x14ac:dyDescent="0.2">
      <c r="A891" s="23" t="str">
        <f t="shared" si="39"/>
        <v/>
      </c>
      <c r="B891" s="22"/>
      <c r="C891" s="24"/>
      <c r="D891" s="15"/>
      <c r="E891" s="15"/>
      <c r="F891" s="24"/>
      <c r="G891" s="30"/>
      <c r="H891" s="30"/>
      <c r="I891" s="26" t="str">
        <f t="shared" si="40"/>
        <v/>
      </c>
      <c r="J891" s="21"/>
      <c r="K891" s="26" t="str">
        <f t="shared" si="41"/>
        <v/>
      </c>
      <c r="L891" s="15"/>
    </row>
    <row r="892" spans="1:12" x14ac:dyDescent="0.2">
      <c r="A892" s="23" t="str">
        <f t="shared" si="39"/>
        <v/>
      </c>
      <c r="B892" s="22"/>
      <c r="C892" s="24"/>
      <c r="D892" s="15"/>
      <c r="E892" s="15"/>
      <c r="F892" s="24"/>
      <c r="G892" s="30"/>
      <c r="H892" s="30"/>
      <c r="I892" s="26" t="str">
        <f t="shared" si="40"/>
        <v/>
      </c>
      <c r="J892" s="21"/>
      <c r="K892" s="26" t="str">
        <f t="shared" si="41"/>
        <v/>
      </c>
      <c r="L892" s="15"/>
    </row>
    <row r="893" spans="1:12" x14ac:dyDescent="0.2">
      <c r="A893" s="23" t="str">
        <f t="shared" si="39"/>
        <v/>
      </c>
      <c r="B893" s="22"/>
      <c r="C893" s="24"/>
      <c r="D893" s="15"/>
      <c r="E893" s="15"/>
      <c r="F893" s="24"/>
      <c r="G893" s="30"/>
      <c r="H893" s="30"/>
      <c r="I893" s="26" t="str">
        <f t="shared" si="40"/>
        <v/>
      </c>
      <c r="J893" s="21"/>
      <c r="K893" s="26" t="str">
        <f t="shared" si="41"/>
        <v/>
      </c>
      <c r="L893" s="15"/>
    </row>
    <row r="894" spans="1:12" x14ac:dyDescent="0.2">
      <c r="A894" s="23" t="str">
        <f t="shared" si="39"/>
        <v/>
      </c>
      <c r="B894" s="22"/>
      <c r="C894" s="24"/>
      <c r="D894" s="15"/>
      <c r="E894" s="15"/>
      <c r="F894" s="24"/>
      <c r="G894" s="30"/>
      <c r="H894" s="30"/>
      <c r="I894" s="26" t="str">
        <f t="shared" si="40"/>
        <v/>
      </c>
      <c r="J894" s="21"/>
      <c r="K894" s="26" t="str">
        <f t="shared" si="41"/>
        <v/>
      </c>
      <c r="L894" s="15"/>
    </row>
    <row r="895" spans="1:12" x14ac:dyDescent="0.2">
      <c r="A895" s="23" t="str">
        <f t="shared" si="39"/>
        <v/>
      </c>
      <c r="B895" s="22"/>
      <c r="C895" s="24"/>
      <c r="D895" s="15"/>
      <c r="E895" s="15"/>
      <c r="F895" s="24"/>
      <c r="G895" s="30"/>
      <c r="H895" s="30"/>
      <c r="I895" s="26" t="str">
        <f t="shared" si="40"/>
        <v/>
      </c>
      <c r="J895" s="21"/>
      <c r="K895" s="26" t="str">
        <f t="shared" si="41"/>
        <v/>
      </c>
      <c r="L895" s="15"/>
    </row>
    <row r="896" spans="1:12" x14ac:dyDescent="0.2">
      <c r="A896" s="23" t="str">
        <f t="shared" si="39"/>
        <v/>
      </c>
      <c r="B896" s="22"/>
      <c r="C896" s="24"/>
      <c r="D896" s="15"/>
      <c r="E896" s="15"/>
      <c r="F896" s="24"/>
      <c r="G896" s="30"/>
      <c r="H896" s="30"/>
      <c r="I896" s="26" t="str">
        <f t="shared" si="40"/>
        <v/>
      </c>
      <c r="J896" s="21"/>
      <c r="K896" s="26" t="str">
        <f t="shared" si="41"/>
        <v/>
      </c>
      <c r="L896" s="15"/>
    </row>
    <row r="897" spans="1:12" x14ac:dyDescent="0.2">
      <c r="A897" s="23" t="str">
        <f t="shared" si="39"/>
        <v/>
      </c>
      <c r="B897" s="22"/>
      <c r="C897" s="24"/>
      <c r="D897" s="15"/>
      <c r="E897" s="15"/>
      <c r="F897" s="24"/>
      <c r="G897" s="30"/>
      <c r="H897" s="30"/>
      <c r="I897" s="26" t="str">
        <f t="shared" si="40"/>
        <v/>
      </c>
      <c r="J897" s="21"/>
      <c r="K897" s="26" t="str">
        <f t="shared" si="41"/>
        <v/>
      </c>
      <c r="L897" s="15"/>
    </row>
    <row r="898" spans="1:12" x14ac:dyDescent="0.2">
      <c r="A898" s="23" t="str">
        <f t="shared" si="39"/>
        <v/>
      </c>
      <c r="B898" s="22"/>
      <c r="C898" s="24"/>
      <c r="D898" s="15"/>
      <c r="E898" s="15"/>
      <c r="F898" s="24"/>
      <c r="G898" s="30"/>
      <c r="H898" s="30"/>
      <c r="I898" s="26" t="str">
        <f t="shared" si="40"/>
        <v/>
      </c>
      <c r="J898" s="21"/>
      <c r="K898" s="26" t="str">
        <f t="shared" si="41"/>
        <v/>
      </c>
      <c r="L898" s="15"/>
    </row>
    <row r="899" spans="1:12" x14ac:dyDescent="0.2">
      <c r="A899" s="23" t="str">
        <f t="shared" si="39"/>
        <v/>
      </c>
      <c r="B899" s="22"/>
      <c r="C899" s="24"/>
      <c r="D899" s="15"/>
      <c r="E899" s="15"/>
      <c r="F899" s="24"/>
      <c r="G899" s="30"/>
      <c r="H899" s="30"/>
      <c r="I899" s="26" t="str">
        <f t="shared" si="40"/>
        <v/>
      </c>
      <c r="J899" s="21"/>
      <c r="K899" s="26" t="str">
        <f t="shared" si="41"/>
        <v/>
      </c>
      <c r="L899" s="15"/>
    </row>
    <row r="900" spans="1:12" x14ac:dyDescent="0.2">
      <c r="A900" s="23" t="str">
        <f t="shared" si="39"/>
        <v/>
      </c>
      <c r="B900" s="22"/>
      <c r="C900" s="24"/>
      <c r="D900" s="15"/>
      <c r="E900" s="15"/>
      <c r="F900" s="24"/>
      <c r="G900" s="30"/>
      <c r="H900" s="30"/>
      <c r="I900" s="26" t="str">
        <f t="shared" si="40"/>
        <v/>
      </c>
      <c r="J900" s="21"/>
      <c r="K900" s="26" t="str">
        <f t="shared" si="41"/>
        <v/>
      </c>
      <c r="L900" s="15"/>
    </row>
    <row r="901" spans="1:12" x14ac:dyDescent="0.2">
      <c r="A901" s="23" t="str">
        <f t="shared" ref="A901:A964" si="42">IF(B901="","",ROW()-4)</f>
        <v/>
      </c>
      <c r="B901" s="22"/>
      <c r="C901" s="24"/>
      <c r="D901" s="15"/>
      <c r="E901" s="15"/>
      <c r="F901" s="24"/>
      <c r="G901" s="30"/>
      <c r="H901" s="30"/>
      <c r="I901" s="26" t="str">
        <f t="shared" ref="I901:I964" si="43">IF(OR(G901="",H901=""),"",G901*H901)</f>
        <v/>
      </c>
      <c r="J901" s="21"/>
      <c r="K901" s="26" t="str">
        <f t="shared" ref="K901:K964" si="44">IF(OR(I901="",J901=""),"",I901*J901)</f>
        <v/>
      </c>
      <c r="L901" s="15"/>
    </row>
    <row r="902" spans="1:12" x14ac:dyDescent="0.2">
      <c r="A902" s="23" t="str">
        <f t="shared" si="42"/>
        <v/>
      </c>
      <c r="B902" s="22"/>
      <c r="C902" s="24"/>
      <c r="D902" s="15"/>
      <c r="E902" s="15"/>
      <c r="F902" s="24"/>
      <c r="G902" s="30"/>
      <c r="H902" s="30"/>
      <c r="I902" s="26" t="str">
        <f t="shared" si="43"/>
        <v/>
      </c>
      <c r="J902" s="21"/>
      <c r="K902" s="26" t="str">
        <f t="shared" si="44"/>
        <v/>
      </c>
      <c r="L902" s="15"/>
    </row>
    <row r="903" spans="1:12" x14ac:dyDescent="0.2">
      <c r="A903" s="23" t="str">
        <f t="shared" si="42"/>
        <v/>
      </c>
      <c r="B903" s="22"/>
      <c r="C903" s="24"/>
      <c r="D903" s="15"/>
      <c r="E903" s="15"/>
      <c r="F903" s="24"/>
      <c r="G903" s="30"/>
      <c r="H903" s="30"/>
      <c r="I903" s="26" t="str">
        <f t="shared" si="43"/>
        <v/>
      </c>
      <c r="J903" s="21"/>
      <c r="K903" s="26" t="str">
        <f t="shared" si="44"/>
        <v/>
      </c>
      <c r="L903" s="15"/>
    </row>
    <row r="904" spans="1:12" x14ac:dyDescent="0.2">
      <c r="A904" s="23" t="str">
        <f t="shared" si="42"/>
        <v/>
      </c>
      <c r="B904" s="22"/>
      <c r="C904" s="24"/>
      <c r="D904" s="15"/>
      <c r="E904" s="15"/>
      <c r="F904" s="24"/>
      <c r="G904" s="30"/>
      <c r="H904" s="30"/>
      <c r="I904" s="26" t="str">
        <f t="shared" si="43"/>
        <v/>
      </c>
      <c r="J904" s="21"/>
      <c r="K904" s="26" t="str">
        <f t="shared" si="44"/>
        <v/>
      </c>
      <c r="L904" s="15"/>
    </row>
    <row r="905" spans="1:12" x14ac:dyDescent="0.2">
      <c r="A905" s="23" t="str">
        <f t="shared" si="42"/>
        <v/>
      </c>
      <c r="B905" s="22"/>
      <c r="C905" s="24"/>
      <c r="D905" s="15"/>
      <c r="E905" s="15"/>
      <c r="F905" s="24"/>
      <c r="G905" s="30"/>
      <c r="H905" s="30"/>
      <c r="I905" s="26" t="str">
        <f t="shared" si="43"/>
        <v/>
      </c>
      <c r="J905" s="21"/>
      <c r="K905" s="26" t="str">
        <f t="shared" si="44"/>
        <v/>
      </c>
      <c r="L905" s="15"/>
    </row>
    <row r="906" spans="1:12" x14ac:dyDescent="0.2">
      <c r="A906" s="23" t="str">
        <f t="shared" si="42"/>
        <v/>
      </c>
      <c r="B906" s="22"/>
      <c r="C906" s="24"/>
      <c r="D906" s="15"/>
      <c r="E906" s="15"/>
      <c r="F906" s="24"/>
      <c r="G906" s="30"/>
      <c r="H906" s="30"/>
      <c r="I906" s="26" t="str">
        <f t="shared" si="43"/>
        <v/>
      </c>
      <c r="J906" s="21"/>
      <c r="K906" s="26" t="str">
        <f t="shared" si="44"/>
        <v/>
      </c>
      <c r="L906" s="15"/>
    </row>
    <row r="907" spans="1:12" x14ac:dyDescent="0.2">
      <c r="A907" s="23" t="str">
        <f t="shared" si="42"/>
        <v/>
      </c>
      <c r="B907" s="22"/>
      <c r="C907" s="24"/>
      <c r="D907" s="15"/>
      <c r="E907" s="15"/>
      <c r="F907" s="24"/>
      <c r="G907" s="30"/>
      <c r="H907" s="30"/>
      <c r="I907" s="26" t="str">
        <f t="shared" si="43"/>
        <v/>
      </c>
      <c r="J907" s="21"/>
      <c r="K907" s="26" t="str">
        <f t="shared" si="44"/>
        <v/>
      </c>
      <c r="L907" s="15"/>
    </row>
    <row r="908" spans="1:12" x14ac:dyDescent="0.2">
      <c r="A908" s="23" t="str">
        <f t="shared" si="42"/>
        <v/>
      </c>
      <c r="B908" s="22"/>
      <c r="C908" s="24"/>
      <c r="D908" s="15"/>
      <c r="E908" s="15"/>
      <c r="F908" s="24"/>
      <c r="G908" s="30"/>
      <c r="H908" s="30"/>
      <c r="I908" s="26" t="str">
        <f t="shared" si="43"/>
        <v/>
      </c>
      <c r="J908" s="21"/>
      <c r="K908" s="26" t="str">
        <f t="shared" si="44"/>
        <v/>
      </c>
      <c r="L908" s="15"/>
    </row>
    <row r="909" spans="1:12" x14ac:dyDescent="0.2">
      <c r="A909" s="23" t="str">
        <f t="shared" si="42"/>
        <v/>
      </c>
      <c r="B909" s="22"/>
      <c r="C909" s="24"/>
      <c r="D909" s="15"/>
      <c r="E909" s="15"/>
      <c r="F909" s="24"/>
      <c r="G909" s="30"/>
      <c r="H909" s="30"/>
      <c r="I909" s="26" t="str">
        <f t="shared" si="43"/>
        <v/>
      </c>
      <c r="J909" s="21"/>
      <c r="K909" s="26" t="str">
        <f t="shared" si="44"/>
        <v/>
      </c>
      <c r="L909" s="15"/>
    </row>
    <row r="910" spans="1:12" x14ac:dyDescent="0.2">
      <c r="A910" s="23" t="str">
        <f t="shared" si="42"/>
        <v/>
      </c>
      <c r="B910" s="22"/>
      <c r="C910" s="24"/>
      <c r="D910" s="15"/>
      <c r="E910" s="15"/>
      <c r="F910" s="24"/>
      <c r="G910" s="30"/>
      <c r="H910" s="30"/>
      <c r="I910" s="26" t="str">
        <f t="shared" si="43"/>
        <v/>
      </c>
      <c r="J910" s="21"/>
      <c r="K910" s="26" t="str">
        <f t="shared" si="44"/>
        <v/>
      </c>
      <c r="L910" s="15"/>
    </row>
    <row r="911" spans="1:12" x14ac:dyDescent="0.2">
      <c r="A911" s="23" t="str">
        <f t="shared" si="42"/>
        <v/>
      </c>
      <c r="B911" s="22"/>
      <c r="C911" s="24"/>
      <c r="D911" s="15"/>
      <c r="E911" s="15"/>
      <c r="F911" s="24"/>
      <c r="G911" s="30"/>
      <c r="H911" s="30"/>
      <c r="I911" s="26" t="str">
        <f t="shared" si="43"/>
        <v/>
      </c>
      <c r="J911" s="21"/>
      <c r="K911" s="26" t="str">
        <f t="shared" si="44"/>
        <v/>
      </c>
      <c r="L911" s="15"/>
    </row>
    <row r="912" spans="1:12" x14ac:dyDescent="0.2">
      <c r="A912" s="23" t="str">
        <f t="shared" si="42"/>
        <v/>
      </c>
      <c r="B912" s="22"/>
      <c r="C912" s="24"/>
      <c r="D912" s="15"/>
      <c r="E912" s="15"/>
      <c r="F912" s="24"/>
      <c r="G912" s="30"/>
      <c r="H912" s="30"/>
      <c r="I912" s="26" t="str">
        <f t="shared" si="43"/>
        <v/>
      </c>
      <c r="J912" s="21"/>
      <c r="K912" s="26" t="str">
        <f t="shared" si="44"/>
        <v/>
      </c>
      <c r="L912" s="15"/>
    </row>
    <row r="913" spans="1:12" x14ac:dyDescent="0.2">
      <c r="A913" s="23" t="str">
        <f t="shared" si="42"/>
        <v/>
      </c>
      <c r="B913" s="22"/>
      <c r="C913" s="24"/>
      <c r="D913" s="15"/>
      <c r="E913" s="15"/>
      <c r="F913" s="24"/>
      <c r="G913" s="30"/>
      <c r="H913" s="30"/>
      <c r="I913" s="26" t="str">
        <f t="shared" si="43"/>
        <v/>
      </c>
      <c r="J913" s="21"/>
      <c r="K913" s="26" t="str">
        <f t="shared" si="44"/>
        <v/>
      </c>
      <c r="L913" s="15"/>
    </row>
    <row r="914" spans="1:12" x14ac:dyDescent="0.2">
      <c r="A914" s="23" t="str">
        <f t="shared" si="42"/>
        <v/>
      </c>
      <c r="B914" s="22"/>
      <c r="C914" s="24"/>
      <c r="D914" s="15"/>
      <c r="E914" s="15"/>
      <c r="F914" s="24"/>
      <c r="G914" s="30"/>
      <c r="H914" s="30"/>
      <c r="I914" s="26" t="str">
        <f t="shared" si="43"/>
        <v/>
      </c>
      <c r="J914" s="21"/>
      <c r="K914" s="26" t="str">
        <f t="shared" si="44"/>
        <v/>
      </c>
      <c r="L914" s="15"/>
    </row>
    <row r="915" spans="1:12" x14ac:dyDescent="0.2">
      <c r="A915" s="23" t="str">
        <f t="shared" si="42"/>
        <v/>
      </c>
      <c r="B915" s="22"/>
      <c r="C915" s="24"/>
      <c r="D915" s="15"/>
      <c r="E915" s="15"/>
      <c r="F915" s="24"/>
      <c r="G915" s="30"/>
      <c r="H915" s="30"/>
      <c r="I915" s="26" t="str">
        <f t="shared" si="43"/>
        <v/>
      </c>
      <c r="J915" s="21"/>
      <c r="K915" s="26" t="str">
        <f t="shared" si="44"/>
        <v/>
      </c>
      <c r="L915" s="15"/>
    </row>
    <row r="916" spans="1:12" x14ac:dyDescent="0.2">
      <c r="A916" s="23" t="str">
        <f t="shared" si="42"/>
        <v/>
      </c>
      <c r="B916" s="22"/>
      <c r="C916" s="24"/>
      <c r="D916" s="15"/>
      <c r="E916" s="15"/>
      <c r="F916" s="24"/>
      <c r="G916" s="30"/>
      <c r="H916" s="30"/>
      <c r="I916" s="26" t="str">
        <f t="shared" si="43"/>
        <v/>
      </c>
      <c r="J916" s="21"/>
      <c r="K916" s="26" t="str">
        <f t="shared" si="44"/>
        <v/>
      </c>
      <c r="L916" s="15"/>
    </row>
    <row r="917" spans="1:12" x14ac:dyDescent="0.2">
      <c r="A917" s="23" t="str">
        <f t="shared" si="42"/>
        <v/>
      </c>
      <c r="B917" s="22"/>
      <c r="C917" s="24"/>
      <c r="D917" s="15"/>
      <c r="E917" s="15"/>
      <c r="F917" s="24"/>
      <c r="G917" s="30"/>
      <c r="H917" s="30"/>
      <c r="I917" s="26" t="str">
        <f t="shared" si="43"/>
        <v/>
      </c>
      <c r="J917" s="21"/>
      <c r="K917" s="26" t="str">
        <f t="shared" si="44"/>
        <v/>
      </c>
      <c r="L917" s="15"/>
    </row>
    <row r="918" spans="1:12" x14ac:dyDescent="0.2">
      <c r="A918" s="23" t="str">
        <f t="shared" si="42"/>
        <v/>
      </c>
      <c r="B918" s="22"/>
      <c r="C918" s="24"/>
      <c r="D918" s="15"/>
      <c r="E918" s="15"/>
      <c r="F918" s="24"/>
      <c r="G918" s="30"/>
      <c r="H918" s="30"/>
      <c r="I918" s="26" t="str">
        <f t="shared" si="43"/>
        <v/>
      </c>
      <c r="J918" s="21"/>
      <c r="K918" s="26" t="str">
        <f t="shared" si="44"/>
        <v/>
      </c>
      <c r="L918" s="15"/>
    </row>
    <row r="919" spans="1:12" x14ac:dyDescent="0.2">
      <c r="A919" s="23" t="str">
        <f t="shared" si="42"/>
        <v/>
      </c>
      <c r="B919" s="22"/>
      <c r="C919" s="24"/>
      <c r="D919" s="15"/>
      <c r="E919" s="15"/>
      <c r="F919" s="24"/>
      <c r="G919" s="30"/>
      <c r="H919" s="30"/>
      <c r="I919" s="26" t="str">
        <f t="shared" si="43"/>
        <v/>
      </c>
      <c r="J919" s="21"/>
      <c r="K919" s="26" t="str">
        <f t="shared" si="44"/>
        <v/>
      </c>
      <c r="L919" s="15"/>
    </row>
    <row r="920" spans="1:12" x14ac:dyDescent="0.2">
      <c r="A920" s="23" t="str">
        <f t="shared" si="42"/>
        <v/>
      </c>
      <c r="B920" s="22"/>
      <c r="C920" s="24"/>
      <c r="D920" s="15"/>
      <c r="E920" s="15"/>
      <c r="F920" s="24"/>
      <c r="G920" s="30"/>
      <c r="H920" s="30"/>
      <c r="I920" s="26" t="str">
        <f t="shared" si="43"/>
        <v/>
      </c>
      <c r="J920" s="21"/>
      <c r="K920" s="26" t="str">
        <f t="shared" si="44"/>
        <v/>
      </c>
      <c r="L920" s="15"/>
    </row>
    <row r="921" spans="1:12" x14ac:dyDescent="0.2">
      <c r="A921" s="23" t="str">
        <f t="shared" si="42"/>
        <v/>
      </c>
      <c r="B921" s="22"/>
      <c r="C921" s="24"/>
      <c r="D921" s="15"/>
      <c r="E921" s="15"/>
      <c r="F921" s="24"/>
      <c r="G921" s="30"/>
      <c r="H921" s="30"/>
      <c r="I921" s="26" t="str">
        <f t="shared" si="43"/>
        <v/>
      </c>
      <c r="J921" s="21"/>
      <c r="K921" s="26" t="str">
        <f t="shared" si="44"/>
        <v/>
      </c>
      <c r="L921" s="15"/>
    </row>
    <row r="922" spans="1:12" x14ac:dyDescent="0.2">
      <c r="A922" s="23" t="str">
        <f t="shared" si="42"/>
        <v/>
      </c>
      <c r="B922" s="22"/>
      <c r="C922" s="24"/>
      <c r="D922" s="15"/>
      <c r="E922" s="15"/>
      <c r="F922" s="24"/>
      <c r="G922" s="30"/>
      <c r="H922" s="30"/>
      <c r="I922" s="26" t="str">
        <f t="shared" si="43"/>
        <v/>
      </c>
      <c r="J922" s="21"/>
      <c r="K922" s="26" t="str">
        <f t="shared" si="44"/>
        <v/>
      </c>
      <c r="L922" s="15"/>
    </row>
    <row r="923" spans="1:12" x14ac:dyDescent="0.2">
      <c r="A923" s="23" t="str">
        <f t="shared" si="42"/>
        <v/>
      </c>
      <c r="B923" s="22"/>
      <c r="C923" s="24"/>
      <c r="D923" s="15"/>
      <c r="E923" s="15"/>
      <c r="F923" s="24"/>
      <c r="G923" s="30"/>
      <c r="H923" s="30"/>
      <c r="I923" s="26" t="str">
        <f t="shared" si="43"/>
        <v/>
      </c>
      <c r="J923" s="21"/>
      <c r="K923" s="26" t="str">
        <f t="shared" si="44"/>
        <v/>
      </c>
      <c r="L923" s="15"/>
    </row>
    <row r="924" spans="1:12" x14ac:dyDescent="0.2">
      <c r="A924" s="23" t="str">
        <f t="shared" si="42"/>
        <v/>
      </c>
      <c r="B924" s="22"/>
      <c r="C924" s="24"/>
      <c r="D924" s="15"/>
      <c r="E924" s="15"/>
      <c r="F924" s="24"/>
      <c r="G924" s="30"/>
      <c r="H924" s="30"/>
      <c r="I924" s="26" t="str">
        <f t="shared" si="43"/>
        <v/>
      </c>
      <c r="J924" s="21"/>
      <c r="K924" s="26" t="str">
        <f t="shared" si="44"/>
        <v/>
      </c>
      <c r="L924" s="15"/>
    </row>
    <row r="925" spans="1:12" x14ac:dyDescent="0.2">
      <c r="A925" s="23" t="str">
        <f t="shared" si="42"/>
        <v/>
      </c>
      <c r="B925" s="22"/>
      <c r="C925" s="24"/>
      <c r="D925" s="15"/>
      <c r="E925" s="15"/>
      <c r="F925" s="24"/>
      <c r="G925" s="30"/>
      <c r="H925" s="30"/>
      <c r="I925" s="26" t="str">
        <f t="shared" si="43"/>
        <v/>
      </c>
      <c r="J925" s="21"/>
      <c r="K925" s="26" t="str">
        <f t="shared" si="44"/>
        <v/>
      </c>
      <c r="L925" s="15"/>
    </row>
    <row r="926" spans="1:12" x14ac:dyDescent="0.2">
      <c r="A926" s="23" t="str">
        <f t="shared" si="42"/>
        <v/>
      </c>
      <c r="B926" s="22"/>
      <c r="C926" s="24"/>
      <c r="D926" s="15"/>
      <c r="E926" s="15"/>
      <c r="F926" s="24"/>
      <c r="G926" s="30"/>
      <c r="H926" s="30"/>
      <c r="I926" s="26" t="str">
        <f t="shared" si="43"/>
        <v/>
      </c>
      <c r="J926" s="21"/>
      <c r="K926" s="26" t="str">
        <f t="shared" si="44"/>
        <v/>
      </c>
      <c r="L926" s="15"/>
    </row>
    <row r="927" spans="1:12" x14ac:dyDescent="0.2">
      <c r="A927" s="23" t="str">
        <f t="shared" si="42"/>
        <v/>
      </c>
      <c r="B927" s="22"/>
      <c r="C927" s="24"/>
      <c r="D927" s="15"/>
      <c r="E927" s="15"/>
      <c r="F927" s="24"/>
      <c r="G927" s="30"/>
      <c r="H927" s="30"/>
      <c r="I927" s="26" t="str">
        <f t="shared" si="43"/>
        <v/>
      </c>
      <c r="J927" s="21"/>
      <c r="K927" s="26" t="str">
        <f t="shared" si="44"/>
        <v/>
      </c>
      <c r="L927" s="15"/>
    </row>
    <row r="928" spans="1:12" x14ac:dyDescent="0.2">
      <c r="A928" s="23" t="str">
        <f t="shared" si="42"/>
        <v/>
      </c>
      <c r="B928" s="22"/>
      <c r="C928" s="24"/>
      <c r="D928" s="15"/>
      <c r="E928" s="15"/>
      <c r="F928" s="24"/>
      <c r="G928" s="30"/>
      <c r="H928" s="30"/>
      <c r="I928" s="26" t="str">
        <f t="shared" si="43"/>
        <v/>
      </c>
      <c r="J928" s="21"/>
      <c r="K928" s="26" t="str">
        <f t="shared" si="44"/>
        <v/>
      </c>
      <c r="L928" s="15"/>
    </row>
    <row r="929" spans="1:12" x14ac:dyDescent="0.2">
      <c r="A929" s="23" t="str">
        <f t="shared" si="42"/>
        <v/>
      </c>
      <c r="B929" s="22"/>
      <c r="C929" s="24"/>
      <c r="D929" s="15"/>
      <c r="E929" s="15"/>
      <c r="F929" s="24"/>
      <c r="G929" s="30"/>
      <c r="H929" s="30"/>
      <c r="I929" s="26" t="str">
        <f t="shared" si="43"/>
        <v/>
      </c>
      <c r="J929" s="21"/>
      <c r="K929" s="26" t="str">
        <f t="shared" si="44"/>
        <v/>
      </c>
      <c r="L929" s="15"/>
    </row>
    <row r="930" spans="1:12" x14ac:dyDescent="0.2">
      <c r="A930" s="23" t="str">
        <f t="shared" si="42"/>
        <v/>
      </c>
      <c r="B930" s="22"/>
      <c r="C930" s="24"/>
      <c r="D930" s="15"/>
      <c r="E930" s="15"/>
      <c r="F930" s="24"/>
      <c r="G930" s="30"/>
      <c r="H930" s="30"/>
      <c r="I930" s="26" t="str">
        <f t="shared" si="43"/>
        <v/>
      </c>
      <c r="J930" s="21"/>
      <c r="K930" s="26" t="str">
        <f t="shared" si="44"/>
        <v/>
      </c>
      <c r="L930" s="15"/>
    </row>
    <row r="931" spans="1:12" x14ac:dyDescent="0.2">
      <c r="A931" s="23" t="str">
        <f t="shared" si="42"/>
        <v/>
      </c>
      <c r="B931" s="22"/>
      <c r="C931" s="24"/>
      <c r="D931" s="15"/>
      <c r="E931" s="15"/>
      <c r="F931" s="24"/>
      <c r="G931" s="30"/>
      <c r="H931" s="30"/>
      <c r="I931" s="26" t="str">
        <f t="shared" si="43"/>
        <v/>
      </c>
      <c r="J931" s="21"/>
      <c r="K931" s="26" t="str">
        <f t="shared" si="44"/>
        <v/>
      </c>
      <c r="L931" s="15"/>
    </row>
    <row r="932" spans="1:12" x14ac:dyDescent="0.2">
      <c r="A932" s="23" t="str">
        <f t="shared" si="42"/>
        <v/>
      </c>
      <c r="B932" s="22"/>
      <c r="C932" s="24"/>
      <c r="D932" s="15"/>
      <c r="E932" s="15"/>
      <c r="F932" s="24"/>
      <c r="G932" s="30"/>
      <c r="H932" s="30"/>
      <c r="I932" s="26" t="str">
        <f t="shared" si="43"/>
        <v/>
      </c>
      <c r="J932" s="21"/>
      <c r="K932" s="26" t="str">
        <f t="shared" si="44"/>
        <v/>
      </c>
      <c r="L932" s="15"/>
    </row>
    <row r="933" spans="1:12" x14ac:dyDescent="0.2">
      <c r="A933" s="23" t="str">
        <f t="shared" si="42"/>
        <v/>
      </c>
      <c r="B933" s="22"/>
      <c r="C933" s="24"/>
      <c r="D933" s="15"/>
      <c r="E933" s="15"/>
      <c r="F933" s="24"/>
      <c r="G933" s="30"/>
      <c r="H933" s="30"/>
      <c r="I933" s="26" t="str">
        <f t="shared" si="43"/>
        <v/>
      </c>
      <c r="J933" s="21"/>
      <c r="K933" s="26" t="str">
        <f t="shared" si="44"/>
        <v/>
      </c>
      <c r="L933" s="15"/>
    </row>
    <row r="934" spans="1:12" x14ac:dyDescent="0.2">
      <c r="A934" s="23" t="str">
        <f t="shared" si="42"/>
        <v/>
      </c>
      <c r="B934" s="22"/>
      <c r="C934" s="24"/>
      <c r="D934" s="15"/>
      <c r="E934" s="15"/>
      <c r="F934" s="24"/>
      <c r="G934" s="30"/>
      <c r="H934" s="30"/>
      <c r="I934" s="26" t="str">
        <f t="shared" si="43"/>
        <v/>
      </c>
      <c r="J934" s="21"/>
      <c r="K934" s="26" t="str">
        <f t="shared" si="44"/>
        <v/>
      </c>
      <c r="L934" s="15"/>
    </row>
    <row r="935" spans="1:12" x14ac:dyDescent="0.2">
      <c r="A935" s="23" t="str">
        <f t="shared" si="42"/>
        <v/>
      </c>
      <c r="B935" s="22"/>
      <c r="C935" s="24"/>
      <c r="D935" s="15"/>
      <c r="E935" s="15"/>
      <c r="F935" s="24"/>
      <c r="G935" s="30"/>
      <c r="H935" s="30"/>
      <c r="I935" s="26" t="str">
        <f t="shared" si="43"/>
        <v/>
      </c>
      <c r="J935" s="21"/>
      <c r="K935" s="26" t="str">
        <f t="shared" si="44"/>
        <v/>
      </c>
      <c r="L935" s="15"/>
    </row>
    <row r="936" spans="1:12" x14ac:dyDescent="0.2">
      <c r="A936" s="23" t="str">
        <f t="shared" si="42"/>
        <v/>
      </c>
      <c r="B936" s="22"/>
      <c r="C936" s="24"/>
      <c r="D936" s="15"/>
      <c r="E936" s="15"/>
      <c r="F936" s="24"/>
      <c r="G936" s="30"/>
      <c r="H936" s="30"/>
      <c r="I936" s="26" t="str">
        <f t="shared" si="43"/>
        <v/>
      </c>
      <c r="J936" s="21"/>
      <c r="K936" s="26" t="str">
        <f t="shared" si="44"/>
        <v/>
      </c>
      <c r="L936" s="15"/>
    </row>
    <row r="937" spans="1:12" x14ac:dyDescent="0.2">
      <c r="A937" s="23" t="str">
        <f t="shared" si="42"/>
        <v/>
      </c>
      <c r="B937" s="22"/>
      <c r="C937" s="24"/>
      <c r="D937" s="15"/>
      <c r="E937" s="15"/>
      <c r="F937" s="24"/>
      <c r="G937" s="30"/>
      <c r="H937" s="30"/>
      <c r="I937" s="26" t="str">
        <f t="shared" si="43"/>
        <v/>
      </c>
      <c r="J937" s="21"/>
      <c r="K937" s="26" t="str">
        <f t="shared" si="44"/>
        <v/>
      </c>
      <c r="L937" s="15"/>
    </row>
    <row r="938" spans="1:12" x14ac:dyDescent="0.2">
      <c r="A938" s="23" t="str">
        <f t="shared" si="42"/>
        <v/>
      </c>
      <c r="B938" s="22"/>
      <c r="C938" s="24"/>
      <c r="D938" s="15"/>
      <c r="E938" s="15"/>
      <c r="F938" s="24"/>
      <c r="G938" s="30"/>
      <c r="H938" s="30"/>
      <c r="I938" s="26" t="str">
        <f t="shared" si="43"/>
        <v/>
      </c>
      <c r="J938" s="21"/>
      <c r="K938" s="26" t="str">
        <f t="shared" si="44"/>
        <v/>
      </c>
      <c r="L938" s="15"/>
    </row>
    <row r="939" spans="1:12" x14ac:dyDescent="0.2">
      <c r="A939" s="23" t="str">
        <f t="shared" si="42"/>
        <v/>
      </c>
      <c r="B939" s="22"/>
      <c r="C939" s="24"/>
      <c r="D939" s="15"/>
      <c r="E939" s="15"/>
      <c r="F939" s="24"/>
      <c r="G939" s="30"/>
      <c r="H939" s="30"/>
      <c r="I939" s="26" t="str">
        <f t="shared" si="43"/>
        <v/>
      </c>
      <c r="J939" s="21"/>
      <c r="K939" s="26" t="str">
        <f t="shared" si="44"/>
        <v/>
      </c>
      <c r="L939" s="15"/>
    </row>
    <row r="940" spans="1:12" x14ac:dyDescent="0.2">
      <c r="A940" s="23" t="str">
        <f t="shared" si="42"/>
        <v/>
      </c>
      <c r="B940" s="22"/>
      <c r="C940" s="24"/>
      <c r="D940" s="15"/>
      <c r="E940" s="15"/>
      <c r="F940" s="24"/>
      <c r="G940" s="30"/>
      <c r="H940" s="30"/>
      <c r="I940" s="26" t="str">
        <f t="shared" si="43"/>
        <v/>
      </c>
      <c r="J940" s="21"/>
      <c r="K940" s="26" t="str">
        <f t="shared" si="44"/>
        <v/>
      </c>
      <c r="L940" s="15"/>
    </row>
    <row r="941" spans="1:12" x14ac:dyDescent="0.2">
      <c r="A941" s="23" t="str">
        <f t="shared" si="42"/>
        <v/>
      </c>
      <c r="B941" s="22"/>
      <c r="C941" s="24"/>
      <c r="D941" s="15"/>
      <c r="E941" s="15"/>
      <c r="F941" s="24"/>
      <c r="G941" s="30"/>
      <c r="H941" s="30"/>
      <c r="I941" s="26" t="str">
        <f t="shared" si="43"/>
        <v/>
      </c>
      <c r="J941" s="21"/>
      <c r="K941" s="26" t="str">
        <f t="shared" si="44"/>
        <v/>
      </c>
      <c r="L941" s="15"/>
    </row>
    <row r="942" spans="1:12" x14ac:dyDescent="0.2">
      <c r="A942" s="23" t="str">
        <f t="shared" si="42"/>
        <v/>
      </c>
      <c r="B942" s="22"/>
      <c r="C942" s="24"/>
      <c r="D942" s="15"/>
      <c r="E942" s="15"/>
      <c r="F942" s="24"/>
      <c r="G942" s="30"/>
      <c r="H942" s="30"/>
      <c r="I942" s="26" t="str">
        <f t="shared" si="43"/>
        <v/>
      </c>
      <c r="J942" s="21"/>
      <c r="K942" s="26" t="str">
        <f t="shared" si="44"/>
        <v/>
      </c>
      <c r="L942" s="15"/>
    </row>
    <row r="943" spans="1:12" x14ac:dyDescent="0.2">
      <c r="A943" s="23" t="str">
        <f t="shared" si="42"/>
        <v/>
      </c>
      <c r="B943" s="22"/>
      <c r="C943" s="24"/>
      <c r="D943" s="15"/>
      <c r="E943" s="15"/>
      <c r="F943" s="24"/>
      <c r="G943" s="30"/>
      <c r="H943" s="30"/>
      <c r="I943" s="26" t="str">
        <f t="shared" si="43"/>
        <v/>
      </c>
      <c r="J943" s="21"/>
      <c r="K943" s="26" t="str">
        <f t="shared" si="44"/>
        <v/>
      </c>
      <c r="L943" s="15"/>
    </row>
    <row r="944" spans="1:12" x14ac:dyDescent="0.2">
      <c r="A944" s="23" t="str">
        <f t="shared" si="42"/>
        <v/>
      </c>
      <c r="B944" s="22"/>
      <c r="C944" s="24"/>
      <c r="D944" s="15"/>
      <c r="E944" s="15"/>
      <c r="F944" s="24"/>
      <c r="G944" s="30"/>
      <c r="H944" s="30"/>
      <c r="I944" s="26" t="str">
        <f t="shared" si="43"/>
        <v/>
      </c>
      <c r="J944" s="21"/>
      <c r="K944" s="26" t="str">
        <f t="shared" si="44"/>
        <v/>
      </c>
      <c r="L944" s="15"/>
    </row>
    <row r="945" spans="1:12" x14ac:dyDescent="0.2">
      <c r="A945" s="23" t="str">
        <f t="shared" si="42"/>
        <v/>
      </c>
      <c r="B945" s="22"/>
      <c r="C945" s="24"/>
      <c r="D945" s="15"/>
      <c r="E945" s="15"/>
      <c r="F945" s="24"/>
      <c r="G945" s="30"/>
      <c r="H945" s="30"/>
      <c r="I945" s="26" t="str">
        <f t="shared" si="43"/>
        <v/>
      </c>
      <c r="J945" s="21"/>
      <c r="K945" s="26" t="str">
        <f t="shared" si="44"/>
        <v/>
      </c>
      <c r="L945" s="15"/>
    </row>
    <row r="946" spans="1:12" x14ac:dyDescent="0.2">
      <c r="A946" s="23" t="str">
        <f t="shared" si="42"/>
        <v/>
      </c>
      <c r="B946" s="22"/>
      <c r="C946" s="24"/>
      <c r="D946" s="15"/>
      <c r="E946" s="15"/>
      <c r="F946" s="24"/>
      <c r="G946" s="30"/>
      <c r="H946" s="30"/>
      <c r="I946" s="26" t="str">
        <f t="shared" si="43"/>
        <v/>
      </c>
      <c r="J946" s="21"/>
      <c r="K946" s="26" t="str">
        <f t="shared" si="44"/>
        <v/>
      </c>
      <c r="L946" s="15"/>
    </row>
    <row r="947" spans="1:12" x14ac:dyDescent="0.2">
      <c r="A947" s="23" t="str">
        <f t="shared" si="42"/>
        <v/>
      </c>
      <c r="B947" s="22"/>
      <c r="C947" s="24"/>
      <c r="D947" s="15"/>
      <c r="E947" s="15"/>
      <c r="F947" s="24"/>
      <c r="G947" s="30"/>
      <c r="H947" s="30"/>
      <c r="I947" s="26" t="str">
        <f t="shared" si="43"/>
        <v/>
      </c>
      <c r="J947" s="21"/>
      <c r="K947" s="26" t="str">
        <f t="shared" si="44"/>
        <v/>
      </c>
      <c r="L947" s="15"/>
    </row>
    <row r="948" spans="1:12" x14ac:dyDescent="0.2">
      <c r="A948" s="23" t="str">
        <f t="shared" si="42"/>
        <v/>
      </c>
      <c r="B948" s="22"/>
      <c r="C948" s="24"/>
      <c r="D948" s="15"/>
      <c r="E948" s="15"/>
      <c r="F948" s="24"/>
      <c r="G948" s="30"/>
      <c r="H948" s="30"/>
      <c r="I948" s="26" t="str">
        <f t="shared" si="43"/>
        <v/>
      </c>
      <c r="J948" s="21"/>
      <c r="K948" s="26" t="str">
        <f t="shared" si="44"/>
        <v/>
      </c>
      <c r="L948" s="15"/>
    </row>
    <row r="949" spans="1:12" x14ac:dyDescent="0.2">
      <c r="A949" s="23" t="str">
        <f t="shared" si="42"/>
        <v/>
      </c>
      <c r="B949" s="22"/>
      <c r="C949" s="24"/>
      <c r="D949" s="15"/>
      <c r="E949" s="15"/>
      <c r="F949" s="24"/>
      <c r="G949" s="30"/>
      <c r="H949" s="30"/>
      <c r="I949" s="26" t="str">
        <f t="shared" si="43"/>
        <v/>
      </c>
      <c r="J949" s="21"/>
      <c r="K949" s="26" t="str">
        <f t="shared" si="44"/>
        <v/>
      </c>
      <c r="L949" s="15"/>
    </row>
    <row r="950" spans="1:12" x14ac:dyDescent="0.2">
      <c r="A950" s="23" t="str">
        <f t="shared" si="42"/>
        <v/>
      </c>
      <c r="B950" s="22"/>
      <c r="C950" s="24"/>
      <c r="D950" s="15"/>
      <c r="E950" s="15"/>
      <c r="F950" s="24"/>
      <c r="G950" s="30"/>
      <c r="H950" s="30"/>
      <c r="I950" s="26" t="str">
        <f t="shared" si="43"/>
        <v/>
      </c>
      <c r="J950" s="21"/>
      <c r="K950" s="26" t="str">
        <f t="shared" si="44"/>
        <v/>
      </c>
      <c r="L950" s="15"/>
    </row>
    <row r="951" spans="1:12" x14ac:dyDescent="0.2">
      <c r="A951" s="23" t="str">
        <f t="shared" si="42"/>
        <v/>
      </c>
      <c r="B951" s="22"/>
      <c r="C951" s="24"/>
      <c r="D951" s="15"/>
      <c r="E951" s="15"/>
      <c r="F951" s="24"/>
      <c r="G951" s="30"/>
      <c r="H951" s="30"/>
      <c r="I951" s="26" t="str">
        <f t="shared" si="43"/>
        <v/>
      </c>
      <c r="J951" s="21"/>
      <c r="K951" s="26" t="str">
        <f t="shared" si="44"/>
        <v/>
      </c>
      <c r="L951" s="15"/>
    </row>
    <row r="952" spans="1:12" x14ac:dyDescent="0.2">
      <c r="A952" s="23" t="str">
        <f t="shared" si="42"/>
        <v/>
      </c>
      <c r="B952" s="22"/>
      <c r="C952" s="24"/>
      <c r="D952" s="15"/>
      <c r="E952" s="15"/>
      <c r="F952" s="24"/>
      <c r="G952" s="30"/>
      <c r="H952" s="30"/>
      <c r="I952" s="26" t="str">
        <f t="shared" si="43"/>
        <v/>
      </c>
      <c r="J952" s="21"/>
      <c r="K952" s="26" t="str">
        <f t="shared" si="44"/>
        <v/>
      </c>
      <c r="L952" s="15"/>
    </row>
    <row r="953" spans="1:12" x14ac:dyDescent="0.2">
      <c r="A953" s="23" t="str">
        <f t="shared" si="42"/>
        <v/>
      </c>
      <c r="B953" s="22"/>
      <c r="C953" s="24"/>
      <c r="D953" s="15"/>
      <c r="E953" s="15"/>
      <c r="F953" s="24"/>
      <c r="G953" s="30"/>
      <c r="H953" s="30"/>
      <c r="I953" s="26" t="str">
        <f t="shared" si="43"/>
        <v/>
      </c>
      <c r="J953" s="21"/>
      <c r="K953" s="26" t="str">
        <f t="shared" si="44"/>
        <v/>
      </c>
      <c r="L953" s="15"/>
    </row>
    <row r="954" spans="1:12" x14ac:dyDescent="0.2">
      <c r="A954" s="23" t="str">
        <f t="shared" si="42"/>
        <v/>
      </c>
      <c r="B954" s="22"/>
      <c r="C954" s="24"/>
      <c r="D954" s="15"/>
      <c r="E954" s="15"/>
      <c r="F954" s="24"/>
      <c r="G954" s="30"/>
      <c r="H954" s="30"/>
      <c r="I954" s="26" t="str">
        <f t="shared" si="43"/>
        <v/>
      </c>
      <c r="J954" s="21"/>
      <c r="K954" s="26" t="str">
        <f t="shared" si="44"/>
        <v/>
      </c>
      <c r="L954" s="15"/>
    </row>
    <row r="955" spans="1:12" x14ac:dyDescent="0.2">
      <c r="A955" s="23" t="str">
        <f t="shared" si="42"/>
        <v/>
      </c>
      <c r="B955" s="22"/>
      <c r="C955" s="24"/>
      <c r="D955" s="15"/>
      <c r="E955" s="15"/>
      <c r="F955" s="24"/>
      <c r="G955" s="30"/>
      <c r="H955" s="30"/>
      <c r="I955" s="26" t="str">
        <f t="shared" si="43"/>
        <v/>
      </c>
      <c r="J955" s="21"/>
      <c r="K955" s="26" t="str">
        <f t="shared" si="44"/>
        <v/>
      </c>
      <c r="L955" s="15"/>
    </row>
    <row r="956" spans="1:12" x14ac:dyDescent="0.2">
      <c r="A956" s="23" t="str">
        <f t="shared" si="42"/>
        <v/>
      </c>
      <c r="B956" s="22"/>
      <c r="C956" s="24"/>
      <c r="D956" s="15"/>
      <c r="E956" s="15"/>
      <c r="F956" s="24"/>
      <c r="G956" s="30"/>
      <c r="H956" s="30"/>
      <c r="I956" s="26" t="str">
        <f t="shared" si="43"/>
        <v/>
      </c>
      <c r="J956" s="21"/>
      <c r="K956" s="26" t="str">
        <f t="shared" si="44"/>
        <v/>
      </c>
      <c r="L956" s="15"/>
    </row>
    <row r="957" spans="1:12" x14ac:dyDescent="0.2">
      <c r="A957" s="23" t="str">
        <f t="shared" si="42"/>
        <v/>
      </c>
      <c r="B957" s="22"/>
      <c r="C957" s="24"/>
      <c r="D957" s="15"/>
      <c r="E957" s="15"/>
      <c r="F957" s="24"/>
      <c r="G957" s="30"/>
      <c r="H957" s="30"/>
      <c r="I957" s="26" t="str">
        <f t="shared" si="43"/>
        <v/>
      </c>
      <c r="J957" s="21"/>
      <c r="K957" s="26" t="str">
        <f t="shared" si="44"/>
        <v/>
      </c>
      <c r="L957" s="15"/>
    </row>
    <row r="958" spans="1:12" x14ac:dyDescent="0.2">
      <c r="A958" s="23" t="str">
        <f t="shared" si="42"/>
        <v/>
      </c>
      <c r="B958" s="22"/>
      <c r="C958" s="24"/>
      <c r="D958" s="15"/>
      <c r="E958" s="15"/>
      <c r="F958" s="24"/>
      <c r="G958" s="30"/>
      <c r="H958" s="30"/>
      <c r="I958" s="26" t="str">
        <f t="shared" si="43"/>
        <v/>
      </c>
      <c r="J958" s="21"/>
      <c r="K958" s="26" t="str">
        <f t="shared" si="44"/>
        <v/>
      </c>
      <c r="L958" s="15"/>
    </row>
    <row r="959" spans="1:12" x14ac:dyDescent="0.2">
      <c r="A959" s="23" t="str">
        <f t="shared" si="42"/>
        <v/>
      </c>
      <c r="B959" s="22"/>
      <c r="C959" s="24"/>
      <c r="D959" s="15"/>
      <c r="E959" s="15"/>
      <c r="F959" s="24"/>
      <c r="G959" s="30"/>
      <c r="H959" s="30"/>
      <c r="I959" s="26" t="str">
        <f t="shared" si="43"/>
        <v/>
      </c>
      <c r="J959" s="21"/>
      <c r="K959" s="26" t="str">
        <f t="shared" si="44"/>
        <v/>
      </c>
      <c r="L959" s="15"/>
    </row>
    <row r="960" spans="1:12" x14ac:dyDescent="0.2">
      <c r="A960" s="23" t="str">
        <f t="shared" si="42"/>
        <v/>
      </c>
      <c r="B960" s="22"/>
      <c r="C960" s="24"/>
      <c r="D960" s="15"/>
      <c r="E960" s="15"/>
      <c r="F960" s="24"/>
      <c r="G960" s="30"/>
      <c r="H960" s="30"/>
      <c r="I960" s="26" t="str">
        <f t="shared" si="43"/>
        <v/>
      </c>
      <c r="J960" s="21"/>
      <c r="K960" s="26" t="str">
        <f t="shared" si="44"/>
        <v/>
      </c>
      <c r="L960" s="15"/>
    </row>
    <row r="961" spans="1:12" x14ac:dyDescent="0.2">
      <c r="A961" s="23" t="str">
        <f t="shared" si="42"/>
        <v/>
      </c>
      <c r="B961" s="22"/>
      <c r="C961" s="24"/>
      <c r="D961" s="15"/>
      <c r="E961" s="15"/>
      <c r="F961" s="24"/>
      <c r="G961" s="30"/>
      <c r="H961" s="30"/>
      <c r="I961" s="26" t="str">
        <f t="shared" si="43"/>
        <v/>
      </c>
      <c r="J961" s="21"/>
      <c r="K961" s="26" t="str">
        <f t="shared" si="44"/>
        <v/>
      </c>
      <c r="L961" s="15"/>
    </row>
    <row r="962" spans="1:12" x14ac:dyDescent="0.2">
      <c r="A962" s="23" t="str">
        <f t="shared" si="42"/>
        <v/>
      </c>
      <c r="B962" s="22"/>
      <c r="C962" s="24"/>
      <c r="D962" s="15"/>
      <c r="E962" s="15"/>
      <c r="F962" s="24"/>
      <c r="G962" s="30"/>
      <c r="H962" s="30"/>
      <c r="I962" s="26" t="str">
        <f t="shared" si="43"/>
        <v/>
      </c>
      <c r="J962" s="21"/>
      <c r="K962" s="26" t="str">
        <f t="shared" si="44"/>
        <v/>
      </c>
      <c r="L962" s="15"/>
    </row>
    <row r="963" spans="1:12" x14ac:dyDescent="0.2">
      <c r="A963" s="23" t="str">
        <f t="shared" si="42"/>
        <v/>
      </c>
      <c r="B963" s="22"/>
      <c r="C963" s="24"/>
      <c r="D963" s="15"/>
      <c r="E963" s="15"/>
      <c r="F963" s="24"/>
      <c r="G963" s="30"/>
      <c r="H963" s="30"/>
      <c r="I963" s="26" t="str">
        <f t="shared" si="43"/>
        <v/>
      </c>
      <c r="J963" s="21"/>
      <c r="K963" s="26" t="str">
        <f t="shared" si="44"/>
        <v/>
      </c>
      <c r="L963" s="15"/>
    </row>
    <row r="964" spans="1:12" x14ac:dyDescent="0.2">
      <c r="A964" s="23" t="str">
        <f t="shared" si="42"/>
        <v/>
      </c>
      <c r="B964" s="22"/>
      <c r="C964" s="24"/>
      <c r="D964" s="15"/>
      <c r="E964" s="15"/>
      <c r="F964" s="24"/>
      <c r="G964" s="30"/>
      <c r="H964" s="30"/>
      <c r="I964" s="26" t="str">
        <f t="shared" si="43"/>
        <v/>
      </c>
      <c r="J964" s="21"/>
      <c r="K964" s="26" t="str">
        <f t="shared" si="44"/>
        <v/>
      </c>
      <c r="L964" s="15"/>
    </row>
    <row r="965" spans="1:12" x14ac:dyDescent="0.2">
      <c r="A965" s="23" t="str">
        <f t="shared" ref="A965:A1028" si="45">IF(B965="","",ROW()-4)</f>
        <v/>
      </c>
      <c r="B965" s="22"/>
      <c r="C965" s="24"/>
      <c r="D965" s="15"/>
      <c r="E965" s="15"/>
      <c r="F965" s="24"/>
      <c r="G965" s="30"/>
      <c r="H965" s="30"/>
      <c r="I965" s="26" t="str">
        <f t="shared" ref="I965:I1028" si="46">IF(OR(G965="",H965=""),"",G965*H965)</f>
        <v/>
      </c>
      <c r="J965" s="21"/>
      <c r="K965" s="26" t="str">
        <f t="shared" ref="K965:K1028" si="47">IF(OR(I965="",J965=""),"",I965*J965)</f>
        <v/>
      </c>
      <c r="L965" s="15"/>
    </row>
    <row r="966" spans="1:12" x14ac:dyDescent="0.2">
      <c r="A966" s="23" t="str">
        <f t="shared" si="45"/>
        <v/>
      </c>
      <c r="B966" s="22"/>
      <c r="C966" s="24"/>
      <c r="D966" s="15"/>
      <c r="E966" s="15"/>
      <c r="F966" s="24"/>
      <c r="G966" s="30"/>
      <c r="H966" s="30"/>
      <c r="I966" s="26" t="str">
        <f t="shared" si="46"/>
        <v/>
      </c>
      <c r="J966" s="21"/>
      <c r="K966" s="26" t="str">
        <f t="shared" si="47"/>
        <v/>
      </c>
      <c r="L966" s="15"/>
    </row>
    <row r="967" spans="1:12" x14ac:dyDescent="0.2">
      <c r="A967" s="23" t="str">
        <f t="shared" si="45"/>
        <v/>
      </c>
      <c r="B967" s="22"/>
      <c r="C967" s="24"/>
      <c r="D967" s="15"/>
      <c r="E967" s="15"/>
      <c r="F967" s="24"/>
      <c r="G967" s="30"/>
      <c r="H967" s="30"/>
      <c r="I967" s="26" t="str">
        <f t="shared" si="46"/>
        <v/>
      </c>
      <c r="J967" s="21"/>
      <c r="K967" s="26" t="str">
        <f t="shared" si="47"/>
        <v/>
      </c>
      <c r="L967" s="15"/>
    </row>
    <row r="968" spans="1:12" x14ac:dyDescent="0.2">
      <c r="A968" s="23" t="str">
        <f t="shared" si="45"/>
        <v/>
      </c>
      <c r="B968" s="22"/>
      <c r="C968" s="24"/>
      <c r="D968" s="15"/>
      <c r="E968" s="15"/>
      <c r="F968" s="24"/>
      <c r="G968" s="30"/>
      <c r="H968" s="30"/>
      <c r="I968" s="26" t="str">
        <f t="shared" si="46"/>
        <v/>
      </c>
      <c r="J968" s="21"/>
      <c r="K968" s="26" t="str">
        <f t="shared" si="47"/>
        <v/>
      </c>
      <c r="L968" s="15"/>
    </row>
    <row r="969" spans="1:12" x14ac:dyDescent="0.2">
      <c r="A969" s="23" t="str">
        <f t="shared" si="45"/>
        <v/>
      </c>
      <c r="B969" s="22"/>
      <c r="C969" s="24"/>
      <c r="D969" s="15"/>
      <c r="E969" s="15"/>
      <c r="F969" s="24"/>
      <c r="G969" s="30"/>
      <c r="H969" s="30"/>
      <c r="I969" s="26" t="str">
        <f t="shared" si="46"/>
        <v/>
      </c>
      <c r="J969" s="21"/>
      <c r="K969" s="26" t="str">
        <f t="shared" si="47"/>
        <v/>
      </c>
      <c r="L969" s="15"/>
    </row>
    <row r="970" spans="1:12" x14ac:dyDescent="0.2">
      <c r="A970" s="23" t="str">
        <f t="shared" si="45"/>
        <v/>
      </c>
      <c r="B970" s="22"/>
      <c r="C970" s="24"/>
      <c r="D970" s="15"/>
      <c r="E970" s="15"/>
      <c r="F970" s="24"/>
      <c r="G970" s="30"/>
      <c r="H970" s="30"/>
      <c r="I970" s="26" t="str">
        <f t="shared" si="46"/>
        <v/>
      </c>
      <c r="J970" s="21"/>
      <c r="K970" s="26" t="str">
        <f t="shared" si="47"/>
        <v/>
      </c>
      <c r="L970" s="15"/>
    </row>
    <row r="971" spans="1:12" x14ac:dyDescent="0.2">
      <c r="A971" s="23" t="str">
        <f t="shared" si="45"/>
        <v/>
      </c>
      <c r="B971" s="22"/>
      <c r="C971" s="24"/>
      <c r="D971" s="15"/>
      <c r="E971" s="15"/>
      <c r="F971" s="24"/>
      <c r="G971" s="30"/>
      <c r="H971" s="30"/>
      <c r="I971" s="26" t="str">
        <f t="shared" si="46"/>
        <v/>
      </c>
      <c r="J971" s="21"/>
      <c r="K971" s="26" t="str">
        <f t="shared" si="47"/>
        <v/>
      </c>
      <c r="L971" s="15"/>
    </row>
    <row r="972" spans="1:12" x14ac:dyDescent="0.2">
      <c r="A972" s="23" t="str">
        <f t="shared" si="45"/>
        <v/>
      </c>
      <c r="B972" s="22"/>
      <c r="C972" s="24"/>
      <c r="D972" s="15"/>
      <c r="E972" s="15"/>
      <c r="F972" s="24"/>
      <c r="G972" s="30"/>
      <c r="H972" s="30"/>
      <c r="I972" s="26" t="str">
        <f t="shared" si="46"/>
        <v/>
      </c>
      <c r="J972" s="21"/>
      <c r="K972" s="26" t="str">
        <f t="shared" si="47"/>
        <v/>
      </c>
      <c r="L972" s="15"/>
    </row>
    <row r="973" spans="1:12" x14ac:dyDescent="0.2">
      <c r="A973" s="23" t="str">
        <f t="shared" si="45"/>
        <v/>
      </c>
      <c r="B973" s="22"/>
      <c r="C973" s="24"/>
      <c r="D973" s="15"/>
      <c r="E973" s="15"/>
      <c r="F973" s="24"/>
      <c r="G973" s="30"/>
      <c r="H973" s="30"/>
      <c r="I973" s="26" t="str">
        <f t="shared" si="46"/>
        <v/>
      </c>
      <c r="J973" s="21"/>
      <c r="K973" s="26" t="str">
        <f t="shared" si="47"/>
        <v/>
      </c>
      <c r="L973" s="15"/>
    </row>
    <row r="974" spans="1:12" x14ac:dyDescent="0.2">
      <c r="A974" s="23" t="str">
        <f t="shared" si="45"/>
        <v/>
      </c>
      <c r="B974" s="22"/>
      <c r="C974" s="24"/>
      <c r="D974" s="15"/>
      <c r="E974" s="15"/>
      <c r="F974" s="24"/>
      <c r="G974" s="30"/>
      <c r="H974" s="30"/>
      <c r="I974" s="26" t="str">
        <f t="shared" si="46"/>
        <v/>
      </c>
      <c r="J974" s="21"/>
      <c r="K974" s="26" t="str">
        <f t="shared" si="47"/>
        <v/>
      </c>
      <c r="L974" s="15"/>
    </row>
    <row r="975" spans="1:12" x14ac:dyDescent="0.2">
      <c r="A975" s="23" t="str">
        <f t="shared" si="45"/>
        <v/>
      </c>
      <c r="B975" s="22"/>
      <c r="C975" s="24"/>
      <c r="D975" s="15"/>
      <c r="E975" s="15"/>
      <c r="F975" s="24"/>
      <c r="G975" s="30"/>
      <c r="H975" s="30"/>
      <c r="I975" s="26" t="str">
        <f t="shared" si="46"/>
        <v/>
      </c>
      <c r="J975" s="21"/>
      <c r="K975" s="26" t="str">
        <f t="shared" si="47"/>
        <v/>
      </c>
      <c r="L975" s="15"/>
    </row>
    <row r="976" spans="1:12" x14ac:dyDescent="0.2">
      <c r="A976" s="23" t="str">
        <f t="shared" si="45"/>
        <v/>
      </c>
      <c r="B976" s="22"/>
      <c r="C976" s="24"/>
      <c r="D976" s="15"/>
      <c r="E976" s="15"/>
      <c r="F976" s="24"/>
      <c r="G976" s="30"/>
      <c r="H976" s="30"/>
      <c r="I976" s="26" t="str">
        <f t="shared" si="46"/>
        <v/>
      </c>
      <c r="J976" s="21"/>
      <c r="K976" s="26" t="str">
        <f t="shared" si="47"/>
        <v/>
      </c>
      <c r="L976" s="15"/>
    </row>
    <row r="977" spans="1:12" x14ac:dyDescent="0.2">
      <c r="A977" s="23" t="str">
        <f t="shared" si="45"/>
        <v/>
      </c>
      <c r="B977" s="22"/>
      <c r="C977" s="24"/>
      <c r="D977" s="15"/>
      <c r="E977" s="15"/>
      <c r="F977" s="24"/>
      <c r="G977" s="30"/>
      <c r="H977" s="30"/>
      <c r="I977" s="26" t="str">
        <f t="shared" si="46"/>
        <v/>
      </c>
      <c r="J977" s="21"/>
      <c r="K977" s="26" t="str">
        <f t="shared" si="47"/>
        <v/>
      </c>
      <c r="L977" s="15"/>
    </row>
    <row r="978" spans="1:12" x14ac:dyDescent="0.2">
      <c r="A978" s="23" t="str">
        <f t="shared" si="45"/>
        <v/>
      </c>
      <c r="B978" s="22"/>
      <c r="C978" s="24"/>
      <c r="D978" s="15"/>
      <c r="E978" s="15"/>
      <c r="F978" s="24"/>
      <c r="G978" s="30"/>
      <c r="H978" s="30"/>
      <c r="I978" s="26" t="str">
        <f t="shared" si="46"/>
        <v/>
      </c>
      <c r="J978" s="21"/>
      <c r="K978" s="26" t="str">
        <f t="shared" si="47"/>
        <v/>
      </c>
      <c r="L978" s="15"/>
    </row>
    <row r="979" spans="1:12" x14ac:dyDescent="0.2">
      <c r="A979" s="23" t="str">
        <f t="shared" si="45"/>
        <v/>
      </c>
      <c r="B979" s="22"/>
      <c r="C979" s="24"/>
      <c r="D979" s="15"/>
      <c r="E979" s="15"/>
      <c r="F979" s="24"/>
      <c r="G979" s="30"/>
      <c r="H979" s="30"/>
      <c r="I979" s="26" t="str">
        <f t="shared" si="46"/>
        <v/>
      </c>
      <c r="J979" s="21"/>
      <c r="K979" s="26" t="str">
        <f t="shared" si="47"/>
        <v/>
      </c>
      <c r="L979" s="15"/>
    </row>
    <row r="980" spans="1:12" x14ac:dyDescent="0.2">
      <c r="A980" s="23" t="str">
        <f t="shared" si="45"/>
        <v/>
      </c>
      <c r="B980" s="22"/>
      <c r="C980" s="24"/>
      <c r="D980" s="15"/>
      <c r="E980" s="15"/>
      <c r="F980" s="24"/>
      <c r="G980" s="30"/>
      <c r="H980" s="30"/>
      <c r="I980" s="26" t="str">
        <f t="shared" si="46"/>
        <v/>
      </c>
      <c r="J980" s="21"/>
      <c r="K980" s="26" t="str">
        <f t="shared" si="47"/>
        <v/>
      </c>
      <c r="L980" s="15"/>
    </row>
    <row r="981" spans="1:12" x14ac:dyDescent="0.2">
      <c r="A981" s="23" t="str">
        <f t="shared" si="45"/>
        <v/>
      </c>
      <c r="B981" s="22"/>
      <c r="C981" s="24"/>
      <c r="D981" s="15"/>
      <c r="E981" s="15"/>
      <c r="F981" s="24"/>
      <c r="G981" s="30"/>
      <c r="H981" s="30"/>
      <c r="I981" s="26" t="str">
        <f t="shared" si="46"/>
        <v/>
      </c>
      <c r="J981" s="21"/>
      <c r="K981" s="26" t="str">
        <f t="shared" si="47"/>
        <v/>
      </c>
      <c r="L981" s="15"/>
    </row>
    <row r="982" spans="1:12" x14ac:dyDescent="0.2">
      <c r="A982" s="23" t="str">
        <f t="shared" si="45"/>
        <v/>
      </c>
      <c r="B982" s="22"/>
      <c r="C982" s="24"/>
      <c r="D982" s="15"/>
      <c r="E982" s="15"/>
      <c r="F982" s="24"/>
      <c r="G982" s="30"/>
      <c r="H982" s="30"/>
      <c r="I982" s="26" t="str">
        <f t="shared" si="46"/>
        <v/>
      </c>
      <c r="J982" s="21"/>
      <c r="K982" s="26" t="str">
        <f t="shared" si="47"/>
        <v/>
      </c>
      <c r="L982" s="15"/>
    </row>
    <row r="983" spans="1:12" x14ac:dyDescent="0.2">
      <c r="A983" s="23" t="str">
        <f t="shared" si="45"/>
        <v/>
      </c>
      <c r="B983" s="22"/>
      <c r="C983" s="24"/>
      <c r="D983" s="15"/>
      <c r="E983" s="15"/>
      <c r="F983" s="24"/>
      <c r="G983" s="30"/>
      <c r="H983" s="30"/>
      <c r="I983" s="26" t="str">
        <f t="shared" si="46"/>
        <v/>
      </c>
      <c r="J983" s="21"/>
      <c r="K983" s="26" t="str">
        <f t="shared" si="47"/>
        <v/>
      </c>
      <c r="L983" s="15"/>
    </row>
    <row r="984" spans="1:12" x14ac:dyDescent="0.2">
      <c r="A984" s="23" t="str">
        <f t="shared" si="45"/>
        <v/>
      </c>
      <c r="B984" s="22"/>
      <c r="C984" s="24"/>
      <c r="D984" s="15"/>
      <c r="E984" s="15"/>
      <c r="F984" s="24"/>
      <c r="G984" s="30"/>
      <c r="H984" s="30"/>
      <c r="I984" s="26" t="str">
        <f t="shared" si="46"/>
        <v/>
      </c>
      <c r="J984" s="21"/>
      <c r="K984" s="26" t="str">
        <f t="shared" si="47"/>
        <v/>
      </c>
      <c r="L984" s="15"/>
    </row>
    <row r="985" spans="1:12" x14ac:dyDescent="0.2">
      <c r="A985" s="23" t="str">
        <f t="shared" si="45"/>
        <v/>
      </c>
      <c r="B985" s="22"/>
      <c r="C985" s="24"/>
      <c r="D985" s="15"/>
      <c r="E985" s="15"/>
      <c r="F985" s="24"/>
      <c r="G985" s="30"/>
      <c r="H985" s="30"/>
      <c r="I985" s="26" t="str">
        <f t="shared" si="46"/>
        <v/>
      </c>
      <c r="J985" s="21"/>
      <c r="K985" s="26" t="str">
        <f t="shared" si="47"/>
        <v/>
      </c>
      <c r="L985" s="15"/>
    </row>
    <row r="986" spans="1:12" x14ac:dyDescent="0.2">
      <c r="A986" s="23" t="str">
        <f t="shared" si="45"/>
        <v/>
      </c>
      <c r="B986" s="22"/>
      <c r="C986" s="24"/>
      <c r="D986" s="15"/>
      <c r="E986" s="15"/>
      <c r="F986" s="24"/>
      <c r="G986" s="30"/>
      <c r="H986" s="30"/>
      <c r="I986" s="26" t="str">
        <f t="shared" si="46"/>
        <v/>
      </c>
      <c r="J986" s="21"/>
      <c r="K986" s="26" t="str">
        <f t="shared" si="47"/>
        <v/>
      </c>
      <c r="L986" s="15"/>
    </row>
    <row r="987" spans="1:12" x14ac:dyDescent="0.2">
      <c r="A987" s="23" t="str">
        <f t="shared" si="45"/>
        <v/>
      </c>
      <c r="B987" s="22"/>
      <c r="C987" s="24"/>
      <c r="D987" s="15"/>
      <c r="E987" s="15"/>
      <c r="F987" s="24"/>
      <c r="G987" s="30"/>
      <c r="H987" s="30"/>
      <c r="I987" s="26" t="str">
        <f t="shared" si="46"/>
        <v/>
      </c>
      <c r="J987" s="21"/>
      <c r="K987" s="26" t="str">
        <f t="shared" si="47"/>
        <v/>
      </c>
      <c r="L987" s="15"/>
    </row>
    <row r="988" spans="1:12" x14ac:dyDescent="0.2">
      <c r="A988" s="23" t="str">
        <f t="shared" si="45"/>
        <v/>
      </c>
      <c r="B988" s="22"/>
      <c r="C988" s="24"/>
      <c r="D988" s="15"/>
      <c r="E988" s="15"/>
      <c r="F988" s="24"/>
      <c r="G988" s="30"/>
      <c r="H988" s="30"/>
      <c r="I988" s="26" t="str">
        <f t="shared" si="46"/>
        <v/>
      </c>
      <c r="J988" s="21"/>
      <c r="K988" s="26" t="str">
        <f t="shared" si="47"/>
        <v/>
      </c>
      <c r="L988" s="15"/>
    </row>
    <row r="989" spans="1:12" x14ac:dyDescent="0.2">
      <c r="A989" s="23" t="str">
        <f t="shared" si="45"/>
        <v/>
      </c>
      <c r="B989" s="22"/>
      <c r="C989" s="24"/>
      <c r="D989" s="15"/>
      <c r="E989" s="15"/>
      <c r="F989" s="24"/>
      <c r="G989" s="30"/>
      <c r="H989" s="30"/>
      <c r="I989" s="26" t="str">
        <f t="shared" si="46"/>
        <v/>
      </c>
      <c r="J989" s="21"/>
      <c r="K989" s="26" t="str">
        <f t="shared" si="47"/>
        <v/>
      </c>
      <c r="L989" s="15"/>
    </row>
    <row r="990" spans="1:12" x14ac:dyDescent="0.2">
      <c r="A990" s="23" t="str">
        <f t="shared" si="45"/>
        <v/>
      </c>
      <c r="B990" s="22"/>
      <c r="C990" s="24"/>
      <c r="D990" s="15"/>
      <c r="E990" s="15"/>
      <c r="F990" s="24"/>
      <c r="G990" s="30"/>
      <c r="H990" s="30"/>
      <c r="I990" s="26" t="str">
        <f t="shared" si="46"/>
        <v/>
      </c>
      <c r="J990" s="21"/>
      <c r="K990" s="26" t="str">
        <f t="shared" si="47"/>
        <v/>
      </c>
      <c r="L990" s="15"/>
    </row>
    <row r="991" spans="1:12" x14ac:dyDescent="0.2">
      <c r="A991" s="23" t="str">
        <f t="shared" si="45"/>
        <v/>
      </c>
      <c r="B991" s="22"/>
      <c r="C991" s="24"/>
      <c r="D991" s="15"/>
      <c r="E991" s="15"/>
      <c r="F991" s="24"/>
      <c r="G991" s="30"/>
      <c r="H991" s="30"/>
      <c r="I991" s="26" t="str">
        <f t="shared" si="46"/>
        <v/>
      </c>
      <c r="J991" s="21"/>
      <c r="K991" s="26" t="str">
        <f t="shared" si="47"/>
        <v/>
      </c>
      <c r="L991" s="15"/>
    </row>
    <row r="992" spans="1:12" x14ac:dyDescent="0.2">
      <c r="A992" s="23" t="str">
        <f t="shared" si="45"/>
        <v/>
      </c>
      <c r="B992" s="22"/>
      <c r="C992" s="24"/>
      <c r="D992" s="15"/>
      <c r="E992" s="15"/>
      <c r="F992" s="24"/>
      <c r="G992" s="30"/>
      <c r="H992" s="30"/>
      <c r="I992" s="26" t="str">
        <f t="shared" si="46"/>
        <v/>
      </c>
      <c r="J992" s="21"/>
      <c r="K992" s="26" t="str">
        <f t="shared" si="47"/>
        <v/>
      </c>
      <c r="L992" s="15"/>
    </row>
    <row r="993" spans="1:12" x14ac:dyDescent="0.2">
      <c r="A993" s="23" t="str">
        <f t="shared" si="45"/>
        <v/>
      </c>
      <c r="B993" s="22"/>
      <c r="C993" s="24"/>
      <c r="D993" s="15"/>
      <c r="E993" s="15"/>
      <c r="F993" s="24"/>
      <c r="G993" s="30"/>
      <c r="H993" s="30"/>
      <c r="I993" s="26" t="str">
        <f t="shared" si="46"/>
        <v/>
      </c>
      <c r="J993" s="21"/>
      <c r="K993" s="26" t="str">
        <f t="shared" si="47"/>
        <v/>
      </c>
      <c r="L993" s="15"/>
    </row>
    <row r="994" spans="1:12" x14ac:dyDescent="0.2">
      <c r="A994" s="23" t="str">
        <f t="shared" si="45"/>
        <v/>
      </c>
      <c r="B994" s="22"/>
      <c r="C994" s="24"/>
      <c r="D994" s="15"/>
      <c r="E994" s="15"/>
      <c r="F994" s="24"/>
      <c r="G994" s="30"/>
      <c r="H994" s="30"/>
      <c r="I994" s="26" t="str">
        <f t="shared" si="46"/>
        <v/>
      </c>
      <c r="J994" s="21"/>
      <c r="K994" s="26" t="str">
        <f t="shared" si="47"/>
        <v/>
      </c>
      <c r="L994" s="15"/>
    </row>
    <row r="995" spans="1:12" x14ac:dyDescent="0.2">
      <c r="A995" s="23" t="str">
        <f t="shared" si="45"/>
        <v/>
      </c>
      <c r="B995" s="22"/>
      <c r="C995" s="24"/>
      <c r="D995" s="15"/>
      <c r="E995" s="15"/>
      <c r="F995" s="24"/>
      <c r="G995" s="30"/>
      <c r="H995" s="30"/>
      <c r="I995" s="26" t="str">
        <f t="shared" si="46"/>
        <v/>
      </c>
      <c r="J995" s="21"/>
      <c r="K995" s="26" t="str">
        <f t="shared" si="47"/>
        <v/>
      </c>
      <c r="L995" s="15"/>
    </row>
    <row r="996" spans="1:12" x14ac:dyDescent="0.2">
      <c r="A996" s="23" t="str">
        <f t="shared" si="45"/>
        <v/>
      </c>
      <c r="B996" s="22"/>
      <c r="C996" s="24"/>
      <c r="D996" s="15"/>
      <c r="E996" s="15"/>
      <c r="F996" s="24"/>
      <c r="G996" s="30"/>
      <c r="H996" s="30"/>
      <c r="I996" s="26" t="str">
        <f t="shared" si="46"/>
        <v/>
      </c>
      <c r="J996" s="21"/>
      <c r="K996" s="26" t="str">
        <f t="shared" si="47"/>
        <v/>
      </c>
      <c r="L996" s="15"/>
    </row>
    <row r="997" spans="1:12" x14ac:dyDescent="0.2">
      <c r="A997" s="23" t="str">
        <f t="shared" si="45"/>
        <v/>
      </c>
      <c r="B997" s="22"/>
      <c r="C997" s="24"/>
      <c r="D997" s="15"/>
      <c r="E997" s="15"/>
      <c r="F997" s="24"/>
      <c r="G997" s="30"/>
      <c r="H997" s="30"/>
      <c r="I997" s="26" t="str">
        <f t="shared" si="46"/>
        <v/>
      </c>
      <c r="J997" s="21"/>
      <c r="K997" s="26" t="str">
        <f t="shared" si="47"/>
        <v/>
      </c>
      <c r="L997" s="15"/>
    </row>
    <row r="998" spans="1:12" x14ac:dyDescent="0.2">
      <c r="A998" s="23" t="str">
        <f t="shared" si="45"/>
        <v/>
      </c>
      <c r="B998" s="22"/>
      <c r="C998" s="24"/>
      <c r="D998" s="15"/>
      <c r="E998" s="15"/>
      <c r="F998" s="24"/>
      <c r="G998" s="30"/>
      <c r="H998" s="30"/>
      <c r="I998" s="26" t="str">
        <f t="shared" si="46"/>
        <v/>
      </c>
      <c r="J998" s="21"/>
      <c r="K998" s="26" t="str">
        <f t="shared" si="47"/>
        <v/>
      </c>
      <c r="L998" s="15"/>
    </row>
    <row r="999" spans="1:12" x14ac:dyDescent="0.2">
      <c r="A999" s="23" t="str">
        <f t="shared" si="45"/>
        <v/>
      </c>
      <c r="B999" s="22"/>
      <c r="C999" s="24"/>
      <c r="D999" s="15"/>
      <c r="E999" s="15"/>
      <c r="F999" s="24"/>
      <c r="G999" s="30"/>
      <c r="H999" s="30"/>
      <c r="I999" s="26" t="str">
        <f t="shared" si="46"/>
        <v/>
      </c>
      <c r="J999" s="21"/>
      <c r="K999" s="26" t="str">
        <f t="shared" si="47"/>
        <v/>
      </c>
      <c r="L999" s="15"/>
    </row>
    <row r="1000" spans="1:12" x14ac:dyDescent="0.2">
      <c r="A1000" s="23" t="str">
        <f t="shared" si="45"/>
        <v/>
      </c>
      <c r="B1000" s="22"/>
      <c r="C1000" s="24"/>
      <c r="D1000" s="15"/>
      <c r="E1000" s="15"/>
      <c r="F1000" s="24"/>
      <c r="G1000" s="30"/>
      <c r="H1000" s="30"/>
      <c r="I1000" s="26" t="str">
        <f t="shared" si="46"/>
        <v/>
      </c>
      <c r="J1000" s="21"/>
      <c r="K1000" s="26" t="str">
        <f t="shared" si="47"/>
        <v/>
      </c>
      <c r="L1000" s="15"/>
    </row>
    <row r="1001" spans="1:12" x14ac:dyDescent="0.2">
      <c r="A1001" s="23" t="str">
        <f t="shared" si="45"/>
        <v/>
      </c>
      <c r="B1001" s="22"/>
      <c r="C1001" s="24"/>
      <c r="D1001" s="15"/>
      <c r="E1001" s="15"/>
      <c r="F1001" s="24"/>
      <c r="G1001" s="30"/>
      <c r="H1001" s="30"/>
      <c r="I1001" s="26" t="str">
        <f t="shared" si="46"/>
        <v/>
      </c>
      <c r="J1001" s="21"/>
      <c r="K1001" s="26" t="str">
        <f t="shared" si="47"/>
        <v/>
      </c>
      <c r="L1001" s="15"/>
    </row>
    <row r="1002" spans="1:12" x14ac:dyDescent="0.2">
      <c r="A1002" s="23" t="str">
        <f t="shared" si="45"/>
        <v/>
      </c>
      <c r="B1002" s="22"/>
      <c r="C1002" s="24"/>
      <c r="D1002" s="15"/>
      <c r="E1002" s="15"/>
      <c r="F1002" s="24"/>
      <c r="G1002" s="30"/>
      <c r="H1002" s="30"/>
      <c r="I1002" s="26" t="str">
        <f t="shared" si="46"/>
        <v/>
      </c>
      <c r="J1002" s="21"/>
      <c r="K1002" s="26" t="str">
        <f t="shared" si="47"/>
        <v/>
      </c>
      <c r="L1002" s="15"/>
    </row>
    <row r="1003" spans="1:12" x14ac:dyDescent="0.2">
      <c r="A1003" s="23" t="str">
        <f t="shared" si="45"/>
        <v/>
      </c>
      <c r="B1003" s="22"/>
      <c r="C1003" s="24"/>
      <c r="D1003" s="15"/>
      <c r="E1003" s="15"/>
      <c r="F1003" s="24"/>
      <c r="G1003" s="30"/>
      <c r="H1003" s="30"/>
      <c r="I1003" s="26" t="str">
        <f t="shared" si="46"/>
        <v/>
      </c>
      <c r="J1003" s="21"/>
      <c r="K1003" s="26" t="str">
        <f t="shared" si="47"/>
        <v/>
      </c>
      <c r="L1003" s="15"/>
    </row>
    <row r="1004" spans="1:12" x14ac:dyDescent="0.2">
      <c r="A1004" s="23" t="str">
        <f t="shared" si="45"/>
        <v/>
      </c>
      <c r="B1004" s="22"/>
      <c r="C1004" s="24"/>
      <c r="D1004" s="15"/>
      <c r="E1004" s="15"/>
      <c r="F1004" s="24"/>
      <c r="G1004" s="30"/>
      <c r="H1004" s="30"/>
      <c r="I1004" s="26" t="str">
        <f t="shared" si="46"/>
        <v/>
      </c>
      <c r="J1004" s="21"/>
      <c r="K1004" s="26" t="str">
        <f t="shared" si="47"/>
        <v/>
      </c>
      <c r="L1004" s="15"/>
    </row>
  </sheetData>
  <mergeCells count="2">
    <mergeCell ref="A2:L2"/>
    <mergeCell ref="A1:L1"/>
  </mergeCells>
  <dataValidations count="1">
    <dataValidation type="list" allowBlank="1" sqref="C5:C1004" xr:uid="{00000000-0002-0000-0400-000000000000}">
      <formula1>"BUY,SELL"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1000000}">
          <x14:formula1>
            <xm:f>'02_FX_Rates'!$A$5:$A$10</xm:f>
          </x14:formula1>
          <xm:sqref>F5:F1004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5B6"/>
  </sheetPr>
  <dimension ref="A1:I504"/>
  <sheetViews>
    <sheetView tabSelected="1" zoomScaleNormal="100" workbookViewId="0">
      <pane ySplit="4" topLeftCell="A5" activePane="bottomLeft" state="frozen"/>
      <selection pane="bottomLeft" activeCell="I5" sqref="I5:I31"/>
    </sheetView>
  </sheetViews>
  <sheetFormatPr baseColWidth="10" defaultColWidth="8.6640625" defaultRowHeight="15" x14ac:dyDescent="0.2"/>
  <cols>
    <col min="1" max="1" width="6" customWidth="1"/>
    <col min="2" max="2" width="13" customWidth="1"/>
    <col min="3" max="3" width="14" customWidth="1"/>
    <col min="4" max="4" width="44" bestFit="1" customWidth="1"/>
    <col min="5" max="5" width="16" customWidth="1"/>
    <col min="6" max="6" width="9" customWidth="1"/>
    <col min="7" max="7" width="14" customWidth="1"/>
    <col min="8" max="8" width="12" customWidth="1"/>
    <col min="9" max="9" width="14" customWidth="1"/>
  </cols>
  <sheetData>
    <row r="1" spans="1:9" ht="27.75" customHeight="1" x14ac:dyDescent="0.2">
      <c r="A1" s="85" t="s">
        <v>309</v>
      </c>
      <c r="B1" s="86"/>
      <c r="C1" s="86"/>
      <c r="D1" s="86"/>
      <c r="E1" s="86"/>
      <c r="F1" s="86"/>
      <c r="G1" s="86"/>
      <c r="H1" s="86"/>
      <c r="I1" s="86"/>
    </row>
    <row r="2" spans="1:9" ht="15" customHeight="1" x14ac:dyDescent="0.2">
      <c r="A2" s="87" t="s">
        <v>310</v>
      </c>
      <c r="B2" s="86"/>
      <c r="C2" s="86"/>
      <c r="D2" s="86"/>
      <c r="E2" s="86"/>
      <c r="F2" s="86"/>
      <c r="G2" s="86"/>
      <c r="H2" s="86"/>
      <c r="I2" s="86"/>
    </row>
    <row r="4" spans="1:9" ht="31.5" customHeight="1" x14ac:dyDescent="0.2">
      <c r="A4" s="19" t="s">
        <v>112</v>
      </c>
      <c r="B4" s="19" t="s">
        <v>130</v>
      </c>
      <c r="C4" s="19" t="s">
        <v>115</v>
      </c>
      <c r="D4" s="19" t="s">
        <v>311</v>
      </c>
      <c r="E4" s="19" t="s">
        <v>132</v>
      </c>
      <c r="F4" s="19" t="s">
        <v>99</v>
      </c>
      <c r="G4" s="19" t="s">
        <v>312</v>
      </c>
      <c r="H4" s="19" t="s">
        <v>117</v>
      </c>
      <c r="I4" s="19" t="s">
        <v>313</v>
      </c>
    </row>
    <row r="5" spans="1:9" x14ac:dyDescent="0.2">
      <c r="A5" s="23">
        <f t="shared" ref="A5:A68" si="0">IF(B5="","",ROW()-4)</f>
        <v>1</v>
      </c>
      <c r="B5" s="22">
        <v>45915</v>
      </c>
      <c r="C5" s="24" t="s">
        <v>314</v>
      </c>
      <c r="D5" s="15" t="s">
        <v>315</v>
      </c>
      <c r="E5" s="15" t="s">
        <v>316</v>
      </c>
      <c r="F5" s="24" t="s">
        <v>54</v>
      </c>
      <c r="G5" s="25">
        <v>850</v>
      </c>
      <c r="H5" s="21">
        <v>1</v>
      </c>
      <c r="I5" s="26">
        <f t="shared" ref="I5:I68" si="1">IF(OR(G5="",H5=""),"",G5*H5)</f>
        <v>850</v>
      </c>
    </row>
    <row r="6" spans="1:9" x14ac:dyDescent="0.2">
      <c r="A6" s="23">
        <f t="shared" si="0"/>
        <v>2</v>
      </c>
      <c r="B6" s="54">
        <v>45869</v>
      </c>
      <c r="C6" s="55" t="s">
        <v>317</v>
      </c>
      <c r="D6" s="56" t="s">
        <v>318</v>
      </c>
      <c r="E6" s="56" t="s">
        <v>141</v>
      </c>
      <c r="F6" s="55" t="s">
        <v>54</v>
      </c>
      <c r="G6" s="61">
        <v>7.47</v>
      </c>
      <c r="H6" s="59">
        <v>1</v>
      </c>
      <c r="I6" s="26">
        <f t="shared" si="1"/>
        <v>7.47</v>
      </c>
    </row>
    <row r="7" spans="1:9" x14ac:dyDescent="0.2">
      <c r="A7" s="23">
        <f t="shared" si="0"/>
        <v>3</v>
      </c>
      <c r="B7" s="54">
        <v>45869</v>
      </c>
      <c r="C7" s="55" t="s">
        <v>317</v>
      </c>
      <c r="D7" s="56" t="s">
        <v>319</v>
      </c>
      <c r="E7" s="56" t="s">
        <v>152</v>
      </c>
      <c r="F7" s="55" t="s">
        <v>54</v>
      </c>
      <c r="G7" s="61">
        <v>1.08</v>
      </c>
      <c r="H7" s="59">
        <v>1</v>
      </c>
      <c r="I7" s="26">
        <f t="shared" si="1"/>
        <v>1.08</v>
      </c>
    </row>
    <row r="8" spans="1:9" x14ac:dyDescent="0.2">
      <c r="A8" s="23">
        <f t="shared" si="0"/>
        <v>4</v>
      </c>
      <c r="B8" s="54">
        <v>45875</v>
      </c>
      <c r="C8" s="55" t="s">
        <v>314</v>
      </c>
      <c r="D8" s="56" t="s">
        <v>320</v>
      </c>
      <c r="E8" s="56" t="s">
        <v>172</v>
      </c>
      <c r="F8" s="55" t="s">
        <v>54</v>
      </c>
      <c r="G8" s="61">
        <v>27.2</v>
      </c>
      <c r="H8" s="59">
        <v>1</v>
      </c>
      <c r="I8" s="26">
        <f t="shared" si="1"/>
        <v>27.2</v>
      </c>
    </row>
    <row r="9" spans="1:9" x14ac:dyDescent="0.2">
      <c r="A9" s="23">
        <f t="shared" si="0"/>
        <v>5</v>
      </c>
      <c r="B9" s="54">
        <v>45900</v>
      </c>
      <c r="C9" s="55" t="s">
        <v>317</v>
      </c>
      <c r="D9" s="56" t="s">
        <v>318</v>
      </c>
      <c r="E9" s="56" t="s">
        <v>141</v>
      </c>
      <c r="F9" s="55" t="s">
        <v>54</v>
      </c>
      <c r="G9" s="61">
        <v>3.06</v>
      </c>
      <c r="H9" s="59">
        <v>1</v>
      </c>
      <c r="I9" s="26">
        <f t="shared" si="1"/>
        <v>3.06</v>
      </c>
    </row>
    <row r="10" spans="1:9" x14ac:dyDescent="0.2">
      <c r="A10" s="23">
        <f t="shared" si="0"/>
        <v>6</v>
      </c>
      <c r="B10" s="54">
        <v>45900</v>
      </c>
      <c r="C10" s="55" t="s">
        <v>317</v>
      </c>
      <c r="D10" s="56" t="s">
        <v>319</v>
      </c>
      <c r="E10" s="56" t="s">
        <v>152</v>
      </c>
      <c r="F10" s="55" t="s">
        <v>54</v>
      </c>
      <c r="G10" s="61">
        <v>4.8600000000000003</v>
      </c>
      <c r="H10" s="59">
        <v>1</v>
      </c>
      <c r="I10" s="26">
        <f t="shared" si="1"/>
        <v>4.8600000000000003</v>
      </c>
    </row>
    <row r="11" spans="1:9" x14ac:dyDescent="0.2">
      <c r="A11" s="23">
        <f t="shared" si="0"/>
        <v>7</v>
      </c>
      <c r="B11" s="54">
        <v>45910</v>
      </c>
      <c r="C11" s="55" t="s">
        <v>321</v>
      </c>
      <c r="D11" s="56" t="s">
        <v>322</v>
      </c>
      <c r="E11" s="56" t="s">
        <v>155</v>
      </c>
      <c r="F11" s="55" t="s">
        <v>54</v>
      </c>
      <c r="G11" s="61">
        <v>604.33000000000004</v>
      </c>
      <c r="H11" s="59">
        <v>1</v>
      </c>
      <c r="I11" s="26">
        <f t="shared" si="1"/>
        <v>604.33000000000004</v>
      </c>
    </row>
    <row r="12" spans="1:9" x14ac:dyDescent="0.2">
      <c r="A12" s="23">
        <f t="shared" si="0"/>
        <v>8</v>
      </c>
      <c r="B12" s="54">
        <v>45919</v>
      </c>
      <c r="C12" s="55" t="s">
        <v>314</v>
      </c>
      <c r="D12" s="56" t="s">
        <v>173</v>
      </c>
      <c r="E12" s="56" t="s">
        <v>174</v>
      </c>
      <c r="F12" s="55" t="s">
        <v>54</v>
      </c>
      <c r="G12" s="61">
        <v>200</v>
      </c>
      <c r="H12" s="59">
        <v>1</v>
      </c>
      <c r="I12" s="26">
        <f t="shared" si="1"/>
        <v>200</v>
      </c>
    </row>
    <row r="13" spans="1:9" x14ac:dyDescent="0.2">
      <c r="A13" s="23">
        <f t="shared" si="0"/>
        <v>9</v>
      </c>
      <c r="B13" s="54">
        <v>45944</v>
      </c>
      <c r="C13" s="55" t="s">
        <v>323</v>
      </c>
      <c r="D13" s="56" t="s">
        <v>324</v>
      </c>
      <c r="E13" s="56" t="s">
        <v>149</v>
      </c>
      <c r="F13" s="55" t="s">
        <v>54</v>
      </c>
      <c r="G13" s="61">
        <v>525</v>
      </c>
      <c r="H13" s="59">
        <v>1</v>
      </c>
      <c r="I13" s="26">
        <f t="shared" si="1"/>
        <v>525</v>
      </c>
    </row>
    <row r="14" spans="1:9" x14ac:dyDescent="0.2">
      <c r="A14" s="23">
        <f t="shared" si="0"/>
        <v>10</v>
      </c>
      <c r="B14" s="54">
        <v>45954</v>
      </c>
      <c r="C14" s="55" t="s">
        <v>314</v>
      </c>
      <c r="D14" s="56" t="s">
        <v>208</v>
      </c>
      <c r="E14" s="56" t="s">
        <v>209</v>
      </c>
      <c r="F14" s="55" t="s">
        <v>54</v>
      </c>
      <c r="G14" s="61">
        <v>20.12</v>
      </c>
      <c r="H14" s="59">
        <v>1</v>
      </c>
      <c r="I14" s="26">
        <f t="shared" si="1"/>
        <v>20.12</v>
      </c>
    </row>
    <row r="15" spans="1:9" x14ac:dyDescent="0.2">
      <c r="A15" s="23">
        <f t="shared" si="0"/>
        <v>11</v>
      </c>
      <c r="B15" s="54">
        <v>45968</v>
      </c>
      <c r="C15" s="55" t="s">
        <v>314</v>
      </c>
      <c r="D15" s="56" t="s">
        <v>320</v>
      </c>
      <c r="E15" s="56" t="s">
        <v>172</v>
      </c>
      <c r="F15" s="55" t="s">
        <v>54</v>
      </c>
      <c r="G15" s="61">
        <v>40.799999999999997</v>
      </c>
      <c r="H15" s="59">
        <v>1</v>
      </c>
      <c r="I15" s="26">
        <f t="shared" si="1"/>
        <v>40.799999999999997</v>
      </c>
    </row>
    <row r="16" spans="1:9" x14ac:dyDescent="0.2">
      <c r="A16" s="23">
        <f t="shared" si="0"/>
        <v>12</v>
      </c>
      <c r="B16" s="54">
        <v>45981</v>
      </c>
      <c r="C16" s="55" t="s">
        <v>314</v>
      </c>
      <c r="D16" s="56" t="s">
        <v>228</v>
      </c>
      <c r="E16" s="56" t="s">
        <v>229</v>
      </c>
      <c r="F16" s="55" t="s">
        <v>54</v>
      </c>
      <c r="G16" s="61">
        <v>296.38</v>
      </c>
      <c r="H16" s="59">
        <v>1</v>
      </c>
      <c r="I16" s="26">
        <f t="shared" si="1"/>
        <v>296.38</v>
      </c>
    </row>
    <row r="17" spans="1:9" x14ac:dyDescent="0.2">
      <c r="A17" s="23">
        <f t="shared" si="0"/>
        <v>13</v>
      </c>
      <c r="B17" s="54">
        <v>46038</v>
      </c>
      <c r="C17" s="55" t="s">
        <v>314</v>
      </c>
      <c r="D17" s="56" t="s">
        <v>267</v>
      </c>
      <c r="E17" s="56" t="s">
        <v>268</v>
      </c>
      <c r="F17" s="55" t="s">
        <v>54</v>
      </c>
      <c r="G17" s="61">
        <v>230</v>
      </c>
      <c r="H17" s="59">
        <v>1</v>
      </c>
      <c r="I17" s="26">
        <f t="shared" si="1"/>
        <v>230</v>
      </c>
    </row>
    <row r="18" spans="1:9" x14ac:dyDescent="0.2">
      <c r="A18" s="23">
        <f t="shared" si="0"/>
        <v>14</v>
      </c>
      <c r="B18" s="54">
        <v>46045</v>
      </c>
      <c r="C18" s="55" t="s">
        <v>323</v>
      </c>
      <c r="D18" s="56" t="s">
        <v>325</v>
      </c>
      <c r="E18" s="56" t="s">
        <v>249</v>
      </c>
      <c r="F18" s="55" t="s">
        <v>54</v>
      </c>
      <c r="G18" s="61">
        <v>640</v>
      </c>
      <c r="H18" s="59">
        <v>1</v>
      </c>
      <c r="I18" s="26">
        <f t="shared" si="1"/>
        <v>640</v>
      </c>
    </row>
    <row r="19" spans="1:9" x14ac:dyDescent="0.2">
      <c r="A19" s="23">
        <f t="shared" si="0"/>
        <v>15</v>
      </c>
      <c r="B19" s="54">
        <v>46048</v>
      </c>
      <c r="C19" s="55" t="s">
        <v>314</v>
      </c>
      <c r="D19" s="56" t="s">
        <v>208</v>
      </c>
      <c r="E19" s="56" t="s">
        <v>209</v>
      </c>
      <c r="F19" s="55" t="s">
        <v>54</v>
      </c>
      <c r="G19" s="61">
        <v>19.77</v>
      </c>
      <c r="H19" s="59">
        <v>1</v>
      </c>
      <c r="I19" s="26">
        <f t="shared" si="1"/>
        <v>19.77</v>
      </c>
    </row>
    <row r="20" spans="1:9" x14ac:dyDescent="0.2">
      <c r="A20" s="23">
        <f t="shared" si="0"/>
        <v>16</v>
      </c>
      <c r="B20" s="54">
        <v>46078</v>
      </c>
      <c r="C20" s="55" t="s">
        <v>323</v>
      </c>
      <c r="D20" s="56" t="s">
        <v>326</v>
      </c>
      <c r="E20" s="56" t="s">
        <v>279</v>
      </c>
      <c r="F20" s="55" t="s">
        <v>54</v>
      </c>
      <c r="G20" s="61">
        <v>1550</v>
      </c>
      <c r="H20" s="59">
        <v>1</v>
      </c>
      <c r="I20" s="26">
        <f t="shared" si="1"/>
        <v>1550</v>
      </c>
    </row>
    <row r="21" spans="1:9" x14ac:dyDescent="0.2">
      <c r="A21" s="23">
        <f t="shared" si="0"/>
        <v>17</v>
      </c>
      <c r="B21" s="54">
        <v>46081</v>
      </c>
      <c r="C21" s="55" t="s">
        <v>317</v>
      </c>
      <c r="D21" s="56" t="s">
        <v>327</v>
      </c>
      <c r="E21" s="56" t="s">
        <v>277</v>
      </c>
      <c r="F21" s="55" t="s">
        <v>54</v>
      </c>
      <c r="G21" s="61">
        <v>57.28</v>
      </c>
      <c r="H21" s="59">
        <v>1</v>
      </c>
      <c r="I21" s="26">
        <f t="shared" si="1"/>
        <v>57.28</v>
      </c>
    </row>
    <row r="22" spans="1:9" x14ac:dyDescent="0.2">
      <c r="A22" s="23">
        <f t="shared" si="0"/>
        <v>18</v>
      </c>
      <c r="B22" s="54">
        <v>46099</v>
      </c>
      <c r="C22" s="55" t="s">
        <v>321</v>
      </c>
      <c r="D22" s="56" t="s">
        <v>322</v>
      </c>
      <c r="E22" s="56" t="s">
        <v>155</v>
      </c>
      <c r="F22" s="55" t="s">
        <v>54</v>
      </c>
      <c r="G22" s="61">
        <v>815.61</v>
      </c>
      <c r="H22" s="59">
        <v>1</v>
      </c>
      <c r="I22" s="26">
        <f t="shared" si="1"/>
        <v>815.61</v>
      </c>
    </row>
    <row r="23" spans="1:9" x14ac:dyDescent="0.2">
      <c r="A23" s="23">
        <f t="shared" si="0"/>
        <v>19</v>
      </c>
      <c r="B23" s="54">
        <v>46101</v>
      </c>
      <c r="C23" s="55" t="s">
        <v>314</v>
      </c>
      <c r="D23" s="56" t="s">
        <v>289</v>
      </c>
      <c r="E23" s="56" t="s">
        <v>290</v>
      </c>
      <c r="F23" s="55" t="s">
        <v>54</v>
      </c>
      <c r="G23" s="61">
        <v>78</v>
      </c>
      <c r="H23" s="59">
        <v>1</v>
      </c>
      <c r="I23" s="26">
        <f t="shared" si="1"/>
        <v>78</v>
      </c>
    </row>
    <row r="24" spans="1:9" x14ac:dyDescent="0.2">
      <c r="A24" s="23">
        <f t="shared" si="0"/>
        <v>20</v>
      </c>
      <c r="B24" s="54">
        <v>46112</v>
      </c>
      <c r="C24" s="55" t="s">
        <v>317</v>
      </c>
      <c r="D24" s="56" t="s">
        <v>327</v>
      </c>
      <c r="E24" s="56" t="s">
        <v>277</v>
      </c>
      <c r="F24" s="55" t="s">
        <v>54</v>
      </c>
      <c r="G24" s="61">
        <v>4.8</v>
      </c>
      <c r="H24" s="59">
        <v>1</v>
      </c>
      <c r="I24" s="26">
        <f t="shared" si="1"/>
        <v>4.8</v>
      </c>
    </row>
    <row r="25" spans="1:9" x14ac:dyDescent="0.2">
      <c r="A25" s="23">
        <f t="shared" si="0"/>
        <v>21</v>
      </c>
      <c r="B25" s="54">
        <v>46112</v>
      </c>
      <c r="C25" s="55" t="s">
        <v>317</v>
      </c>
      <c r="D25" s="56" t="s">
        <v>328</v>
      </c>
      <c r="E25" s="56" t="s">
        <v>279</v>
      </c>
      <c r="F25" s="55" t="s">
        <v>54</v>
      </c>
      <c r="G25" s="61">
        <v>2.0099999999999998</v>
      </c>
      <c r="H25" s="59">
        <v>1</v>
      </c>
      <c r="I25" s="26">
        <f t="shared" si="1"/>
        <v>2.0099999999999998</v>
      </c>
    </row>
    <row r="26" spans="1:9" x14ac:dyDescent="0.2">
      <c r="A26" s="23">
        <f t="shared" si="0"/>
        <v>22</v>
      </c>
      <c r="B26" s="54">
        <v>46119</v>
      </c>
      <c r="C26" s="55" t="s">
        <v>314</v>
      </c>
      <c r="D26" s="56" t="s">
        <v>284</v>
      </c>
      <c r="E26" s="56" t="s">
        <v>285</v>
      </c>
      <c r="F26" s="55" t="s">
        <v>54</v>
      </c>
      <c r="G26" s="61">
        <v>157.5</v>
      </c>
      <c r="H26" s="59">
        <v>1</v>
      </c>
      <c r="I26" s="26">
        <f t="shared" si="1"/>
        <v>157.5</v>
      </c>
    </row>
    <row r="27" spans="1:9" x14ac:dyDescent="0.2">
      <c r="A27" s="23">
        <f t="shared" si="0"/>
        <v>23</v>
      </c>
      <c r="B27" s="54">
        <v>46126</v>
      </c>
      <c r="C27" s="55" t="s">
        <v>323</v>
      </c>
      <c r="D27" s="56" t="s">
        <v>324</v>
      </c>
      <c r="E27" s="56" t="s">
        <v>149</v>
      </c>
      <c r="F27" s="55" t="s">
        <v>54</v>
      </c>
      <c r="G27" s="61">
        <v>525</v>
      </c>
      <c r="H27" s="59">
        <v>1</v>
      </c>
      <c r="I27" s="26">
        <f t="shared" si="1"/>
        <v>525</v>
      </c>
    </row>
    <row r="28" spans="1:9" x14ac:dyDescent="0.2">
      <c r="A28" s="23">
        <f t="shared" si="0"/>
        <v>24</v>
      </c>
      <c r="B28" s="54">
        <v>46128</v>
      </c>
      <c r="C28" s="55" t="s">
        <v>321</v>
      </c>
      <c r="D28" s="56" t="s">
        <v>329</v>
      </c>
      <c r="E28" s="56" t="s">
        <v>296</v>
      </c>
      <c r="F28" s="55" t="s">
        <v>54</v>
      </c>
      <c r="G28" s="61">
        <v>11.49</v>
      </c>
      <c r="H28" s="59">
        <v>1</v>
      </c>
      <c r="I28" s="26">
        <f t="shared" si="1"/>
        <v>11.49</v>
      </c>
    </row>
    <row r="29" spans="1:9" x14ac:dyDescent="0.2">
      <c r="A29" s="23">
        <f t="shared" si="0"/>
        <v>25</v>
      </c>
      <c r="B29" s="54">
        <v>46129</v>
      </c>
      <c r="C29" s="55" t="s">
        <v>314</v>
      </c>
      <c r="D29" s="56" t="s">
        <v>163</v>
      </c>
      <c r="E29" s="56" t="s">
        <v>164</v>
      </c>
      <c r="F29" s="55" t="s">
        <v>54</v>
      </c>
      <c r="G29" s="61">
        <v>1084.5</v>
      </c>
      <c r="H29" s="59">
        <v>1</v>
      </c>
      <c r="I29" s="26">
        <f t="shared" si="1"/>
        <v>1084.5</v>
      </c>
    </row>
    <row r="30" spans="1:9" x14ac:dyDescent="0.2">
      <c r="A30" s="23">
        <f t="shared" si="0"/>
        <v>26</v>
      </c>
      <c r="B30" s="54">
        <v>46139</v>
      </c>
      <c r="C30" s="55" t="s">
        <v>314</v>
      </c>
      <c r="D30" s="56" t="s">
        <v>208</v>
      </c>
      <c r="E30" s="56" t="s">
        <v>209</v>
      </c>
      <c r="F30" s="55" t="s">
        <v>54</v>
      </c>
      <c r="G30" s="61">
        <v>19.940000000000001</v>
      </c>
      <c r="H30" s="59">
        <v>1</v>
      </c>
      <c r="I30" s="26">
        <f t="shared" si="1"/>
        <v>19.940000000000001</v>
      </c>
    </row>
    <row r="31" spans="1:9" x14ac:dyDescent="0.2">
      <c r="A31" s="23">
        <f t="shared" si="0"/>
        <v>27</v>
      </c>
      <c r="B31" s="54">
        <v>46142</v>
      </c>
      <c r="C31" s="55" t="s">
        <v>314</v>
      </c>
      <c r="D31" s="56" t="s">
        <v>330</v>
      </c>
      <c r="E31" s="56" t="s">
        <v>216</v>
      </c>
      <c r="F31" s="55" t="s">
        <v>54</v>
      </c>
      <c r="G31" s="61">
        <v>450</v>
      </c>
      <c r="H31" s="59">
        <v>1</v>
      </c>
      <c r="I31" s="26">
        <f t="shared" si="1"/>
        <v>450</v>
      </c>
    </row>
    <row r="32" spans="1:9" x14ac:dyDescent="0.2">
      <c r="A32" s="23" t="str">
        <f t="shared" si="0"/>
        <v/>
      </c>
      <c r="B32" s="22"/>
      <c r="C32" s="24"/>
      <c r="D32" s="15"/>
      <c r="E32" s="15"/>
      <c r="F32" s="24"/>
      <c r="G32" s="25"/>
      <c r="H32" s="21"/>
      <c r="I32" s="26" t="str">
        <f t="shared" si="1"/>
        <v/>
      </c>
    </row>
    <row r="33" spans="1:9" x14ac:dyDescent="0.2">
      <c r="A33" s="23" t="str">
        <f t="shared" si="0"/>
        <v/>
      </c>
      <c r="B33" s="22"/>
      <c r="C33" s="24"/>
      <c r="D33" s="15"/>
      <c r="E33" s="15"/>
      <c r="F33" s="24"/>
      <c r="G33" s="25"/>
      <c r="H33" s="21"/>
      <c r="I33" s="26" t="str">
        <f t="shared" si="1"/>
        <v/>
      </c>
    </row>
    <row r="34" spans="1:9" x14ac:dyDescent="0.2">
      <c r="A34" s="23" t="str">
        <f t="shared" si="0"/>
        <v/>
      </c>
      <c r="B34" s="22"/>
      <c r="C34" s="24"/>
      <c r="D34" s="15"/>
      <c r="E34" s="15"/>
      <c r="F34" s="24"/>
      <c r="G34" s="25"/>
      <c r="H34" s="21"/>
      <c r="I34" s="26" t="str">
        <f t="shared" si="1"/>
        <v/>
      </c>
    </row>
    <row r="35" spans="1:9" x14ac:dyDescent="0.2">
      <c r="A35" s="23" t="str">
        <f t="shared" si="0"/>
        <v/>
      </c>
      <c r="B35" s="22"/>
      <c r="C35" s="24"/>
      <c r="D35" s="15"/>
      <c r="E35" s="15"/>
      <c r="F35" s="24"/>
      <c r="G35" s="25"/>
      <c r="H35" s="21"/>
      <c r="I35" s="26" t="str">
        <f t="shared" si="1"/>
        <v/>
      </c>
    </row>
    <row r="36" spans="1:9" x14ac:dyDescent="0.2">
      <c r="A36" s="23" t="str">
        <f t="shared" si="0"/>
        <v/>
      </c>
      <c r="B36" s="22"/>
      <c r="C36" s="24"/>
      <c r="D36" s="15"/>
      <c r="E36" s="15"/>
      <c r="F36" s="24"/>
      <c r="G36" s="25"/>
      <c r="H36" s="21"/>
      <c r="I36" s="26" t="str">
        <f t="shared" si="1"/>
        <v/>
      </c>
    </row>
    <row r="37" spans="1:9" x14ac:dyDescent="0.2">
      <c r="A37" s="23" t="str">
        <f t="shared" si="0"/>
        <v/>
      </c>
      <c r="B37" s="22"/>
      <c r="C37" s="24"/>
      <c r="D37" s="15"/>
      <c r="E37" s="15"/>
      <c r="F37" s="24"/>
      <c r="G37" s="25"/>
      <c r="H37" s="21"/>
      <c r="I37" s="26" t="str">
        <f t="shared" si="1"/>
        <v/>
      </c>
    </row>
    <row r="38" spans="1:9" x14ac:dyDescent="0.2">
      <c r="A38" s="23" t="str">
        <f t="shared" si="0"/>
        <v/>
      </c>
      <c r="B38" s="22"/>
      <c r="C38" s="24"/>
      <c r="D38" s="15"/>
      <c r="E38" s="15"/>
      <c r="F38" s="24"/>
      <c r="G38" s="25"/>
      <c r="H38" s="21"/>
      <c r="I38" s="26" t="str">
        <f t="shared" si="1"/>
        <v/>
      </c>
    </row>
    <row r="39" spans="1:9" x14ac:dyDescent="0.2">
      <c r="A39" s="23" t="str">
        <f t="shared" si="0"/>
        <v/>
      </c>
      <c r="B39" s="22"/>
      <c r="C39" s="24"/>
      <c r="D39" s="15"/>
      <c r="E39" s="15"/>
      <c r="F39" s="24"/>
      <c r="G39" s="25"/>
      <c r="H39" s="21"/>
      <c r="I39" s="26" t="str">
        <f t="shared" si="1"/>
        <v/>
      </c>
    </row>
    <row r="40" spans="1:9" x14ac:dyDescent="0.2">
      <c r="A40" s="23" t="str">
        <f t="shared" si="0"/>
        <v/>
      </c>
      <c r="B40" s="22"/>
      <c r="C40" s="24"/>
      <c r="D40" s="15"/>
      <c r="E40" s="15"/>
      <c r="F40" s="24"/>
      <c r="G40" s="25"/>
      <c r="H40" s="21"/>
      <c r="I40" s="26" t="str">
        <f t="shared" si="1"/>
        <v/>
      </c>
    </row>
    <row r="41" spans="1:9" x14ac:dyDescent="0.2">
      <c r="A41" s="23" t="str">
        <f t="shared" si="0"/>
        <v/>
      </c>
      <c r="B41" s="22"/>
      <c r="C41" s="24"/>
      <c r="D41" s="15"/>
      <c r="E41" s="15"/>
      <c r="F41" s="24"/>
      <c r="G41" s="25"/>
      <c r="H41" s="21"/>
      <c r="I41" s="26" t="str">
        <f t="shared" si="1"/>
        <v/>
      </c>
    </row>
    <row r="42" spans="1:9" x14ac:dyDescent="0.2">
      <c r="A42" s="23" t="str">
        <f t="shared" si="0"/>
        <v/>
      </c>
      <c r="B42" s="22"/>
      <c r="C42" s="24"/>
      <c r="D42" s="15"/>
      <c r="E42" s="15"/>
      <c r="F42" s="24"/>
      <c r="G42" s="25"/>
      <c r="H42" s="21"/>
      <c r="I42" s="26" t="str">
        <f t="shared" si="1"/>
        <v/>
      </c>
    </row>
    <row r="43" spans="1:9" x14ac:dyDescent="0.2">
      <c r="A43" s="23" t="str">
        <f t="shared" si="0"/>
        <v/>
      </c>
      <c r="B43" s="22"/>
      <c r="C43" s="24"/>
      <c r="D43" s="15"/>
      <c r="E43" s="15"/>
      <c r="F43" s="24"/>
      <c r="G43" s="25"/>
      <c r="H43" s="21"/>
      <c r="I43" s="26" t="str">
        <f t="shared" si="1"/>
        <v/>
      </c>
    </row>
    <row r="44" spans="1:9" x14ac:dyDescent="0.2">
      <c r="A44" s="23" t="str">
        <f t="shared" si="0"/>
        <v/>
      </c>
      <c r="B44" s="22"/>
      <c r="C44" s="24"/>
      <c r="D44" s="15"/>
      <c r="E44" s="15"/>
      <c r="F44" s="24"/>
      <c r="G44" s="25"/>
      <c r="H44" s="21"/>
      <c r="I44" s="26" t="str">
        <f t="shared" si="1"/>
        <v/>
      </c>
    </row>
    <row r="45" spans="1:9" x14ac:dyDescent="0.2">
      <c r="A45" s="23" t="str">
        <f t="shared" si="0"/>
        <v/>
      </c>
      <c r="B45" s="22"/>
      <c r="C45" s="24"/>
      <c r="D45" s="15"/>
      <c r="E45" s="15"/>
      <c r="F45" s="24"/>
      <c r="G45" s="25"/>
      <c r="H45" s="21"/>
      <c r="I45" s="26" t="str">
        <f t="shared" si="1"/>
        <v/>
      </c>
    </row>
    <row r="46" spans="1:9" x14ac:dyDescent="0.2">
      <c r="A46" s="23" t="str">
        <f t="shared" si="0"/>
        <v/>
      </c>
      <c r="B46" s="22"/>
      <c r="C46" s="24"/>
      <c r="D46" s="15"/>
      <c r="E46" s="15"/>
      <c r="F46" s="24"/>
      <c r="G46" s="25"/>
      <c r="H46" s="21"/>
      <c r="I46" s="26" t="str">
        <f t="shared" si="1"/>
        <v/>
      </c>
    </row>
    <row r="47" spans="1:9" x14ac:dyDescent="0.2">
      <c r="A47" s="23" t="str">
        <f t="shared" si="0"/>
        <v/>
      </c>
      <c r="B47" s="22"/>
      <c r="C47" s="24"/>
      <c r="D47" s="15"/>
      <c r="E47" s="15"/>
      <c r="F47" s="24"/>
      <c r="G47" s="25"/>
      <c r="H47" s="21"/>
      <c r="I47" s="26" t="str">
        <f t="shared" si="1"/>
        <v/>
      </c>
    </row>
    <row r="48" spans="1:9" x14ac:dyDescent="0.2">
      <c r="A48" s="23" t="str">
        <f t="shared" si="0"/>
        <v/>
      </c>
      <c r="B48" s="22"/>
      <c r="C48" s="24"/>
      <c r="D48" s="15"/>
      <c r="E48" s="15"/>
      <c r="F48" s="24"/>
      <c r="G48" s="25"/>
      <c r="H48" s="21"/>
      <c r="I48" s="26" t="str">
        <f t="shared" si="1"/>
        <v/>
      </c>
    </row>
    <row r="49" spans="1:9" x14ac:dyDescent="0.2">
      <c r="A49" s="23" t="str">
        <f t="shared" si="0"/>
        <v/>
      </c>
      <c r="B49" s="22"/>
      <c r="C49" s="24"/>
      <c r="D49" s="15"/>
      <c r="E49" s="15"/>
      <c r="F49" s="24"/>
      <c r="G49" s="25"/>
      <c r="H49" s="21"/>
      <c r="I49" s="26" t="str">
        <f t="shared" si="1"/>
        <v/>
      </c>
    </row>
    <row r="50" spans="1:9" x14ac:dyDescent="0.2">
      <c r="A50" s="23" t="str">
        <f t="shared" si="0"/>
        <v/>
      </c>
      <c r="B50" s="22"/>
      <c r="C50" s="24"/>
      <c r="D50" s="15"/>
      <c r="E50" s="15"/>
      <c r="F50" s="24"/>
      <c r="G50" s="25"/>
      <c r="H50" s="21"/>
      <c r="I50" s="26" t="str">
        <f t="shared" si="1"/>
        <v/>
      </c>
    </row>
    <row r="51" spans="1:9" x14ac:dyDescent="0.2">
      <c r="A51" s="23" t="str">
        <f t="shared" si="0"/>
        <v/>
      </c>
      <c r="B51" s="22"/>
      <c r="C51" s="24"/>
      <c r="D51" s="15"/>
      <c r="E51" s="15"/>
      <c r="F51" s="24"/>
      <c r="G51" s="25"/>
      <c r="H51" s="21"/>
      <c r="I51" s="26" t="str">
        <f t="shared" si="1"/>
        <v/>
      </c>
    </row>
    <row r="52" spans="1:9" x14ac:dyDescent="0.2">
      <c r="A52" s="23" t="str">
        <f t="shared" si="0"/>
        <v/>
      </c>
      <c r="B52" s="22"/>
      <c r="C52" s="24"/>
      <c r="D52" s="15"/>
      <c r="E52" s="15"/>
      <c r="F52" s="24"/>
      <c r="G52" s="25"/>
      <c r="H52" s="21"/>
      <c r="I52" s="26" t="str">
        <f t="shared" si="1"/>
        <v/>
      </c>
    </row>
    <row r="53" spans="1:9" x14ac:dyDescent="0.2">
      <c r="A53" s="23" t="str">
        <f t="shared" si="0"/>
        <v/>
      </c>
      <c r="B53" s="22"/>
      <c r="C53" s="24"/>
      <c r="D53" s="15"/>
      <c r="E53" s="15"/>
      <c r="F53" s="24"/>
      <c r="G53" s="25"/>
      <c r="H53" s="21"/>
      <c r="I53" s="26" t="str">
        <f t="shared" si="1"/>
        <v/>
      </c>
    </row>
    <row r="54" spans="1:9" x14ac:dyDescent="0.2">
      <c r="A54" s="23" t="str">
        <f t="shared" si="0"/>
        <v/>
      </c>
      <c r="B54" s="22"/>
      <c r="C54" s="24"/>
      <c r="D54" s="15"/>
      <c r="E54" s="15"/>
      <c r="F54" s="24"/>
      <c r="G54" s="25"/>
      <c r="H54" s="21"/>
      <c r="I54" s="26" t="str">
        <f t="shared" si="1"/>
        <v/>
      </c>
    </row>
    <row r="55" spans="1:9" x14ac:dyDescent="0.2">
      <c r="A55" s="23" t="str">
        <f t="shared" si="0"/>
        <v/>
      </c>
      <c r="B55" s="22"/>
      <c r="C55" s="24"/>
      <c r="D55" s="15"/>
      <c r="E55" s="15"/>
      <c r="F55" s="24"/>
      <c r="G55" s="25"/>
      <c r="H55" s="21"/>
      <c r="I55" s="26" t="str">
        <f t="shared" si="1"/>
        <v/>
      </c>
    </row>
    <row r="56" spans="1:9" x14ac:dyDescent="0.2">
      <c r="A56" s="23" t="str">
        <f t="shared" si="0"/>
        <v/>
      </c>
      <c r="B56" s="22"/>
      <c r="C56" s="24"/>
      <c r="D56" s="15"/>
      <c r="E56" s="15"/>
      <c r="F56" s="24"/>
      <c r="G56" s="25"/>
      <c r="H56" s="21"/>
      <c r="I56" s="26" t="str">
        <f t="shared" si="1"/>
        <v/>
      </c>
    </row>
    <row r="57" spans="1:9" x14ac:dyDescent="0.2">
      <c r="A57" s="23" t="str">
        <f t="shared" si="0"/>
        <v/>
      </c>
      <c r="B57" s="22"/>
      <c r="C57" s="24"/>
      <c r="D57" s="15"/>
      <c r="E57" s="15"/>
      <c r="F57" s="24"/>
      <c r="G57" s="25"/>
      <c r="H57" s="21"/>
      <c r="I57" s="26" t="str">
        <f t="shared" si="1"/>
        <v/>
      </c>
    </row>
    <row r="58" spans="1:9" x14ac:dyDescent="0.2">
      <c r="A58" s="23" t="str">
        <f t="shared" si="0"/>
        <v/>
      </c>
      <c r="B58" s="22"/>
      <c r="C58" s="24"/>
      <c r="D58" s="15"/>
      <c r="E58" s="15"/>
      <c r="F58" s="24"/>
      <c r="G58" s="25"/>
      <c r="H58" s="21"/>
      <c r="I58" s="26" t="str">
        <f t="shared" si="1"/>
        <v/>
      </c>
    </row>
    <row r="59" spans="1:9" x14ac:dyDescent="0.2">
      <c r="A59" s="23" t="str">
        <f t="shared" si="0"/>
        <v/>
      </c>
      <c r="B59" s="22"/>
      <c r="C59" s="24"/>
      <c r="D59" s="15"/>
      <c r="E59" s="15"/>
      <c r="F59" s="24"/>
      <c r="G59" s="25"/>
      <c r="H59" s="21"/>
      <c r="I59" s="26" t="str">
        <f t="shared" si="1"/>
        <v/>
      </c>
    </row>
    <row r="60" spans="1:9" x14ac:dyDescent="0.2">
      <c r="A60" s="23" t="str">
        <f t="shared" si="0"/>
        <v/>
      </c>
      <c r="B60" s="22"/>
      <c r="C60" s="24"/>
      <c r="D60" s="15"/>
      <c r="E60" s="15"/>
      <c r="F60" s="24"/>
      <c r="G60" s="25"/>
      <c r="H60" s="21"/>
      <c r="I60" s="26" t="str">
        <f t="shared" si="1"/>
        <v/>
      </c>
    </row>
    <row r="61" spans="1:9" x14ac:dyDescent="0.2">
      <c r="A61" s="23" t="str">
        <f t="shared" si="0"/>
        <v/>
      </c>
      <c r="B61" s="22"/>
      <c r="C61" s="24"/>
      <c r="D61" s="15"/>
      <c r="E61" s="15"/>
      <c r="F61" s="24"/>
      <c r="G61" s="25"/>
      <c r="H61" s="21"/>
      <c r="I61" s="26" t="str">
        <f t="shared" si="1"/>
        <v/>
      </c>
    </row>
    <row r="62" spans="1:9" x14ac:dyDescent="0.2">
      <c r="A62" s="23" t="str">
        <f t="shared" si="0"/>
        <v/>
      </c>
      <c r="B62" s="22"/>
      <c r="C62" s="24"/>
      <c r="D62" s="15"/>
      <c r="E62" s="15"/>
      <c r="F62" s="24"/>
      <c r="G62" s="25"/>
      <c r="H62" s="21"/>
      <c r="I62" s="26" t="str">
        <f t="shared" si="1"/>
        <v/>
      </c>
    </row>
    <row r="63" spans="1:9" x14ac:dyDescent="0.2">
      <c r="A63" s="23" t="str">
        <f t="shared" si="0"/>
        <v/>
      </c>
      <c r="B63" s="22"/>
      <c r="C63" s="24"/>
      <c r="D63" s="15"/>
      <c r="E63" s="15"/>
      <c r="F63" s="24"/>
      <c r="G63" s="25"/>
      <c r="H63" s="21"/>
      <c r="I63" s="26" t="str">
        <f t="shared" si="1"/>
        <v/>
      </c>
    </row>
    <row r="64" spans="1:9" x14ac:dyDescent="0.2">
      <c r="A64" s="23" t="str">
        <f t="shared" si="0"/>
        <v/>
      </c>
      <c r="B64" s="22"/>
      <c r="C64" s="24"/>
      <c r="D64" s="15"/>
      <c r="E64" s="15"/>
      <c r="F64" s="24"/>
      <c r="G64" s="25"/>
      <c r="H64" s="21"/>
      <c r="I64" s="26" t="str">
        <f t="shared" si="1"/>
        <v/>
      </c>
    </row>
    <row r="65" spans="1:9" x14ac:dyDescent="0.2">
      <c r="A65" s="23" t="str">
        <f t="shared" si="0"/>
        <v/>
      </c>
      <c r="B65" s="22"/>
      <c r="C65" s="24"/>
      <c r="D65" s="15"/>
      <c r="E65" s="15"/>
      <c r="F65" s="24"/>
      <c r="G65" s="25"/>
      <c r="H65" s="21"/>
      <c r="I65" s="26" t="str">
        <f t="shared" si="1"/>
        <v/>
      </c>
    </row>
    <row r="66" spans="1:9" x14ac:dyDescent="0.2">
      <c r="A66" s="23" t="str">
        <f t="shared" si="0"/>
        <v/>
      </c>
      <c r="B66" s="22"/>
      <c r="C66" s="24"/>
      <c r="D66" s="15"/>
      <c r="E66" s="15"/>
      <c r="F66" s="24"/>
      <c r="G66" s="25"/>
      <c r="H66" s="21"/>
      <c r="I66" s="26" t="str">
        <f t="shared" si="1"/>
        <v/>
      </c>
    </row>
    <row r="67" spans="1:9" x14ac:dyDescent="0.2">
      <c r="A67" s="23" t="str">
        <f t="shared" si="0"/>
        <v/>
      </c>
      <c r="B67" s="22"/>
      <c r="C67" s="24"/>
      <c r="D67" s="15"/>
      <c r="E67" s="15"/>
      <c r="F67" s="24"/>
      <c r="G67" s="25"/>
      <c r="H67" s="21"/>
      <c r="I67" s="26" t="str">
        <f t="shared" si="1"/>
        <v/>
      </c>
    </row>
    <row r="68" spans="1:9" x14ac:dyDescent="0.2">
      <c r="A68" s="23" t="str">
        <f t="shared" si="0"/>
        <v/>
      </c>
      <c r="B68" s="22"/>
      <c r="C68" s="24"/>
      <c r="D68" s="15"/>
      <c r="E68" s="15"/>
      <c r="F68" s="24"/>
      <c r="G68" s="25"/>
      <c r="H68" s="21"/>
      <c r="I68" s="26" t="str">
        <f t="shared" si="1"/>
        <v/>
      </c>
    </row>
    <row r="69" spans="1:9" x14ac:dyDescent="0.2">
      <c r="A69" s="23" t="str">
        <f t="shared" ref="A69:A132" si="2">IF(B69="","",ROW()-4)</f>
        <v/>
      </c>
      <c r="B69" s="22"/>
      <c r="C69" s="24"/>
      <c r="D69" s="15"/>
      <c r="E69" s="15"/>
      <c r="F69" s="24"/>
      <c r="G69" s="25"/>
      <c r="H69" s="21"/>
      <c r="I69" s="26" t="str">
        <f t="shared" ref="I69:I132" si="3">IF(OR(G69="",H69=""),"",G69*H69)</f>
        <v/>
      </c>
    </row>
    <row r="70" spans="1:9" x14ac:dyDescent="0.2">
      <c r="A70" s="23" t="str">
        <f t="shared" si="2"/>
        <v/>
      </c>
      <c r="B70" s="22"/>
      <c r="C70" s="24"/>
      <c r="D70" s="15"/>
      <c r="E70" s="15"/>
      <c r="F70" s="24"/>
      <c r="G70" s="25"/>
      <c r="H70" s="21"/>
      <c r="I70" s="26" t="str">
        <f t="shared" si="3"/>
        <v/>
      </c>
    </row>
    <row r="71" spans="1:9" x14ac:dyDescent="0.2">
      <c r="A71" s="23" t="str">
        <f t="shared" si="2"/>
        <v/>
      </c>
      <c r="B71" s="22"/>
      <c r="C71" s="24"/>
      <c r="D71" s="15"/>
      <c r="E71" s="15"/>
      <c r="F71" s="24"/>
      <c r="G71" s="25"/>
      <c r="H71" s="21"/>
      <c r="I71" s="26" t="str">
        <f t="shared" si="3"/>
        <v/>
      </c>
    </row>
    <row r="72" spans="1:9" x14ac:dyDescent="0.2">
      <c r="A72" s="23" t="str">
        <f t="shared" si="2"/>
        <v/>
      </c>
      <c r="B72" s="22"/>
      <c r="C72" s="24"/>
      <c r="D72" s="15"/>
      <c r="E72" s="15"/>
      <c r="F72" s="24"/>
      <c r="G72" s="25"/>
      <c r="H72" s="21"/>
      <c r="I72" s="26" t="str">
        <f t="shared" si="3"/>
        <v/>
      </c>
    </row>
    <row r="73" spans="1:9" x14ac:dyDescent="0.2">
      <c r="A73" s="23" t="str">
        <f t="shared" si="2"/>
        <v/>
      </c>
      <c r="B73" s="22"/>
      <c r="C73" s="24"/>
      <c r="D73" s="15"/>
      <c r="E73" s="15"/>
      <c r="F73" s="24"/>
      <c r="G73" s="25"/>
      <c r="H73" s="21"/>
      <c r="I73" s="26" t="str">
        <f t="shared" si="3"/>
        <v/>
      </c>
    </row>
    <row r="74" spans="1:9" x14ac:dyDescent="0.2">
      <c r="A74" s="23" t="str">
        <f t="shared" si="2"/>
        <v/>
      </c>
      <c r="B74" s="22"/>
      <c r="C74" s="24"/>
      <c r="D74" s="15"/>
      <c r="E74" s="15"/>
      <c r="F74" s="24"/>
      <c r="G74" s="25"/>
      <c r="H74" s="21"/>
      <c r="I74" s="26" t="str">
        <f t="shared" si="3"/>
        <v/>
      </c>
    </row>
    <row r="75" spans="1:9" x14ac:dyDescent="0.2">
      <c r="A75" s="23" t="str">
        <f t="shared" si="2"/>
        <v/>
      </c>
      <c r="B75" s="22"/>
      <c r="C75" s="24"/>
      <c r="D75" s="15"/>
      <c r="E75" s="15"/>
      <c r="F75" s="24"/>
      <c r="G75" s="25"/>
      <c r="H75" s="21"/>
      <c r="I75" s="26" t="str">
        <f t="shared" si="3"/>
        <v/>
      </c>
    </row>
    <row r="76" spans="1:9" x14ac:dyDescent="0.2">
      <c r="A76" s="23" t="str">
        <f t="shared" si="2"/>
        <v/>
      </c>
      <c r="B76" s="22"/>
      <c r="C76" s="24"/>
      <c r="D76" s="15"/>
      <c r="E76" s="15"/>
      <c r="F76" s="24"/>
      <c r="G76" s="25"/>
      <c r="H76" s="21"/>
      <c r="I76" s="26" t="str">
        <f t="shared" si="3"/>
        <v/>
      </c>
    </row>
    <row r="77" spans="1:9" x14ac:dyDescent="0.2">
      <c r="A77" s="23" t="str">
        <f t="shared" si="2"/>
        <v/>
      </c>
      <c r="B77" s="22"/>
      <c r="C77" s="24"/>
      <c r="D77" s="15"/>
      <c r="E77" s="15"/>
      <c r="F77" s="24"/>
      <c r="G77" s="25"/>
      <c r="H77" s="21"/>
      <c r="I77" s="26" t="str">
        <f t="shared" si="3"/>
        <v/>
      </c>
    </row>
    <row r="78" spans="1:9" x14ac:dyDescent="0.2">
      <c r="A78" s="23" t="str">
        <f t="shared" si="2"/>
        <v/>
      </c>
      <c r="B78" s="22"/>
      <c r="C78" s="24"/>
      <c r="D78" s="15"/>
      <c r="E78" s="15"/>
      <c r="F78" s="24"/>
      <c r="G78" s="25"/>
      <c r="H78" s="21"/>
      <c r="I78" s="26" t="str">
        <f t="shared" si="3"/>
        <v/>
      </c>
    </row>
    <row r="79" spans="1:9" x14ac:dyDescent="0.2">
      <c r="A79" s="23" t="str">
        <f t="shared" si="2"/>
        <v/>
      </c>
      <c r="B79" s="22"/>
      <c r="C79" s="24"/>
      <c r="D79" s="15"/>
      <c r="E79" s="15"/>
      <c r="F79" s="24"/>
      <c r="G79" s="25"/>
      <c r="H79" s="21"/>
      <c r="I79" s="26" t="str">
        <f t="shared" si="3"/>
        <v/>
      </c>
    </row>
    <row r="80" spans="1:9" x14ac:dyDescent="0.2">
      <c r="A80" s="23" t="str">
        <f t="shared" si="2"/>
        <v/>
      </c>
      <c r="B80" s="22"/>
      <c r="C80" s="24"/>
      <c r="D80" s="15"/>
      <c r="E80" s="15"/>
      <c r="F80" s="24"/>
      <c r="G80" s="25"/>
      <c r="H80" s="21"/>
      <c r="I80" s="26" t="str">
        <f t="shared" si="3"/>
        <v/>
      </c>
    </row>
    <row r="81" spans="1:9" x14ac:dyDescent="0.2">
      <c r="A81" s="23" t="str">
        <f t="shared" si="2"/>
        <v/>
      </c>
      <c r="B81" s="22"/>
      <c r="C81" s="24"/>
      <c r="D81" s="15"/>
      <c r="E81" s="15"/>
      <c r="F81" s="24"/>
      <c r="G81" s="25"/>
      <c r="H81" s="21"/>
      <c r="I81" s="26" t="str">
        <f t="shared" si="3"/>
        <v/>
      </c>
    </row>
    <row r="82" spans="1:9" x14ac:dyDescent="0.2">
      <c r="A82" s="23" t="str">
        <f t="shared" si="2"/>
        <v/>
      </c>
      <c r="B82" s="22"/>
      <c r="C82" s="24"/>
      <c r="D82" s="15"/>
      <c r="E82" s="15"/>
      <c r="F82" s="24"/>
      <c r="G82" s="25"/>
      <c r="H82" s="21"/>
      <c r="I82" s="26" t="str">
        <f t="shared" si="3"/>
        <v/>
      </c>
    </row>
    <row r="83" spans="1:9" x14ac:dyDescent="0.2">
      <c r="A83" s="23" t="str">
        <f t="shared" si="2"/>
        <v/>
      </c>
      <c r="B83" s="22"/>
      <c r="C83" s="24"/>
      <c r="D83" s="15"/>
      <c r="E83" s="15"/>
      <c r="F83" s="24"/>
      <c r="G83" s="25"/>
      <c r="H83" s="21"/>
      <c r="I83" s="26" t="str">
        <f t="shared" si="3"/>
        <v/>
      </c>
    </row>
    <row r="84" spans="1:9" x14ac:dyDescent="0.2">
      <c r="A84" s="23" t="str">
        <f t="shared" si="2"/>
        <v/>
      </c>
      <c r="B84" s="22"/>
      <c r="C84" s="24"/>
      <c r="D84" s="15"/>
      <c r="E84" s="15"/>
      <c r="F84" s="24"/>
      <c r="G84" s="25"/>
      <c r="H84" s="21"/>
      <c r="I84" s="26" t="str">
        <f t="shared" si="3"/>
        <v/>
      </c>
    </row>
    <row r="85" spans="1:9" x14ac:dyDescent="0.2">
      <c r="A85" s="23" t="str">
        <f t="shared" si="2"/>
        <v/>
      </c>
      <c r="B85" s="22"/>
      <c r="C85" s="24"/>
      <c r="D85" s="15"/>
      <c r="E85" s="15"/>
      <c r="F85" s="24"/>
      <c r="G85" s="25"/>
      <c r="H85" s="21"/>
      <c r="I85" s="26" t="str">
        <f t="shared" si="3"/>
        <v/>
      </c>
    </row>
    <row r="86" spans="1:9" x14ac:dyDescent="0.2">
      <c r="A86" s="23" t="str">
        <f t="shared" si="2"/>
        <v/>
      </c>
      <c r="B86" s="22"/>
      <c r="C86" s="24"/>
      <c r="D86" s="15"/>
      <c r="E86" s="15"/>
      <c r="F86" s="24"/>
      <c r="G86" s="25"/>
      <c r="H86" s="21"/>
      <c r="I86" s="26" t="str">
        <f t="shared" si="3"/>
        <v/>
      </c>
    </row>
    <row r="87" spans="1:9" x14ac:dyDescent="0.2">
      <c r="A87" s="23" t="str">
        <f t="shared" si="2"/>
        <v/>
      </c>
      <c r="B87" s="22"/>
      <c r="C87" s="24"/>
      <c r="D87" s="15"/>
      <c r="E87" s="15"/>
      <c r="F87" s="24"/>
      <c r="G87" s="25"/>
      <c r="H87" s="21"/>
      <c r="I87" s="26" t="str">
        <f t="shared" si="3"/>
        <v/>
      </c>
    </row>
    <row r="88" spans="1:9" x14ac:dyDescent="0.2">
      <c r="A88" s="23" t="str">
        <f t="shared" si="2"/>
        <v/>
      </c>
      <c r="B88" s="22"/>
      <c r="C88" s="24"/>
      <c r="D88" s="15"/>
      <c r="E88" s="15"/>
      <c r="F88" s="24"/>
      <c r="G88" s="25"/>
      <c r="H88" s="21"/>
      <c r="I88" s="26" t="str">
        <f t="shared" si="3"/>
        <v/>
      </c>
    </row>
    <row r="89" spans="1:9" x14ac:dyDescent="0.2">
      <c r="A89" s="23" t="str">
        <f t="shared" si="2"/>
        <v/>
      </c>
      <c r="B89" s="22"/>
      <c r="C89" s="24"/>
      <c r="D89" s="15"/>
      <c r="E89" s="15"/>
      <c r="F89" s="24"/>
      <c r="G89" s="25"/>
      <c r="H89" s="21"/>
      <c r="I89" s="26" t="str">
        <f t="shared" si="3"/>
        <v/>
      </c>
    </row>
    <row r="90" spans="1:9" x14ac:dyDescent="0.2">
      <c r="A90" s="23" t="str">
        <f t="shared" si="2"/>
        <v/>
      </c>
      <c r="B90" s="22"/>
      <c r="C90" s="24"/>
      <c r="D90" s="15"/>
      <c r="E90" s="15"/>
      <c r="F90" s="24"/>
      <c r="G90" s="25"/>
      <c r="H90" s="21"/>
      <c r="I90" s="26" t="str">
        <f t="shared" si="3"/>
        <v/>
      </c>
    </row>
    <row r="91" spans="1:9" x14ac:dyDescent="0.2">
      <c r="A91" s="23" t="str">
        <f t="shared" si="2"/>
        <v/>
      </c>
      <c r="B91" s="22"/>
      <c r="C91" s="24"/>
      <c r="D91" s="15"/>
      <c r="E91" s="15"/>
      <c r="F91" s="24"/>
      <c r="G91" s="25"/>
      <c r="H91" s="21"/>
      <c r="I91" s="26" t="str">
        <f t="shared" si="3"/>
        <v/>
      </c>
    </row>
    <row r="92" spans="1:9" x14ac:dyDescent="0.2">
      <c r="A92" s="23" t="str">
        <f t="shared" si="2"/>
        <v/>
      </c>
      <c r="B92" s="22"/>
      <c r="C92" s="24"/>
      <c r="D92" s="15"/>
      <c r="E92" s="15"/>
      <c r="F92" s="24"/>
      <c r="G92" s="25"/>
      <c r="H92" s="21"/>
      <c r="I92" s="26" t="str">
        <f t="shared" si="3"/>
        <v/>
      </c>
    </row>
    <row r="93" spans="1:9" x14ac:dyDescent="0.2">
      <c r="A93" s="23" t="str">
        <f t="shared" si="2"/>
        <v/>
      </c>
      <c r="B93" s="22"/>
      <c r="C93" s="24"/>
      <c r="D93" s="15"/>
      <c r="E93" s="15"/>
      <c r="F93" s="24"/>
      <c r="G93" s="25"/>
      <c r="H93" s="21"/>
      <c r="I93" s="26" t="str">
        <f t="shared" si="3"/>
        <v/>
      </c>
    </row>
    <row r="94" spans="1:9" x14ac:dyDescent="0.2">
      <c r="A94" s="23" t="str">
        <f t="shared" si="2"/>
        <v/>
      </c>
      <c r="B94" s="22"/>
      <c r="C94" s="24"/>
      <c r="D94" s="15"/>
      <c r="E94" s="15"/>
      <c r="F94" s="24"/>
      <c r="G94" s="25"/>
      <c r="H94" s="21"/>
      <c r="I94" s="26" t="str">
        <f t="shared" si="3"/>
        <v/>
      </c>
    </row>
    <row r="95" spans="1:9" x14ac:dyDescent="0.2">
      <c r="A95" s="23" t="str">
        <f t="shared" si="2"/>
        <v/>
      </c>
      <c r="B95" s="22"/>
      <c r="C95" s="24"/>
      <c r="D95" s="15"/>
      <c r="E95" s="15"/>
      <c r="F95" s="24"/>
      <c r="G95" s="25"/>
      <c r="H95" s="21"/>
      <c r="I95" s="26" t="str">
        <f t="shared" si="3"/>
        <v/>
      </c>
    </row>
    <row r="96" spans="1:9" x14ac:dyDescent="0.2">
      <c r="A96" s="23" t="str">
        <f t="shared" si="2"/>
        <v/>
      </c>
      <c r="B96" s="22"/>
      <c r="C96" s="24"/>
      <c r="D96" s="15"/>
      <c r="E96" s="15"/>
      <c r="F96" s="24"/>
      <c r="G96" s="25"/>
      <c r="H96" s="21"/>
      <c r="I96" s="26" t="str">
        <f t="shared" si="3"/>
        <v/>
      </c>
    </row>
    <row r="97" spans="1:9" x14ac:dyDescent="0.2">
      <c r="A97" s="23" t="str">
        <f t="shared" si="2"/>
        <v/>
      </c>
      <c r="B97" s="22"/>
      <c r="C97" s="24"/>
      <c r="D97" s="15"/>
      <c r="E97" s="15"/>
      <c r="F97" s="24"/>
      <c r="G97" s="25"/>
      <c r="H97" s="21"/>
      <c r="I97" s="26" t="str">
        <f t="shared" si="3"/>
        <v/>
      </c>
    </row>
    <row r="98" spans="1:9" x14ac:dyDescent="0.2">
      <c r="A98" s="23" t="str">
        <f t="shared" si="2"/>
        <v/>
      </c>
      <c r="B98" s="22"/>
      <c r="C98" s="24"/>
      <c r="D98" s="15"/>
      <c r="E98" s="15"/>
      <c r="F98" s="24"/>
      <c r="G98" s="25"/>
      <c r="H98" s="21"/>
      <c r="I98" s="26" t="str">
        <f t="shared" si="3"/>
        <v/>
      </c>
    </row>
    <row r="99" spans="1:9" x14ac:dyDescent="0.2">
      <c r="A99" s="23" t="str">
        <f t="shared" si="2"/>
        <v/>
      </c>
      <c r="B99" s="22"/>
      <c r="C99" s="24"/>
      <c r="D99" s="15"/>
      <c r="E99" s="15"/>
      <c r="F99" s="24"/>
      <c r="G99" s="25"/>
      <c r="H99" s="21"/>
      <c r="I99" s="26" t="str">
        <f t="shared" si="3"/>
        <v/>
      </c>
    </row>
    <row r="100" spans="1:9" x14ac:dyDescent="0.2">
      <c r="A100" s="23" t="str">
        <f t="shared" si="2"/>
        <v/>
      </c>
      <c r="B100" s="22"/>
      <c r="C100" s="24"/>
      <c r="D100" s="15"/>
      <c r="E100" s="15"/>
      <c r="F100" s="24"/>
      <c r="G100" s="25"/>
      <c r="H100" s="21"/>
      <c r="I100" s="26" t="str">
        <f t="shared" si="3"/>
        <v/>
      </c>
    </row>
    <row r="101" spans="1:9" x14ac:dyDescent="0.2">
      <c r="A101" s="23" t="str">
        <f t="shared" si="2"/>
        <v/>
      </c>
      <c r="B101" s="22"/>
      <c r="C101" s="24"/>
      <c r="D101" s="15"/>
      <c r="E101" s="15"/>
      <c r="F101" s="24"/>
      <c r="G101" s="25"/>
      <c r="H101" s="21"/>
      <c r="I101" s="26" t="str">
        <f t="shared" si="3"/>
        <v/>
      </c>
    </row>
    <row r="102" spans="1:9" x14ac:dyDescent="0.2">
      <c r="A102" s="23" t="str">
        <f t="shared" si="2"/>
        <v/>
      </c>
      <c r="B102" s="22"/>
      <c r="C102" s="24"/>
      <c r="D102" s="15"/>
      <c r="E102" s="15"/>
      <c r="F102" s="24"/>
      <c r="G102" s="25"/>
      <c r="H102" s="21"/>
      <c r="I102" s="26" t="str">
        <f t="shared" si="3"/>
        <v/>
      </c>
    </row>
    <row r="103" spans="1:9" x14ac:dyDescent="0.2">
      <c r="A103" s="23" t="str">
        <f t="shared" si="2"/>
        <v/>
      </c>
      <c r="B103" s="22"/>
      <c r="C103" s="24"/>
      <c r="D103" s="15"/>
      <c r="E103" s="15"/>
      <c r="F103" s="24"/>
      <c r="G103" s="25"/>
      <c r="H103" s="21"/>
      <c r="I103" s="26" t="str">
        <f t="shared" si="3"/>
        <v/>
      </c>
    </row>
    <row r="104" spans="1:9" x14ac:dyDescent="0.2">
      <c r="A104" s="23" t="str">
        <f t="shared" si="2"/>
        <v/>
      </c>
      <c r="B104" s="22"/>
      <c r="C104" s="24"/>
      <c r="D104" s="15"/>
      <c r="E104" s="15"/>
      <c r="F104" s="24"/>
      <c r="G104" s="25"/>
      <c r="H104" s="21"/>
      <c r="I104" s="26" t="str">
        <f t="shared" si="3"/>
        <v/>
      </c>
    </row>
    <row r="105" spans="1:9" x14ac:dyDescent="0.2">
      <c r="A105" s="23" t="str">
        <f t="shared" si="2"/>
        <v/>
      </c>
      <c r="B105" s="22"/>
      <c r="C105" s="24"/>
      <c r="D105" s="15"/>
      <c r="E105" s="15"/>
      <c r="F105" s="24"/>
      <c r="G105" s="25"/>
      <c r="H105" s="21"/>
      <c r="I105" s="26" t="str">
        <f t="shared" si="3"/>
        <v/>
      </c>
    </row>
    <row r="106" spans="1:9" x14ac:dyDescent="0.2">
      <c r="A106" s="23" t="str">
        <f t="shared" si="2"/>
        <v/>
      </c>
      <c r="B106" s="22"/>
      <c r="C106" s="24"/>
      <c r="D106" s="15"/>
      <c r="E106" s="15"/>
      <c r="F106" s="24"/>
      <c r="G106" s="25"/>
      <c r="H106" s="21"/>
      <c r="I106" s="26" t="str">
        <f t="shared" si="3"/>
        <v/>
      </c>
    </row>
    <row r="107" spans="1:9" x14ac:dyDescent="0.2">
      <c r="A107" s="23" t="str">
        <f t="shared" si="2"/>
        <v/>
      </c>
      <c r="B107" s="22"/>
      <c r="C107" s="24"/>
      <c r="D107" s="15"/>
      <c r="E107" s="15"/>
      <c r="F107" s="24"/>
      <c r="G107" s="25"/>
      <c r="H107" s="21"/>
      <c r="I107" s="26" t="str">
        <f t="shared" si="3"/>
        <v/>
      </c>
    </row>
    <row r="108" spans="1:9" x14ac:dyDescent="0.2">
      <c r="A108" s="23" t="str">
        <f t="shared" si="2"/>
        <v/>
      </c>
      <c r="B108" s="22"/>
      <c r="C108" s="24"/>
      <c r="D108" s="15"/>
      <c r="E108" s="15"/>
      <c r="F108" s="24"/>
      <c r="G108" s="25"/>
      <c r="H108" s="21"/>
      <c r="I108" s="26" t="str">
        <f t="shared" si="3"/>
        <v/>
      </c>
    </row>
    <row r="109" spans="1:9" x14ac:dyDescent="0.2">
      <c r="A109" s="23" t="str">
        <f t="shared" si="2"/>
        <v/>
      </c>
      <c r="B109" s="22"/>
      <c r="C109" s="24"/>
      <c r="D109" s="15"/>
      <c r="E109" s="15"/>
      <c r="F109" s="24"/>
      <c r="G109" s="25"/>
      <c r="H109" s="21"/>
      <c r="I109" s="26" t="str">
        <f t="shared" si="3"/>
        <v/>
      </c>
    </row>
    <row r="110" spans="1:9" x14ac:dyDescent="0.2">
      <c r="A110" s="23" t="str">
        <f t="shared" si="2"/>
        <v/>
      </c>
      <c r="B110" s="22"/>
      <c r="C110" s="24"/>
      <c r="D110" s="15"/>
      <c r="E110" s="15"/>
      <c r="F110" s="24"/>
      <c r="G110" s="25"/>
      <c r="H110" s="21"/>
      <c r="I110" s="26" t="str">
        <f t="shared" si="3"/>
        <v/>
      </c>
    </row>
    <row r="111" spans="1:9" x14ac:dyDescent="0.2">
      <c r="A111" s="23" t="str">
        <f t="shared" si="2"/>
        <v/>
      </c>
      <c r="B111" s="22"/>
      <c r="C111" s="24"/>
      <c r="D111" s="15"/>
      <c r="E111" s="15"/>
      <c r="F111" s="24"/>
      <c r="G111" s="25"/>
      <c r="H111" s="21"/>
      <c r="I111" s="26" t="str">
        <f t="shared" si="3"/>
        <v/>
      </c>
    </row>
    <row r="112" spans="1:9" x14ac:dyDescent="0.2">
      <c r="A112" s="23" t="str">
        <f t="shared" si="2"/>
        <v/>
      </c>
      <c r="B112" s="22"/>
      <c r="C112" s="24"/>
      <c r="D112" s="15"/>
      <c r="E112" s="15"/>
      <c r="F112" s="24"/>
      <c r="G112" s="25"/>
      <c r="H112" s="21"/>
      <c r="I112" s="26" t="str">
        <f t="shared" si="3"/>
        <v/>
      </c>
    </row>
    <row r="113" spans="1:9" x14ac:dyDescent="0.2">
      <c r="A113" s="23" t="str">
        <f t="shared" si="2"/>
        <v/>
      </c>
      <c r="B113" s="22"/>
      <c r="C113" s="24"/>
      <c r="D113" s="15"/>
      <c r="E113" s="15"/>
      <c r="F113" s="24"/>
      <c r="G113" s="25"/>
      <c r="H113" s="21"/>
      <c r="I113" s="26" t="str">
        <f t="shared" si="3"/>
        <v/>
      </c>
    </row>
    <row r="114" spans="1:9" x14ac:dyDescent="0.2">
      <c r="A114" s="23" t="str">
        <f t="shared" si="2"/>
        <v/>
      </c>
      <c r="B114" s="22"/>
      <c r="C114" s="24"/>
      <c r="D114" s="15"/>
      <c r="E114" s="15"/>
      <c r="F114" s="24"/>
      <c r="G114" s="25"/>
      <c r="H114" s="21"/>
      <c r="I114" s="26" t="str">
        <f t="shared" si="3"/>
        <v/>
      </c>
    </row>
    <row r="115" spans="1:9" x14ac:dyDescent="0.2">
      <c r="A115" s="23" t="str">
        <f t="shared" si="2"/>
        <v/>
      </c>
      <c r="B115" s="22"/>
      <c r="C115" s="24"/>
      <c r="D115" s="15"/>
      <c r="E115" s="15"/>
      <c r="F115" s="24"/>
      <c r="G115" s="25"/>
      <c r="H115" s="21"/>
      <c r="I115" s="26" t="str">
        <f t="shared" si="3"/>
        <v/>
      </c>
    </row>
    <row r="116" spans="1:9" x14ac:dyDescent="0.2">
      <c r="A116" s="23" t="str">
        <f t="shared" si="2"/>
        <v/>
      </c>
      <c r="B116" s="22"/>
      <c r="C116" s="24"/>
      <c r="D116" s="15"/>
      <c r="E116" s="15"/>
      <c r="F116" s="24"/>
      <c r="G116" s="25"/>
      <c r="H116" s="21"/>
      <c r="I116" s="26" t="str">
        <f t="shared" si="3"/>
        <v/>
      </c>
    </row>
    <row r="117" spans="1:9" x14ac:dyDescent="0.2">
      <c r="A117" s="23" t="str">
        <f t="shared" si="2"/>
        <v/>
      </c>
      <c r="B117" s="22"/>
      <c r="C117" s="24"/>
      <c r="D117" s="15"/>
      <c r="E117" s="15"/>
      <c r="F117" s="24"/>
      <c r="G117" s="25"/>
      <c r="H117" s="21"/>
      <c r="I117" s="26" t="str">
        <f t="shared" si="3"/>
        <v/>
      </c>
    </row>
    <row r="118" spans="1:9" x14ac:dyDescent="0.2">
      <c r="A118" s="23" t="str">
        <f t="shared" si="2"/>
        <v/>
      </c>
      <c r="B118" s="22"/>
      <c r="C118" s="24"/>
      <c r="D118" s="15"/>
      <c r="E118" s="15"/>
      <c r="F118" s="24"/>
      <c r="G118" s="25"/>
      <c r="H118" s="21"/>
      <c r="I118" s="26" t="str">
        <f t="shared" si="3"/>
        <v/>
      </c>
    </row>
    <row r="119" spans="1:9" x14ac:dyDescent="0.2">
      <c r="A119" s="23" t="str">
        <f t="shared" si="2"/>
        <v/>
      </c>
      <c r="B119" s="22"/>
      <c r="C119" s="24"/>
      <c r="D119" s="15"/>
      <c r="E119" s="15"/>
      <c r="F119" s="24"/>
      <c r="G119" s="25"/>
      <c r="H119" s="21"/>
      <c r="I119" s="26" t="str">
        <f t="shared" si="3"/>
        <v/>
      </c>
    </row>
    <row r="120" spans="1:9" x14ac:dyDescent="0.2">
      <c r="A120" s="23" t="str">
        <f t="shared" si="2"/>
        <v/>
      </c>
      <c r="B120" s="22"/>
      <c r="C120" s="24"/>
      <c r="D120" s="15"/>
      <c r="E120" s="15"/>
      <c r="F120" s="24"/>
      <c r="G120" s="25"/>
      <c r="H120" s="21"/>
      <c r="I120" s="26" t="str">
        <f t="shared" si="3"/>
        <v/>
      </c>
    </row>
    <row r="121" spans="1:9" x14ac:dyDescent="0.2">
      <c r="A121" s="23" t="str">
        <f t="shared" si="2"/>
        <v/>
      </c>
      <c r="B121" s="22"/>
      <c r="C121" s="24"/>
      <c r="D121" s="15"/>
      <c r="E121" s="15"/>
      <c r="F121" s="24"/>
      <c r="G121" s="25"/>
      <c r="H121" s="21"/>
      <c r="I121" s="26" t="str">
        <f t="shared" si="3"/>
        <v/>
      </c>
    </row>
    <row r="122" spans="1:9" x14ac:dyDescent="0.2">
      <c r="A122" s="23" t="str">
        <f t="shared" si="2"/>
        <v/>
      </c>
      <c r="B122" s="22"/>
      <c r="C122" s="24"/>
      <c r="D122" s="15"/>
      <c r="E122" s="15"/>
      <c r="F122" s="24"/>
      <c r="G122" s="25"/>
      <c r="H122" s="21"/>
      <c r="I122" s="26" t="str">
        <f t="shared" si="3"/>
        <v/>
      </c>
    </row>
    <row r="123" spans="1:9" x14ac:dyDescent="0.2">
      <c r="A123" s="23" t="str">
        <f t="shared" si="2"/>
        <v/>
      </c>
      <c r="B123" s="22"/>
      <c r="C123" s="24"/>
      <c r="D123" s="15"/>
      <c r="E123" s="15"/>
      <c r="F123" s="24"/>
      <c r="G123" s="25"/>
      <c r="H123" s="21"/>
      <c r="I123" s="26" t="str">
        <f t="shared" si="3"/>
        <v/>
      </c>
    </row>
    <row r="124" spans="1:9" x14ac:dyDescent="0.2">
      <c r="A124" s="23" t="str">
        <f t="shared" si="2"/>
        <v/>
      </c>
      <c r="B124" s="22"/>
      <c r="C124" s="24"/>
      <c r="D124" s="15"/>
      <c r="E124" s="15"/>
      <c r="F124" s="24"/>
      <c r="G124" s="25"/>
      <c r="H124" s="21"/>
      <c r="I124" s="26" t="str">
        <f t="shared" si="3"/>
        <v/>
      </c>
    </row>
    <row r="125" spans="1:9" x14ac:dyDescent="0.2">
      <c r="A125" s="23" t="str">
        <f t="shared" si="2"/>
        <v/>
      </c>
      <c r="B125" s="22"/>
      <c r="C125" s="24"/>
      <c r="D125" s="15"/>
      <c r="E125" s="15"/>
      <c r="F125" s="24"/>
      <c r="G125" s="25"/>
      <c r="H125" s="21"/>
      <c r="I125" s="26" t="str">
        <f t="shared" si="3"/>
        <v/>
      </c>
    </row>
    <row r="126" spans="1:9" x14ac:dyDescent="0.2">
      <c r="A126" s="23" t="str">
        <f t="shared" si="2"/>
        <v/>
      </c>
      <c r="B126" s="22"/>
      <c r="C126" s="24"/>
      <c r="D126" s="15"/>
      <c r="E126" s="15"/>
      <c r="F126" s="24"/>
      <c r="G126" s="25"/>
      <c r="H126" s="21"/>
      <c r="I126" s="26" t="str">
        <f t="shared" si="3"/>
        <v/>
      </c>
    </row>
    <row r="127" spans="1:9" x14ac:dyDescent="0.2">
      <c r="A127" s="23" t="str">
        <f t="shared" si="2"/>
        <v/>
      </c>
      <c r="B127" s="22"/>
      <c r="C127" s="24"/>
      <c r="D127" s="15"/>
      <c r="E127" s="15"/>
      <c r="F127" s="24"/>
      <c r="G127" s="25"/>
      <c r="H127" s="21"/>
      <c r="I127" s="26" t="str">
        <f t="shared" si="3"/>
        <v/>
      </c>
    </row>
    <row r="128" spans="1:9" x14ac:dyDescent="0.2">
      <c r="A128" s="23" t="str">
        <f t="shared" si="2"/>
        <v/>
      </c>
      <c r="B128" s="22"/>
      <c r="C128" s="24"/>
      <c r="D128" s="15"/>
      <c r="E128" s="15"/>
      <c r="F128" s="24"/>
      <c r="G128" s="25"/>
      <c r="H128" s="21"/>
      <c r="I128" s="26" t="str">
        <f t="shared" si="3"/>
        <v/>
      </c>
    </row>
    <row r="129" spans="1:9" x14ac:dyDescent="0.2">
      <c r="A129" s="23" t="str">
        <f t="shared" si="2"/>
        <v/>
      </c>
      <c r="B129" s="22"/>
      <c r="C129" s="24"/>
      <c r="D129" s="15"/>
      <c r="E129" s="15"/>
      <c r="F129" s="24"/>
      <c r="G129" s="25"/>
      <c r="H129" s="21"/>
      <c r="I129" s="26" t="str">
        <f t="shared" si="3"/>
        <v/>
      </c>
    </row>
    <row r="130" spans="1:9" x14ac:dyDescent="0.2">
      <c r="A130" s="23" t="str">
        <f t="shared" si="2"/>
        <v/>
      </c>
      <c r="B130" s="22"/>
      <c r="C130" s="24"/>
      <c r="D130" s="15"/>
      <c r="E130" s="15"/>
      <c r="F130" s="24"/>
      <c r="G130" s="25"/>
      <c r="H130" s="21"/>
      <c r="I130" s="26" t="str">
        <f t="shared" si="3"/>
        <v/>
      </c>
    </row>
    <row r="131" spans="1:9" x14ac:dyDescent="0.2">
      <c r="A131" s="23" t="str">
        <f t="shared" si="2"/>
        <v/>
      </c>
      <c r="B131" s="22"/>
      <c r="C131" s="24"/>
      <c r="D131" s="15"/>
      <c r="E131" s="15"/>
      <c r="F131" s="24"/>
      <c r="G131" s="25"/>
      <c r="H131" s="21"/>
      <c r="I131" s="26" t="str">
        <f t="shared" si="3"/>
        <v/>
      </c>
    </row>
    <row r="132" spans="1:9" x14ac:dyDescent="0.2">
      <c r="A132" s="23" t="str">
        <f t="shared" si="2"/>
        <v/>
      </c>
      <c r="B132" s="22"/>
      <c r="C132" s="24"/>
      <c r="D132" s="15"/>
      <c r="E132" s="15"/>
      <c r="F132" s="24"/>
      <c r="G132" s="25"/>
      <c r="H132" s="21"/>
      <c r="I132" s="26" t="str">
        <f t="shared" si="3"/>
        <v/>
      </c>
    </row>
    <row r="133" spans="1:9" x14ac:dyDescent="0.2">
      <c r="A133" s="23" t="str">
        <f t="shared" ref="A133:A196" si="4">IF(B133="","",ROW()-4)</f>
        <v/>
      </c>
      <c r="B133" s="22"/>
      <c r="C133" s="24"/>
      <c r="D133" s="15"/>
      <c r="E133" s="15"/>
      <c r="F133" s="24"/>
      <c r="G133" s="25"/>
      <c r="H133" s="21"/>
      <c r="I133" s="26" t="str">
        <f t="shared" ref="I133:I196" si="5">IF(OR(G133="",H133=""),"",G133*H133)</f>
        <v/>
      </c>
    </row>
    <row r="134" spans="1:9" x14ac:dyDescent="0.2">
      <c r="A134" s="23" t="str">
        <f t="shared" si="4"/>
        <v/>
      </c>
      <c r="B134" s="22"/>
      <c r="C134" s="24"/>
      <c r="D134" s="15"/>
      <c r="E134" s="15"/>
      <c r="F134" s="24"/>
      <c r="G134" s="25"/>
      <c r="H134" s="21"/>
      <c r="I134" s="26" t="str">
        <f t="shared" si="5"/>
        <v/>
      </c>
    </row>
    <row r="135" spans="1:9" x14ac:dyDescent="0.2">
      <c r="A135" s="23" t="str">
        <f t="shared" si="4"/>
        <v/>
      </c>
      <c r="B135" s="22"/>
      <c r="C135" s="24"/>
      <c r="D135" s="15"/>
      <c r="E135" s="15"/>
      <c r="F135" s="24"/>
      <c r="G135" s="25"/>
      <c r="H135" s="21"/>
      <c r="I135" s="26" t="str">
        <f t="shared" si="5"/>
        <v/>
      </c>
    </row>
    <row r="136" spans="1:9" x14ac:dyDescent="0.2">
      <c r="A136" s="23" t="str">
        <f t="shared" si="4"/>
        <v/>
      </c>
      <c r="B136" s="22"/>
      <c r="C136" s="24"/>
      <c r="D136" s="15"/>
      <c r="E136" s="15"/>
      <c r="F136" s="24"/>
      <c r="G136" s="25"/>
      <c r="H136" s="21"/>
      <c r="I136" s="26" t="str">
        <f t="shared" si="5"/>
        <v/>
      </c>
    </row>
    <row r="137" spans="1:9" x14ac:dyDescent="0.2">
      <c r="A137" s="23" t="str">
        <f t="shared" si="4"/>
        <v/>
      </c>
      <c r="B137" s="22"/>
      <c r="C137" s="24"/>
      <c r="D137" s="15"/>
      <c r="E137" s="15"/>
      <c r="F137" s="24"/>
      <c r="G137" s="25"/>
      <c r="H137" s="21"/>
      <c r="I137" s="26" t="str">
        <f t="shared" si="5"/>
        <v/>
      </c>
    </row>
    <row r="138" spans="1:9" x14ac:dyDescent="0.2">
      <c r="A138" s="23" t="str">
        <f t="shared" si="4"/>
        <v/>
      </c>
      <c r="B138" s="22"/>
      <c r="C138" s="24"/>
      <c r="D138" s="15"/>
      <c r="E138" s="15"/>
      <c r="F138" s="24"/>
      <c r="G138" s="25"/>
      <c r="H138" s="21"/>
      <c r="I138" s="26" t="str">
        <f t="shared" si="5"/>
        <v/>
      </c>
    </row>
    <row r="139" spans="1:9" x14ac:dyDescent="0.2">
      <c r="A139" s="23" t="str">
        <f t="shared" si="4"/>
        <v/>
      </c>
      <c r="B139" s="22"/>
      <c r="C139" s="24"/>
      <c r="D139" s="15"/>
      <c r="E139" s="15"/>
      <c r="F139" s="24"/>
      <c r="G139" s="25"/>
      <c r="H139" s="21"/>
      <c r="I139" s="26" t="str">
        <f t="shared" si="5"/>
        <v/>
      </c>
    </row>
    <row r="140" spans="1:9" x14ac:dyDescent="0.2">
      <c r="A140" s="23" t="str">
        <f t="shared" si="4"/>
        <v/>
      </c>
      <c r="B140" s="22"/>
      <c r="C140" s="24"/>
      <c r="D140" s="15"/>
      <c r="E140" s="15"/>
      <c r="F140" s="24"/>
      <c r="G140" s="25"/>
      <c r="H140" s="21"/>
      <c r="I140" s="26" t="str">
        <f t="shared" si="5"/>
        <v/>
      </c>
    </row>
    <row r="141" spans="1:9" x14ac:dyDescent="0.2">
      <c r="A141" s="23" t="str">
        <f t="shared" si="4"/>
        <v/>
      </c>
      <c r="B141" s="22"/>
      <c r="C141" s="24"/>
      <c r="D141" s="15"/>
      <c r="E141" s="15"/>
      <c r="F141" s="24"/>
      <c r="G141" s="25"/>
      <c r="H141" s="21"/>
      <c r="I141" s="26" t="str">
        <f t="shared" si="5"/>
        <v/>
      </c>
    </row>
    <row r="142" spans="1:9" x14ac:dyDescent="0.2">
      <c r="A142" s="23" t="str">
        <f t="shared" si="4"/>
        <v/>
      </c>
      <c r="B142" s="22"/>
      <c r="C142" s="24"/>
      <c r="D142" s="15"/>
      <c r="E142" s="15"/>
      <c r="F142" s="24"/>
      <c r="G142" s="25"/>
      <c r="H142" s="21"/>
      <c r="I142" s="26" t="str">
        <f t="shared" si="5"/>
        <v/>
      </c>
    </row>
    <row r="143" spans="1:9" x14ac:dyDescent="0.2">
      <c r="A143" s="23" t="str">
        <f t="shared" si="4"/>
        <v/>
      </c>
      <c r="B143" s="22"/>
      <c r="C143" s="24"/>
      <c r="D143" s="15"/>
      <c r="E143" s="15"/>
      <c r="F143" s="24"/>
      <c r="G143" s="25"/>
      <c r="H143" s="21"/>
      <c r="I143" s="26" t="str">
        <f t="shared" si="5"/>
        <v/>
      </c>
    </row>
    <row r="144" spans="1:9" x14ac:dyDescent="0.2">
      <c r="A144" s="23" t="str">
        <f t="shared" si="4"/>
        <v/>
      </c>
      <c r="B144" s="22"/>
      <c r="C144" s="24"/>
      <c r="D144" s="15"/>
      <c r="E144" s="15"/>
      <c r="F144" s="24"/>
      <c r="G144" s="25"/>
      <c r="H144" s="21"/>
      <c r="I144" s="26" t="str">
        <f t="shared" si="5"/>
        <v/>
      </c>
    </row>
    <row r="145" spans="1:9" x14ac:dyDescent="0.2">
      <c r="A145" s="23" t="str">
        <f t="shared" si="4"/>
        <v/>
      </c>
      <c r="B145" s="22"/>
      <c r="C145" s="24"/>
      <c r="D145" s="15"/>
      <c r="E145" s="15"/>
      <c r="F145" s="24"/>
      <c r="G145" s="25"/>
      <c r="H145" s="21"/>
      <c r="I145" s="26" t="str">
        <f t="shared" si="5"/>
        <v/>
      </c>
    </row>
    <row r="146" spans="1:9" x14ac:dyDescent="0.2">
      <c r="A146" s="23" t="str">
        <f t="shared" si="4"/>
        <v/>
      </c>
      <c r="B146" s="22"/>
      <c r="C146" s="24"/>
      <c r="D146" s="15"/>
      <c r="E146" s="15"/>
      <c r="F146" s="24"/>
      <c r="G146" s="25"/>
      <c r="H146" s="21"/>
      <c r="I146" s="26" t="str">
        <f t="shared" si="5"/>
        <v/>
      </c>
    </row>
    <row r="147" spans="1:9" x14ac:dyDescent="0.2">
      <c r="A147" s="23" t="str">
        <f t="shared" si="4"/>
        <v/>
      </c>
      <c r="B147" s="22"/>
      <c r="C147" s="24"/>
      <c r="D147" s="15"/>
      <c r="E147" s="15"/>
      <c r="F147" s="24"/>
      <c r="G147" s="25"/>
      <c r="H147" s="21"/>
      <c r="I147" s="26" t="str">
        <f t="shared" si="5"/>
        <v/>
      </c>
    </row>
    <row r="148" spans="1:9" x14ac:dyDescent="0.2">
      <c r="A148" s="23" t="str">
        <f t="shared" si="4"/>
        <v/>
      </c>
      <c r="B148" s="22"/>
      <c r="C148" s="24"/>
      <c r="D148" s="15"/>
      <c r="E148" s="15"/>
      <c r="F148" s="24"/>
      <c r="G148" s="25"/>
      <c r="H148" s="21"/>
      <c r="I148" s="26" t="str">
        <f t="shared" si="5"/>
        <v/>
      </c>
    </row>
    <row r="149" spans="1:9" x14ac:dyDescent="0.2">
      <c r="A149" s="23" t="str">
        <f t="shared" si="4"/>
        <v/>
      </c>
      <c r="B149" s="22"/>
      <c r="C149" s="24"/>
      <c r="D149" s="15"/>
      <c r="E149" s="15"/>
      <c r="F149" s="24"/>
      <c r="G149" s="25"/>
      <c r="H149" s="21"/>
      <c r="I149" s="26" t="str">
        <f t="shared" si="5"/>
        <v/>
      </c>
    </row>
    <row r="150" spans="1:9" x14ac:dyDescent="0.2">
      <c r="A150" s="23" t="str">
        <f t="shared" si="4"/>
        <v/>
      </c>
      <c r="B150" s="22"/>
      <c r="C150" s="24"/>
      <c r="D150" s="15"/>
      <c r="E150" s="15"/>
      <c r="F150" s="24"/>
      <c r="G150" s="25"/>
      <c r="H150" s="21"/>
      <c r="I150" s="26" t="str">
        <f t="shared" si="5"/>
        <v/>
      </c>
    </row>
    <row r="151" spans="1:9" x14ac:dyDescent="0.2">
      <c r="A151" s="23" t="str">
        <f t="shared" si="4"/>
        <v/>
      </c>
      <c r="B151" s="22"/>
      <c r="C151" s="24"/>
      <c r="D151" s="15"/>
      <c r="E151" s="15"/>
      <c r="F151" s="24"/>
      <c r="G151" s="25"/>
      <c r="H151" s="21"/>
      <c r="I151" s="26" t="str">
        <f t="shared" si="5"/>
        <v/>
      </c>
    </row>
    <row r="152" spans="1:9" x14ac:dyDescent="0.2">
      <c r="A152" s="23" t="str">
        <f t="shared" si="4"/>
        <v/>
      </c>
      <c r="B152" s="22"/>
      <c r="C152" s="24"/>
      <c r="D152" s="15"/>
      <c r="E152" s="15"/>
      <c r="F152" s="24"/>
      <c r="G152" s="25"/>
      <c r="H152" s="21"/>
      <c r="I152" s="26" t="str">
        <f t="shared" si="5"/>
        <v/>
      </c>
    </row>
    <row r="153" spans="1:9" x14ac:dyDescent="0.2">
      <c r="A153" s="23" t="str">
        <f t="shared" si="4"/>
        <v/>
      </c>
      <c r="B153" s="22"/>
      <c r="C153" s="24"/>
      <c r="D153" s="15"/>
      <c r="E153" s="15"/>
      <c r="F153" s="24"/>
      <c r="G153" s="25"/>
      <c r="H153" s="21"/>
      <c r="I153" s="26" t="str">
        <f t="shared" si="5"/>
        <v/>
      </c>
    </row>
    <row r="154" spans="1:9" x14ac:dyDescent="0.2">
      <c r="A154" s="23" t="str">
        <f t="shared" si="4"/>
        <v/>
      </c>
      <c r="B154" s="22"/>
      <c r="C154" s="24"/>
      <c r="D154" s="15"/>
      <c r="E154" s="15"/>
      <c r="F154" s="24"/>
      <c r="G154" s="25"/>
      <c r="H154" s="21"/>
      <c r="I154" s="26" t="str">
        <f t="shared" si="5"/>
        <v/>
      </c>
    </row>
    <row r="155" spans="1:9" x14ac:dyDescent="0.2">
      <c r="A155" s="23" t="str">
        <f t="shared" si="4"/>
        <v/>
      </c>
      <c r="B155" s="22"/>
      <c r="C155" s="24"/>
      <c r="D155" s="15"/>
      <c r="E155" s="15"/>
      <c r="F155" s="24"/>
      <c r="G155" s="25"/>
      <c r="H155" s="21"/>
      <c r="I155" s="26" t="str">
        <f t="shared" si="5"/>
        <v/>
      </c>
    </row>
    <row r="156" spans="1:9" x14ac:dyDescent="0.2">
      <c r="A156" s="23" t="str">
        <f t="shared" si="4"/>
        <v/>
      </c>
      <c r="B156" s="22"/>
      <c r="C156" s="24"/>
      <c r="D156" s="15"/>
      <c r="E156" s="15"/>
      <c r="F156" s="24"/>
      <c r="G156" s="25"/>
      <c r="H156" s="21"/>
      <c r="I156" s="26" t="str">
        <f t="shared" si="5"/>
        <v/>
      </c>
    </row>
    <row r="157" spans="1:9" x14ac:dyDescent="0.2">
      <c r="A157" s="23" t="str">
        <f t="shared" si="4"/>
        <v/>
      </c>
      <c r="B157" s="22"/>
      <c r="C157" s="24"/>
      <c r="D157" s="15"/>
      <c r="E157" s="15"/>
      <c r="F157" s="24"/>
      <c r="G157" s="25"/>
      <c r="H157" s="21"/>
      <c r="I157" s="26" t="str">
        <f t="shared" si="5"/>
        <v/>
      </c>
    </row>
    <row r="158" spans="1:9" x14ac:dyDescent="0.2">
      <c r="A158" s="23" t="str">
        <f t="shared" si="4"/>
        <v/>
      </c>
      <c r="B158" s="22"/>
      <c r="C158" s="24"/>
      <c r="D158" s="15"/>
      <c r="E158" s="15"/>
      <c r="F158" s="24"/>
      <c r="G158" s="25"/>
      <c r="H158" s="21"/>
      <c r="I158" s="26" t="str">
        <f t="shared" si="5"/>
        <v/>
      </c>
    </row>
    <row r="159" spans="1:9" x14ac:dyDescent="0.2">
      <c r="A159" s="23" t="str">
        <f t="shared" si="4"/>
        <v/>
      </c>
      <c r="B159" s="22"/>
      <c r="C159" s="24"/>
      <c r="D159" s="15"/>
      <c r="E159" s="15"/>
      <c r="F159" s="24"/>
      <c r="G159" s="25"/>
      <c r="H159" s="21"/>
      <c r="I159" s="26" t="str">
        <f t="shared" si="5"/>
        <v/>
      </c>
    </row>
    <row r="160" spans="1:9" x14ac:dyDescent="0.2">
      <c r="A160" s="23" t="str">
        <f t="shared" si="4"/>
        <v/>
      </c>
      <c r="B160" s="22"/>
      <c r="C160" s="24"/>
      <c r="D160" s="15"/>
      <c r="E160" s="15"/>
      <c r="F160" s="24"/>
      <c r="G160" s="25"/>
      <c r="H160" s="21"/>
      <c r="I160" s="26" t="str">
        <f t="shared" si="5"/>
        <v/>
      </c>
    </row>
    <row r="161" spans="1:9" x14ac:dyDescent="0.2">
      <c r="A161" s="23" t="str">
        <f t="shared" si="4"/>
        <v/>
      </c>
      <c r="B161" s="22"/>
      <c r="C161" s="24"/>
      <c r="D161" s="15"/>
      <c r="E161" s="15"/>
      <c r="F161" s="24"/>
      <c r="G161" s="25"/>
      <c r="H161" s="21"/>
      <c r="I161" s="26" t="str">
        <f t="shared" si="5"/>
        <v/>
      </c>
    </row>
    <row r="162" spans="1:9" x14ac:dyDescent="0.2">
      <c r="A162" s="23" t="str">
        <f t="shared" si="4"/>
        <v/>
      </c>
      <c r="B162" s="22"/>
      <c r="C162" s="24"/>
      <c r="D162" s="15"/>
      <c r="E162" s="15"/>
      <c r="F162" s="24"/>
      <c r="G162" s="25"/>
      <c r="H162" s="21"/>
      <c r="I162" s="26" t="str">
        <f t="shared" si="5"/>
        <v/>
      </c>
    </row>
    <row r="163" spans="1:9" x14ac:dyDescent="0.2">
      <c r="A163" s="23" t="str">
        <f t="shared" si="4"/>
        <v/>
      </c>
      <c r="B163" s="22"/>
      <c r="C163" s="24"/>
      <c r="D163" s="15"/>
      <c r="E163" s="15"/>
      <c r="F163" s="24"/>
      <c r="G163" s="25"/>
      <c r="H163" s="21"/>
      <c r="I163" s="26" t="str">
        <f t="shared" si="5"/>
        <v/>
      </c>
    </row>
    <row r="164" spans="1:9" x14ac:dyDescent="0.2">
      <c r="A164" s="23" t="str">
        <f t="shared" si="4"/>
        <v/>
      </c>
      <c r="B164" s="22"/>
      <c r="C164" s="24"/>
      <c r="D164" s="15"/>
      <c r="E164" s="15"/>
      <c r="F164" s="24"/>
      <c r="G164" s="25"/>
      <c r="H164" s="21"/>
      <c r="I164" s="26" t="str">
        <f t="shared" si="5"/>
        <v/>
      </c>
    </row>
    <row r="165" spans="1:9" x14ac:dyDescent="0.2">
      <c r="A165" s="23" t="str">
        <f t="shared" si="4"/>
        <v/>
      </c>
      <c r="B165" s="22"/>
      <c r="C165" s="24"/>
      <c r="D165" s="15"/>
      <c r="E165" s="15"/>
      <c r="F165" s="24"/>
      <c r="G165" s="25"/>
      <c r="H165" s="21"/>
      <c r="I165" s="26" t="str">
        <f t="shared" si="5"/>
        <v/>
      </c>
    </row>
    <row r="166" spans="1:9" x14ac:dyDescent="0.2">
      <c r="A166" s="23" t="str">
        <f t="shared" si="4"/>
        <v/>
      </c>
      <c r="B166" s="22"/>
      <c r="C166" s="24"/>
      <c r="D166" s="15"/>
      <c r="E166" s="15"/>
      <c r="F166" s="24"/>
      <c r="G166" s="25"/>
      <c r="H166" s="21"/>
      <c r="I166" s="26" t="str">
        <f t="shared" si="5"/>
        <v/>
      </c>
    </row>
    <row r="167" spans="1:9" x14ac:dyDescent="0.2">
      <c r="A167" s="23" t="str">
        <f t="shared" si="4"/>
        <v/>
      </c>
      <c r="B167" s="22"/>
      <c r="C167" s="24"/>
      <c r="D167" s="15"/>
      <c r="E167" s="15"/>
      <c r="F167" s="24"/>
      <c r="G167" s="25"/>
      <c r="H167" s="21"/>
      <c r="I167" s="26" t="str">
        <f t="shared" si="5"/>
        <v/>
      </c>
    </row>
    <row r="168" spans="1:9" x14ac:dyDescent="0.2">
      <c r="A168" s="23" t="str">
        <f t="shared" si="4"/>
        <v/>
      </c>
      <c r="B168" s="22"/>
      <c r="C168" s="24"/>
      <c r="D168" s="15"/>
      <c r="E168" s="15"/>
      <c r="F168" s="24"/>
      <c r="G168" s="25"/>
      <c r="H168" s="21"/>
      <c r="I168" s="26" t="str">
        <f t="shared" si="5"/>
        <v/>
      </c>
    </row>
    <row r="169" spans="1:9" x14ac:dyDescent="0.2">
      <c r="A169" s="23" t="str">
        <f t="shared" si="4"/>
        <v/>
      </c>
      <c r="B169" s="22"/>
      <c r="C169" s="24"/>
      <c r="D169" s="15"/>
      <c r="E169" s="15"/>
      <c r="F169" s="24"/>
      <c r="G169" s="25"/>
      <c r="H169" s="21"/>
      <c r="I169" s="26" t="str">
        <f t="shared" si="5"/>
        <v/>
      </c>
    </row>
    <row r="170" spans="1:9" x14ac:dyDescent="0.2">
      <c r="A170" s="23" t="str">
        <f t="shared" si="4"/>
        <v/>
      </c>
      <c r="B170" s="22"/>
      <c r="C170" s="24"/>
      <c r="D170" s="15"/>
      <c r="E170" s="15"/>
      <c r="F170" s="24"/>
      <c r="G170" s="25"/>
      <c r="H170" s="21"/>
      <c r="I170" s="26" t="str">
        <f t="shared" si="5"/>
        <v/>
      </c>
    </row>
    <row r="171" spans="1:9" x14ac:dyDescent="0.2">
      <c r="A171" s="23" t="str">
        <f t="shared" si="4"/>
        <v/>
      </c>
      <c r="B171" s="22"/>
      <c r="C171" s="24"/>
      <c r="D171" s="15"/>
      <c r="E171" s="15"/>
      <c r="F171" s="24"/>
      <c r="G171" s="25"/>
      <c r="H171" s="21"/>
      <c r="I171" s="26" t="str">
        <f t="shared" si="5"/>
        <v/>
      </c>
    </row>
    <row r="172" spans="1:9" x14ac:dyDescent="0.2">
      <c r="A172" s="23" t="str">
        <f t="shared" si="4"/>
        <v/>
      </c>
      <c r="B172" s="22"/>
      <c r="C172" s="24"/>
      <c r="D172" s="15"/>
      <c r="E172" s="15"/>
      <c r="F172" s="24"/>
      <c r="G172" s="25"/>
      <c r="H172" s="21"/>
      <c r="I172" s="26" t="str">
        <f t="shared" si="5"/>
        <v/>
      </c>
    </row>
    <row r="173" spans="1:9" x14ac:dyDescent="0.2">
      <c r="A173" s="23" t="str">
        <f t="shared" si="4"/>
        <v/>
      </c>
      <c r="B173" s="22"/>
      <c r="C173" s="24"/>
      <c r="D173" s="15"/>
      <c r="E173" s="15"/>
      <c r="F173" s="24"/>
      <c r="G173" s="25"/>
      <c r="H173" s="21"/>
      <c r="I173" s="26" t="str">
        <f t="shared" si="5"/>
        <v/>
      </c>
    </row>
    <row r="174" spans="1:9" x14ac:dyDescent="0.2">
      <c r="A174" s="23" t="str">
        <f t="shared" si="4"/>
        <v/>
      </c>
      <c r="B174" s="22"/>
      <c r="C174" s="24"/>
      <c r="D174" s="15"/>
      <c r="E174" s="15"/>
      <c r="F174" s="24"/>
      <c r="G174" s="25"/>
      <c r="H174" s="21"/>
      <c r="I174" s="26" t="str">
        <f t="shared" si="5"/>
        <v/>
      </c>
    </row>
    <row r="175" spans="1:9" x14ac:dyDescent="0.2">
      <c r="A175" s="23" t="str">
        <f t="shared" si="4"/>
        <v/>
      </c>
      <c r="B175" s="22"/>
      <c r="C175" s="24"/>
      <c r="D175" s="15"/>
      <c r="E175" s="15"/>
      <c r="F175" s="24"/>
      <c r="G175" s="25"/>
      <c r="H175" s="21"/>
      <c r="I175" s="26" t="str">
        <f t="shared" si="5"/>
        <v/>
      </c>
    </row>
    <row r="176" spans="1:9" x14ac:dyDescent="0.2">
      <c r="A176" s="23" t="str">
        <f t="shared" si="4"/>
        <v/>
      </c>
      <c r="B176" s="22"/>
      <c r="C176" s="24"/>
      <c r="D176" s="15"/>
      <c r="E176" s="15"/>
      <c r="F176" s="24"/>
      <c r="G176" s="25"/>
      <c r="H176" s="21"/>
      <c r="I176" s="26" t="str">
        <f t="shared" si="5"/>
        <v/>
      </c>
    </row>
    <row r="177" spans="1:9" x14ac:dyDescent="0.2">
      <c r="A177" s="23" t="str">
        <f t="shared" si="4"/>
        <v/>
      </c>
      <c r="B177" s="22"/>
      <c r="C177" s="24"/>
      <c r="D177" s="15"/>
      <c r="E177" s="15"/>
      <c r="F177" s="24"/>
      <c r="G177" s="25"/>
      <c r="H177" s="21"/>
      <c r="I177" s="26" t="str">
        <f t="shared" si="5"/>
        <v/>
      </c>
    </row>
    <row r="178" spans="1:9" x14ac:dyDescent="0.2">
      <c r="A178" s="23" t="str">
        <f t="shared" si="4"/>
        <v/>
      </c>
      <c r="B178" s="22"/>
      <c r="C178" s="24"/>
      <c r="D178" s="15"/>
      <c r="E178" s="15"/>
      <c r="F178" s="24"/>
      <c r="G178" s="25"/>
      <c r="H178" s="21"/>
      <c r="I178" s="26" t="str">
        <f t="shared" si="5"/>
        <v/>
      </c>
    </row>
    <row r="179" spans="1:9" x14ac:dyDescent="0.2">
      <c r="A179" s="23" t="str">
        <f t="shared" si="4"/>
        <v/>
      </c>
      <c r="B179" s="22"/>
      <c r="C179" s="24"/>
      <c r="D179" s="15"/>
      <c r="E179" s="15"/>
      <c r="F179" s="24"/>
      <c r="G179" s="25"/>
      <c r="H179" s="21"/>
      <c r="I179" s="26" t="str">
        <f t="shared" si="5"/>
        <v/>
      </c>
    </row>
    <row r="180" spans="1:9" x14ac:dyDescent="0.2">
      <c r="A180" s="23" t="str">
        <f t="shared" si="4"/>
        <v/>
      </c>
      <c r="B180" s="22"/>
      <c r="C180" s="24"/>
      <c r="D180" s="15"/>
      <c r="E180" s="15"/>
      <c r="F180" s="24"/>
      <c r="G180" s="25"/>
      <c r="H180" s="21"/>
      <c r="I180" s="26" t="str">
        <f t="shared" si="5"/>
        <v/>
      </c>
    </row>
    <row r="181" spans="1:9" x14ac:dyDescent="0.2">
      <c r="A181" s="23" t="str">
        <f t="shared" si="4"/>
        <v/>
      </c>
      <c r="B181" s="22"/>
      <c r="C181" s="24"/>
      <c r="D181" s="15"/>
      <c r="E181" s="15"/>
      <c r="F181" s="24"/>
      <c r="G181" s="25"/>
      <c r="H181" s="21"/>
      <c r="I181" s="26" t="str">
        <f t="shared" si="5"/>
        <v/>
      </c>
    </row>
    <row r="182" spans="1:9" x14ac:dyDescent="0.2">
      <c r="A182" s="23" t="str">
        <f t="shared" si="4"/>
        <v/>
      </c>
      <c r="B182" s="22"/>
      <c r="C182" s="24"/>
      <c r="D182" s="15"/>
      <c r="E182" s="15"/>
      <c r="F182" s="24"/>
      <c r="G182" s="25"/>
      <c r="H182" s="21"/>
      <c r="I182" s="26" t="str">
        <f t="shared" si="5"/>
        <v/>
      </c>
    </row>
    <row r="183" spans="1:9" x14ac:dyDescent="0.2">
      <c r="A183" s="23" t="str">
        <f t="shared" si="4"/>
        <v/>
      </c>
      <c r="B183" s="22"/>
      <c r="C183" s="24"/>
      <c r="D183" s="15"/>
      <c r="E183" s="15"/>
      <c r="F183" s="24"/>
      <c r="G183" s="25"/>
      <c r="H183" s="21"/>
      <c r="I183" s="26" t="str">
        <f t="shared" si="5"/>
        <v/>
      </c>
    </row>
    <row r="184" spans="1:9" x14ac:dyDescent="0.2">
      <c r="A184" s="23" t="str">
        <f t="shared" si="4"/>
        <v/>
      </c>
      <c r="B184" s="22"/>
      <c r="C184" s="24"/>
      <c r="D184" s="15"/>
      <c r="E184" s="15"/>
      <c r="F184" s="24"/>
      <c r="G184" s="25"/>
      <c r="H184" s="21"/>
      <c r="I184" s="26" t="str">
        <f t="shared" si="5"/>
        <v/>
      </c>
    </row>
    <row r="185" spans="1:9" x14ac:dyDescent="0.2">
      <c r="A185" s="23" t="str">
        <f t="shared" si="4"/>
        <v/>
      </c>
      <c r="B185" s="22"/>
      <c r="C185" s="24"/>
      <c r="D185" s="15"/>
      <c r="E185" s="15"/>
      <c r="F185" s="24"/>
      <c r="G185" s="25"/>
      <c r="H185" s="21"/>
      <c r="I185" s="26" t="str">
        <f t="shared" si="5"/>
        <v/>
      </c>
    </row>
    <row r="186" spans="1:9" x14ac:dyDescent="0.2">
      <c r="A186" s="23" t="str">
        <f t="shared" si="4"/>
        <v/>
      </c>
      <c r="B186" s="22"/>
      <c r="C186" s="24"/>
      <c r="D186" s="15"/>
      <c r="E186" s="15"/>
      <c r="F186" s="24"/>
      <c r="G186" s="25"/>
      <c r="H186" s="21"/>
      <c r="I186" s="26" t="str">
        <f t="shared" si="5"/>
        <v/>
      </c>
    </row>
    <row r="187" spans="1:9" x14ac:dyDescent="0.2">
      <c r="A187" s="23" t="str">
        <f t="shared" si="4"/>
        <v/>
      </c>
      <c r="B187" s="22"/>
      <c r="C187" s="24"/>
      <c r="D187" s="15"/>
      <c r="E187" s="15"/>
      <c r="F187" s="24"/>
      <c r="G187" s="25"/>
      <c r="H187" s="21"/>
      <c r="I187" s="26" t="str">
        <f t="shared" si="5"/>
        <v/>
      </c>
    </row>
    <row r="188" spans="1:9" x14ac:dyDescent="0.2">
      <c r="A188" s="23" t="str">
        <f t="shared" si="4"/>
        <v/>
      </c>
      <c r="B188" s="22"/>
      <c r="C188" s="24"/>
      <c r="D188" s="15"/>
      <c r="E188" s="15"/>
      <c r="F188" s="24"/>
      <c r="G188" s="25"/>
      <c r="H188" s="21"/>
      <c r="I188" s="26" t="str">
        <f t="shared" si="5"/>
        <v/>
      </c>
    </row>
    <row r="189" spans="1:9" x14ac:dyDescent="0.2">
      <c r="A189" s="23" t="str">
        <f t="shared" si="4"/>
        <v/>
      </c>
      <c r="B189" s="22"/>
      <c r="C189" s="24"/>
      <c r="D189" s="15"/>
      <c r="E189" s="15"/>
      <c r="F189" s="24"/>
      <c r="G189" s="25"/>
      <c r="H189" s="21"/>
      <c r="I189" s="26" t="str">
        <f t="shared" si="5"/>
        <v/>
      </c>
    </row>
    <row r="190" spans="1:9" x14ac:dyDescent="0.2">
      <c r="A190" s="23" t="str">
        <f t="shared" si="4"/>
        <v/>
      </c>
      <c r="B190" s="22"/>
      <c r="C190" s="24"/>
      <c r="D190" s="15"/>
      <c r="E190" s="15"/>
      <c r="F190" s="24"/>
      <c r="G190" s="25"/>
      <c r="H190" s="21"/>
      <c r="I190" s="26" t="str">
        <f t="shared" si="5"/>
        <v/>
      </c>
    </row>
    <row r="191" spans="1:9" x14ac:dyDescent="0.2">
      <c r="A191" s="23" t="str">
        <f t="shared" si="4"/>
        <v/>
      </c>
      <c r="B191" s="22"/>
      <c r="C191" s="24"/>
      <c r="D191" s="15"/>
      <c r="E191" s="15"/>
      <c r="F191" s="24"/>
      <c r="G191" s="25"/>
      <c r="H191" s="21"/>
      <c r="I191" s="26" t="str">
        <f t="shared" si="5"/>
        <v/>
      </c>
    </row>
    <row r="192" spans="1:9" x14ac:dyDescent="0.2">
      <c r="A192" s="23" t="str">
        <f t="shared" si="4"/>
        <v/>
      </c>
      <c r="B192" s="22"/>
      <c r="C192" s="24"/>
      <c r="D192" s="15"/>
      <c r="E192" s="15"/>
      <c r="F192" s="24"/>
      <c r="G192" s="25"/>
      <c r="H192" s="21"/>
      <c r="I192" s="26" t="str">
        <f t="shared" si="5"/>
        <v/>
      </c>
    </row>
    <row r="193" spans="1:9" x14ac:dyDescent="0.2">
      <c r="A193" s="23" t="str">
        <f t="shared" si="4"/>
        <v/>
      </c>
      <c r="B193" s="22"/>
      <c r="C193" s="24"/>
      <c r="D193" s="15"/>
      <c r="E193" s="15"/>
      <c r="F193" s="24"/>
      <c r="G193" s="25"/>
      <c r="H193" s="21"/>
      <c r="I193" s="26" t="str">
        <f t="shared" si="5"/>
        <v/>
      </c>
    </row>
    <row r="194" spans="1:9" x14ac:dyDescent="0.2">
      <c r="A194" s="23" t="str">
        <f t="shared" si="4"/>
        <v/>
      </c>
      <c r="B194" s="22"/>
      <c r="C194" s="24"/>
      <c r="D194" s="15"/>
      <c r="E194" s="15"/>
      <c r="F194" s="24"/>
      <c r="G194" s="25"/>
      <c r="H194" s="21"/>
      <c r="I194" s="26" t="str">
        <f t="shared" si="5"/>
        <v/>
      </c>
    </row>
    <row r="195" spans="1:9" x14ac:dyDescent="0.2">
      <c r="A195" s="23" t="str">
        <f t="shared" si="4"/>
        <v/>
      </c>
      <c r="B195" s="22"/>
      <c r="C195" s="24"/>
      <c r="D195" s="15"/>
      <c r="E195" s="15"/>
      <c r="F195" s="24"/>
      <c r="G195" s="25"/>
      <c r="H195" s="21"/>
      <c r="I195" s="26" t="str">
        <f t="shared" si="5"/>
        <v/>
      </c>
    </row>
    <row r="196" spans="1:9" x14ac:dyDescent="0.2">
      <c r="A196" s="23" t="str">
        <f t="shared" si="4"/>
        <v/>
      </c>
      <c r="B196" s="22"/>
      <c r="C196" s="24"/>
      <c r="D196" s="15"/>
      <c r="E196" s="15"/>
      <c r="F196" s="24"/>
      <c r="G196" s="25"/>
      <c r="H196" s="21"/>
      <c r="I196" s="26" t="str">
        <f t="shared" si="5"/>
        <v/>
      </c>
    </row>
    <row r="197" spans="1:9" x14ac:dyDescent="0.2">
      <c r="A197" s="23" t="str">
        <f t="shared" ref="A197:A260" si="6">IF(B197="","",ROW()-4)</f>
        <v/>
      </c>
      <c r="B197" s="22"/>
      <c r="C197" s="24"/>
      <c r="D197" s="15"/>
      <c r="E197" s="15"/>
      <c r="F197" s="24"/>
      <c r="G197" s="25"/>
      <c r="H197" s="21"/>
      <c r="I197" s="26" t="str">
        <f t="shared" ref="I197:I260" si="7">IF(OR(G197="",H197=""),"",G197*H197)</f>
        <v/>
      </c>
    </row>
    <row r="198" spans="1:9" x14ac:dyDescent="0.2">
      <c r="A198" s="23" t="str">
        <f t="shared" si="6"/>
        <v/>
      </c>
      <c r="B198" s="22"/>
      <c r="C198" s="24"/>
      <c r="D198" s="15"/>
      <c r="E198" s="15"/>
      <c r="F198" s="24"/>
      <c r="G198" s="25"/>
      <c r="H198" s="21"/>
      <c r="I198" s="26" t="str">
        <f t="shared" si="7"/>
        <v/>
      </c>
    </row>
    <row r="199" spans="1:9" x14ac:dyDescent="0.2">
      <c r="A199" s="23" t="str">
        <f t="shared" si="6"/>
        <v/>
      </c>
      <c r="B199" s="22"/>
      <c r="C199" s="24"/>
      <c r="D199" s="15"/>
      <c r="E199" s="15"/>
      <c r="F199" s="24"/>
      <c r="G199" s="25"/>
      <c r="H199" s="21"/>
      <c r="I199" s="26" t="str">
        <f t="shared" si="7"/>
        <v/>
      </c>
    </row>
    <row r="200" spans="1:9" x14ac:dyDescent="0.2">
      <c r="A200" s="23" t="str">
        <f t="shared" si="6"/>
        <v/>
      </c>
      <c r="B200" s="22"/>
      <c r="C200" s="24"/>
      <c r="D200" s="15"/>
      <c r="E200" s="15"/>
      <c r="F200" s="24"/>
      <c r="G200" s="25"/>
      <c r="H200" s="21"/>
      <c r="I200" s="26" t="str">
        <f t="shared" si="7"/>
        <v/>
      </c>
    </row>
    <row r="201" spans="1:9" x14ac:dyDescent="0.2">
      <c r="A201" s="23" t="str">
        <f t="shared" si="6"/>
        <v/>
      </c>
      <c r="B201" s="22"/>
      <c r="C201" s="24"/>
      <c r="D201" s="15"/>
      <c r="E201" s="15"/>
      <c r="F201" s="24"/>
      <c r="G201" s="25"/>
      <c r="H201" s="21"/>
      <c r="I201" s="26" t="str">
        <f t="shared" si="7"/>
        <v/>
      </c>
    </row>
    <row r="202" spans="1:9" x14ac:dyDescent="0.2">
      <c r="A202" s="23" t="str">
        <f t="shared" si="6"/>
        <v/>
      </c>
      <c r="B202" s="22"/>
      <c r="C202" s="24"/>
      <c r="D202" s="15"/>
      <c r="E202" s="15"/>
      <c r="F202" s="24"/>
      <c r="G202" s="25"/>
      <c r="H202" s="21"/>
      <c r="I202" s="26" t="str">
        <f t="shared" si="7"/>
        <v/>
      </c>
    </row>
    <row r="203" spans="1:9" x14ac:dyDescent="0.2">
      <c r="A203" s="23" t="str">
        <f t="shared" si="6"/>
        <v/>
      </c>
      <c r="B203" s="22"/>
      <c r="C203" s="24"/>
      <c r="D203" s="15"/>
      <c r="E203" s="15"/>
      <c r="F203" s="24"/>
      <c r="G203" s="25"/>
      <c r="H203" s="21"/>
      <c r="I203" s="26" t="str">
        <f t="shared" si="7"/>
        <v/>
      </c>
    </row>
    <row r="204" spans="1:9" x14ac:dyDescent="0.2">
      <c r="A204" s="23" t="str">
        <f t="shared" si="6"/>
        <v/>
      </c>
      <c r="B204" s="22"/>
      <c r="C204" s="24"/>
      <c r="D204" s="15"/>
      <c r="E204" s="15"/>
      <c r="F204" s="24"/>
      <c r="G204" s="25"/>
      <c r="H204" s="21"/>
      <c r="I204" s="26" t="str">
        <f t="shared" si="7"/>
        <v/>
      </c>
    </row>
    <row r="205" spans="1:9" x14ac:dyDescent="0.2">
      <c r="A205" s="23" t="str">
        <f t="shared" si="6"/>
        <v/>
      </c>
      <c r="B205" s="22"/>
      <c r="C205" s="24"/>
      <c r="D205" s="15"/>
      <c r="E205" s="15"/>
      <c r="F205" s="24"/>
      <c r="G205" s="25"/>
      <c r="H205" s="21"/>
      <c r="I205" s="26" t="str">
        <f t="shared" si="7"/>
        <v/>
      </c>
    </row>
    <row r="206" spans="1:9" x14ac:dyDescent="0.2">
      <c r="A206" s="23" t="str">
        <f t="shared" si="6"/>
        <v/>
      </c>
      <c r="B206" s="22"/>
      <c r="C206" s="24"/>
      <c r="D206" s="15"/>
      <c r="E206" s="15"/>
      <c r="F206" s="24"/>
      <c r="G206" s="25"/>
      <c r="H206" s="21"/>
      <c r="I206" s="26" t="str">
        <f t="shared" si="7"/>
        <v/>
      </c>
    </row>
    <row r="207" spans="1:9" x14ac:dyDescent="0.2">
      <c r="A207" s="23" t="str">
        <f t="shared" si="6"/>
        <v/>
      </c>
      <c r="B207" s="22"/>
      <c r="C207" s="24"/>
      <c r="D207" s="15"/>
      <c r="E207" s="15"/>
      <c r="F207" s="24"/>
      <c r="G207" s="25"/>
      <c r="H207" s="21"/>
      <c r="I207" s="26" t="str">
        <f t="shared" si="7"/>
        <v/>
      </c>
    </row>
    <row r="208" spans="1:9" x14ac:dyDescent="0.2">
      <c r="A208" s="23" t="str">
        <f t="shared" si="6"/>
        <v/>
      </c>
      <c r="B208" s="22"/>
      <c r="C208" s="24"/>
      <c r="D208" s="15"/>
      <c r="E208" s="15"/>
      <c r="F208" s="24"/>
      <c r="G208" s="25"/>
      <c r="H208" s="21"/>
      <c r="I208" s="26" t="str">
        <f t="shared" si="7"/>
        <v/>
      </c>
    </row>
    <row r="209" spans="1:9" x14ac:dyDescent="0.2">
      <c r="A209" s="23" t="str">
        <f t="shared" si="6"/>
        <v/>
      </c>
      <c r="B209" s="22"/>
      <c r="C209" s="24"/>
      <c r="D209" s="15"/>
      <c r="E209" s="15"/>
      <c r="F209" s="24"/>
      <c r="G209" s="25"/>
      <c r="H209" s="21"/>
      <c r="I209" s="26" t="str">
        <f t="shared" si="7"/>
        <v/>
      </c>
    </row>
    <row r="210" spans="1:9" x14ac:dyDescent="0.2">
      <c r="A210" s="23" t="str">
        <f t="shared" si="6"/>
        <v/>
      </c>
      <c r="B210" s="22"/>
      <c r="C210" s="24"/>
      <c r="D210" s="15"/>
      <c r="E210" s="15"/>
      <c r="F210" s="24"/>
      <c r="G210" s="25"/>
      <c r="H210" s="21"/>
      <c r="I210" s="26" t="str">
        <f t="shared" si="7"/>
        <v/>
      </c>
    </row>
    <row r="211" spans="1:9" x14ac:dyDescent="0.2">
      <c r="A211" s="23" t="str">
        <f t="shared" si="6"/>
        <v/>
      </c>
      <c r="B211" s="22"/>
      <c r="C211" s="24"/>
      <c r="D211" s="15"/>
      <c r="E211" s="15"/>
      <c r="F211" s="24"/>
      <c r="G211" s="25"/>
      <c r="H211" s="21"/>
      <c r="I211" s="26" t="str">
        <f t="shared" si="7"/>
        <v/>
      </c>
    </row>
    <row r="212" spans="1:9" x14ac:dyDescent="0.2">
      <c r="A212" s="23" t="str">
        <f t="shared" si="6"/>
        <v/>
      </c>
      <c r="B212" s="22"/>
      <c r="C212" s="24"/>
      <c r="D212" s="15"/>
      <c r="E212" s="15"/>
      <c r="F212" s="24"/>
      <c r="G212" s="25"/>
      <c r="H212" s="21"/>
      <c r="I212" s="26" t="str">
        <f t="shared" si="7"/>
        <v/>
      </c>
    </row>
    <row r="213" spans="1:9" x14ac:dyDescent="0.2">
      <c r="A213" s="23" t="str">
        <f t="shared" si="6"/>
        <v/>
      </c>
      <c r="B213" s="22"/>
      <c r="C213" s="24"/>
      <c r="D213" s="15"/>
      <c r="E213" s="15"/>
      <c r="F213" s="24"/>
      <c r="G213" s="25"/>
      <c r="H213" s="21"/>
      <c r="I213" s="26" t="str">
        <f t="shared" si="7"/>
        <v/>
      </c>
    </row>
    <row r="214" spans="1:9" x14ac:dyDescent="0.2">
      <c r="A214" s="23" t="str">
        <f t="shared" si="6"/>
        <v/>
      </c>
      <c r="B214" s="22"/>
      <c r="C214" s="24"/>
      <c r="D214" s="15"/>
      <c r="E214" s="15"/>
      <c r="F214" s="24"/>
      <c r="G214" s="25"/>
      <c r="H214" s="21"/>
      <c r="I214" s="26" t="str">
        <f t="shared" si="7"/>
        <v/>
      </c>
    </row>
    <row r="215" spans="1:9" x14ac:dyDescent="0.2">
      <c r="A215" s="23" t="str">
        <f t="shared" si="6"/>
        <v/>
      </c>
      <c r="B215" s="22"/>
      <c r="C215" s="24"/>
      <c r="D215" s="15"/>
      <c r="E215" s="15"/>
      <c r="F215" s="24"/>
      <c r="G215" s="25"/>
      <c r="H215" s="21"/>
      <c r="I215" s="26" t="str">
        <f t="shared" si="7"/>
        <v/>
      </c>
    </row>
    <row r="216" spans="1:9" x14ac:dyDescent="0.2">
      <c r="A216" s="23" t="str">
        <f t="shared" si="6"/>
        <v/>
      </c>
      <c r="B216" s="22"/>
      <c r="C216" s="24"/>
      <c r="D216" s="15"/>
      <c r="E216" s="15"/>
      <c r="F216" s="24"/>
      <c r="G216" s="25"/>
      <c r="H216" s="21"/>
      <c r="I216" s="26" t="str">
        <f t="shared" si="7"/>
        <v/>
      </c>
    </row>
    <row r="217" spans="1:9" x14ac:dyDescent="0.2">
      <c r="A217" s="23" t="str">
        <f t="shared" si="6"/>
        <v/>
      </c>
      <c r="B217" s="22"/>
      <c r="C217" s="24"/>
      <c r="D217" s="15"/>
      <c r="E217" s="15"/>
      <c r="F217" s="24"/>
      <c r="G217" s="25"/>
      <c r="H217" s="21"/>
      <c r="I217" s="26" t="str">
        <f t="shared" si="7"/>
        <v/>
      </c>
    </row>
    <row r="218" spans="1:9" x14ac:dyDescent="0.2">
      <c r="A218" s="23" t="str">
        <f t="shared" si="6"/>
        <v/>
      </c>
      <c r="B218" s="22"/>
      <c r="C218" s="24"/>
      <c r="D218" s="15"/>
      <c r="E218" s="15"/>
      <c r="F218" s="24"/>
      <c r="G218" s="25"/>
      <c r="H218" s="21"/>
      <c r="I218" s="26" t="str">
        <f t="shared" si="7"/>
        <v/>
      </c>
    </row>
    <row r="219" spans="1:9" x14ac:dyDescent="0.2">
      <c r="A219" s="23" t="str">
        <f t="shared" si="6"/>
        <v/>
      </c>
      <c r="B219" s="22"/>
      <c r="C219" s="24"/>
      <c r="D219" s="15"/>
      <c r="E219" s="15"/>
      <c r="F219" s="24"/>
      <c r="G219" s="25"/>
      <c r="H219" s="21"/>
      <c r="I219" s="26" t="str">
        <f t="shared" si="7"/>
        <v/>
      </c>
    </row>
    <row r="220" spans="1:9" x14ac:dyDescent="0.2">
      <c r="A220" s="23" t="str">
        <f t="shared" si="6"/>
        <v/>
      </c>
      <c r="B220" s="22"/>
      <c r="C220" s="24"/>
      <c r="D220" s="15"/>
      <c r="E220" s="15"/>
      <c r="F220" s="24"/>
      <c r="G220" s="25"/>
      <c r="H220" s="21"/>
      <c r="I220" s="26" t="str">
        <f t="shared" si="7"/>
        <v/>
      </c>
    </row>
    <row r="221" spans="1:9" x14ac:dyDescent="0.2">
      <c r="A221" s="23" t="str">
        <f t="shared" si="6"/>
        <v/>
      </c>
      <c r="B221" s="22"/>
      <c r="C221" s="24"/>
      <c r="D221" s="15"/>
      <c r="E221" s="15"/>
      <c r="F221" s="24"/>
      <c r="G221" s="25"/>
      <c r="H221" s="21"/>
      <c r="I221" s="26" t="str">
        <f t="shared" si="7"/>
        <v/>
      </c>
    </row>
    <row r="222" spans="1:9" x14ac:dyDescent="0.2">
      <c r="A222" s="23" t="str">
        <f t="shared" si="6"/>
        <v/>
      </c>
      <c r="B222" s="22"/>
      <c r="C222" s="24"/>
      <c r="D222" s="15"/>
      <c r="E222" s="15"/>
      <c r="F222" s="24"/>
      <c r="G222" s="25"/>
      <c r="H222" s="21"/>
      <c r="I222" s="26" t="str">
        <f t="shared" si="7"/>
        <v/>
      </c>
    </row>
    <row r="223" spans="1:9" x14ac:dyDescent="0.2">
      <c r="A223" s="23" t="str">
        <f t="shared" si="6"/>
        <v/>
      </c>
      <c r="B223" s="22"/>
      <c r="C223" s="24"/>
      <c r="D223" s="15"/>
      <c r="E223" s="15"/>
      <c r="F223" s="24"/>
      <c r="G223" s="25"/>
      <c r="H223" s="21"/>
      <c r="I223" s="26" t="str">
        <f t="shared" si="7"/>
        <v/>
      </c>
    </row>
    <row r="224" spans="1:9" x14ac:dyDescent="0.2">
      <c r="A224" s="23" t="str">
        <f t="shared" si="6"/>
        <v/>
      </c>
      <c r="B224" s="22"/>
      <c r="C224" s="24"/>
      <c r="D224" s="15"/>
      <c r="E224" s="15"/>
      <c r="F224" s="24"/>
      <c r="G224" s="25"/>
      <c r="H224" s="21"/>
      <c r="I224" s="26" t="str">
        <f t="shared" si="7"/>
        <v/>
      </c>
    </row>
    <row r="225" spans="1:9" x14ac:dyDescent="0.2">
      <c r="A225" s="23" t="str">
        <f t="shared" si="6"/>
        <v/>
      </c>
      <c r="B225" s="22"/>
      <c r="C225" s="24"/>
      <c r="D225" s="15"/>
      <c r="E225" s="15"/>
      <c r="F225" s="24"/>
      <c r="G225" s="25"/>
      <c r="H225" s="21"/>
      <c r="I225" s="26" t="str">
        <f t="shared" si="7"/>
        <v/>
      </c>
    </row>
    <row r="226" spans="1:9" x14ac:dyDescent="0.2">
      <c r="A226" s="23" t="str">
        <f t="shared" si="6"/>
        <v/>
      </c>
      <c r="B226" s="22"/>
      <c r="C226" s="24"/>
      <c r="D226" s="15"/>
      <c r="E226" s="15"/>
      <c r="F226" s="24"/>
      <c r="G226" s="25"/>
      <c r="H226" s="21"/>
      <c r="I226" s="26" t="str">
        <f t="shared" si="7"/>
        <v/>
      </c>
    </row>
    <row r="227" spans="1:9" x14ac:dyDescent="0.2">
      <c r="A227" s="23" t="str">
        <f t="shared" si="6"/>
        <v/>
      </c>
      <c r="B227" s="22"/>
      <c r="C227" s="24"/>
      <c r="D227" s="15"/>
      <c r="E227" s="15"/>
      <c r="F227" s="24"/>
      <c r="G227" s="25"/>
      <c r="H227" s="21"/>
      <c r="I227" s="26" t="str">
        <f t="shared" si="7"/>
        <v/>
      </c>
    </row>
    <row r="228" spans="1:9" x14ac:dyDescent="0.2">
      <c r="A228" s="23" t="str">
        <f t="shared" si="6"/>
        <v/>
      </c>
      <c r="B228" s="22"/>
      <c r="C228" s="24"/>
      <c r="D228" s="15"/>
      <c r="E228" s="15"/>
      <c r="F228" s="24"/>
      <c r="G228" s="25"/>
      <c r="H228" s="21"/>
      <c r="I228" s="26" t="str">
        <f t="shared" si="7"/>
        <v/>
      </c>
    </row>
    <row r="229" spans="1:9" x14ac:dyDescent="0.2">
      <c r="A229" s="23" t="str">
        <f t="shared" si="6"/>
        <v/>
      </c>
      <c r="B229" s="22"/>
      <c r="C229" s="24"/>
      <c r="D229" s="15"/>
      <c r="E229" s="15"/>
      <c r="F229" s="24"/>
      <c r="G229" s="25"/>
      <c r="H229" s="21"/>
      <c r="I229" s="26" t="str">
        <f t="shared" si="7"/>
        <v/>
      </c>
    </row>
    <row r="230" spans="1:9" x14ac:dyDescent="0.2">
      <c r="A230" s="23" t="str">
        <f t="shared" si="6"/>
        <v/>
      </c>
      <c r="B230" s="22"/>
      <c r="C230" s="24"/>
      <c r="D230" s="15"/>
      <c r="E230" s="15"/>
      <c r="F230" s="24"/>
      <c r="G230" s="25"/>
      <c r="H230" s="21"/>
      <c r="I230" s="26" t="str">
        <f t="shared" si="7"/>
        <v/>
      </c>
    </row>
    <row r="231" spans="1:9" x14ac:dyDescent="0.2">
      <c r="A231" s="23" t="str">
        <f t="shared" si="6"/>
        <v/>
      </c>
      <c r="B231" s="22"/>
      <c r="C231" s="24"/>
      <c r="D231" s="15"/>
      <c r="E231" s="15"/>
      <c r="F231" s="24"/>
      <c r="G231" s="25"/>
      <c r="H231" s="21"/>
      <c r="I231" s="26" t="str">
        <f t="shared" si="7"/>
        <v/>
      </c>
    </row>
    <row r="232" spans="1:9" x14ac:dyDescent="0.2">
      <c r="A232" s="23" t="str">
        <f t="shared" si="6"/>
        <v/>
      </c>
      <c r="B232" s="22"/>
      <c r="C232" s="24"/>
      <c r="D232" s="15"/>
      <c r="E232" s="15"/>
      <c r="F232" s="24"/>
      <c r="G232" s="25"/>
      <c r="H232" s="21"/>
      <c r="I232" s="26" t="str">
        <f t="shared" si="7"/>
        <v/>
      </c>
    </row>
    <row r="233" spans="1:9" x14ac:dyDescent="0.2">
      <c r="A233" s="23" t="str">
        <f t="shared" si="6"/>
        <v/>
      </c>
      <c r="B233" s="22"/>
      <c r="C233" s="24"/>
      <c r="D233" s="15"/>
      <c r="E233" s="15"/>
      <c r="F233" s="24"/>
      <c r="G233" s="25"/>
      <c r="H233" s="21"/>
      <c r="I233" s="26" t="str">
        <f t="shared" si="7"/>
        <v/>
      </c>
    </row>
    <row r="234" spans="1:9" x14ac:dyDescent="0.2">
      <c r="A234" s="23" t="str">
        <f t="shared" si="6"/>
        <v/>
      </c>
      <c r="B234" s="22"/>
      <c r="C234" s="24"/>
      <c r="D234" s="15"/>
      <c r="E234" s="15"/>
      <c r="F234" s="24"/>
      <c r="G234" s="25"/>
      <c r="H234" s="21"/>
      <c r="I234" s="26" t="str">
        <f t="shared" si="7"/>
        <v/>
      </c>
    </row>
    <row r="235" spans="1:9" x14ac:dyDescent="0.2">
      <c r="A235" s="23" t="str">
        <f t="shared" si="6"/>
        <v/>
      </c>
      <c r="B235" s="22"/>
      <c r="C235" s="24"/>
      <c r="D235" s="15"/>
      <c r="E235" s="15"/>
      <c r="F235" s="24"/>
      <c r="G235" s="25"/>
      <c r="H235" s="21"/>
      <c r="I235" s="26" t="str">
        <f t="shared" si="7"/>
        <v/>
      </c>
    </row>
    <row r="236" spans="1:9" x14ac:dyDescent="0.2">
      <c r="A236" s="23" t="str">
        <f t="shared" si="6"/>
        <v/>
      </c>
      <c r="B236" s="22"/>
      <c r="C236" s="24"/>
      <c r="D236" s="15"/>
      <c r="E236" s="15"/>
      <c r="F236" s="24"/>
      <c r="G236" s="25"/>
      <c r="H236" s="21"/>
      <c r="I236" s="26" t="str">
        <f t="shared" si="7"/>
        <v/>
      </c>
    </row>
    <row r="237" spans="1:9" x14ac:dyDescent="0.2">
      <c r="A237" s="23" t="str">
        <f t="shared" si="6"/>
        <v/>
      </c>
      <c r="B237" s="22"/>
      <c r="C237" s="24"/>
      <c r="D237" s="15"/>
      <c r="E237" s="15"/>
      <c r="F237" s="24"/>
      <c r="G237" s="25"/>
      <c r="H237" s="21"/>
      <c r="I237" s="26" t="str">
        <f t="shared" si="7"/>
        <v/>
      </c>
    </row>
    <row r="238" spans="1:9" x14ac:dyDescent="0.2">
      <c r="A238" s="23" t="str">
        <f t="shared" si="6"/>
        <v/>
      </c>
      <c r="B238" s="22"/>
      <c r="C238" s="24"/>
      <c r="D238" s="15"/>
      <c r="E238" s="15"/>
      <c r="F238" s="24"/>
      <c r="G238" s="25"/>
      <c r="H238" s="21"/>
      <c r="I238" s="26" t="str">
        <f t="shared" si="7"/>
        <v/>
      </c>
    </row>
    <row r="239" spans="1:9" x14ac:dyDescent="0.2">
      <c r="A239" s="23" t="str">
        <f t="shared" si="6"/>
        <v/>
      </c>
      <c r="B239" s="22"/>
      <c r="C239" s="24"/>
      <c r="D239" s="15"/>
      <c r="E239" s="15"/>
      <c r="F239" s="24"/>
      <c r="G239" s="25"/>
      <c r="H239" s="21"/>
      <c r="I239" s="26" t="str">
        <f t="shared" si="7"/>
        <v/>
      </c>
    </row>
    <row r="240" spans="1:9" x14ac:dyDescent="0.2">
      <c r="A240" s="23" t="str">
        <f t="shared" si="6"/>
        <v/>
      </c>
      <c r="B240" s="22"/>
      <c r="C240" s="24"/>
      <c r="D240" s="15"/>
      <c r="E240" s="15"/>
      <c r="F240" s="24"/>
      <c r="G240" s="25"/>
      <c r="H240" s="21"/>
      <c r="I240" s="26" t="str">
        <f t="shared" si="7"/>
        <v/>
      </c>
    </row>
    <row r="241" spans="1:9" x14ac:dyDescent="0.2">
      <c r="A241" s="23" t="str">
        <f t="shared" si="6"/>
        <v/>
      </c>
      <c r="B241" s="22"/>
      <c r="C241" s="24"/>
      <c r="D241" s="15"/>
      <c r="E241" s="15"/>
      <c r="F241" s="24"/>
      <c r="G241" s="25"/>
      <c r="H241" s="21"/>
      <c r="I241" s="26" t="str">
        <f t="shared" si="7"/>
        <v/>
      </c>
    </row>
    <row r="242" spans="1:9" x14ac:dyDescent="0.2">
      <c r="A242" s="23" t="str">
        <f t="shared" si="6"/>
        <v/>
      </c>
      <c r="B242" s="22"/>
      <c r="C242" s="24"/>
      <c r="D242" s="15"/>
      <c r="E242" s="15"/>
      <c r="F242" s="24"/>
      <c r="G242" s="25"/>
      <c r="H242" s="21"/>
      <c r="I242" s="26" t="str">
        <f t="shared" si="7"/>
        <v/>
      </c>
    </row>
    <row r="243" spans="1:9" x14ac:dyDescent="0.2">
      <c r="A243" s="23" t="str">
        <f t="shared" si="6"/>
        <v/>
      </c>
      <c r="B243" s="22"/>
      <c r="C243" s="24"/>
      <c r="D243" s="15"/>
      <c r="E243" s="15"/>
      <c r="F243" s="24"/>
      <c r="G243" s="25"/>
      <c r="H243" s="21"/>
      <c r="I243" s="26" t="str">
        <f t="shared" si="7"/>
        <v/>
      </c>
    </row>
    <row r="244" spans="1:9" x14ac:dyDescent="0.2">
      <c r="A244" s="23" t="str">
        <f t="shared" si="6"/>
        <v/>
      </c>
      <c r="B244" s="22"/>
      <c r="C244" s="24"/>
      <c r="D244" s="15"/>
      <c r="E244" s="15"/>
      <c r="F244" s="24"/>
      <c r="G244" s="25"/>
      <c r="H244" s="21"/>
      <c r="I244" s="26" t="str">
        <f t="shared" si="7"/>
        <v/>
      </c>
    </row>
    <row r="245" spans="1:9" x14ac:dyDescent="0.2">
      <c r="A245" s="23" t="str">
        <f t="shared" si="6"/>
        <v/>
      </c>
      <c r="B245" s="22"/>
      <c r="C245" s="24"/>
      <c r="D245" s="15"/>
      <c r="E245" s="15"/>
      <c r="F245" s="24"/>
      <c r="G245" s="25"/>
      <c r="H245" s="21"/>
      <c r="I245" s="26" t="str">
        <f t="shared" si="7"/>
        <v/>
      </c>
    </row>
    <row r="246" spans="1:9" x14ac:dyDescent="0.2">
      <c r="A246" s="23" t="str">
        <f t="shared" si="6"/>
        <v/>
      </c>
      <c r="B246" s="22"/>
      <c r="C246" s="24"/>
      <c r="D246" s="15"/>
      <c r="E246" s="15"/>
      <c r="F246" s="24"/>
      <c r="G246" s="25"/>
      <c r="H246" s="21"/>
      <c r="I246" s="26" t="str">
        <f t="shared" si="7"/>
        <v/>
      </c>
    </row>
    <row r="247" spans="1:9" x14ac:dyDescent="0.2">
      <c r="A247" s="23" t="str">
        <f t="shared" si="6"/>
        <v/>
      </c>
      <c r="B247" s="22"/>
      <c r="C247" s="24"/>
      <c r="D247" s="15"/>
      <c r="E247" s="15"/>
      <c r="F247" s="24"/>
      <c r="G247" s="25"/>
      <c r="H247" s="21"/>
      <c r="I247" s="26" t="str">
        <f t="shared" si="7"/>
        <v/>
      </c>
    </row>
    <row r="248" spans="1:9" x14ac:dyDescent="0.2">
      <c r="A248" s="23" t="str">
        <f t="shared" si="6"/>
        <v/>
      </c>
      <c r="B248" s="22"/>
      <c r="C248" s="24"/>
      <c r="D248" s="15"/>
      <c r="E248" s="15"/>
      <c r="F248" s="24"/>
      <c r="G248" s="25"/>
      <c r="H248" s="21"/>
      <c r="I248" s="26" t="str">
        <f t="shared" si="7"/>
        <v/>
      </c>
    </row>
    <row r="249" spans="1:9" x14ac:dyDescent="0.2">
      <c r="A249" s="23" t="str">
        <f t="shared" si="6"/>
        <v/>
      </c>
      <c r="B249" s="22"/>
      <c r="C249" s="24"/>
      <c r="D249" s="15"/>
      <c r="E249" s="15"/>
      <c r="F249" s="24"/>
      <c r="G249" s="25"/>
      <c r="H249" s="21"/>
      <c r="I249" s="26" t="str">
        <f t="shared" si="7"/>
        <v/>
      </c>
    </row>
    <row r="250" spans="1:9" x14ac:dyDescent="0.2">
      <c r="A250" s="23" t="str">
        <f t="shared" si="6"/>
        <v/>
      </c>
      <c r="B250" s="22"/>
      <c r="C250" s="24"/>
      <c r="D250" s="15"/>
      <c r="E250" s="15"/>
      <c r="F250" s="24"/>
      <c r="G250" s="25"/>
      <c r="H250" s="21"/>
      <c r="I250" s="26" t="str">
        <f t="shared" si="7"/>
        <v/>
      </c>
    </row>
    <row r="251" spans="1:9" x14ac:dyDescent="0.2">
      <c r="A251" s="23" t="str">
        <f t="shared" si="6"/>
        <v/>
      </c>
      <c r="B251" s="22"/>
      <c r="C251" s="24"/>
      <c r="D251" s="15"/>
      <c r="E251" s="15"/>
      <c r="F251" s="24"/>
      <c r="G251" s="25"/>
      <c r="H251" s="21"/>
      <c r="I251" s="26" t="str">
        <f t="shared" si="7"/>
        <v/>
      </c>
    </row>
    <row r="252" spans="1:9" x14ac:dyDescent="0.2">
      <c r="A252" s="23" t="str">
        <f t="shared" si="6"/>
        <v/>
      </c>
      <c r="B252" s="22"/>
      <c r="C252" s="24"/>
      <c r="D252" s="15"/>
      <c r="E252" s="15"/>
      <c r="F252" s="24"/>
      <c r="G252" s="25"/>
      <c r="H252" s="21"/>
      <c r="I252" s="26" t="str">
        <f t="shared" si="7"/>
        <v/>
      </c>
    </row>
    <row r="253" spans="1:9" x14ac:dyDescent="0.2">
      <c r="A253" s="23" t="str">
        <f t="shared" si="6"/>
        <v/>
      </c>
      <c r="B253" s="22"/>
      <c r="C253" s="24"/>
      <c r="D253" s="15"/>
      <c r="E253" s="15"/>
      <c r="F253" s="24"/>
      <c r="G253" s="25"/>
      <c r="H253" s="21"/>
      <c r="I253" s="26" t="str">
        <f t="shared" si="7"/>
        <v/>
      </c>
    </row>
    <row r="254" spans="1:9" x14ac:dyDescent="0.2">
      <c r="A254" s="23" t="str">
        <f t="shared" si="6"/>
        <v/>
      </c>
      <c r="B254" s="22"/>
      <c r="C254" s="24"/>
      <c r="D254" s="15"/>
      <c r="E254" s="15"/>
      <c r="F254" s="24"/>
      <c r="G254" s="25"/>
      <c r="H254" s="21"/>
      <c r="I254" s="26" t="str">
        <f t="shared" si="7"/>
        <v/>
      </c>
    </row>
    <row r="255" spans="1:9" x14ac:dyDescent="0.2">
      <c r="A255" s="23" t="str">
        <f t="shared" si="6"/>
        <v/>
      </c>
      <c r="B255" s="22"/>
      <c r="C255" s="24"/>
      <c r="D255" s="15"/>
      <c r="E255" s="15"/>
      <c r="F255" s="24"/>
      <c r="G255" s="25"/>
      <c r="H255" s="21"/>
      <c r="I255" s="26" t="str">
        <f t="shared" si="7"/>
        <v/>
      </c>
    </row>
    <row r="256" spans="1:9" x14ac:dyDescent="0.2">
      <c r="A256" s="23" t="str">
        <f t="shared" si="6"/>
        <v/>
      </c>
      <c r="B256" s="22"/>
      <c r="C256" s="24"/>
      <c r="D256" s="15"/>
      <c r="E256" s="15"/>
      <c r="F256" s="24"/>
      <c r="G256" s="25"/>
      <c r="H256" s="21"/>
      <c r="I256" s="26" t="str">
        <f t="shared" si="7"/>
        <v/>
      </c>
    </row>
    <row r="257" spans="1:9" x14ac:dyDescent="0.2">
      <c r="A257" s="23" t="str">
        <f t="shared" si="6"/>
        <v/>
      </c>
      <c r="B257" s="22"/>
      <c r="C257" s="24"/>
      <c r="D257" s="15"/>
      <c r="E257" s="15"/>
      <c r="F257" s="24"/>
      <c r="G257" s="25"/>
      <c r="H257" s="21"/>
      <c r="I257" s="26" t="str">
        <f t="shared" si="7"/>
        <v/>
      </c>
    </row>
    <row r="258" spans="1:9" x14ac:dyDescent="0.2">
      <c r="A258" s="23" t="str">
        <f t="shared" si="6"/>
        <v/>
      </c>
      <c r="B258" s="22"/>
      <c r="C258" s="24"/>
      <c r="D258" s="15"/>
      <c r="E258" s="15"/>
      <c r="F258" s="24"/>
      <c r="G258" s="25"/>
      <c r="H258" s="21"/>
      <c r="I258" s="26" t="str">
        <f t="shared" si="7"/>
        <v/>
      </c>
    </row>
    <row r="259" spans="1:9" x14ac:dyDescent="0.2">
      <c r="A259" s="23" t="str">
        <f t="shared" si="6"/>
        <v/>
      </c>
      <c r="B259" s="22"/>
      <c r="C259" s="24"/>
      <c r="D259" s="15"/>
      <c r="E259" s="15"/>
      <c r="F259" s="24"/>
      <c r="G259" s="25"/>
      <c r="H259" s="21"/>
      <c r="I259" s="26" t="str">
        <f t="shared" si="7"/>
        <v/>
      </c>
    </row>
    <row r="260" spans="1:9" x14ac:dyDescent="0.2">
      <c r="A260" s="23" t="str">
        <f t="shared" si="6"/>
        <v/>
      </c>
      <c r="B260" s="22"/>
      <c r="C260" s="24"/>
      <c r="D260" s="15"/>
      <c r="E260" s="15"/>
      <c r="F260" s="24"/>
      <c r="G260" s="25"/>
      <c r="H260" s="21"/>
      <c r="I260" s="26" t="str">
        <f t="shared" si="7"/>
        <v/>
      </c>
    </row>
    <row r="261" spans="1:9" x14ac:dyDescent="0.2">
      <c r="A261" s="23" t="str">
        <f t="shared" ref="A261:A324" si="8">IF(B261="","",ROW()-4)</f>
        <v/>
      </c>
      <c r="B261" s="22"/>
      <c r="C261" s="24"/>
      <c r="D261" s="15"/>
      <c r="E261" s="15"/>
      <c r="F261" s="24"/>
      <c r="G261" s="25"/>
      <c r="H261" s="21"/>
      <c r="I261" s="26" t="str">
        <f t="shared" ref="I261:I324" si="9">IF(OR(G261="",H261=""),"",G261*H261)</f>
        <v/>
      </c>
    </row>
    <row r="262" spans="1:9" x14ac:dyDescent="0.2">
      <c r="A262" s="23" t="str">
        <f t="shared" si="8"/>
        <v/>
      </c>
      <c r="B262" s="22"/>
      <c r="C262" s="24"/>
      <c r="D262" s="15"/>
      <c r="E262" s="15"/>
      <c r="F262" s="24"/>
      <c r="G262" s="25"/>
      <c r="H262" s="21"/>
      <c r="I262" s="26" t="str">
        <f t="shared" si="9"/>
        <v/>
      </c>
    </row>
    <row r="263" spans="1:9" x14ac:dyDescent="0.2">
      <c r="A263" s="23" t="str">
        <f t="shared" si="8"/>
        <v/>
      </c>
      <c r="B263" s="22"/>
      <c r="C263" s="24"/>
      <c r="D263" s="15"/>
      <c r="E263" s="15"/>
      <c r="F263" s="24"/>
      <c r="G263" s="25"/>
      <c r="H263" s="21"/>
      <c r="I263" s="26" t="str">
        <f t="shared" si="9"/>
        <v/>
      </c>
    </row>
    <row r="264" spans="1:9" x14ac:dyDescent="0.2">
      <c r="A264" s="23" t="str">
        <f t="shared" si="8"/>
        <v/>
      </c>
      <c r="B264" s="22"/>
      <c r="C264" s="24"/>
      <c r="D264" s="15"/>
      <c r="E264" s="15"/>
      <c r="F264" s="24"/>
      <c r="G264" s="25"/>
      <c r="H264" s="21"/>
      <c r="I264" s="26" t="str">
        <f t="shared" si="9"/>
        <v/>
      </c>
    </row>
    <row r="265" spans="1:9" x14ac:dyDescent="0.2">
      <c r="A265" s="23" t="str">
        <f t="shared" si="8"/>
        <v/>
      </c>
      <c r="B265" s="22"/>
      <c r="C265" s="24"/>
      <c r="D265" s="15"/>
      <c r="E265" s="15"/>
      <c r="F265" s="24"/>
      <c r="G265" s="25"/>
      <c r="H265" s="21"/>
      <c r="I265" s="26" t="str">
        <f t="shared" si="9"/>
        <v/>
      </c>
    </row>
    <row r="266" spans="1:9" x14ac:dyDescent="0.2">
      <c r="A266" s="23" t="str">
        <f t="shared" si="8"/>
        <v/>
      </c>
      <c r="B266" s="22"/>
      <c r="C266" s="24"/>
      <c r="D266" s="15"/>
      <c r="E266" s="15"/>
      <c r="F266" s="24"/>
      <c r="G266" s="25"/>
      <c r="H266" s="21"/>
      <c r="I266" s="26" t="str">
        <f t="shared" si="9"/>
        <v/>
      </c>
    </row>
    <row r="267" spans="1:9" x14ac:dyDescent="0.2">
      <c r="A267" s="23" t="str">
        <f t="shared" si="8"/>
        <v/>
      </c>
      <c r="B267" s="22"/>
      <c r="C267" s="24"/>
      <c r="D267" s="15"/>
      <c r="E267" s="15"/>
      <c r="F267" s="24"/>
      <c r="G267" s="25"/>
      <c r="H267" s="21"/>
      <c r="I267" s="26" t="str">
        <f t="shared" si="9"/>
        <v/>
      </c>
    </row>
    <row r="268" spans="1:9" x14ac:dyDescent="0.2">
      <c r="A268" s="23" t="str">
        <f t="shared" si="8"/>
        <v/>
      </c>
      <c r="B268" s="22"/>
      <c r="C268" s="24"/>
      <c r="D268" s="15"/>
      <c r="E268" s="15"/>
      <c r="F268" s="24"/>
      <c r="G268" s="25"/>
      <c r="H268" s="21"/>
      <c r="I268" s="26" t="str">
        <f t="shared" si="9"/>
        <v/>
      </c>
    </row>
    <row r="269" spans="1:9" x14ac:dyDescent="0.2">
      <c r="A269" s="23" t="str">
        <f t="shared" si="8"/>
        <v/>
      </c>
      <c r="B269" s="22"/>
      <c r="C269" s="24"/>
      <c r="D269" s="15"/>
      <c r="E269" s="15"/>
      <c r="F269" s="24"/>
      <c r="G269" s="25"/>
      <c r="H269" s="21"/>
      <c r="I269" s="26" t="str">
        <f t="shared" si="9"/>
        <v/>
      </c>
    </row>
    <row r="270" spans="1:9" x14ac:dyDescent="0.2">
      <c r="A270" s="23" t="str">
        <f t="shared" si="8"/>
        <v/>
      </c>
      <c r="B270" s="22"/>
      <c r="C270" s="24"/>
      <c r="D270" s="15"/>
      <c r="E270" s="15"/>
      <c r="F270" s="24"/>
      <c r="G270" s="25"/>
      <c r="H270" s="21"/>
      <c r="I270" s="26" t="str">
        <f t="shared" si="9"/>
        <v/>
      </c>
    </row>
    <row r="271" spans="1:9" x14ac:dyDescent="0.2">
      <c r="A271" s="23" t="str">
        <f t="shared" si="8"/>
        <v/>
      </c>
      <c r="B271" s="22"/>
      <c r="C271" s="24"/>
      <c r="D271" s="15"/>
      <c r="E271" s="15"/>
      <c r="F271" s="24"/>
      <c r="G271" s="25"/>
      <c r="H271" s="21"/>
      <c r="I271" s="26" t="str">
        <f t="shared" si="9"/>
        <v/>
      </c>
    </row>
    <row r="272" spans="1:9" x14ac:dyDescent="0.2">
      <c r="A272" s="23" t="str">
        <f t="shared" si="8"/>
        <v/>
      </c>
      <c r="B272" s="22"/>
      <c r="C272" s="24"/>
      <c r="D272" s="15"/>
      <c r="E272" s="15"/>
      <c r="F272" s="24"/>
      <c r="G272" s="25"/>
      <c r="H272" s="21"/>
      <c r="I272" s="26" t="str">
        <f t="shared" si="9"/>
        <v/>
      </c>
    </row>
    <row r="273" spans="1:9" x14ac:dyDescent="0.2">
      <c r="A273" s="23" t="str">
        <f t="shared" si="8"/>
        <v/>
      </c>
      <c r="B273" s="22"/>
      <c r="C273" s="24"/>
      <c r="D273" s="15"/>
      <c r="E273" s="15"/>
      <c r="F273" s="24"/>
      <c r="G273" s="25"/>
      <c r="H273" s="21"/>
      <c r="I273" s="26" t="str">
        <f t="shared" si="9"/>
        <v/>
      </c>
    </row>
    <row r="274" spans="1:9" x14ac:dyDescent="0.2">
      <c r="A274" s="23" t="str">
        <f t="shared" si="8"/>
        <v/>
      </c>
      <c r="B274" s="22"/>
      <c r="C274" s="24"/>
      <c r="D274" s="15"/>
      <c r="E274" s="15"/>
      <c r="F274" s="24"/>
      <c r="G274" s="25"/>
      <c r="H274" s="21"/>
      <c r="I274" s="26" t="str">
        <f t="shared" si="9"/>
        <v/>
      </c>
    </row>
    <row r="275" spans="1:9" x14ac:dyDescent="0.2">
      <c r="A275" s="23" t="str">
        <f t="shared" si="8"/>
        <v/>
      </c>
      <c r="B275" s="22"/>
      <c r="C275" s="24"/>
      <c r="D275" s="15"/>
      <c r="E275" s="15"/>
      <c r="F275" s="24"/>
      <c r="G275" s="25"/>
      <c r="H275" s="21"/>
      <c r="I275" s="26" t="str">
        <f t="shared" si="9"/>
        <v/>
      </c>
    </row>
    <row r="276" spans="1:9" x14ac:dyDescent="0.2">
      <c r="A276" s="23" t="str">
        <f t="shared" si="8"/>
        <v/>
      </c>
      <c r="B276" s="22"/>
      <c r="C276" s="24"/>
      <c r="D276" s="15"/>
      <c r="E276" s="15"/>
      <c r="F276" s="24"/>
      <c r="G276" s="25"/>
      <c r="H276" s="21"/>
      <c r="I276" s="26" t="str">
        <f t="shared" si="9"/>
        <v/>
      </c>
    </row>
    <row r="277" spans="1:9" x14ac:dyDescent="0.2">
      <c r="A277" s="23" t="str">
        <f t="shared" si="8"/>
        <v/>
      </c>
      <c r="B277" s="22"/>
      <c r="C277" s="24"/>
      <c r="D277" s="15"/>
      <c r="E277" s="15"/>
      <c r="F277" s="24"/>
      <c r="G277" s="25"/>
      <c r="H277" s="21"/>
      <c r="I277" s="26" t="str">
        <f t="shared" si="9"/>
        <v/>
      </c>
    </row>
    <row r="278" spans="1:9" x14ac:dyDescent="0.2">
      <c r="A278" s="23" t="str">
        <f t="shared" si="8"/>
        <v/>
      </c>
      <c r="B278" s="22"/>
      <c r="C278" s="24"/>
      <c r="D278" s="15"/>
      <c r="E278" s="15"/>
      <c r="F278" s="24"/>
      <c r="G278" s="25"/>
      <c r="H278" s="21"/>
      <c r="I278" s="26" t="str">
        <f t="shared" si="9"/>
        <v/>
      </c>
    </row>
    <row r="279" spans="1:9" x14ac:dyDescent="0.2">
      <c r="A279" s="23" t="str">
        <f t="shared" si="8"/>
        <v/>
      </c>
      <c r="B279" s="22"/>
      <c r="C279" s="24"/>
      <c r="D279" s="15"/>
      <c r="E279" s="15"/>
      <c r="F279" s="24"/>
      <c r="G279" s="25"/>
      <c r="H279" s="21"/>
      <c r="I279" s="26" t="str">
        <f t="shared" si="9"/>
        <v/>
      </c>
    </row>
    <row r="280" spans="1:9" x14ac:dyDescent="0.2">
      <c r="A280" s="23" t="str">
        <f t="shared" si="8"/>
        <v/>
      </c>
      <c r="B280" s="22"/>
      <c r="C280" s="24"/>
      <c r="D280" s="15"/>
      <c r="E280" s="15"/>
      <c r="F280" s="24"/>
      <c r="G280" s="25"/>
      <c r="H280" s="21"/>
      <c r="I280" s="26" t="str">
        <f t="shared" si="9"/>
        <v/>
      </c>
    </row>
    <row r="281" spans="1:9" x14ac:dyDescent="0.2">
      <c r="A281" s="23" t="str">
        <f t="shared" si="8"/>
        <v/>
      </c>
      <c r="B281" s="22"/>
      <c r="C281" s="24"/>
      <c r="D281" s="15"/>
      <c r="E281" s="15"/>
      <c r="F281" s="24"/>
      <c r="G281" s="25"/>
      <c r="H281" s="21"/>
      <c r="I281" s="26" t="str">
        <f t="shared" si="9"/>
        <v/>
      </c>
    </row>
    <row r="282" spans="1:9" x14ac:dyDescent="0.2">
      <c r="A282" s="23" t="str">
        <f t="shared" si="8"/>
        <v/>
      </c>
      <c r="B282" s="22"/>
      <c r="C282" s="24"/>
      <c r="D282" s="15"/>
      <c r="E282" s="15"/>
      <c r="F282" s="24"/>
      <c r="G282" s="25"/>
      <c r="H282" s="21"/>
      <c r="I282" s="26" t="str">
        <f t="shared" si="9"/>
        <v/>
      </c>
    </row>
    <row r="283" spans="1:9" x14ac:dyDescent="0.2">
      <c r="A283" s="23" t="str">
        <f t="shared" si="8"/>
        <v/>
      </c>
      <c r="B283" s="22"/>
      <c r="C283" s="24"/>
      <c r="D283" s="15"/>
      <c r="E283" s="15"/>
      <c r="F283" s="24"/>
      <c r="G283" s="25"/>
      <c r="H283" s="21"/>
      <c r="I283" s="26" t="str">
        <f t="shared" si="9"/>
        <v/>
      </c>
    </row>
    <row r="284" spans="1:9" x14ac:dyDescent="0.2">
      <c r="A284" s="23" t="str">
        <f t="shared" si="8"/>
        <v/>
      </c>
      <c r="B284" s="22"/>
      <c r="C284" s="24"/>
      <c r="D284" s="15"/>
      <c r="E284" s="15"/>
      <c r="F284" s="24"/>
      <c r="G284" s="25"/>
      <c r="H284" s="21"/>
      <c r="I284" s="26" t="str">
        <f t="shared" si="9"/>
        <v/>
      </c>
    </row>
    <row r="285" spans="1:9" x14ac:dyDescent="0.2">
      <c r="A285" s="23" t="str">
        <f t="shared" si="8"/>
        <v/>
      </c>
      <c r="B285" s="22"/>
      <c r="C285" s="24"/>
      <c r="D285" s="15"/>
      <c r="E285" s="15"/>
      <c r="F285" s="24"/>
      <c r="G285" s="25"/>
      <c r="H285" s="21"/>
      <c r="I285" s="26" t="str">
        <f t="shared" si="9"/>
        <v/>
      </c>
    </row>
    <row r="286" spans="1:9" x14ac:dyDescent="0.2">
      <c r="A286" s="23" t="str">
        <f t="shared" si="8"/>
        <v/>
      </c>
      <c r="B286" s="22"/>
      <c r="C286" s="24"/>
      <c r="D286" s="15"/>
      <c r="E286" s="15"/>
      <c r="F286" s="24"/>
      <c r="G286" s="25"/>
      <c r="H286" s="21"/>
      <c r="I286" s="26" t="str">
        <f t="shared" si="9"/>
        <v/>
      </c>
    </row>
    <row r="287" spans="1:9" x14ac:dyDescent="0.2">
      <c r="A287" s="23" t="str">
        <f t="shared" si="8"/>
        <v/>
      </c>
      <c r="B287" s="22"/>
      <c r="C287" s="24"/>
      <c r="D287" s="15"/>
      <c r="E287" s="15"/>
      <c r="F287" s="24"/>
      <c r="G287" s="25"/>
      <c r="H287" s="21"/>
      <c r="I287" s="26" t="str">
        <f t="shared" si="9"/>
        <v/>
      </c>
    </row>
    <row r="288" spans="1:9" x14ac:dyDescent="0.2">
      <c r="A288" s="23" t="str">
        <f t="shared" si="8"/>
        <v/>
      </c>
      <c r="B288" s="22"/>
      <c r="C288" s="24"/>
      <c r="D288" s="15"/>
      <c r="E288" s="15"/>
      <c r="F288" s="24"/>
      <c r="G288" s="25"/>
      <c r="H288" s="21"/>
      <c r="I288" s="26" t="str">
        <f t="shared" si="9"/>
        <v/>
      </c>
    </row>
    <row r="289" spans="1:9" x14ac:dyDescent="0.2">
      <c r="A289" s="23" t="str">
        <f t="shared" si="8"/>
        <v/>
      </c>
      <c r="B289" s="22"/>
      <c r="C289" s="24"/>
      <c r="D289" s="15"/>
      <c r="E289" s="15"/>
      <c r="F289" s="24"/>
      <c r="G289" s="25"/>
      <c r="H289" s="21"/>
      <c r="I289" s="26" t="str">
        <f t="shared" si="9"/>
        <v/>
      </c>
    </row>
    <row r="290" spans="1:9" x14ac:dyDescent="0.2">
      <c r="A290" s="23" t="str">
        <f t="shared" si="8"/>
        <v/>
      </c>
      <c r="B290" s="22"/>
      <c r="C290" s="24"/>
      <c r="D290" s="15"/>
      <c r="E290" s="15"/>
      <c r="F290" s="24"/>
      <c r="G290" s="25"/>
      <c r="H290" s="21"/>
      <c r="I290" s="26" t="str">
        <f t="shared" si="9"/>
        <v/>
      </c>
    </row>
    <row r="291" spans="1:9" x14ac:dyDescent="0.2">
      <c r="A291" s="23" t="str">
        <f t="shared" si="8"/>
        <v/>
      </c>
      <c r="B291" s="22"/>
      <c r="C291" s="24"/>
      <c r="D291" s="15"/>
      <c r="E291" s="15"/>
      <c r="F291" s="24"/>
      <c r="G291" s="25"/>
      <c r="H291" s="21"/>
      <c r="I291" s="26" t="str">
        <f t="shared" si="9"/>
        <v/>
      </c>
    </row>
    <row r="292" spans="1:9" x14ac:dyDescent="0.2">
      <c r="A292" s="23" t="str">
        <f t="shared" si="8"/>
        <v/>
      </c>
      <c r="B292" s="22"/>
      <c r="C292" s="24"/>
      <c r="D292" s="15"/>
      <c r="E292" s="15"/>
      <c r="F292" s="24"/>
      <c r="G292" s="25"/>
      <c r="H292" s="21"/>
      <c r="I292" s="26" t="str">
        <f t="shared" si="9"/>
        <v/>
      </c>
    </row>
    <row r="293" spans="1:9" x14ac:dyDescent="0.2">
      <c r="A293" s="23" t="str">
        <f t="shared" si="8"/>
        <v/>
      </c>
      <c r="B293" s="22"/>
      <c r="C293" s="24"/>
      <c r="D293" s="15"/>
      <c r="E293" s="15"/>
      <c r="F293" s="24"/>
      <c r="G293" s="25"/>
      <c r="H293" s="21"/>
      <c r="I293" s="26" t="str">
        <f t="shared" si="9"/>
        <v/>
      </c>
    </row>
    <row r="294" spans="1:9" x14ac:dyDescent="0.2">
      <c r="A294" s="23" t="str">
        <f t="shared" si="8"/>
        <v/>
      </c>
      <c r="B294" s="22"/>
      <c r="C294" s="24"/>
      <c r="D294" s="15"/>
      <c r="E294" s="15"/>
      <c r="F294" s="24"/>
      <c r="G294" s="25"/>
      <c r="H294" s="21"/>
      <c r="I294" s="26" t="str">
        <f t="shared" si="9"/>
        <v/>
      </c>
    </row>
    <row r="295" spans="1:9" x14ac:dyDescent="0.2">
      <c r="A295" s="23" t="str">
        <f t="shared" si="8"/>
        <v/>
      </c>
      <c r="B295" s="22"/>
      <c r="C295" s="24"/>
      <c r="D295" s="15"/>
      <c r="E295" s="15"/>
      <c r="F295" s="24"/>
      <c r="G295" s="25"/>
      <c r="H295" s="21"/>
      <c r="I295" s="26" t="str">
        <f t="shared" si="9"/>
        <v/>
      </c>
    </row>
    <row r="296" spans="1:9" x14ac:dyDescent="0.2">
      <c r="A296" s="23" t="str">
        <f t="shared" si="8"/>
        <v/>
      </c>
      <c r="B296" s="22"/>
      <c r="C296" s="24"/>
      <c r="D296" s="15"/>
      <c r="E296" s="15"/>
      <c r="F296" s="24"/>
      <c r="G296" s="25"/>
      <c r="H296" s="21"/>
      <c r="I296" s="26" t="str">
        <f t="shared" si="9"/>
        <v/>
      </c>
    </row>
    <row r="297" spans="1:9" x14ac:dyDescent="0.2">
      <c r="A297" s="23" t="str">
        <f t="shared" si="8"/>
        <v/>
      </c>
      <c r="B297" s="22"/>
      <c r="C297" s="24"/>
      <c r="D297" s="15"/>
      <c r="E297" s="15"/>
      <c r="F297" s="24"/>
      <c r="G297" s="25"/>
      <c r="H297" s="21"/>
      <c r="I297" s="26" t="str">
        <f t="shared" si="9"/>
        <v/>
      </c>
    </row>
    <row r="298" spans="1:9" x14ac:dyDescent="0.2">
      <c r="A298" s="23" t="str">
        <f t="shared" si="8"/>
        <v/>
      </c>
      <c r="B298" s="22"/>
      <c r="C298" s="24"/>
      <c r="D298" s="15"/>
      <c r="E298" s="15"/>
      <c r="F298" s="24"/>
      <c r="G298" s="25"/>
      <c r="H298" s="21"/>
      <c r="I298" s="26" t="str">
        <f t="shared" si="9"/>
        <v/>
      </c>
    </row>
    <row r="299" spans="1:9" x14ac:dyDescent="0.2">
      <c r="A299" s="23" t="str">
        <f t="shared" si="8"/>
        <v/>
      </c>
      <c r="B299" s="22"/>
      <c r="C299" s="24"/>
      <c r="D299" s="15"/>
      <c r="E299" s="15"/>
      <c r="F299" s="24"/>
      <c r="G299" s="25"/>
      <c r="H299" s="21"/>
      <c r="I299" s="26" t="str">
        <f t="shared" si="9"/>
        <v/>
      </c>
    </row>
    <row r="300" spans="1:9" x14ac:dyDescent="0.2">
      <c r="A300" s="23" t="str">
        <f t="shared" si="8"/>
        <v/>
      </c>
      <c r="B300" s="22"/>
      <c r="C300" s="24"/>
      <c r="D300" s="15"/>
      <c r="E300" s="15"/>
      <c r="F300" s="24"/>
      <c r="G300" s="25"/>
      <c r="H300" s="21"/>
      <c r="I300" s="26" t="str">
        <f t="shared" si="9"/>
        <v/>
      </c>
    </row>
    <row r="301" spans="1:9" x14ac:dyDescent="0.2">
      <c r="A301" s="23" t="str">
        <f t="shared" si="8"/>
        <v/>
      </c>
      <c r="B301" s="22"/>
      <c r="C301" s="24"/>
      <c r="D301" s="15"/>
      <c r="E301" s="15"/>
      <c r="F301" s="24"/>
      <c r="G301" s="25"/>
      <c r="H301" s="21"/>
      <c r="I301" s="26" t="str">
        <f t="shared" si="9"/>
        <v/>
      </c>
    </row>
    <row r="302" spans="1:9" x14ac:dyDescent="0.2">
      <c r="A302" s="23" t="str">
        <f t="shared" si="8"/>
        <v/>
      </c>
      <c r="B302" s="22"/>
      <c r="C302" s="24"/>
      <c r="D302" s="15"/>
      <c r="E302" s="15"/>
      <c r="F302" s="24"/>
      <c r="G302" s="25"/>
      <c r="H302" s="21"/>
      <c r="I302" s="26" t="str">
        <f t="shared" si="9"/>
        <v/>
      </c>
    </row>
    <row r="303" spans="1:9" x14ac:dyDescent="0.2">
      <c r="A303" s="23" t="str">
        <f t="shared" si="8"/>
        <v/>
      </c>
      <c r="B303" s="22"/>
      <c r="C303" s="24"/>
      <c r="D303" s="15"/>
      <c r="E303" s="15"/>
      <c r="F303" s="24"/>
      <c r="G303" s="25"/>
      <c r="H303" s="21"/>
      <c r="I303" s="26" t="str">
        <f t="shared" si="9"/>
        <v/>
      </c>
    </row>
    <row r="304" spans="1:9" x14ac:dyDescent="0.2">
      <c r="A304" s="23" t="str">
        <f t="shared" si="8"/>
        <v/>
      </c>
      <c r="B304" s="22"/>
      <c r="C304" s="24"/>
      <c r="D304" s="15"/>
      <c r="E304" s="15"/>
      <c r="F304" s="24"/>
      <c r="G304" s="25"/>
      <c r="H304" s="21"/>
      <c r="I304" s="26" t="str">
        <f t="shared" si="9"/>
        <v/>
      </c>
    </row>
    <row r="305" spans="1:9" x14ac:dyDescent="0.2">
      <c r="A305" s="23" t="str">
        <f t="shared" si="8"/>
        <v/>
      </c>
      <c r="B305" s="22"/>
      <c r="C305" s="24"/>
      <c r="D305" s="15"/>
      <c r="E305" s="15"/>
      <c r="F305" s="24"/>
      <c r="G305" s="25"/>
      <c r="H305" s="21"/>
      <c r="I305" s="26" t="str">
        <f t="shared" si="9"/>
        <v/>
      </c>
    </row>
    <row r="306" spans="1:9" x14ac:dyDescent="0.2">
      <c r="A306" s="23" t="str">
        <f t="shared" si="8"/>
        <v/>
      </c>
      <c r="B306" s="22"/>
      <c r="C306" s="24"/>
      <c r="D306" s="15"/>
      <c r="E306" s="15"/>
      <c r="F306" s="24"/>
      <c r="G306" s="25"/>
      <c r="H306" s="21"/>
      <c r="I306" s="26" t="str">
        <f t="shared" si="9"/>
        <v/>
      </c>
    </row>
    <row r="307" spans="1:9" x14ac:dyDescent="0.2">
      <c r="A307" s="23" t="str">
        <f t="shared" si="8"/>
        <v/>
      </c>
      <c r="B307" s="22"/>
      <c r="C307" s="24"/>
      <c r="D307" s="15"/>
      <c r="E307" s="15"/>
      <c r="F307" s="24"/>
      <c r="G307" s="25"/>
      <c r="H307" s="21"/>
      <c r="I307" s="26" t="str">
        <f t="shared" si="9"/>
        <v/>
      </c>
    </row>
    <row r="308" spans="1:9" x14ac:dyDescent="0.2">
      <c r="A308" s="23" t="str">
        <f t="shared" si="8"/>
        <v/>
      </c>
      <c r="B308" s="22"/>
      <c r="C308" s="24"/>
      <c r="D308" s="15"/>
      <c r="E308" s="15"/>
      <c r="F308" s="24"/>
      <c r="G308" s="25"/>
      <c r="H308" s="21"/>
      <c r="I308" s="26" t="str">
        <f t="shared" si="9"/>
        <v/>
      </c>
    </row>
    <row r="309" spans="1:9" x14ac:dyDescent="0.2">
      <c r="A309" s="23" t="str">
        <f t="shared" si="8"/>
        <v/>
      </c>
      <c r="B309" s="22"/>
      <c r="C309" s="24"/>
      <c r="D309" s="15"/>
      <c r="E309" s="15"/>
      <c r="F309" s="24"/>
      <c r="G309" s="25"/>
      <c r="H309" s="21"/>
      <c r="I309" s="26" t="str">
        <f t="shared" si="9"/>
        <v/>
      </c>
    </row>
    <row r="310" spans="1:9" x14ac:dyDescent="0.2">
      <c r="A310" s="23" t="str">
        <f t="shared" si="8"/>
        <v/>
      </c>
      <c r="B310" s="22"/>
      <c r="C310" s="24"/>
      <c r="D310" s="15"/>
      <c r="E310" s="15"/>
      <c r="F310" s="24"/>
      <c r="G310" s="25"/>
      <c r="H310" s="21"/>
      <c r="I310" s="26" t="str">
        <f t="shared" si="9"/>
        <v/>
      </c>
    </row>
    <row r="311" spans="1:9" x14ac:dyDescent="0.2">
      <c r="A311" s="23" t="str">
        <f t="shared" si="8"/>
        <v/>
      </c>
      <c r="B311" s="22"/>
      <c r="C311" s="24"/>
      <c r="D311" s="15"/>
      <c r="E311" s="15"/>
      <c r="F311" s="24"/>
      <c r="G311" s="25"/>
      <c r="H311" s="21"/>
      <c r="I311" s="26" t="str">
        <f t="shared" si="9"/>
        <v/>
      </c>
    </row>
    <row r="312" spans="1:9" x14ac:dyDescent="0.2">
      <c r="A312" s="23" t="str">
        <f t="shared" si="8"/>
        <v/>
      </c>
      <c r="B312" s="22"/>
      <c r="C312" s="24"/>
      <c r="D312" s="15"/>
      <c r="E312" s="15"/>
      <c r="F312" s="24"/>
      <c r="G312" s="25"/>
      <c r="H312" s="21"/>
      <c r="I312" s="26" t="str">
        <f t="shared" si="9"/>
        <v/>
      </c>
    </row>
    <row r="313" spans="1:9" x14ac:dyDescent="0.2">
      <c r="A313" s="23" t="str">
        <f t="shared" si="8"/>
        <v/>
      </c>
      <c r="B313" s="22"/>
      <c r="C313" s="24"/>
      <c r="D313" s="15"/>
      <c r="E313" s="15"/>
      <c r="F313" s="24"/>
      <c r="G313" s="25"/>
      <c r="H313" s="21"/>
      <c r="I313" s="26" t="str">
        <f t="shared" si="9"/>
        <v/>
      </c>
    </row>
    <row r="314" spans="1:9" x14ac:dyDescent="0.2">
      <c r="A314" s="23" t="str">
        <f t="shared" si="8"/>
        <v/>
      </c>
      <c r="B314" s="22"/>
      <c r="C314" s="24"/>
      <c r="D314" s="15"/>
      <c r="E314" s="15"/>
      <c r="F314" s="24"/>
      <c r="G314" s="25"/>
      <c r="H314" s="21"/>
      <c r="I314" s="26" t="str">
        <f t="shared" si="9"/>
        <v/>
      </c>
    </row>
    <row r="315" spans="1:9" x14ac:dyDescent="0.2">
      <c r="A315" s="23" t="str">
        <f t="shared" si="8"/>
        <v/>
      </c>
      <c r="B315" s="22"/>
      <c r="C315" s="24"/>
      <c r="D315" s="15"/>
      <c r="E315" s="15"/>
      <c r="F315" s="24"/>
      <c r="G315" s="25"/>
      <c r="H315" s="21"/>
      <c r="I315" s="26" t="str">
        <f t="shared" si="9"/>
        <v/>
      </c>
    </row>
    <row r="316" spans="1:9" x14ac:dyDescent="0.2">
      <c r="A316" s="23" t="str">
        <f t="shared" si="8"/>
        <v/>
      </c>
      <c r="B316" s="22"/>
      <c r="C316" s="24"/>
      <c r="D316" s="15"/>
      <c r="E316" s="15"/>
      <c r="F316" s="24"/>
      <c r="G316" s="25"/>
      <c r="H316" s="21"/>
      <c r="I316" s="26" t="str">
        <f t="shared" si="9"/>
        <v/>
      </c>
    </row>
    <row r="317" spans="1:9" x14ac:dyDescent="0.2">
      <c r="A317" s="23" t="str">
        <f t="shared" si="8"/>
        <v/>
      </c>
      <c r="B317" s="22"/>
      <c r="C317" s="24"/>
      <c r="D317" s="15"/>
      <c r="E317" s="15"/>
      <c r="F317" s="24"/>
      <c r="G317" s="25"/>
      <c r="H317" s="21"/>
      <c r="I317" s="26" t="str">
        <f t="shared" si="9"/>
        <v/>
      </c>
    </row>
    <row r="318" spans="1:9" x14ac:dyDescent="0.2">
      <c r="A318" s="23" t="str">
        <f t="shared" si="8"/>
        <v/>
      </c>
      <c r="B318" s="22"/>
      <c r="C318" s="24"/>
      <c r="D318" s="15"/>
      <c r="E318" s="15"/>
      <c r="F318" s="24"/>
      <c r="G318" s="25"/>
      <c r="H318" s="21"/>
      <c r="I318" s="26" t="str">
        <f t="shared" si="9"/>
        <v/>
      </c>
    </row>
    <row r="319" spans="1:9" x14ac:dyDescent="0.2">
      <c r="A319" s="23" t="str">
        <f t="shared" si="8"/>
        <v/>
      </c>
      <c r="B319" s="22"/>
      <c r="C319" s="24"/>
      <c r="D319" s="15"/>
      <c r="E319" s="15"/>
      <c r="F319" s="24"/>
      <c r="G319" s="25"/>
      <c r="H319" s="21"/>
      <c r="I319" s="26" t="str">
        <f t="shared" si="9"/>
        <v/>
      </c>
    </row>
    <row r="320" spans="1:9" x14ac:dyDescent="0.2">
      <c r="A320" s="23" t="str">
        <f t="shared" si="8"/>
        <v/>
      </c>
      <c r="B320" s="22"/>
      <c r="C320" s="24"/>
      <c r="D320" s="15"/>
      <c r="E320" s="15"/>
      <c r="F320" s="24"/>
      <c r="G320" s="25"/>
      <c r="H320" s="21"/>
      <c r="I320" s="26" t="str">
        <f t="shared" si="9"/>
        <v/>
      </c>
    </row>
    <row r="321" spans="1:9" x14ac:dyDescent="0.2">
      <c r="A321" s="23" t="str">
        <f t="shared" si="8"/>
        <v/>
      </c>
      <c r="B321" s="22"/>
      <c r="C321" s="24"/>
      <c r="D321" s="15"/>
      <c r="E321" s="15"/>
      <c r="F321" s="24"/>
      <c r="G321" s="25"/>
      <c r="H321" s="21"/>
      <c r="I321" s="26" t="str">
        <f t="shared" si="9"/>
        <v/>
      </c>
    </row>
    <row r="322" spans="1:9" x14ac:dyDescent="0.2">
      <c r="A322" s="23" t="str">
        <f t="shared" si="8"/>
        <v/>
      </c>
      <c r="B322" s="22"/>
      <c r="C322" s="24"/>
      <c r="D322" s="15"/>
      <c r="E322" s="15"/>
      <c r="F322" s="24"/>
      <c r="G322" s="25"/>
      <c r="H322" s="21"/>
      <c r="I322" s="26" t="str">
        <f t="shared" si="9"/>
        <v/>
      </c>
    </row>
    <row r="323" spans="1:9" x14ac:dyDescent="0.2">
      <c r="A323" s="23" t="str">
        <f t="shared" si="8"/>
        <v/>
      </c>
      <c r="B323" s="22"/>
      <c r="C323" s="24"/>
      <c r="D323" s="15"/>
      <c r="E323" s="15"/>
      <c r="F323" s="24"/>
      <c r="G323" s="25"/>
      <c r="H323" s="21"/>
      <c r="I323" s="26" t="str">
        <f t="shared" si="9"/>
        <v/>
      </c>
    </row>
    <row r="324" spans="1:9" x14ac:dyDescent="0.2">
      <c r="A324" s="23" t="str">
        <f t="shared" si="8"/>
        <v/>
      </c>
      <c r="B324" s="22"/>
      <c r="C324" s="24"/>
      <c r="D324" s="15"/>
      <c r="E324" s="15"/>
      <c r="F324" s="24"/>
      <c r="G324" s="25"/>
      <c r="H324" s="21"/>
      <c r="I324" s="26" t="str">
        <f t="shared" si="9"/>
        <v/>
      </c>
    </row>
    <row r="325" spans="1:9" x14ac:dyDescent="0.2">
      <c r="A325" s="23" t="str">
        <f t="shared" ref="A325:A388" si="10">IF(B325="","",ROW()-4)</f>
        <v/>
      </c>
      <c r="B325" s="22"/>
      <c r="C325" s="24"/>
      <c r="D325" s="15"/>
      <c r="E325" s="15"/>
      <c r="F325" s="24"/>
      <c r="G325" s="25"/>
      <c r="H325" s="21"/>
      <c r="I325" s="26" t="str">
        <f t="shared" ref="I325:I388" si="11">IF(OR(G325="",H325=""),"",G325*H325)</f>
        <v/>
      </c>
    </row>
    <row r="326" spans="1:9" x14ac:dyDescent="0.2">
      <c r="A326" s="23" t="str">
        <f t="shared" si="10"/>
        <v/>
      </c>
      <c r="B326" s="22"/>
      <c r="C326" s="24"/>
      <c r="D326" s="15"/>
      <c r="E326" s="15"/>
      <c r="F326" s="24"/>
      <c r="G326" s="25"/>
      <c r="H326" s="21"/>
      <c r="I326" s="26" t="str">
        <f t="shared" si="11"/>
        <v/>
      </c>
    </row>
    <row r="327" spans="1:9" x14ac:dyDescent="0.2">
      <c r="A327" s="23" t="str">
        <f t="shared" si="10"/>
        <v/>
      </c>
      <c r="B327" s="22"/>
      <c r="C327" s="24"/>
      <c r="D327" s="15"/>
      <c r="E327" s="15"/>
      <c r="F327" s="24"/>
      <c r="G327" s="25"/>
      <c r="H327" s="21"/>
      <c r="I327" s="26" t="str">
        <f t="shared" si="11"/>
        <v/>
      </c>
    </row>
    <row r="328" spans="1:9" x14ac:dyDescent="0.2">
      <c r="A328" s="23" t="str">
        <f t="shared" si="10"/>
        <v/>
      </c>
      <c r="B328" s="22"/>
      <c r="C328" s="24"/>
      <c r="D328" s="15"/>
      <c r="E328" s="15"/>
      <c r="F328" s="24"/>
      <c r="G328" s="25"/>
      <c r="H328" s="21"/>
      <c r="I328" s="26" t="str">
        <f t="shared" si="11"/>
        <v/>
      </c>
    </row>
    <row r="329" spans="1:9" x14ac:dyDescent="0.2">
      <c r="A329" s="23" t="str">
        <f t="shared" si="10"/>
        <v/>
      </c>
      <c r="B329" s="22"/>
      <c r="C329" s="24"/>
      <c r="D329" s="15"/>
      <c r="E329" s="15"/>
      <c r="F329" s="24"/>
      <c r="G329" s="25"/>
      <c r="H329" s="21"/>
      <c r="I329" s="26" t="str">
        <f t="shared" si="11"/>
        <v/>
      </c>
    </row>
    <row r="330" spans="1:9" x14ac:dyDescent="0.2">
      <c r="A330" s="23" t="str">
        <f t="shared" si="10"/>
        <v/>
      </c>
      <c r="B330" s="22"/>
      <c r="C330" s="24"/>
      <c r="D330" s="15"/>
      <c r="E330" s="15"/>
      <c r="F330" s="24"/>
      <c r="G330" s="25"/>
      <c r="H330" s="21"/>
      <c r="I330" s="26" t="str">
        <f t="shared" si="11"/>
        <v/>
      </c>
    </row>
    <row r="331" spans="1:9" x14ac:dyDescent="0.2">
      <c r="A331" s="23" t="str">
        <f t="shared" si="10"/>
        <v/>
      </c>
      <c r="B331" s="22"/>
      <c r="C331" s="24"/>
      <c r="D331" s="15"/>
      <c r="E331" s="15"/>
      <c r="F331" s="24"/>
      <c r="G331" s="25"/>
      <c r="H331" s="21"/>
      <c r="I331" s="26" t="str">
        <f t="shared" si="11"/>
        <v/>
      </c>
    </row>
    <row r="332" spans="1:9" x14ac:dyDescent="0.2">
      <c r="A332" s="23" t="str">
        <f t="shared" si="10"/>
        <v/>
      </c>
      <c r="B332" s="22"/>
      <c r="C332" s="24"/>
      <c r="D332" s="15"/>
      <c r="E332" s="15"/>
      <c r="F332" s="24"/>
      <c r="G332" s="25"/>
      <c r="H332" s="21"/>
      <c r="I332" s="26" t="str">
        <f t="shared" si="11"/>
        <v/>
      </c>
    </row>
    <row r="333" spans="1:9" x14ac:dyDescent="0.2">
      <c r="A333" s="23" t="str">
        <f t="shared" si="10"/>
        <v/>
      </c>
      <c r="B333" s="22"/>
      <c r="C333" s="24"/>
      <c r="D333" s="15"/>
      <c r="E333" s="15"/>
      <c r="F333" s="24"/>
      <c r="G333" s="25"/>
      <c r="H333" s="21"/>
      <c r="I333" s="26" t="str">
        <f t="shared" si="11"/>
        <v/>
      </c>
    </row>
    <row r="334" spans="1:9" x14ac:dyDescent="0.2">
      <c r="A334" s="23" t="str">
        <f t="shared" si="10"/>
        <v/>
      </c>
      <c r="B334" s="22"/>
      <c r="C334" s="24"/>
      <c r="D334" s="15"/>
      <c r="E334" s="15"/>
      <c r="F334" s="24"/>
      <c r="G334" s="25"/>
      <c r="H334" s="21"/>
      <c r="I334" s="26" t="str">
        <f t="shared" si="11"/>
        <v/>
      </c>
    </row>
    <row r="335" spans="1:9" x14ac:dyDescent="0.2">
      <c r="A335" s="23" t="str">
        <f t="shared" si="10"/>
        <v/>
      </c>
      <c r="B335" s="22"/>
      <c r="C335" s="24"/>
      <c r="D335" s="15"/>
      <c r="E335" s="15"/>
      <c r="F335" s="24"/>
      <c r="G335" s="25"/>
      <c r="H335" s="21"/>
      <c r="I335" s="26" t="str">
        <f t="shared" si="11"/>
        <v/>
      </c>
    </row>
    <row r="336" spans="1:9" x14ac:dyDescent="0.2">
      <c r="A336" s="23" t="str">
        <f t="shared" si="10"/>
        <v/>
      </c>
      <c r="B336" s="22"/>
      <c r="C336" s="24"/>
      <c r="D336" s="15"/>
      <c r="E336" s="15"/>
      <c r="F336" s="24"/>
      <c r="G336" s="25"/>
      <c r="H336" s="21"/>
      <c r="I336" s="26" t="str">
        <f t="shared" si="11"/>
        <v/>
      </c>
    </row>
    <row r="337" spans="1:9" x14ac:dyDescent="0.2">
      <c r="A337" s="23" t="str">
        <f t="shared" si="10"/>
        <v/>
      </c>
      <c r="B337" s="22"/>
      <c r="C337" s="24"/>
      <c r="D337" s="15"/>
      <c r="E337" s="15"/>
      <c r="F337" s="24"/>
      <c r="G337" s="25"/>
      <c r="H337" s="21"/>
      <c r="I337" s="26" t="str">
        <f t="shared" si="11"/>
        <v/>
      </c>
    </row>
    <row r="338" spans="1:9" x14ac:dyDescent="0.2">
      <c r="A338" s="23" t="str">
        <f t="shared" si="10"/>
        <v/>
      </c>
      <c r="B338" s="22"/>
      <c r="C338" s="24"/>
      <c r="D338" s="15"/>
      <c r="E338" s="15"/>
      <c r="F338" s="24"/>
      <c r="G338" s="25"/>
      <c r="H338" s="21"/>
      <c r="I338" s="26" t="str">
        <f t="shared" si="11"/>
        <v/>
      </c>
    </row>
    <row r="339" spans="1:9" x14ac:dyDescent="0.2">
      <c r="A339" s="23" t="str">
        <f t="shared" si="10"/>
        <v/>
      </c>
      <c r="B339" s="22"/>
      <c r="C339" s="24"/>
      <c r="D339" s="15"/>
      <c r="E339" s="15"/>
      <c r="F339" s="24"/>
      <c r="G339" s="25"/>
      <c r="H339" s="21"/>
      <c r="I339" s="26" t="str">
        <f t="shared" si="11"/>
        <v/>
      </c>
    </row>
    <row r="340" spans="1:9" x14ac:dyDescent="0.2">
      <c r="A340" s="23" t="str">
        <f t="shared" si="10"/>
        <v/>
      </c>
      <c r="B340" s="22"/>
      <c r="C340" s="24"/>
      <c r="D340" s="15"/>
      <c r="E340" s="15"/>
      <c r="F340" s="24"/>
      <c r="G340" s="25"/>
      <c r="H340" s="21"/>
      <c r="I340" s="26" t="str">
        <f t="shared" si="11"/>
        <v/>
      </c>
    </row>
    <row r="341" spans="1:9" x14ac:dyDescent="0.2">
      <c r="A341" s="23" t="str">
        <f t="shared" si="10"/>
        <v/>
      </c>
      <c r="B341" s="22"/>
      <c r="C341" s="24"/>
      <c r="D341" s="15"/>
      <c r="E341" s="15"/>
      <c r="F341" s="24"/>
      <c r="G341" s="25"/>
      <c r="H341" s="21"/>
      <c r="I341" s="26" t="str">
        <f t="shared" si="11"/>
        <v/>
      </c>
    </row>
    <row r="342" spans="1:9" x14ac:dyDescent="0.2">
      <c r="A342" s="23" t="str">
        <f t="shared" si="10"/>
        <v/>
      </c>
      <c r="B342" s="22"/>
      <c r="C342" s="24"/>
      <c r="D342" s="15"/>
      <c r="E342" s="15"/>
      <c r="F342" s="24"/>
      <c r="G342" s="25"/>
      <c r="H342" s="21"/>
      <c r="I342" s="26" t="str">
        <f t="shared" si="11"/>
        <v/>
      </c>
    </row>
    <row r="343" spans="1:9" x14ac:dyDescent="0.2">
      <c r="A343" s="23" t="str">
        <f t="shared" si="10"/>
        <v/>
      </c>
      <c r="B343" s="22"/>
      <c r="C343" s="24"/>
      <c r="D343" s="15"/>
      <c r="E343" s="15"/>
      <c r="F343" s="24"/>
      <c r="G343" s="25"/>
      <c r="H343" s="21"/>
      <c r="I343" s="26" t="str">
        <f t="shared" si="11"/>
        <v/>
      </c>
    </row>
    <row r="344" spans="1:9" x14ac:dyDescent="0.2">
      <c r="A344" s="23" t="str">
        <f t="shared" si="10"/>
        <v/>
      </c>
      <c r="B344" s="22"/>
      <c r="C344" s="24"/>
      <c r="D344" s="15"/>
      <c r="E344" s="15"/>
      <c r="F344" s="24"/>
      <c r="G344" s="25"/>
      <c r="H344" s="21"/>
      <c r="I344" s="26" t="str">
        <f t="shared" si="11"/>
        <v/>
      </c>
    </row>
    <row r="345" spans="1:9" x14ac:dyDescent="0.2">
      <c r="A345" s="23" t="str">
        <f t="shared" si="10"/>
        <v/>
      </c>
      <c r="B345" s="22"/>
      <c r="C345" s="24"/>
      <c r="D345" s="15"/>
      <c r="E345" s="15"/>
      <c r="F345" s="24"/>
      <c r="G345" s="25"/>
      <c r="H345" s="21"/>
      <c r="I345" s="26" t="str">
        <f t="shared" si="11"/>
        <v/>
      </c>
    </row>
    <row r="346" spans="1:9" x14ac:dyDescent="0.2">
      <c r="A346" s="23" t="str">
        <f t="shared" si="10"/>
        <v/>
      </c>
      <c r="B346" s="22"/>
      <c r="C346" s="24"/>
      <c r="D346" s="15"/>
      <c r="E346" s="15"/>
      <c r="F346" s="24"/>
      <c r="G346" s="25"/>
      <c r="H346" s="21"/>
      <c r="I346" s="26" t="str">
        <f t="shared" si="11"/>
        <v/>
      </c>
    </row>
    <row r="347" spans="1:9" x14ac:dyDescent="0.2">
      <c r="A347" s="23" t="str">
        <f t="shared" si="10"/>
        <v/>
      </c>
      <c r="B347" s="22"/>
      <c r="C347" s="24"/>
      <c r="D347" s="15"/>
      <c r="E347" s="15"/>
      <c r="F347" s="24"/>
      <c r="G347" s="25"/>
      <c r="H347" s="21"/>
      <c r="I347" s="26" t="str">
        <f t="shared" si="11"/>
        <v/>
      </c>
    </row>
    <row r="348" spans="1:9" x14ac:dyDescent="0.2">
      <c r="A348" s="23" t="str">
        <f t="shared" si="10"/>
        <v/>
      </c>
      <c r="B348" s="22"/>
      <c r="C348" s="24"/>
      <c r="D348" s="15"/>
      <c r="E348" s="15"/>
      <c r="F348" s="24"/>
      <c r="G348" s="25"/>
      <c r="H348" s="21"/>
      <c r="I348" s="26" t="str">
        <f t="shared" si="11"/>
        <v/>
      </c>
    </row>
    <row r="349" spans="1:9" x14ac:dyDescent="0.2">
      <c r="A349" s="23" t="str">
        <f t="shared" si="10"/>
        <v/>
      </c>
      <c r="B349" s="22"/>
      <c r="C349" s="24"/>
      <c r="D349" s="15"/>
      <c r="E349" s="15"/>
      <c r="F349" s="24"/>
      <c r="G349" s="25"/>
      <c r="H349" s="21"/>
      <c r="I349" s="26" t="str">
        <f t="shared" si="11"/>
        <v/>
      </c>
    </row>
    <row r="350" spans="1:9" x14ac:dyDescent="0.2">
      <c r="A350" s="23" t="str">
        <f t="shared" si="10"/>
        <v/>
      </c>
      <c r="B350" s="22"/>
      <c r="C350" s="24"/>
      <c r="D350" s="15"/>
      <c r="E350" s="15"/>
      <c r="F350" s="24"/>
      <c r="G350" s="25"/>
      <c r="H350" s="21"/>
      <c r="I350" s="26" t="str">
        <f t="shared" si="11"/>
        <v/>
      </c>
    </row>
    <row r="351" spans="1:9" x14ac:dyDescent="0.2">
      <c r="A351" s="23" t="str">
        <f t="shared" si="10"/>
        <v/>
      </c>
      <c r="B351" s="22"/>
      <c r="C351" s="24"/>
      <c r="D351" s="15"/>
      <c r="E351" s="15"/>
      <c r="F351" s="24"/>
      <c r="G351" s="25"/>
      <c r="H351" s="21"/>
      <c r="I351" s="26" t="str">
        <f t="shared" si="11"/>
        <v/>
      </c>
    </row>
    <row r="352" spans="1:9" x14ac:dyDescent="0.2">
      <c r="A352" s="23" t="str">
        <f t="shared" si="10"/>
        <v/>
      </c>
      <c r="B352" s="22"/>
      <c r="C352" s="24"/>
      <c r="D352" s="15"/>
      <c r="E352" s="15"/>
      <c r="F352" s="24"/>
      <c r="G352" s="25"/>
      <c r="H352" s="21"/>
      <c r="I352" s="26" t="str">
        <f t="shared" si="11"/>
        <v/>
      </c>
    </row>
    <row r="353" spans="1:9" x14ac:dyDescent="0.2">
      <c r="A353" s="23" t="str">
        <f t="shared" si="10"/>
        <v/>
      </c>
      <c r="B353" s="22"/>
      <c r="C353" s="24"/>
      <c r="D353" s="15"/>
      <c r="E353" s="15"/>
      <c r="F353" s="24"/>
      <c r="G353" s="25"/>
      <c r="H353" s="21"/>
      <c r="I353" s="26" t="str">
        <f t="shared" si="11"/>
        <v/>
      </c>
    </row>
    <row r="354" spans="1:9" x14ac:dyDescent="0.2">
      <c r="A354" s="23" t="str">
        <f t="shared" si="10"/>
        <v/>
      </c>
      <c r="B354" s="22"/>
      <c r="C354" s="24"/>
      <c r="D354" s="15"/>
      <c r="E354" s="15"/>
      <c r="F354" s="24"/>
      <c r="G354" s="25"/>
      <c r="H354" s="21"/>
      <c r="I354" s="26" t="str">
        <f t="shared" si="11"/>
        <v/>
      </c>
    </row>
    <row r="355" spans="1:9" x14ac:dyDescent="0.2">
      <c r="A355" s="23" t="str">
        <f t="shared" si="10"/>
        <v/>
      </c>
      <c r="B355" s="22"/>
      <c r="C355" s="24"/>
      <c r="D355" s="15"/>
      <c r="E355" s="15"/>
      <c r="F355" s="24"/>
      <c r="G355" s="25"/>
      <c r="H355" s="21"/>
      <c r="I355" s="26" t="str">
        <f t="shared" si="11"/>
        <v/>
      </c>
    </row>
    <row r="356" spans="1:9" x14ac:dyDescent="0.2">
      <c r="A356" s="23" t="str">
        <f t="shared" si="10"/>
        <v/>
      </c>
      <c r="B356" s="22"/>
      <c r="C356" s="24"/>
      <c r="D356" s="15"/>
      <c r="E356" s="15"/>
      <c r="F356" s="24"/>
      <c r="G356" s="25"/>
      <c r="H356" s="21"/>
      <c r="I356" s="26" t="str">
        <f t="shared" si="11"/>
        <v/>
      </c>
    </row>
    <row r="357" spans="1:9" x14ac:dyDescent="0.2">
      <c r="A357" s="23" t="str">
        <f t="shared" si="10"/>
        <v/>
      </c>
      <c r="B357" s="22"/>
      <c r="C357" s="24"/>
      <c r="D357" s="15"/>
      <c r="E357" s="15"/>
      <c r="F357" s="24"/>
      <c r="G357" s="25"/>
      <c r="H357" s="21"/>
      <c r="I357" s="26" t="str">
        <f t="shared" si="11"/>
        <v/>
      </c>
    </row>
    <row r="358" spans="1:9" x14ac:dyDescent="0.2">
      <c r="A358" s="23" t="str">
        <f t="shared" si="10"/>
        <v/>
      </c>
      <c r="B358" s="22"/>
      <c r="C358" s="24"/>
      <c r="D358" s="15"/>
      <c r="E358" s="15"/>
      <c r="F358" s="24"/>
      <c r="G358" s="25"/>
      <c r="H358" s="21"/>
      <c r="I358" s="26" t="str">
        <f t="shared" si="11"/>
        <v/>
      </c>
    </row>
    <row r="359" spans="1:9" x14ac:dyDescent="0.2">
      <c r="A359" s="23" t="str">
        <f t="shared" si="10"/>
        <v/>
      </c>
      <c r="B359" s="22"/>
      <c r="C359" s="24"/>
      <c r="D359" s="15"/>
      <c r="E359" s="15"/>
      <c r="F359" s="24"/>
      <c r="G359" s="25"/>
      <c r="H359" s="21"/>
      <c r="I359" s="26" t="str">
        <f t="shared" si="11"/>
        <v/>
      </c>
    </row>
    <row r="360" spans="1:9" x14ac:dyDescent="0.2">
      <c r="A360" s="23" t="str">
        <f t="shared" si="10"/>
        <v/>
      </c>
      <c r="B360" s="22"/>
      <c r="C360" s="24"/>
      <c r="D360" s="15"/>
      <c r="E360" s="15"/>
      <c r="F360" s="24"/>
      <c r="G360" s="25"/>
      <c r="H360" s="21"/>
      <c r="I360" s="26" t="str">
        <f t="shared" si="11"/>
        <v/>
      </c>
    </row>
    <row r="361" spans="1:9" x14ac:dyDescent="0.2">
      <c r="A361" s="23" t="str">
        <f t="shared" si="10"/>
        <v/>
      </c>
      <c r="B361" s="22"/>
      <c r="C361" s="24"/>
      <c r="D361" s="15"/>
      <c r="E361" s="15"/>
      <c r="F361" s="24"/>
      <c r="G361" s="25"/>
      <c r="H361" s="21"/>
      <c r="I361" s="26" t="str">
        <f t="shared" si="11"/>
        <v/>
      </c>
    </row>
    <row r="362" spans="1:9" x14ac:dyDescent="0.2">
      <c r="A362" s="23" t="str">
        <f t="shared" si="10"/>
        <v/>
      </c>
      <c r="B362" s="22"/>
      <c r="C362" s="24"/>
      <c r="D362" s="15"/>
      <c r="E362" s="15"/>
      <c r="F362" s="24"/>
      <c r="G362" s="25"/>
      <c r="H362" s="21"/>
      <c r="I362" s="26" t="str">
        <f t="shared" si="11"/>
        <v/>
      </c>
    </row>
    <row r="363" spans="1:9" x14ac:dyDescent="0.2">
      <c r="A363" s="23" t="str">
        <f t="shared" si="10"/>
        <v/>
      </c>
      <c r="B363" s="22"/>
      <c r="C363" s="24"/>
      <c r="D363" s="15"/>
      <c r="E363" s="15"/>
      <c r="F363" s="24"/>
      <c r="G363" s="25"/>
      <c r="H363" s="21"/>
      <c r="I363" s="26" t="str">
        <f t="shared" si="11"/>
        <v/>
      </c>
    </row>
    <row r="364" spans="1:9" x14ac:dyDescent="0.2">
      <c r="A364" s="23" t="str">
        <f t="shared" si="10"/>
        <v/>
      </c>
      <c r="B364" s="22"/>
      <c r="C364" s="24"/>
      <c r="D364" s="15"/>
      <c r="E364" s="15"/>
      <c r="F364" s="24"/>
      <c r="G364" s="25"/>
      <c r="H364" s="21"/>
      <c r="I364" s="26" t="str">
        <f t="shared" si="11"/>
        <v/>
      </c>
    </row>
    <row r="365" spans="1:9" x14ac:dyDescent="0.2">
      <c r="A365" s="23" t="str">
        <f t="shared" si="10"/>
        <v/>
      </c>
      <c r="B365" s="22"/>
      <c r="C365" s="24"/>
      <c r="D365" s="15"/>
      <c r="E365" s="15"/>
      <c r="F365" s="24"/>
      <c r="G365" s="25"/>
      <c r="H365" s="21"/>
      <c r="I365" s="26" t="str">
        <f t="shared" si="11"/>
        <v/>
      </c>
    </row>
    <row r="366" spans="1:9" x14ac:dyDescent="0.2">
      <c r="A366" s="23" t="str">
        <f t="shared" si="10"/>
        <v/>
      </c>
      <c r="B366" s="22"/>
      <c r="C366" s="24"/>
      <c r="D366" s="15"/>
      <c r="E366" s="15"/>
      <c r="F366" s="24"/>
      <c r="G366" s="25"/>
      <c r="H366" s="21"/>
      <c r="I366" s="26" t="str">
        <f t="shared" si="11"/>
        <v/>
      </c>
    </row>
    <row r="367" spans="1:9" x14ac:dyDescent="0.2">
      <c r="A367" s="23" t="str">
        <f t="shared" si="10"/>
        <v/>
      </c>
      <c r="B367" s="22"/>
      <c r="C367" s="24"/>
      <c r="D367" s="15"/>
      <c r="E367" s="15"/>
      <c r="F367" s="24"/>
      <c r="G367" s="25"/>
      <c r="H367" s="21"/>
      <c r="I367" s="26" t="str">
        <f t="shared" si="11"/>
        <v/>
      </c>
    </row>
    <row r="368" spans="1:9" x14ac:dyDescent="0.2">
      <c r="A368" s="23" t="str">
        <f t="shared" si="10"/>
        <v/>
      </c>
      <c r="B368" s="22"/>
      <c r="C368" s="24"/>
      <c r="D368" s="15"/>
      <c r="E368" s="15"/>
      <c r="F368" s="24"/>
      <c r="G368" s="25"/>
      <c r="H368" s="21"/>
      <c r="I368" s="26" t="str">
        <f t="shared" si="11"/>
        <v/>
      </c>
    </row>
    <row r="369" spans="1:9" x14ac:dyDescent="0.2">
      <c r="A369" s="23" t="str">
        <f t="shared" si="10"/>
        <v/>
      </c>
      <c r="B369" s="22"/>
      <c r="C369" s="24"/>
      <c r="D369" s="15"/>
      <c r="E369" s="15"/>
      <c r="F369" s="24"/>
      <c r="G369" s="25"/>
      <c r="H369" s="21"/>
      <c r="I369" s="26" t="str">
        <f t="shared" si="11"/>
        <v/>
      </c>
    </row>
    <row r="370" spans="1:9" x14ac:dyDescent="0.2">
      <c r="A370" s="23" t="str">
        <f t="shared" si="10"/>
        <v/>
      </c>
      <c r="B370" s="22"/>
      <c r="C370" s="24"/>
      <c r="D370" s="15"/>
      <c r="E370" s="15"/>
      <c r="F370" s="24"/>
      <c r="G370" s="25"/>
      <c r="H370" s="21"/>
      <c r="I370" s="26" t="str">
        <f t="shared" si="11"/>
        <v/>
      </c>
    </row>
    <row r="371" spans="1:9" x14ac:dyDescent="0.2">
      <c r="A371" s="23" t="str">
        <f t="shared" si="10"/>
        <v/>
      </c>
      <c r="B371" s="22"/>
      <c r="C371" s="24"/>
      <c r="D371" s="15"/>
      <c r="E371" s="15"/>
      <c r="F371" s="24"/>
      <c r="G371" s="25"/>
      <c r="H371" s="21"/>
      <c r="I371" s="26" t="str">
        <f t="shared" si="11"/>
        <v/>
      </c>
    </row>
    <row r="372" spans="1:9" x14ac:dyDescent="0.2">
      <c r="A372" s="23" t="str">
        <f t="shared" si="10"/>
        <v/>
      </c>
      <c r="B372" s="22"/>
      <c r="C372" s="24"/>
      <c r="D372" s="15"/>
      <c r="E372" s="15"/>
      <c r="F372" s="24"/>
      <c r="G372" s="25"/>
      <c r="H372" s="21"/>
      <c r="I372" s="26" t="str">
        <f t="shared" si="11"/>
        <v/>
      </c>
    </row>
    <row r="373" spans="1:9" x14ac:dyDescent="0.2">
      <c r="A373" s="23" t="str">
        <f t="shared" si="10"/>
        <v/>
      </c>
      <c r="B373" s="22"/>
      <c r="C373" s="24"/>
      <c r="D373" s="15"/>
      <c r="E373" s="15"/>
      <c r="F373" s="24"/>
      <c r="G373" s="25"/>
      <c r="H373" s="21"/>
      <c r="I373" s="26" t="str">
        <f t="shared" si="11"/>
        <v/>
      </c>
    </row>
    <row r="374" spans="1:9" x14ac:dyDescent="0.2">
      <c r="A374" s="23" t="str">
        <f t="shared" si="10"/>
        <v/>
      </c>
      <c r="B374" s="22"/>
      <c r="C374" s="24"/>
      <c r="D374" s="15"/>
      <c r="E374" s="15"/>
      <c r="F374" s="24"/>
      <c r="G374" s="25"/>
      <c r="H374" s="21"/>
      <c r="I374" s="26" t="str">
        <f t="shared" si="11"/>
        <v/>
      </c>
    </row>
    <row r="375" spans="1:9" x14ac:dyDescent="0.2">
      <c r="A375" s="23" t="str">
        <f t="shared" si="10"/>
        <v/>
      </c>
      <c r="B375" s="22"/>
      <c r="C375" s="24"/>
      <c r="D375" s="15"/>
      <c r="E375" s="15"/>
      <c r="F375" s="24"/>
      <c r="G375" s="25"/>
      <c r="H375" s="21"/>
      <c r="I375" s="26" t="str">
        <f t="shared" si="11"/>
        <v/>
      </c>
    </row>
    <row r="376" spans="1:9" x14ac:dyDescent="0.2">
      <c r="A376" s="23" t="str">
        <f t="shared" si="10"/>
        <v/>
      </c>
      <c r="B376" s="22"/>
      <c r="C376" s="24"/>
      <c r="D376" s="15"/>
      <c r="E376" s="15"/>
      <c r="F376" s="24"/>
      <c r="G376" s="25"/>
      <c r="H376" s="21"/>
      <c r="I376" s="26" t="str">
        <f t="shared" si="11"/>
        <v/>
      </c>
    </row>
    <row r="377" spans="1:9" x14ac:dyDescent="0.2">
      <c r="A377" s="23" t="str">
        <f t="shared" si="10"/>
        <v/>
      </c>
      <c r="B377" s="22"/>
      <c r="C377" s="24"/>
      <c r="D377" s="15"/>
      <c r="E377" s="15"/>
      <c r="F377" s="24"/>
      <c r="G377" s="25"/>
      <c r="H377" s="21"/>
      <c r="I377" s="26" t="str">
        <f t="shared" si="11"/>
        <v/>
      </c>
    </row>
    <row r="378" spans="1:9" x14ac:dyDescent="0.2">
      <c r="A378" s="23" t="str">
        <f t="shared" si="10"/>
        <v/>
      </c>
      <c r="B378" s="22"/>
      <c r="C378" s="24"/>
      <c r="D378" s="15"/>
      <c r="E378" s="15"/>
      <c r="F378" s="24"/>
      <c r="G378" s="25"/>
      <c r="H378" s="21"/>
      <c r="I378" s="26" t="str">
        <f t="shared" si="11"/>
        <v/>
      </c>
    </row>
    <row r="379" spans="1:9" x14ac:dyDescent="0.2">
      <c r="A379" s="23" t="str">
        <f t="shared" si="10"/>
        <v/>
      </c>
      <c r="B379" s="22"/>
      <c r="C379" s="24"/>
      <c r="D379" s="15"/>
      <c r="E379" s="15"/>
      <c r="F379" s="24"/>
      <c r="G379" s="25"/>
      <c r="H379" s="21"/>
      <c r="I379" s="26" t="str">
        <f t="shared" si="11"/>
        <v/>
      </c>
    </row>
    <row r="380" spans="1:9" x14ac:dyDescent="0.2">
      <c r="A380" s="23" t="str">
        <f t="shared" si="10"/>
        <v/>
      </c>
      <c r="B380" s="22"/>
      <c r="C380" s="24"/>
      <c r="D380" s="15"/>
      <c r="E380" s="15"/>
      <c r="F380" s="24"/>
      <c r="G380" s="25"/>
      <c r="H380" s="21"/>
      <c r="I380" s="26" t="str">
        <f t="shared" si="11"/>
        <v/>
      </c>
    </row>
    <row r="381" spans="1:9" x14ac:dyDescent="0.2">
      <c r="A381" s="23" t="str">
        <f t="shared" si="10"/>
        <v/>
      </c>
      <c r="B381" s="22"/>
      <c r="C381" s="24"/>
      <c r="D381" s="15"/>
      <c r="E381" s="15"/>
      <c r="F381" s="24"/>
      <c r="G381" s="25"/>
      <c r="H381" s="21"/>
      <c r="I381" s="26" t="str">
        <f t="shared" si="11"/>
        <v/>
      </c>
    </row>
    <row r="382" spans="1:9" x14ac:dyDescent="0.2">
      <c r="A382" s="23" t="str">
        <f t="shared" si="10"/>
        <v/>
      </c>
      <c r="B382" s="22"/>
      <c r="C382" s="24"/>
      <c r="D382" s="15"/>
      <c r="E382" s="15"/>
      <c r="F382" s="24"/>
      <c r="G382" s="25"/>
      <c r="H382" s="21"/>
      <c r="I382" s="26" t="str">
        <f t="shared" si="11"/>
        <v/>
      </c>
    </row>
    <row r="383" spans="1:9" x14ac:dyDescent="0.2">
      <c r="A383" s="23" t="str">
        <f t="shared" si="10"/>
        <v/>
      </c>
      <c r="B383" s="22"/>
      <c r="C383" s="24"/>
      <c r="D383" s="15"/>
      <c r="E383" s="15"/>
      <c r="F383" s="24"/>
      <c r="G383" s="25"/>
      <c r="H383" s="21"/>
      <c r="I383" s="26" t="str">
        <f t="shared" si="11"/>
        <v/>
      </c>
    </row>
    <row r="384" spans="1:9" x14ac:dyDescent="0.2">
      <c r="A384" s="23" t="str">
        <f t="shared" si="10"/>
        <v/>
      </c>
      <c r="B384" s="22"/>
      <c r="C384" s="24"/>
      <c r="D384" s="15"/>
      <c r="E384" s="15"/>
      <c r="F384" s="24"/>
      <c r="G384" s="25"/>
      <c r="H384" s="21"/>
      <c r="I384" s="26" t="str">
        <f t="shared" si="11"/>
        <v/>
      </c>
    </row>
    <row r="385" spans="1:9" x14ac:dyDescent="0.2">
      <c r="A385" s="23" t="str">
        <f t="shared" si="10"/>
        <v/>
      </c>
      <c r="B385" s="22"/>
      <c r="C385" s="24"/>
      <c r="D385" s="15"/>
      <c r="E385" s="15"/>
      <c r="F385" s="24"/>
      <c r="G385" s="25"/>
      <c r="H385" s="21"/>
      <c r="I385" s="26" t="str">
        <f t="shared" si="11"/>
        <v/>
      </c>
    </row>
    <row r="386" spans="1:9" x14ac:dyDescent="0.2">
      <c r="A386" s="23" t="str">
        <f t="shared" si="10"/>
        <v/>
      </c>
      <c r="B386" s="22"/>
      <c r="C386" s="24"/>
      <c r="D386" s="15"/>
      <c r="E386" s="15"/>
      <c r="F386" s="24"/>
      <c r="G386" s="25"/>
      <c r="H386" s="21"/>
      <c r="I386" s="26" t="str">
        <f t="shared" si="11"/>
        <v/>
      </c>
    </row>
    <row r="387" spans="1:9" x14ac:dyDescent="0.2">
      <c r="A387" s="23" t="str">
        <f t="shared" si="10"/>
        <v/>
      </c>
      <c r="B387" s="22"/>
      <c r="C387" s="24"/>
      <c r="D387" s="15"/>
      <c r="E387" s="15"/>
      <c r="F387" s="24"/>
      <c r="G387" s="25"/>
      <c r="H387" s="21"/>
      <c r="I387" s="26" t="str">
        <f t="shared" si="11"/>
        <v/>
      </c>
    </row>
    <row r="388" spans="1:9" x14ac:dyDescent="0.2">
      <c r="A388" s="23" t="str">
        <f t="shared" si="10"/>
        <v/>
      </c>
      <c r="B388" s="22"/>
      <c r="C388" s="24"/>
      <c r="D388" s="15"/>
      <c r="E388" s="15"/>
      <c r="F388" s="24"/>
      <c r="G388" s="25"/>
      <c r="H388" s="21"/>
      <c r="I388" s="26" t="str">
        <f t="shared" si="11"/>
        <v/>
      </c>
    </row>
    <row r="389" spans="1:9" x14ac:dyDescent="0.2">
      <c r="A389" s="23" t="str">
        <f t="shared" ref="A389:A452" si="12">IF(B389="","",ROW()-4)</f>
        <v/>
      </c>
      <c r="B389" s="22"/>
      <c r="C389" s="24"/>
      <c r="D389" s="15"/>
      <c r="E389" s="15"/>
      <c r="F389" s="24"/>
      <c r="G389" s="25"/>
      <c r="H389" s="21"/>
      <c r="I389" s="26" t="str">
        <f t="shared" ref="I389:I452" si="13">IF(OR(G389="",H389=""),"",G389*H389)</f>
        <v/>
      </c>
    </row>
    <row r="390" spans="1:9" x14ac:dyDescent="0.2">
      <c r="A390" s="23" t="str">
        <f t="shared" si="12"/>
        <v/>
      </c>
      <c r="B390" s="22"/>
      <c r="C390" s="24"/>
      <c r="D390" s="15"/>
      <c r="E390" s="15"/>
      <c r="F390" s="24"/>
      <c r="G390" s="25"/>
      <c r="H390" s="21"/>
      <c r="I390" s="26" t="str">
        <f t="shared" si="13"/>
        <v/>
      </c>
    </row>
    <row r="391" spans="1:9" x14ac:dyDescent="0.2">
      <c r="A391" s="23" t="str">
        <f t="shared" si="12"/>
        <v/>
      </c>
      <c r="B391" s="22"/>
      <c r="C391" s="24"/>
      <c r="D391" s="15"/>
      <c r="E391" s="15"/>
      <c r="F391" s="24"/>
      <c r="G391" s="25"/>
      <c r="H391" s="21"/>
      <c r="I391" s="26" t="str">
        <f t="shared" si="13"/>
        <v/>
      </c>
    </row>
    <row r="392" spans="1:9" x14ac:dyDescent="0.2">
      <c r="A392" s="23" t="str">
        <f t="shared" si="12"/>
        <v/>
      </c>
      <c r="B392" s="22"/>
      <c r="C392" s="24"/>
      <c r="D392" s="15"/>
      <c r="E392" s="15"/>
      <c r="F392" s="24"/>
      <c r="G392" s="25"/>
      <c r="H392" s="21"/>
      <c r="I392" s="26" t="str">
        <f t="shared" si="13"/>
        <v/>
      </c>
    </row>
    <row r="393" spans="1:9" x14ac:dyDescent="0.2">
      <c r="A393" s="23" t="str">
        <f t="shared" si="12"/>
        <v/>
      </c>
      <c r="B393" s="22"/>
      <c r="C393" s="24"/>
      <c r="D393" s="15"/>
      <c r="E393" s="15"/>
      <c r="F393" s="24"/>
      <c r="G393" s="25"/>
      <c r="H393" s="21"/>
      <c r="I393" s="26" t="str">
        <f t="shared" si="13"/>
        <v/>
      </c>
    </row>
    <row r="394" spans="1:9" x14ac:dyDescent="0.2">
      <c r="A394" s="23" t="str">
        <f t="shared" si="12"/>
        <v/>
      </c>
      <c r="B394" s="22"/>
      <c r="C394" s="24"/>
      <c r="D394" s="15"/>
      <c r="E394" s="15"/>
      <c r="F394" s="24"/>
      <c r="G394" s="25"/>
      <c r="H394" s="21"/>
      <c r="I394" s="26" t="str">
        <f t="shared" si="13"/>
        <v/>
      </c>
    </row>
    <row r="395" spans="1:9" x14ac:dyDescent="0.2">
      <c r="A395" s="23" t="str">
        <f t="shared" si="12"/>
        <v/>
      </c>
      <c r="B395" s="22"/>
      <c r="C395" s="24"/>
      <c r="D395" s="15"/>
      <c r="E395" s="15"/>
      <c r="F395" s="24"/>
      <c r="G395" s="25"/>
      <c r="H395" s="21"/>
      <c r="I395" s="26" t="str">
        <f t="shared" si="13"/>
        <v/>
      </c>
    </row>
    <row r="396" spans="1:9" x14ac:dyDescent="0.2">
      <c r="A396" s="23" t="str">
        <f t="shared" si="12"/>
        <v/>
      </c>
      <c r="B396" s="22"/>
      <c r="C396" s="24"/>
      <c r="D396" s="15"/>
      <c r="E396" s="15"/>
      <c r="F396" s="24"/>
      <c r="G396" s="25"/>
      <c r="H396" s="21"/>
      <c r="I396" s="26" t="str">
        <f t="shared" si="13"/>
        <v/>
      </c>
    </row>
    <row r="397" spans="1:9" x14ac:dyDescent="0.2">
      <c r="A397" s="23" t="str">
        <f t="shared" si="12"/>
        <v/>
      </c>
      <c r="B397" s="22"/>
      <c r="C397" s="24"/>
      <c r="D397" s="15"/>
      <c r="E397" s="15"/>
      <c r="F397" s="24"/>
      <c r="G397" s="25"/>
      <c r="H397" s="21"/>
      <c r="I397" s="26" t="str">
        <f t="shared" si="13"/>
        <v/>
      </c>
    </row>
    <row r="398" spans="1:9" x14ac:dyDescent="0.2">
      <c r="A398" s="23" t="str">
        <f t="shared" si="12"/>
        <v/>
      </c>
      <c r="B398" s="22"/>
      <c r="C398" s="24"/>
      <c r="D398" s="15"/>
      <c r="E398" s="15"/>
      <c r="F398" s="24"/>
      <c r="G398" s="25"/>
      <c r="H398" s="21"/>
      <c r="I398" s="26" t="str">
        <f t="shared" si="13"/>
        <v/>
      </c>
    </row>
    <row r="399" spans="1:9" x14ac:dyDescent="0.2">
      <c r="A399" s="23" t="str">
        <f t="shared" si="12"/>
        <v/>
      </c>
      <c r="B399" s="22"/>
      <c r="C399" s="24"/>
      <c r="D399" s="15"/>
      <c r="E399" s="15"/>
      <c r="F399" s="24"/>
      <c r="G399" s="25"/>
      <c r="H399" s="21"/>
      <c r="I399" s="26" t="str">
        <f t="shared" si="13"/>
        <v/>
      </c>
    </row>
    <row r="400" spans="1:9" x14ac:dyDescent="0.2">
      <c r="A400" s="23" t="str">
        <f t="shared" si="12"/>
        <v/>
      </c>
      <c r="B400" s="22"/>
      <c r="C400" s="24"/>
      <c r="D400" s="15"/>
      <c r="E400" s="15"/>
      <c r="F400" s="24"/>
      <c r="G400" s="25"/>
      <c r="H400" s="21"/>
      <c r="I400" s="26" t="str">
        <f t="shared" si="13"/>
        <v/>
      </c>
    </row>
    <row r="401" spans="1:9" x14ac:dyDescent="0.2">
      <c r="A401" s="23" t="str">
        <f t="shared" si="12"/>
        <v/>
      </c>
      <c r="B401" s="22"/>
      <c r="C401" s="24"/>
      <c r="D401" s="15"/>
      <c r="E401" s="15"/>
      <c r="F401" s="24"/>
      <c r="G401" s="25"/>
      <c r="H401" s="21"/>
      <c r="I401" s="26" t="str">
        <f t="shared" si="13"/>
        <v/>
      </c>
    </row>
    <row r="402" spans="1:9" x14ac:dyDescent="0.2">
      <c r="A402" s="23" t="str">
        <f t="shared" si="12"/>
        <v/>
      </c>
      <c r="B402" s="22"/>
      <c r="C402" s="24"/>
      <c r="D402" s="15"/>
      <c r="E402" s="15"/>
      <c r="F402" s="24"/>
      <c r="G402" s="25"/>
      <c r="H402" s="21"/>
      <c r="I402" s="26" t="str">
        <f t="shared" si="13"/>
        <v/>
      </c>
    </row>
    <row r="403" spans="1:9" x14ac:dyDescent="0.2">
      <c r="A403" s="23" t="str">
        <f t="shared" si="12"/>
        <v/>
      </c>
      <c r="B403" s="22"/>
      <c r="C403" s="24"/>
      <c r="D403" s="15"/>
      <c r="E403" s="15"/>
      <c r="F403" s="24"/>
      <c r="G403" s="25"/>
      <c r="H403" s="21"/>
      <c r="I403" s="26" t="str">
        <f t="shared" si="13"/>
        <v/>
      </c>
    </row>
    <row r="404" spans="1:9" x14ac:dyDescent="0.2">
      <c r="A404" s="23" t="str">
        <f t="shared" si="12"/>
        <v/>
      </c>
      <c r="B404" s="22"/>
      <c r="C404" s="24"/>
      <c r="D404" s="15"/>
      <c r="E404" s="15"/>
      <c r="F404" s="24"/>
      <c r="G404" s="25"/>
      <c r="H404" s="21"/>
      <c r="I404" s="26" t="str">
        <f t="shared" si="13"/>
        <v/>
      </c>
    </row>
    <row r="405" spans="1:9" x14ac:dyDescent="0.2">
      <c r="A405" s="23" t="str">
        <f t="shared" si="12"/>
        <v/>
      </c>
      <c r="B405" s="22"/>
      <c r="C405" s="24"/>
      <c r="D405" s="15"/>
      <c r="E405" s="15"/>
      <c r="F405" s="24"/>
      <c r="G405" s="25"/>
      <c r="H405" s="21"/>
      <c r="I405" s="26" t="str">
        <f t="shared" si="13"/>
        <v/>
      </c>
    </row>
    <row r="406" spans="1:9" x14ac:dyDescent="0.2">
      <c r="A406" s="23" t="str">
        <f t="shared" si="12"/>
        <v/>
      </c>
      <c r="B406" s="22"/>
      <c r="C406" s="24"/>
      <c r="D406" s="15"/>
      <c r="E406" s="15"/>
      <c r="F406" s="24"/>
      <c r="G406" s="25"/>
      <c r="H406" s="21"/>
      <c r="I406" s="26" t="str">
        <f t="shared" si="13"/>
        <v/>
      </c>
    </row>
    <row r="407" spans="1:9" x14ac:dyDescent="0.2">
      <c r="A407" s="23" t="str">
        <f t="shared" si="12"/>
        <v/>
      </c>
      <c r="B407" s="22"/>
      <c r="C407" s="24"/>
      <c r="D407" s="15"/>
      <c r="E407" s="15"/>
      <c r="F407" s="24"/>
      <c r="G407" s="25"/>
      <c r="H407" s="21"/>
      <c r="I407" s="26" t="str">
        <f t="shared" si="13"/>
        <v/>
      </c>
    </row>
    <row r="408" spans="1:9" x14ac:dyDescent="0.2">
      <c r="A408" s="23" t="str">
        <f t="shared" si="12"/>
        <v/>
      </c>
      <c r="B408" s="22"/>
      <c r="C408" s="24"/>
      <c r="D408" s="15"/>
      <c r="E408" s="15"/>
      <c r="F408" s="24"/>
      <c r="G408" s="25"/>
      <c r="H408" s="21"/>
      <c r="I408" s="26" t="str">
        <f t="shared" si="13"/>
        <v/>
      </c>
    </row>
    <row r="409" spans="1:9" x14ac:dyDescent="0.2">
      <c r="A409" s="23" t="str">
        <f t="shared" si="12"/>
        <v/>
      </c>
      <c r="B409" s="22"/>
      <c r="C409" s="24"/>
      <c r="D409" s="15"/>
      <c r="E409" s="15"/>
      <c r="F409" s="24"/>
      <c r="G409" s="25"/>
      <c r="H409" s="21"/>
      <c r="I409" s="26" t="str">
        <f t="shared" si="13"/>
        <v/>
      </c>
    </row>
    <row r="410" spans="1:9" x14ac:dyDescent="0.2">
      <c r="A410" s="23" t="str">
        <f t="shared" si="12"/>
        <v/>
      </c>
      <c r="B410" s="22"/>
      <c r="C410" s="24"/>
      <c r="D410" s="15"/>
      <c r="E410" s="15"/>
      <c r="F410" s="24"/>
      <c r="G410" s="25"/>
      <c r="H410" s="21"/>
      <c r="I410" s="26" t="str">
        <f t="shared" si="13"/>
        <v/>
      </c>
    </row>
    <row r="411" spans="1:9" x14ac:dyDescent="0.2">
      <c r="A411" s="23" t="str">
        <f t="shared" si="12"/>
        <v/>
      </c>
      <c r="B411" s="22"/>
      <c r="C411" s="24"/>
      <c r="D411" s="15"/>
      <c r="E411" s="15"/>
      <c r="F411" s="24"/>
      <c r="G411" s="25"/>
      <c r="H411" s="21"/>
      <c r="I411" s="26" t="str">
        <f t="shared" si="13"/>
        <v/>
      </c>
    </row>
    <row r="412" spans="1:9" x14ac:dyDescent="0.2">
      <c r="A412" s="23" t="str">
        <f t="shared" si="12"/>
        <v/>
      </c>
      <c r="B412" s="22"/>
      <c r="C412" s="24"/>
      <c r="D412" s="15"/>
      <c r="E412" s="15"/>
      <c r="F412" s="24"/>
      <c r="G412" s="25"/>
      <c r="H412" s="21"/>
      <c r="I412" s="26" t="str">
        <f t="shared" si="13"/>
        <v/>
      </c>
    </row>
    <row r="413" spans="1:9" x14ac:dyDescent="0.2">
      <c r="A413" s="23" t="str">
        <f t="shared" si="12"/>
        <v/>
      </c>
      <c r="B413" s="22"/>
      <c r="C413" s="24"/>
      <c r="D413" s="15"/>
      <c r="E413" s="15"/>
      <c r="F413" s="24"/>
      <c r="G413" s="25"/>
      <c r="H413" s="21"/>
      <c r="I413" s="26" t="str">
        <f t="shared" si="13"/>
        <v/>
      </c>
    </row>
    <row r="414" spans="1:9" x14ac:dyDescent="0.2">
      <c r="A414" s="23" t="str">
        <f t="shared" si="12"/>
        <v/>
      </c>
      <c r="B414" s="22"/>
      <c r="C414" s="24"/>
      <c r="D414" s="15"/>
      <c r="E414" s="15"/>
      <c r="F414" s="24"/>
      <c r="G414" s="25"/>
      <c r="H414" s="21"/>
      <c r="I414" s="26" t="str">
        <f t="shared" si="13"/>
        <v/>
      </c>
    </row>
    <row r="415" spans="1:9" x14ac:dyDescent="0.2">
      <c r="A415" s="23" t="str">
        <f t="shared" si="12"/>
        <v/>
      </c>
      <c r="B415" s="22"/>
      <c r="C415" s="24"/>
      <c r="D415" s="15"/>
      <c r="E415" s="15"/>
      <c r="F415" s="24"/>
      <c r="G415" s="25"/>
      <c r="H415" s="21"/>
      <c r="I415" s="26" t="str">
        <f t="shared" si="13"/>
        <v/>
      </c>
    </row>
    <row r="416" spans="1:9" x14ac:dyDescent="0.2">
      <c r="A416" s="23" t="str">
        <f t="shared" si="12"/>
        <v/>
      </c>
      <c r="B416" s="22"/>
      <c r="C416" s="24"/>
      <c r="D416" s="15"/>
      <c r="E416" s="15"/>
      <c r="F416" s="24"/>
      <c r="G416" s="25"/>
      <c r="H416" s="21"/>
      <c r="I416" s="26" t="str">
        <f t="shared" si="13"/>
        <v/>
      </c>
    </row>
    <row r="417" spans="1:9" x14ac:dyDescent="0.2">
      <c r="A417" s="23" t="str">
        <f t="shared" si="12"/>
        <v/>
      </c>
      <c r="B417" s="22"/>
      <c r="C417" s="24"/>
      <c r="D417" s="15"/>
      <c r="E417" s="15"/>
      <c r="F417" s="24"/>
      <c r="G417" s="25"/>
      <c r="H417" s="21"/>
      <c r="I417" s="26" t="str">
        <f t="shared" si="13"/>
        <v/>
      </c>
    </row>
    <row r="418" spans="1:9" x14ac:dyDescent="0.2">
      <c r="A418" s="23" t="str">
        <f t="shared" si="12"/>
        <v/>
      </c>
      <c r="B418" s="22"/>
      <c r="C418" s="24"/>
      <c r="D418" s="15"/>
      <c r="E418" s="15"/>
      <c r="F418" s="24"/>
      <c r="G418" s="25"/>
      <c r="H418" s="21"/>
      <c r="I418" s="26" t="str">
        <f t="shared" si="13"/>
        <v/>
      </c>
    </row>
    <row r="419" spans="1:9" x14ac:dyDescent="0.2">
      <c r="A419" s="23" t="str">
        <f t="shared" si="12"/>
        <v/>
      </c>
      <c r="B419" s="22"/>
      <c r="C419" s="24"/>
      <c r="D419" s="15"/>
      <c r="E419" s="15"/>
      <c r="F419" s="24"/>
      <c r="G419" s="25"/>
      <c r="H419" s="21"/>
      <c r="I419" s="26" t="str">
        <f t="shared" si="13"/>
        <v/>
      </c>
    </row>
    <row r="420" spans="1:9" x14ac:dyDescent="0.2">
      <c r="A420" s="23" t="str">
        <f t="shared" si="12"/>
        <v/>
      </c>
      <c r="B420" s="22"/>
      <c r="C420" s="24"/>
      <c r="D420" s="15"/>
      <c r="E420" s="15"/>
      <c r="F420" s="24"/>
      <c r="G420" s="25"/>
      <c r="H420" s="21"/>
      <c r="I420" s="26" t="str">
        <f t="shared" si="13"/>
        <v/>
      </c>
    </row>
    <row r="421" spans="1:9" x14ac:dyDescent="0.2">
      <c r="A421" s="23" t="str">
        <f t="shared" si="12"/>
        <v/>
      </c>
      <c r="B421" s="22"/>
      <c r="C421" s="24"/>
      <c r="D421" s="15"/>
      <c r="E421" s="15"/>
      <c r="F421" s="24"/>
      <c r="G421" s="25"/>
      <c r="H421" s="21"/>
      <c r="I421" s="26" t="str">
        <f t="shared" si="13"/>
        <v/>
      </c>
    </row>
    <row r="422" spans="1:9" x14ac:dyDescent="0.2">
      <c r="A422" s="23" t="str">
        <f t="shared" si="12"/>
        <v/>
      </c>
      <c r="B422" s="22"/>
      <c r="C422" s="24"/>
      <c r="D422" s="15"/>
      <c r="E422" s="15"/>
      <c r="F422" s="24"/>
      <c r="G422" s="25"/>
      <c r="H422" s="21"/>
      <c r="I422" s="26" t="str">
        <f t="shared" si="13"/>
        <v/>
      </c>
    </row>
    <row r="423" spans="1:9" x14ac:dyDescent="0.2">
      <c r="A423" s="23" t="str">
        <f t="shared" si="12"/>
        <v/>
      </c>
      <c r="B423" s="22"/>
      <c r="C423" s="24"/>
      <c r="D423" s="15"/>
      <c r="E423" s="15"/>
      <c r="F423" s="24"/>
      <c r="G423" s="25"/>
      <c r="H423" s="21"/>
      <c r="I423" s="26" t="str">
        <f t="shared" si="13"/>
        <v/>
      </c>
    </row>
    <row r="424" spans="1:9" x14ac:dyDescent="0.2">
      <c r="A424" s="23" t="str">
        <f t="shared" si="12"/>
        <v/>
      </c>
      <c r="B424" s="22"/>
      <c r="C424" s="24"/>
      <c r="D424" s="15"/>
      <c r="E424" s="15"/>
      <c r="F424" s="24"/>
      <c r="G424" s="25"/>
      <c r="H424" s="21"/>
      <c r="I424" s="26" t="str">
        <f t="shared" si="13"/>
        <v/>
      </c>
    </row>
    <row r="425" spans="1:9" x14ac:dyDescent="0.2">
      <c r="A425" s="23" t="str">
        <f t="shared" si="12"/>
        <v/>
      </c>
      <c r="B425" s="22"/>
      <c r="C425" s="24"/>
      <c r="D425" s="15"/>
      <c r="E425" s="15"/>
      <c r="F425" s="24"/>
      <c r="G425" s="25"/>
      <c r="H425" s="21"/>
      <c r="I425" s="26" t="str">
        <f t="shared" si="13"/>
        <v/>
      </c>
    </row>
    <row r="426" spans="1:9" x14ac:dyDescent="0.2">
      <c r="A426" s="23" t="str">
        <f t="shared" si="12"/>
        <v/>
      </c>
      <c r="B426" s="22"/>
      <c r="C426" s="24"/>
      <c r="D426" s="15"/>
      <c r="E426" s="15"/>
      <c r="F426" s="24"/>
      <c r="G426" s="25"/>
      <c r="H426" s="21"/>
      <c r="I426" s="26" t="str">
        <f t="shared" si="13"/>
        <v/>
      </c>
    </row>
    <row r="427" spans="1:9" x14ac:dyDescent="0.2">
      <c r="A427" s="23" t="str">
        <f t="shared" si="12"/>
        <v/>
      </c>
      <c r="B427" s="22"/>
      <c r="C427" s="24"/>
      <c r="D427" s="15"/>
      <c r="E427" s="15"/>
      <c r="F427" s="24"/>
      <c r="G427" s="25"/>
      <c r="H427" s="21"/>
      <c r="I427" s="26" t="str">
        <f t="shared" si="13"/>
        <v/>
      </c>
    </row>
    <row r="428" spans="1:9" x14ac:dyDescent="0.2">
      <c r="A428" s="23" t="str">
        <f t="shared" si="12"/>
        <v/>
      </c>
      <c r="B428" s="22"/>
      <c r="C428" s="24"/>
      <c r="D428" s="15"/>
      <c r="E428" s="15"/>
      <c r="F428" s="24"/>
      <c r="G428" s="25"/>
      <c r="H428" s="21"/>
      <c r="I428" s="26" t="str">
        <f t="shared" si="13"/>
        <v/>
      </c>
    </row>
    <row r="429" spans="1:9" x14ac:dyDescent="0.2">
      <c r="A429" s="23" t="str">
        <f t="shared" si="12"/>
        <v/>
      </c>
      <c r="B429" s="22"/>
      <c r="C429" s="24"/>
      <c r="D429" s="15"/>
      <c r="E429" s="15"/>
      <c r="F429" s="24"/>
      <c r="G429" s="25"/>
      <c r="H429" s="21"/>
      <c r="I429" s="26" t="str">
        <f t="shared" si="13"/>
        <v/>
      </c>
    </row>
    <row r="430" spans="1:9" x14ac:dyDescent="0.2">
      <c r="A430" s="23" t="str">
        <f t="shared" si="12"/>
        <v/>
      </c>
      <c r="B430" s="22"/>
      <c r="C430" s="24"/>
      <c r="D430" s="15"/>
      <c r="E430" s="15"/>
      <c r="F430" s="24"/>
      <c r="G430" s="25"/>
      <c r="H430" s="21"/>
      <c r="I430" s="26" t="str">
        <f t="shared" si="13"/>
        <v/>
      </c>
    </row>
    <row r="431" spans="1:9" x14ac:dyDescent="0.2">
      <c r="A431" s="23" t="str">
        <f t="shared" si="12"/>
        <v/>
      </c>
      <c r="B431" s="22"/>
      <c r="C431" s="24"/>
      <c r="D431" s="15"/>
      <c r="E431" s="15"/>
      <c r="F431" s="24"/>
      <c r="G431" s="25"/>
      <c r="H431" s="21"/>
      <c r="I431" s="26" t="str">
        <f t="shared" si="13"/>
        <v/>
      </c>
    </row>
    <row r="432" spans="1:9" x14ac:dyDescent="0.2">
      <c r="A432" s="23" t="str">
        <f t="shared" si="12"/>
        <v/>
      </c>
      <c r="B432" s="22"/>
      <c r="C432" s="24"/>
      <c r="D432" s="15"/>
      <c r="E432" s="15"/>
      <c r="F432" s="24"/>
      <c r="G432" s="25"/>
      <c r="H432" s="21"/>
      <c r="I432" s="26" t="str">
        <f t="shared" si="13"/>
        <v/>
      </c>
    </row>
    <row r="433" spans="1:9" x14ac:dyDescent="0.2">
      <c r="A433" s="23" t="str">
        <f t="shared" si="12"/>
        <v/>
      </c>
      <c r="B433" s="22"/>
      <c r="C433" s="24"/>
      <c r="D433" s="15"/>
      <c r="E433" s="15"/>
      <c r="F433" s="24"/>
      <c r="G433" s="25"/>
      <c r="H433" s="21"/>
      <c r="I433" s="26" t="str">
        <f t="shared" si="13"/>
        <v/>
      </c>
    </row>
    <row r="434" spans="1:9" x14ac:dyDescent="0.2">
      <c r="A434" s="23" t="str">
        <f t="shared" si="12"/>
        <v/>
      </c>
      <c r="B434" s="22"/>
      <c r="C434" s="24"/>
      <c r="D434" s="15"/>
      <c r="E434" s="15"/>
      <c r="F434" s="24"/>
      <c r="G434" s="25"/>
      <c r="H434" s="21"/>
      <c r="I434" s="26" t="str">
        <f t="shared" si="13"/>
        <v/>
      </c>
    </row>
    <row r="435" spans="1:9" x14ac:dyDescent="0.2">
      <c r="A435" s="23" t="str">
        <f t="shared" si="12"/>
        <v/>
      </c>
      <c r="B435" s="22"/>
      <c r="C435" s="24"/>
      <c r="D435" s="15"/>
      <c r="E435" s="15"/>
      <c r="F435" s="24"/>
      <c r="G435" s="25"/>
      <c r="H435" s="21"/>
      <c r="I435" s="26" t="str">
        <f t="shared" si="13"/>
        <v/>
      </c>
    </row>
    <row r="436" spans="1:9" x14ac:dyDescent="0.2">
      <c r="A436" s="23" t="str">
        <f t="shared" si="12"/>
        <v/>
      </c>
      <c r="B436" s="22"/>
      <c r="C436" s="24"/>
      <c r="D436" s="15"/>
      <c r="E436" s="15"/>
      <c r="F436" s="24"/>
      <c r="G436" s="25"/>
      <c r="H436" s="21"/>
      <c r="I436" s="26" t="str">
        <f t="shared" si="13"/>
        <v/>
      </c>
    </row>
    <row r="437" spans="1:9" x14ac:dyDescent="0.2">
      <c r="A437" s="23" t="str">
        <f t="shared" si="12"/>
        <v/>
      </c>
      <c r="B437" s="22"/>
      <c r="C437" s="24"/>
      <c r="D437" s="15"/>
      <c r="E437" s="15"/>
      <c r="F437" s="24"/>
      <c r="G437" s="25"/>
      <c r="H437" s="21"/>
      <c r="I437" s="26" t="str">
        <f t="shared" si="13"/>
        <v/>
      </c>
    </row>
    <row r="438" spans="1:9" x14ac:dyDescent="0.2">
      <c r="A438" s="23" t="str">
        <f t="shared" si="12"/>
        <v/>
      </c>
      <c r="B438" s="22"/>
      <c r="C438" s="24"/>
      <c r="D438" s="15"/>
      <c r="E438" s="15"/>
      <c r="F438" s="24"/>
      <c r="G438" s="25"/>
      <c r="H438" s="21"/>
      <c r="I438" s="26" t="str">
        <f t="shared" si="13"/>
        <v/>
      </c>
    </row>
    <row r="439" spans="1:9" x14ac:dyDescent="0.2">
      <c r="A439" s="23" t="str">
        <f t="shared" si="12"/>
        <v/>
      </c>
      <c r="B439" s="22"/>
      <c r="C439" s="24"/>
      <c r="D439" s="15"/>
      <c r="E439" s="15"/>
      <c r="F439" s="24"/>
      <c r="G439" s="25"/>
      <c r="H439" s="21"/>
      <c r="I439" s="26" t="str">
        <f t="shared" si="13"/>
        <v/>
      </c>
    </row>
    <row r="440" spans="1:9" x14ac:dyDescent="0.2">
      <c r="A440" s="23" t="str">
        <f t="shared" si="12"/>
        <v/>
      </c>
      <c r="B440" s="22"/>
      <c r="C440" s="24"/>
      <c r="D440" s="15"/>
      <c r="E440" s="15"/>
      <c r="F440" s="24"/>
      <c r="G440" s="25"/>
      <c r="H440" s="21"/>
      <c r="I440" s="26" t="str">
        <f t="shared" si="13"/>
        <v/>
      </c>
    </row>
    <row r="441" spans="1:9" x14ac:dyDescent="0.2">
      <c r="A441" s="23" t="str">
        <f t="shared" si="12"/>
        <v/>
      </c>
      <c r="B441" s="22"/>
      <c r="C441" s="24"/>
      <c r="D441" s="15"/>
      <c r="E441" s="15"/>
      <c r="F441" s="24"/>
      <c r="G441" s="25"/>
      <c r="H441" s="21"/>
      <c r="I441" s="26" t="str">
        <f t="shared" si="13"/>
        <v/>
      </c>
    </row>
    <row r="442" spans="1:9" x14ac:dyDescent="0.2">
      <c r="A442" s="23" t="str">
        <f t="shared" si="12"/>
        <v/>
      </c>
      <c r="B442" s="22"/>
      <c r="C442" s="24"/>
      <c r="D442" s="15"/>
      <c r="E442" s="15"/>
      <c r="F442" s="24"/>
      <c r="G442" s="25"/>
      <c r="H442" s="21"/>
      <c r="I442" s="26" t="str">
        <f t="shared" si="13"/>
        <v/>
      </c>
    </row>
    <row r="443" spans="1:9" x14ac:dyDescent="0.2">
      <c r="A443" s="23" t="str">
        <f t="shared" si="12"/>
        <v/>
      </c>
      <c r="B443" s="22"/>
      <c r="C443" s="24"/>
      <c r="D443" s="15"/>
      <c r="E443" s="15"/>
      <c r="F443" s="24"/>
      <c r="G443" s="25"/>
      <c r="H443" s="21"/>
      <c r="I443" s="26" t="str">
        <f t="shared" si="13"/>
        <v/>
      </c>
    </row>
    <row r="444" spans="1:9" x14ac:dyDescent="0.2">
      <c r="A444" s="23" t="str">
        <f t="shared" si="12"/>
        <v/>
      </c>
      <c r="B444" s="22"/>
      <c r="C444" s="24"/>
      <c r="D444" s="15"/>
      <c r="E444" s="15"/>
      <c r="F444" s="24"/>
      <c r="G444" s="25"/>
      <c r="H444" s="21"/>
      <c r="I444" s="26" t="str">
        <f t="shared" si="13"/>
        <v/>
      </c>
    </row>
    <row r="445" spans="1:9" x14ac:dyDescent="0.2">
      <c r="A445" s="23" t="str">
        <f t="shared" si="12"/>
        <v/>
      </c>
      <c r="B445" s="22"/>
      <c r="C445" s="24"/>
      <c r="D445" s="15"/>
      <c r="E445" s="15"/>
      <c r="F445" s="24"/>
      <c r="G445" s="25"/>
      <c r="H445" s="21"/>
      <c r="I445" s="26" t="str">
        <f t="shared" si="13"/>
        <v/>
      </c>
    </row>
    <row r="446" spans="1:9" x14ac:dyDescent="0.2">
      <c r="A446" s="23" t="str">
        <f t="shared" si="12"/>
        <v/>
      </c>
      <c r="B446" s="22"/>
      <c r="C446" s="24"/>
      <c r="D446" s="15"/>
      <c r="E446" s="15"/>
      <c r="F446" s="24"/>
      <c r="G446" s="25"/>
      <c r="H446" s="21"/>
      <c r="I446" s="26" t="str">
        <f t="shared" si="13"/>
        <v/>
      </c>
    </row>
    <row r="447" spans="1:9" x14ac:dyDescent="0.2">
      <c r="A447" s="23" t="str">
        <f t="shared" si="12"/>
        <v/>
      </c>
      <c r="B447" s="22"/>
      <c r="C447" s="24"/>
      <c r="D447" s="15"/>
      <c r="E447" s="15"/>
      <c r="F447" s="24"/>
      <c r="G447" s="25"/>
      <c r="H447" s="21"/>
      <c r="I447" s="26" t="str">
        <f t="shared" si="13"/>
        <v/>
      </c>
    </row>
    <row r="448" spans="1:9" x14ac:dyDescent="0.2">
      <c r="A448" s="23" t="str">
        <f t="shared" si="12"/>
        <v/>
      </c>
      <c r="B448" s="22"/>
      <c r="C448" s="24"/>
      <c r="D448" s="15"/>
      <c r="E448" s="15"/>
      <c r="F448" s="24"/>
      <c r="G448" s="25"/>
      <c r="H448" s="21"/>
      <c r="I448" s="26" t="str">
        <f t="shared" si="13"/>
        <v/>
      </c>
    </row>
    <row r="449" spans="1:9" x14ac:dyDescent="0.2">
      <c r="A449" s="23" t="str">
        <f t="shared" si="12"/>
        <v/>
      </c>
      <c r="B449" s="22"/>
      <c r="C449" s="24"/>
      <c r="D449" s="15"/>
      <c r="E449" s="15"/>
      <c r="F449" s="24"/>
      <c r="G449" s="25"/>
      <c r="H449" s="21"/>
      <c r="I449" s="26" t="str">
        <f t="shared" si="13"/>
        <v/>
      </c>
    </row>
    <row r="450" spans="1:9" x14ac:dyDescent="0.2">
      <c r="A450" s="23" t="str">
        <f t="shared" si="12"/>
        <v/>
      </c>
      <c r="B450" s="22"/>
      <c r="C450" s="24"/>
      <c r="D450" s="15"/>
      <c r="E450" s="15"/>
      <c r="F450" s="24"/>
      <c r="G450" s="25"/>
      <c r="H450" s="21"/>
      <c r="I450" s="26" t="str">
        <f t="shared" si="13"/>
        <v/>
      </c>
    </row>
    <row r="451" spans="1:9" x14ac:dyDescent="0.2">
      <c r="A451" s="23" t="str">
        <f t="shared" si="12"/>
        <v/>
      </c>
      <c r="B451" s="22"/>
      <c r="C451" s="24"/>
      <c r="D451" s="15"/>
      <c r="E451" s="15"/>
      <c r="F451" s="24"/>
      <c r="G451" s="25"/>
      <c r="H451" s="21"/>
      <c r="I451" s="26" t="str">
        <f t="shared" si="13"/>
        <v/>
      </c>
    </row>
    <row r="452" spans="1:9" x14ac:dyDescent="0.2">
      <c r="A452" s="23" t="str">
        <f t="shared" si="12"/>
        <v/>
      </c>
      <c r="B452" s="22"/>
      <c r="C452" s="24"/>
      <c r="D452" s="15"/>
      <c r="E452" s="15"/>
      <c r="F452" s="24"/>
      <c r="G452" s="25"/>
      <c r="H452" s="21"/>
      <c r="I452" s="26" t="str">
        <f t="shared" si="13"/>
        <v/>
      </c>
    </row>
    <row r="453" spans="1:9" x14ac:dyDescent="0.2">
      <c r="A453" s="23" t="str">
        <f t="shared" ref="A453:A516" si="14">IF(B453="","",ROW()-4)</f>
        <v/>
      </c>
      <c r="B453" s="22"/>
      <c r="C453" s="24"/>
      <c r="D453" s="15"/>
      <c r="E453" s="15"/>
      <c r="F453" s="24"/>
      <c r="G453" s="25"/>
      <c r="H453" s="21"/>
      <c r="I453" s="26" t="str">
        <f t="shared" ref="I453:I516" si="15">IF(OR(G453="",H453=""),"",G453*H453)</f>
        <v/>
      </c>
    </row>
    <row r="454" spans="1:9" x14ac:dyDescent="0.2">
      <c r="A454" s="23" t="str">
        <f t="shared" si="14"/>
        <v/>
      </c>
      <c r="B454" s="22"/>
      <c r="C454" s="24"/>
      <c r="D454" s="15"/>
      <c r="E454" s="15"/>
      <c r="F454" s="24"/>
      <c r="G454" s="25"/>
      <c r="H454" s="21"/>
      <c r="I454" s="26" t="str">
        <f t="shared" si="15"/>
        <v/>
      </c>
    </row>
    <row r="455" spans="1:9" x14ac:dyDescent="0.2">
      <c r="A455" s="23" t="str">
        <f t="shared" si="14"/>
        <v/>
      </c>
      <c r="B455" s="22"/>
      <c r="C455" s="24"/>
      <c r="D455" s="15"/>
      <c r="E455" s="15"/>
      <c r="F455" s="24"/>
      <c r="G455" s="25"/>
      <c r="H455" s="21"/>
      <c r="I455" s="26" t="str">
        <f t="shared" si="15"/>
        <v/>
      </c>
    </row>
    <row r="456" spans="1:9" x14ac:dyDescent="0.2">
      <c r="A456" s="23" t="str">
        <f t="shared" si="14"/>
        <v/>
      </c>
      <c r="B456" s="22"/>
      <c r="C456" s="24"/>
      <c r="D456" s="15"/>
      <c r="E456" s="15"/>
      <c r="F456" s="24"/>
      <c r="G456" s="25"/>
      <c r="H456" s="21"/>
      <c r="I456" s="26" t="str">
        <f t="shared" si="15"/>
        <v/>
      </c>
    </row>
    <row r="457" spans="1:9" x14ac:dyDescent="0.2">
      <c r="A457" s="23" t="str">
        <f t="shared" si="14"/>
        <v/>
      </c>
      <c r="B457" s="22"/>
      <c r="C457" s="24"/>
      <c r="D457" s="15"/>
      <c r="E457" s="15"/>
      <c r="F457" s="24"/>
      <c r="G457" s="25"/>
      <c r="H457" s="21"/>
      <c r="I457" s="26" t="str">
        <f t="shared" si="15"/>
        <v/>
      </c>
    </row>
    <row r="458" spans="1:9" x14ac:dyDescent="0.2">
      <c r="A458" s="23" t="str">
        <f t="shared" si="14"/>
        <v/>
      </c>
      <c r="B458" s="22"/>
      <c r="C458" s="24"/>
      <c r="D458" s="15"/>
      <c r="E458" s="15"/>
      <c r="F458" s="24"/>
      <c r="G458" s="25"/>
      <c r="H458" s="21"/>
      <c r="I458" s="26" t="str">
        <f t="shared" si="15"/>
        <v/>
      </c>
    </row>
    <row r="459" spans="1:9" x14ac:dyDescent="0.2">
      <c r="A459" s="23" t="str">
        <f t="shared" si="14"/>
        <v/>
      </c>
      <c r="B459" s="22"/>
      <c r="C459" s="24"/>
      <c r="D459" s="15"/>
      <c r="E459" s="15"/>
      <c r="F459" s="24"/>
      <c r="G459" s="25"/>
      <c r="H459" s="21"/>
      <c r="I459" s="26" t="str">
        <f t="shared" si="15"/>
        <v/>
      </c>
    </row>
    <row r="460" spans="1:9" x14ac:dyDescent="0.2">
      <c r="A460" s="23" t="str">
        <f t="shared" si="14"/>
        <v/>
      </c>
      <c r="B460" s="22"/>
      <c r="C460" s="24"/>
      <c r="D460" s="15"/>
      <c r="E460" s="15"/>
      <c r="F460" s="24"/>
      <c r="G460" s="25"/>
      <c r="H460" s="21"/>
      <c r="I460" s="26" t="str">
        <f t="shared" si="15"/>
        <v/>
      </c>
    </row>
    <row r="461" spans="1:9" x14ac:dyDescent="0.2">
      <c r="A461" s="23" t="str">
        <f t="shared" si="14"/>
        <v/>
      </c>
      <c r="B461" s="22"/>
      <c r="C461" s="24"/>
      <c r="D461" s="15"/>
      <c r="E461" s="15"/>
      <c r="F461" s="24"/>
      <c r="G461" s="25"/>
      <c r="H461" s="21"/>
      <c r="I461" s="26" t="str">
        <f t="shared" si="15"/>
        <v/>
      </c>
    </row>
    <row r="462" spans="1:9" x14ac:dyDescent="0.2">
      <c r="A462" s="23" t="str">
        <f t="shared" si="14"/>
        <v/>
      </c>
      <c r="B462" s="22"/>
      <c r="C462" s="24"/>
      <c r="D462" s="15"/>
      <c r="E462" s="15"/>
      <c r="F462" s="24"/>
      <c r="G462" s="25"/>
      <c r="H462" s="21"/>
      <c r="I462" s="26" t="str">
        <f t="shared" si="15"/>
        <v/>
      </c>
    </row>
    <row r="463" spans="1:9" x14ac:dyDescent="0.2">
      <c r="A463" s="23" t="str">
        <f t="shared" si="14"/>
        <v/>
      </c>
      <c r="B463" s="22"/>
      <c r="C463" s="24"/>
      <c r="D463" s="15"/>
      <c r="E463" s="15"/>
      <c r="F463" s="24"/>
      <c r="G463" s="25"/>
      <c r="H463" s="21"/>
      <c r="I463" s="26" t="str">
        <f t="shared" si="15"/>
        <v/>
      </c>
    </row>
    <row r="464" spans="1:9" x14ac:dyDescent="0.2">
      <c r="A464" s="23" t="str">
        <f t="shared" si="14"/>
        <v/>
      </c>
      <c r="B464" s="22"/>
      <c r="C464" s="24"/>
      <c r="D464" s="15"/>
      <c r="E464" s="15"/>
      <c r="F464" s="24"/>
      <c r="G464" s="25"/>
      <c r="H464" s="21"/>
      <c r="I464" s="26" t="str">
        <f t="shared" si="15"/>
        <v/>
      </c>
    </row>
    <row r="465" spans="1:9" x14ac:dyDescent="0.2">
      <c r="A465" s="23" t="str">
        <f t="shared" si="14"/>
        <v/>
      </c>
      <c r="B465" s="22"/>
      <c r="C465" s="24"/>
      <c r="D465" s="15"/>
      <c r="E465" s="15"/>
      <c r="F465" s="24"/>
      <c r="G465" s="25"/>
      <c r="H465" s="21"/>
      <c r="I465" s="26" t="str">
        <f t="shared" si="15"/>
        <v/>
      </c>
    </row>
    <row r="466" spans="1:9" x14ac:dyDescent="0.2">
      <c r="A466" s="23" t="str">
        <f t="shared" si="14"/>
        <v/>
      </c>
      <c r="B466" s="22"/>
      <c r="C466" s="24"/>
      <c r="D466" s="15"/>
      <c r="E466" s="15"/>
      <c r="F466" s="24"/>
      <c r="G466" s="25"/>
      <c r="H466" s="21"/>
      <c r="I466" s="26" t="str">
        <f t="shared" si="15"/>
        <v/>
      </c>
    </row>
    <row r="467" spans="1:9" x14ac:dyDescent="0.2">
      <c r="A467" s="23" t="str">
        <f t="shared" si="14"/>
        <v/>
      </c>
      <c r="B467" s="22"/>
      <c r="C467" s="24"/>
      <c r="D467" s="15"/>
      <c r="E467" s="15"/>
      <c r="F467" s="24"/>
      <c r="G467" s="25"/>
      <c r="H467" s="21"/>
      <c r="I467" s="26" t="str">
        <f t="shared" si="15"/>
        <v/>
      </c>
    </row>
    <row r="468" spans="1:9" x14ac:dyDescent="0.2">
      <c r="A468" s="23" t="str">
        <f t="shared" si="14"/>
        <v/>
      </c>
      <c r="B468" s="22"/>
      <c r="C468" s="24"/>
      <c r="D468" s="15"/>
      <c r="E468" s="15"/>
      <c r="F468" s="24"/>
      <c r="G468" s="25"/>
      <c r="H468" s="21"/>
      <c r="I468" s="26" t="str">
        <f t="shared" si="15"/>
        <v/>
      </c>
    </row>
    <row r="469" spans="1:9" x14ac:dyDescent="0.2">
      <c r="A469" s="23" t="str">
        <f t="shared" si="14"/>
        <v/>
      </c>
      <c r="B469" s="22"/>
      <c r="C469" s="24"/>
      <c r="D469" s="15"/>
      <c r="E469" s="15"/>
      <c r="F469" s="24"/>
      <c r="G469" s="25"/>
      <c r="H469" s="21"/>
      <c r="I469" s="26" t="str">
        <f t="shared" si="15"/>
        <v/>
      </c>
    </row>
    <row r="470" spans="1:9" x14ac:dyDescent="0.2">
      <c r="A470" s="23" t="str">
        <f t="shared" si="14"/>
        <v/>
      </c>
      <c r="B470" s="22"/>
      <c r="C470" s="24"/>
      <c r="D470" s="15"/>
      <c r="E470" s="15"/>
      <c r="F470" s="24"/>
      <c r="G470" s="25"/>
      <c r="H470" s="21"/>
      <c r="I470" s="26" t="str">
        <f t="shared" si="15"/>
        <v/>
      </c>
    </row>
    <row r="471" spans="1:9" x14ac:dyDescent="0.2">
      <c r="A471" s="23" t="str">
        <f t="shared" si="14"/>
        <v/>
      </c>
      <c r="B471" s="22"/>
      <c r="C471" s="24"/>
      <c r="D471" s="15"/>
      <c r="E471" s="15"/>
      <c r="F471" s="24"/>
      <c r="G471" s="25"/>
      <c r="H471" s="21"/>
      <c r="I471" s="26" t="str">
        <f t="shared" si="15"/>
        <v/>
      </c>
    </row>
    <row r="472" spans="1:9" x14ac:dyDescent="0.2">
      <c r="A472" s="23" t="str">
        <f t="shared" si="14"/>
        <v/>
      </c>
      <c r="B472" s="22"/>
      <c r="C472" s="24"/>
      <c r="D472" s="15"/>
      <c r="E472" s="15"/>
      <c r="F472" s="24"/>
      <c r="G472" s="25"/>
      <c r="H472" s="21"/>
      <c r="I472" s="26" t="str">
        <f t="shared" si="15"/>
        <v/>
      </c>
    </row>
    <row r="473" spans="1:9" x14ac:dyDescent="0.2">
      <c r="A473" s="23" t="str">
        <f t="shared" si="14"/>
        <v/>
      </c>
      <c r="B473" s="22"/>
      <c r="C473" s="24"/>
      <c r="D473" s="15"/>
      <c r="E473" s="15"/>
      <c r="F473" s="24"/>
      <c r="G473" s="25"/>
      <c r="H473" s="21"/>
      <c r="I473" s="26" t="str">
        <f t="shared" si="15"/>
        <v/>
      </c>
    </row>
    <row r="474" spans="1:9" x14ac:dyDescent="0.2">
      <c r="A474" s="23" t="str">
        <f t="shared" si="14"/>
        <v/>
      </c>
      <c r="B474" s="22"/>
      <c r="C474" s="24"/>
      <c r="D474" s="15"/>
      <c r="E474" s="15"/>
      <c r="F474" s="24"/>
      <c r="G474" s="25"/>
      <c r="H474" s="21"/>
      <c r="I474" s="26" t="str">
        <f t="shared" si="15"/>
        <v/>
      </c>
    </row>
    <row r="475" spans="1:9" x14ac:dyDescent="0.2">
      <c r="A475" s="23" t="str">
        <f t="shared" si="14"/>
        <v/>
      </c>
      <c r="B475" s="22"/>
      <c r="C475" s="24"/>
      <c r="D475" s="15"/>
      <c r="E475" s="15"/>
      <c r="F475" s="24"/>
      <c r="G475" s="25"/>
      <c r="H475" s="21"/>
      <c r="I475" s="26" t="str">
        <f t="shared" si="15"/>
        <v/>
      </c>
    </row>
    <row r="476" spans="1:9" x14ac:dyDescent="0.2">
      <c r="A476" s="23" t="str">
        <f t="shared" si="14"/>
        <v/>
      </c>
      <c r="B476" s="22"/>
      <c r="C476" s="24"/>
      <c r="D476" s="15"/>
      <c r="E476" s="15"/>
      <c r="F476" s="24"/>
      <c r="G476" s="25"/>
      <c r="H476" s="21"/>
      <c r="I476" s="26" t="str">
        <f t="shared" si="15"/>
        <v/>
      </c>
    </row>
    <row r="477" spans="1:9" x14ac:dyDescent="0.2">
      <c r="A477" s="23" t="str">
        <f t="shared" si="14"/>
        <v/>
      </c>
      <c r="B477" s="22"/>
      <c r="C477" s="24"/>
      <c r="D477" s="15"/>
      <c r="E477" s="15"/>
      <c r="F477" s="24"/>
      <c r="G477" s="25"/>
      <c r="H477" s="21"/>
      <c r="I477" s="26" t="str">
        <f t="shared" si="15"/>
        <v/>
      </c>
    </row>
    <row r="478" spans="1:9" x14ac:dyDescent="0.2">
      <c r="A478" s="23" t="str">
        <f t="shared" si="14"/>
        <v/>
      </c>
      <c r="B478" s="22"/>
      <c r="C478" s="24"/>
      <c r="D478" s="15"/>
      <c r="E478" s="15"/>
      <c r="F478" s="24"/>
      <c r="G478" s="25"/>
      <c r="H478" s="21"/>
      <c r="I478" s="26" t="str">
        <f t="shared" si="15"/>
        <v/>
      </c>
    </row>
    <row r="479" spans="1:9" x14ac:dyDescent="0.2">
      <c r="A479" s="23" t="str">
        <f t="shared" si="14"/>
        <v/>
      </c>
      <c r="B479" s="22"/>
      <c r="C479" s="24"/>
      <c r="D479" s="15"/>
      <c r="E479" s="15"/>
      <c r="F479" s="24"/>
      <c r="G479" s="25"/>
      <c r="H479" s="21"/>
      <c r="I479" s="26" t="str">
        <f t="shared" si="15"/>
        <v/>
      </c>
    </row>
    <row r="480" spans="1:9" x14ac:dyDescent="0.2">
      <c r="A480" s="23" t="str">
        <f t="shared" si="14"/>
        <v/>
      </c>
      <c r="B480" s="22"/>
      <c r="C480" s="24"/>
      <c r="D480" s="15"/>
      <c r="E480" s="15"/>
      <c r="F480" s="24"/>
      <c r="G480" s="25"/>
      <c r="H480" s="21"/>
      <c r="I480" s="26" t="str">
        <f t="shared" si="15"/>
        <v/>
      </c>
    </row>
    <row r="481" spans="1:9" x14ac:dyDescent="0.2">
      <c r="A481" s="23" t="str">
        <f t="shared" si="14"/>
        <v/>
      </c>
      <c r="B481" s="22"/>
      <c r="C481" s="24"/>
      <c r="D481" s="15"/>
      <c r="E481" s="15"/>
      <c r="F481" s="24"/>
      <c r="G481" s="25"/>
      <c r="H481" s="21"/>
      <c r="I481" s="26" t="str">
        <f t="shared" si="15"/>
        <v/>
      </c>
    </row>
    <row r="482" spans="1:9" x14ac:dyDescent="0.2">
      <c r="A482" s="23" t="str">
        <f t="shared" si="14"/>
        <v/>
      </c>
      <c r="B482" s="22"/>
      <c r="C482" s="24"/>
      <c r="D482" s="15"/>
      <c r="E482" s="15"/>
      <c r="F482" s="24"/>
      <c r="G482" s="25"/>
      <c r="H482" s="21"/>
      <c r="I482" s="26" t="str">
        <f t="shared" si="15"/>
        <v/>
      </c>
    </row>
    <row r="483" spans="1:9" x14ac:dyDescent="0.2">
      <c r="A483" s="23" t="str">
        <f t="shared" si="14"/>
        <v/>
      </c>
      <c r="B483" s="22"/>
      <c r="C483" s="24"/>
      <c r="D483" s="15"/>
      <c r="E483" s="15"/>
      <c r="F483" s="24"/>
      <c r="G483" s="25"/>
      <c r="H483" s="21"/>
      <c r="I483" s="26" t="str">
        <f t="shared" si="15"/>
        <v/>
      </c>
    </row>
    <row r="484" spans="1:9" x14ac:dyDescent="0.2">
      <c r="A484" s="23" t="str">
        <f t="shared" si="14"/>
        <v/>
      </c>
      <c r="B484" s="22"/>
      <c r="C484" s="24"/>
      <c r="D484" s="15"/>
      <c r="E484" s="15"/>
      <c r="F484" s="24"/>
      <c r="G484" s="25"/>
      <c r="H484" s="21"/>
      <c r="I484" s="26" t="str">
        <f t="shared" si="15"/>
        <v/>
      </c>
    </row>
    <row r="485" spans="1:9" x14ac:dyDescent="0.2">
      <c r="A485" s="23" t="str">
        <f t="shared" si="14"/>
        <v/>
      </c>
      <c r="B485" s="22"/>
      <c r="C485" s="24"/>
      <c r="D485" s="15"/>
      <c r="E485" s="15"/>
      <c r="F485" s="24"/>
      <c r="G485" s="25"/>
      <c r="H485" s="21"/>
      <c r="I485" s="26" t="str">
        <f t="shared" si="15"/>
        <v/>
      </c>
    </row>
    <row r="486" spans="1:9" x14ac:dyDescent="0.2">
      <c r="A486" s="23" t="str">
        <f t="shared" si="14"/>
        <v/>
      </c>
      <c r="B486" s="22"/>
      <c r="C486" s="24"/>
      <c r="D486" s="15"/>
      <c r="E486" s="15"/>
      <c r="F486" s="24"/>
      <c r="G486" s="25"/>
      <c r="H486" s="21"/>
      <c r="I486" s="26" t="str">
        <f t="shared" si="15"/>
        <v/>
      </c>
    </row>
    <row r="487" spans="1:9" x14ac:dyDescent="0.2">
      <c r="A487" s="23" t="str">
        <f t="shared" si="14"/>
        <v/>
      </c>
      <c r="B487" s="22"/>
      <c r="C487" s="24"/>
      <c r="D487" s="15"/>
      <c r="E487" s="15"/>
      <c r="F487" s="24"/>
      <c r="G487" s="25"/>
      <c r="H487" s="21"/>
      <c r="I487" s="26" t="str">
        <f t="shared" si="15"/>
        <v/>
      </c>
    </row>
    <row r="488" spans="1:9" x14ac:dyDescent="0.2">
      <c r="A488" s="23" t="str">
        <f t="shared" si="14"/>
        <v/>
      </c>
      <c r="B488" s="22"/>
      <c r="C488" s="24"/>
      <c r="D488" s="15"/>
      <c r="E488" s="15"/>
      <c r="F488" s="24"/>
      <c r="G488" s="25"/>
      <c r="H488" s="21"/>
      <c r="I488" s="26" t="str">
        <f t="shared" si="15"/>
        <v/>
      </c>
    </row>
    <row r="489" spans="1:9" x14ac:dyDescent="0.2">
      <c r="A489" s="23" t="str">
        <f t="shared" si="14"/>
        <v/>
      </c>
      <c r="B489" s="22"/>
      <c r="C489" s="24"/>
      <c r="D489" s="15"/>
      <c r="E489" s="15"/>
      <c r="F489" s="24"/>
      <c r="G489" s="25"/>
      <c r="H489" s="21"/>
      <c r="I489" s="26" t="str">
        <f t="shared" si="15"/>
        <v/>
      </c>
    </row>
    <row r="490" spans="1:9" x14ac:dyDescent="0.2">
      <c r="A490" s="23" t="str">
        <f t="shared" si="14"/>
        <v/>
      </c>
      <c r="B490" s="22"/>
      <c r="C490" s="24"/>
      <c r="D490" s="15"/>
      <c r="E490" s="15"/>
      <c r="F490" s="24"/>
      <c r="G490" s="25"/>
      <c r="H490" s="21"/>
      <c r="I490" s="26" t="str">
        <f t="shared" si="15"/>
        <v/>
      </c>
    </row>
    <row r="491" spans="1:9" x14ac:dyDescent="0.2">
      <c r="A491" s="23" t="str">
        <f t="shared" si="14"/>
        <v/>
      </c>
      <c r="B491" s="22"/>
      <c r="C491" s="24"/>
      <c r="D491" s="15"/>
      <c r="E491" s="15"/>
      <c r="F491" s="24"/>
      <c r="G491" s="25"/>
      <c r="H491" s="21"/>
      <c r="I491" s="26" t="str">
        <f t="shared" si="15"/>
        <v/>
      </c>
    </row>
    <row r="492" spans="1:9" x14ac:dyDescent="0.2">
      <c r="A492" s="23" t="str">
        <f t="shared" si="14"/>
        <v/>
      </c>
      <c r="B492" s="22"/>
      <c r="C492" s="24"/>
      <c r="D492" s="15"/>
      <c r="E492" s="15"/>
      <c r="F492" s="24"/>
      <c r="G492" s="25"/>
      <c r="H492" s="21"/>
      <c r="I492" s="26" t="str">
        <f t="shared" si="15"/>
        <v/>
      </c>
    </row>
    <row r="493" spans="1:9" x14ac:dyDescent="0.2">
      <c r="A493" s="23" t="str">
        <f t="shared" si="14"/>
        <v/>
      </c>
      <c r="B493" s="22"/>
      <c r="C493" s="24"/>
      <c r="D493" s="15"/>
      <c r="E493" s="15"/>
      <c r="F493" s="24"/>
      <c r="G493" s="25"/>
      <c r="H493" s="21"/>
      <c r="I493" s="26" t="str">
        <f t="shared" si="15"/>
        <v/>
      </c>
    </row>
    <row r="494" spans="1:9" x14ac:dyDescent="0.2">
      <c r="A494" s="23" t="str">
        <f t="shared" si="14"/>
        <v/>
      </c>
      <c r="B494" s="22"/>
      <c r="C494" s="24"/>
      <c r="D494" s="15"/>
      <c r="E494" s="15"/>
      <c r="F494" s="24"/>
      <c r="G494" s="25"/>
      <c r="H494" s="21"/>
      <c r="I494" s="26" t="str">
        <f t="shared" si="15"/>
        <v/>
      </c>
    </row>
    <row r="495" spans="1:9" x14ac:dyDescent="0.2">
      <c r="A495" s="23" t="str">
        <f t="shared" si="14"/>
        <v/>
      </c>
      <c r="B495" s="22"/>
      <c r="C495" s="24"/>
      <c r="D495" s="15"/>
      <c r="E495" s="15"/>
      <c r="F495" s="24"/>
      <c r="G495" s="25"/>
      <c r="H495" s="21"/>
      <c r="I495" s="26" t="str">
        <f t="shared" si="15"/>
        <v/>
      </c>
    </row>
    <row r="496" spans="1:9" x14ac:dyDescent="0.2">
      <c r="A496" s="23" t="str">
        <f t="shared" si="14"/>
        <v/>
      </c>
      <c r="B496" s="22"/>
      <c r="C496" s="24"/>
      <c r="D496" s="15"/>
      <c r="E496" s="15"/>
      <c r="F496" s="24"/>
      <c r="G496" s="25"/>
      <c r="H496" s="21"/>
      <c r="I496" s="26" t="str">
        <f t="shared" si="15"/>
        <v/>
      </c>
    </row>
    <row r="497" spans="1:9" x14ac:dyDescent="0.2">
      <c r="A497" s="23" t="str">
        <f t="shared" si="14"/>
        <v/>
      </c>
      <c r="B497" s="22"/>
      <c r="C497" s="24"/>
      <c r="D497" s="15"/>
      <c r="E497" s="15"/>
      <c r="F497" s="24"/>
      <c r="G497" s="25"/>
      <c r="H497" s="21"/>
      <c r="I497" s="26" t="str">
        <f t="shared" si="15"/>
        <v/>
      </c>
    </row>
    <row r="498" spans="1:9" x14ac:dyDescent="0.2">
      <c r="A498" s="23" t="str">
        <f t="shared" si="14"/>
        <v/>
      </c>
      <c r="B498" s="22"/>
      <c r="C498" s="24"/>
      <c r="D498" s="15"/>
      <c r="E498" s="15"/>
      <c r="F498" s="24"/>
      <c r="G498" s="25"/>
      <c r="H498" s="21"/>
      <c r="I498" s="26" t="str">
        <f t="shared" si="15"/>
        <v/>
      </c>
    </row>
    <row r="499" spans="1:9" x14ac:dyDescent="0.2">
      <c r="A499" s="23" t="str">
        <f t="shared" si="14"/>
        <v/>
      </c>
      <c r="B499" s="22"/>
      <c r="C499" s="24"/>
      <c r="D499" s="15"/>
      <c r="E499" s="15"/>
      <c r="F499" s="24"/>
      <c r="G499" s="25"/>
      <c r="H499" s="21"/>
      <c r="I499" s="26" t="str">
        <f t="shared" si="15"/>
        <v/>
      </c>
    </row>
    <row r="500" spans="1:9" x14ac:dyDescent="0.2">
      <c r="A500" s="23" t="str">
        <f t="shared" si="14"/>
        <v/>
      </c>
      <c r="B500" s="22"/>
      <c r="C500" s="24"/>
      <c r="D500" s="15"/>
      <c r="E500" s="15"/>
      <c r="F500" s="24"/>
      <c r="G500" s="25"/>
      <c r="H500" s="21"/>
      <c r="I500" s="26" t="str">
        <f t="shared" si="15"/>
        <v/>
      </c>
    </row>
    <row r="501" spans="1:9" x14ac:dyDescent="0.2">
      <c r="A501" s="23" t="str">
        <f t="shared" si="14"/>
        <v/>
      </c>
      <c r="B501" s="22"/>
      <c r="C501" s="24"/>
      <c r="D501" s="15"/>
      <c r="E501" s="15"/>
      <c r="F501" s="24"/>
      <c r="G501" s="25"/>
      <c r="H501" s="21"/>
      <c r="I501" s="26" t="str">
        <f t="shared" si="15"/>
        <v/>
      </c>
    </row>
    <row r="502" spans="1:9" x14ac:dyDescent="0.2">
      <c r="A502" s="23" t="str">
        <f t="shared" si="14"/>
        <v/>
      </c>
      <c r="B502" s="22"/>
      <c r="C502" s="24"/>
      <c r="D502" s="15"/>
      <c r="E502" s="15"/>
      <c r="F502" s="24"/>
      <c r="G502" s="25"/>
      <c r="H502" s="21"/>
      <c r="I502" s="26" t="str">
        <f t="shared" si="15"/>
        <v/>
      </c>
    </row>
    <row r="503" spans="1:9" x14ac:dyDescent="0.2">
      <c r="A503" s="23" t="str">
        <f t="shared" si="14"/>
        <v/>
      </c>
      <c r="B503" s="22"/>
      <c r="C503" s="24"/>
      <c r="D503" s="15"/>
      <c r="E503" s="15"/>
      <c r="F503" s="24"/>
      <c r="G503" s="25"/>
      <c r="H503" s="21"/>
      <c r="I503" s="26" t="str">
        <f t="shared" si="15"/>
        <v/>
      </c>
    </row>
    <row r="504" spans="1:9" x14ac:dyDescent="0.2">
      <c r="A504" s="23" t="str">
        <f t="shared" si="14"/>
        <v/>
      </c>
      <c r="B504" s="22"/>
      <c r="C504" s="24"/>
      <c r="D504" s="15"/>
      <c r="E504" s="15"/>
      <c r="F504" s="24"/>
      <c r="G504" s="25"/>
      <c r="H504" s="21"/>
      <c r="I504" s="26" t="str">
        <f t="shared" si="15"/>
        <v/>
      </c>
    </row>
  </sheetData>
  <mergeCells count="2">
    <mergeCell ref="A1:I1"/>
    <mergeCell ref="A2:I2"/>
  </mergeCells>
  <dataValidations count="1">
    <dataValidation type="list" allowBlank="1" sqref="C5:C504" xr:uid="{00000000-0002-0000-0500-000000000000}">
      <formula1>"DIVIDEND,COUPON,LOAN_INT,OTHER"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1000000}">
          <x14:formula1>
            <xm:f>'02_FX_Rates'!$A$5:$A$10</xm:f>
          </x14:formula1>
          <xm:sqref>F5:F504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5B6"/>
  </sheetPr>
  <dimension ref="A1:K204"/>
  <sheetViews>
    <sheetView zoomScaleNormal="100" workbookViewId="0">
      <pane ySplit="4" topLeftCell="A5" activePane="bottomLeft" state="frozen"/>
      <selection pane="bottomLeft" activeCell="G6" sqref="G6"/>
    </sheetView>
  </sheetViews>
  <sheetFormatPr baseColWidth="10" defaultColWidth="8.6640625" defaultRowHeight="15" x14ac:dyDescent="0.2"/>
  <cols>
    <col min="1" max="1" width="6" customWidth="1"/>
    <col min="2" max="2" width="13" customWidth="1"/>
    <col min="3" max="3" width="9" customWidth="1"/>
    <col min="4" max="4" width="28" customWidth="1"/>
    <col min="5" max="5" width="11" customWidth="1"/>
    <col min="6" max="6" width="9" customWidth="1"/>
    <col min="7" max="7" width="16" customWidth="1"/>
    <col min="8" max="8" width="12" customWidth="1"/>
    <col min="9" max="9" width="16" customWidth="1"/>
    <col min="10" max="10" width="18" customWidth="1"/>
    <col min="11" max="11" width="30" customWidth="1"/>
  </cols>
  <sheetData>
    <row r="1" spans="1:11" ht="27.75" customHeight="1" x14ac:dyDescent="0.2">
      <c r="A1" s="85" t="s">
        <v>40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ht="15" customHeight="1" x14ac:dyDescent="0.2">
      <c r="A2" s="87" t="s">
        <v>331</v>
      </c>
      <c r="B2" s="86"/>
      <c r="C2" s="86"/>
      <c r="D2" s="86"/>
      <c r="E2" s="86"/>
      <c r="F2" s="86"/>
      <c r="G2" s="86"/>
      <c r="H2" s="86"/>
      <c r="I2" s="86"/>
      <c r="J2" s="86"/>
      <c r="K2" s="86"/>
    </row>
    <row r="4" spans="1:11" ht="31.5" customHeight="1" x14ac:dyDescent="0.2">
      <c r="A4" s="19" t="s">
        <v>112</v>
      </c>
      <c r="B4" s="19" t="s">
        <v>130</v>
      </c>
      <c r="C4" s="19" t="s">
        <v>115</v>
      </c>
      <c r="D4" s="19" t="s">
        <v>332</v>
      </c>
      <c r="E4" s="19" t="s">
        <v>333</v>
      </c>
      <c r="F4" s="19" t="s">
        <v>99</v>
      </c>
      <c r="G4" s="19" t="s">
        <v>135</v>
      </c>
      <c r="H4" s="19" t="s">
        <v>117</v>
      </c>
      <c r="I4" s="19" t="s">
        <v>118</v>
      </c>
      <c r="J4" s="19" t="s">
        <v>334</v>
      </c>
      <c r="K4" s="19" t="s">
        <v>102</v>
      </c>
    </row>
    <row r="5" spans="1:11" x14ac:dyDescent="0.2">
      <c r="A5" s="23">
        <f t="shared" ref="A5:A36" si="0">IF(B5="","",ROW()-4)</f>
        <v>1</v>
      </c>
      <c r="B5" s="22">
        <v>45940</v>
      </c>
      <c r="C5" s="24" t="s">
        <v>136</v>
      </c>
      <c r="D5" s="15" t="s">
        <v>335</v>
      </c>
      <c r="E5" s="17">
        <v>1</v>
      </c>
      <c r="F5" s="24" t="s">
        <v>54</v>
      </c>
      <c r="G5" s="25">
        <v>110000</v>
      </c>
      <c r="H5" s="21">
        <v>1</v>
      </c>
      <c r="I5" s="26">
        <f t="shared" ref="I5:I36" si="1">IF(OR(G5="",H5=""),"",G5*H5)</f>
        <v>110000</v>
      </c>
      <c r="J5" s="25">
        <v>100000</v>
      </c>
      <c r="K5" s="15"/>
    </row>
    <row r="6" spans="1:11" x14ac:dyDescent="0.2">
      <c r="A6" s="23">
        <f t="shared" si="0"/>
        <v>2</v>
      </c>
      <c r="B6" s="22">
        <v>45945</v>
      </c>
      <c r="C6" s="24" t="s">
        <v>136</v>
      </c>
      <c r="D6" s="15" t="s">
        <v>336</v>
      </c>
      <c r="E6" s="17"/>
      <c r="F6" s="24" t="s">
        <v>54</v>
      </c>
      <c r="G6" s="25">
        <v>25000</v>
      </c>
      <c r="H6" s="21">
        <v>1</v>
      </c>
      <c r="I6" s="26">
        <f t="shared" si="1"/>
        <v>25000</v>
      </c>
      <c r="J6" s="25">
        <v>25000</v>
      </c>
      <c r="K6" s="15"/>
    </row>
    <row r="7" spans="1:11" x14ac:dyDescent="0.2">
      <c r="A7" s="23">
        <f t="shared" si="0"/>
        <v>3</v>
      </c>
      <c r="B7" s="22">
        <v>46021</v>
      </c>
      <c r="C7" s="24" t="s">
        <v>136</v>
      </c>
      <c r="D7" s="15" t="s">
        <v>337</v>
      </c>
      <c r="E7" s="17"/>
      <c r="F7" s="24" t="s">
        <v>54</v>
      </c>
      <c r="G7" s="25">
        <v>30000</v>
      </c>
      <c r="H7" s="21">
        <v>1</v>
      </c>
      <c r="I7" s="26">
        <f t="shared" si="1"/>
        <v>30000</v>
      </c>
      <c r="J7" s="25">
        <v>30000</v>
      </c>
      <c r="K7" s="15"/>
    </row>
    <row r="8" spans="1:11" x14ac:dyDescent="0.2">
      <c r="A8" s="23" t="str">
        <f t="shared" si="0"/>
        <v/>
      </c>
      <c r="B8" s="22"/>
      <c r="C8" s="24"/>
      <c r="D8" s="15"/>
      <c r="E8" s="17"/>
      <c r="F8" s="24"/>
      <c r="G8" s="25"/>
      <c r="H8" s="21"/>
      <c r="I8" s="26" t="str">
        <f t="shared" si="1"/>
        <v/>
      </c>
      <c r="J8" s="25"/>
      <c r="K8" s="15"/>
    </row>
    <row r="9" spans="1:11" x14ac:dyDescent="0.2">
      <c r="A9" s="23" t="str">
        <f t="shared" si="0"/>
        <v/>
      </c>
      <c r="B9" s="22"/>
      <c r="C9" s="24"/>
      <c r="D9" s="15"/>
      <c r="E9" s="17"/>
      <c r="F9" s="24"/>
      <c r="G9" s="25"/>
      <c r="H9" s="21"/>
      <c r="I9" s="26" t="str">
        <f t="shared" si="1"/>
        <v/>
      </c>
      <c r="J9" s="25"/>
      <c r="K9" s="15"/>
    </row>
    <row r="10" spans="1:11" x14ac:dyDescent="0.2">
      <c r="A10" s="23" t="str">
        <f t="shared" si="0"/>
        <v/>
      </c>
      <c r="B10" s="22"/>
      <c r="C10" s="24"/>
      <c r="D10" s="15"/>
      <c r="E10" s="17"/>
      <c r="F10" s="24"/>
      <c r="G10" s="25"/>
      <c r="H10" s="21"/>
      <c r="I10" s="26" t="str">
        <f t="shared" si="1"/>
        <v/>
      </c>
      <c r="J10" s="25"/>
      <c r="K10" s="15"/>
    </row>
    <row r="11" spans="1:11" x14ac:dyDescent="0.2">
      <c r="A11" s="23" t="str">
        <f t="shared" si="0"/>
        <v/>
      </c>
      <c r="B11" s="22"/>
      <c r="C11" s="24"/>
      <c r="D11" s="15"/>
      <c r="E11" s="17"/>
      <c r="F11" s="24"/>
      <c r="G11" s="25"/>
      <c r="H11" s="21"/>
      <c r="I11" s="26" t="str">
        <f t="shared" si="1"/>
        <v/>
      </c>
      <c r="J11" s="25"/>
      <c r="K11" s="15"/>
    </row>
    <row r="12" spans="1:11" x14ac:dyDescent="0.2">
      <c r="A12" s="23" t="str">
        <f t="shared" si="0"/>
        <v/>
      </c>
      <c r="B12" s="22"/>
      <c r="C12" s="24"/>
      <c r="D12" s="15"/>
      <c r="E12" s="17"/>
      <c r="F12" s="24"/>
      <c r="G12" s="25"/>
      <c r="H12" s="21"/>
      <c r="I12" s="26" t="str">
        <f t="shared" si="1"/>
        <v/>
      </c>
      <c r="J12" s="25"/>
      <c r="K12" s="15"/>
    </row>
    <row r="13" spans="1:11" x14ac:dyDescent="0.2">
      <c r="A13" s="23" t="str">
        <f t="shared" si="0"/>
        <v/>
      </c>
      <c r="B13" s="22"/>
      <c r="C13" s="24"/>
      <c r="D13" s="15"/>
      <c r="E13" s="17"/>
      <c r="F13" s="24"/>
      <c r="G13" s="25"/>
      <c r="H13" s="21"/>
      <c r="I13" s="26" t="str">
        <f t="shared" si="1"/>
        <v/>
      </c>
      <c r="J13" s="25"/>
      <c r="K13" s="15"/>
    </row>
    <row r="14" spans="1:11" x14ac:dyDescent="0.2">
      <c r="A14" s="23" t="str">
        <f t="shared" si="0"/>
        <v/>
      </c>
      <c r="B14" s="22"/>
      <c r="C14" s="24"/>
      <c r="D14" s="15"/>
      <c r="E14" s="17"/>
      <c r="F14" s="24"/>
      <c r="G14" s="25"/>
      <c r="H14" s="21"/>
      <c r="I14" s="26" t="str">
        <f t="shared" si="1"/>
        <v/>
      </c>
      <c r="J14" s="25"/>
      <c r="K14" s="15"/>
    </row>
    <row r="15" spans="1:11" x14ac:dyDescent="0.2">
      <c r="A15" s="23" t="str">
        <f t="shared" si="0"/>
        <v/>
      </c>
      <c r="B15" s="22"/>
      <c r="C15" s="24"/>
      <c r="D15" s="15"/>
      <c r="E15" s="17"/>
      <c r="F15" s="24"/>
      <c r="G15" s="25"/>
      <c r="H15" s="21"/>
      <c r="I15" s="26" t="str">
        <f t="shared" si="1"/>
        <v/>
      </c>
      <c r="J15" s="25"/>
      <c r="K15" s="15"/>
    </row>
    <row r="16" spans="1:11" x14ac:dyDescent="0.2">
      <c r="A16" s="23" t="str">
        <f t="shared" si="0"/>
        <v/>
      </c>
      <c r="B16" s="22"/>
      <c r="C16" s="24"/>
      <c r="D16" s="15"/>
      <c r="E16" s="17"/>
      <c r="F16" s="24"/>
      <c r="G16" s="25"/>
      <c r="H16" s="21"/>
      <c r="I16" s="26" t="str">
        <f t="shared" si="1"/>
        <v/>
      </c>
      <c r="J16" s="25"/>
      <c r="K16" s="15"/>
    </row>
    <row r="17" spans="1:11" x14ac:dyDescent="0.2">
      <c r="A17" s="23" t="str">
        <f t="shared" si="0"/>
        <v/>
      </c>
      <c r="B17" s="22"/>
      <c r="C17" s="24"/>
      <c r="D17" s="15"/>
      <c r="E17" s="17"/>
      <c r="F17" s="24"/>
      <c r="G17" s="25"/>
      <c r="H17" s="21"/>
      <c r="I17" s="26" t="str">
        <f t="shared" si="1"/>
        <v/>
      </c>
      <c r="J17" s="25"/>
      <c r="K17" s="15"/>
    </row>
    <row r="18" spans="1:11" x14ac:dyDescent="0.2">
      <c r="A18" s="23" t="str">
        <f t="shared" si="0"/>
        <v/>
      </c>
      <c r="B18" s="22"/>
      <c r="C18" s="24"/>
      <c r="D18" s="15"/>
      <c r="E18" s="17"/>
      <c r="F18" s="24"/>
      <c r="G18" s="25"/>
      <c r="H18" s="21"/>
      <c r="I18" s="26" t="str">
        <f t="shared" si="1"/>
        <v/>
      </c>
      <c r="J18" s="25"/>
      <c r="K18" s="15"/>
    </row>
    <row r="19" spans="1:11" x14ac:dyDescent="0.2">
      <c r="A19" s="23" t="str">
        <f t="shared" si="0"/>
        <v/>
      </c>
      <c r="B19" s="22"/>
      <c r="C19" s="24"/>
      <c r="D19" s="15"/>
      <c r="E19" s="17"/>
      <c r="F19" s="24"/>
      <c r="G19" s="25"/>
      <c r="H19" s="21"/>
      <c r="I19" s="26" t="str">
        <f t="shared" si="1"/>
        <v/>
      </c>
      <c r="J19" s="25"/>
      <c r="K19" s="15"/>
    </row>
    <row r="20" spans="1:11" x14ac:dyDescent="0.2">
      <c r="A20" s="23" t="str">
        <f t="shared" si="0"/>
        <v/>
      </c>
      <c r="B20" s="22"/>
      <c r="C20" s="24"/>
      <c r="D20" s="15"/>
      <c r="E20" s="17"/>
      <c r="F20" s="24"/>
      <c r="G20" s="25"/>
      <c r="H20" s="21"/>
      <c r="I20" s="26" t="str">
        <f t="shared" si="1"/>
        <v/>
      </c>
      <c r="J20" s="25"/>
      <c r="K20" s="15"/>
    </row>
    <row r="21" spans="1:11" x14ac:dyDescent="0.2">
      <c r="A21" s="23" t="str">
        <f t="shared" si="0"/>
        <v/>
      </c>
      <c r="B21" s="22"/>
      <c r="C21" s="24"/>
      <c r="D21" s="15"/>
      <c r="E21" s="17"/>
      <c r="F21" s="24"/>
      <c r="G21" s="25"/>
      <c r="H21" s="21"/>
      <c r="I21" s="26" t="str">
        <f t="shared" si="1"/>
        <v/>
      </c>
      <c r="J21" s="25"/>
      <c r="K21" s="15"/>
    </row>
    <row r="22" spans="1:11" x14ac:dyDescent="0.2">
      <c r="A22" s="23" t="str">
        <f t="shared" si="0"/>
        <v/>
      </c>
      <c r="B22" s="22"/>
      <c r="C22" s="24"/>
      <c r="D22" s="15"/>
      <c r="E22" s="17"/>
      <c r="F22" s="24"/>
      <c r="G22" s="25"/>
      <c r="H22" s="21"/>
      <c r="I22" s="26" t="str">
        <f t="shared" si="1"/>
        <v/>
      </c>
      <c r="J22" s="25"/>
      <c r="K22" s="15"/>
    </row>
    <row r="23" spans="1:11" x14ac:dyDescent="0.2">
      <c r="A23" s="23" t="str">
        <f t="shared" si="0"/>
        <v/>
      </c>
      <c r="B23" s="22"/>
      <c r="C23" s="24"/>
      <c r="D23" s="15"/>
      <c r="E23" s="17"/>
      <c r="F23" s="24"/>
      <c r="G23" s="25"/>
      <c r="H23" s="21"/>
      <c r="I23" s="26" t="str">
        <f t="shared" si="1"/>
        <v/>
      </c>
      <c r="J23" s="25"/>
      <c r="K23" s="15"/>
    </row>
    <row r="24" spans="1:11" x14ac:dyDescent="0.2">
      <c r="A24" s="23" t="str">
        <f t="shared" si="0"/>
        <v/>
      </c>
      <c r="B24" s="22"/>
      <c r="C24" s="24"/>
      <c r="D24" s="15"/>
      <c r="E24" s="17"/>
      <c r="F24" s="24"/>
      <c r="G24" s="25"/>
      <c r="H24" s="21"/>
      <c r="I24" s="26" t="str">
        <f t="shared" si="1"/>
        <v/>
      </c>
      <c r="J24" s="25"/>
      <c r="K24" s="15"/>
    </row>
    <row r="25" spans="1:11" x14ac:dyDescent="0.2">
      <c r="A25" s="23" t="str">
        <f t="shared" si="0"/>
        <v/>
      </c>
      <c r="B25" s="22"/>
      <c r="C25" s="24"/>
      <c r="D25" s="15"/>
      <c r="E25" s="17"/>
      <c r="F25" s="24"/>
      <c r="G25" s="25"/>
      <c r="H25" s="21"/>
      <c r="I25" s="26" t="str">
        <f t="shared" si="1"/>
        <v/>
      </c>
      <c r="J25" s="25"/>
      <c r="K25" s="15"/>
    </row>
    <row r="26" spans="1:11" x14ac:dyDescent="0.2">
      <c r="A26" s="23" t="str">
        <f t="shared" si="0"/>
        <v/>
      </c>
      <c r="B26" s="22"/>
      <c r="C26" s="24"/>
      <c r="D26" s="15"/>
      <c r="E26" s="17"/>
      <c r="F26" s="24"/>
      <c r="G26" s="25"/>
      <c r="H26" s="21"/>
      <c r="I26" s="26" t="str">
        <f t="shared" si="1"/>
        <v/>
      </c>
      <c r="J26" s="25"/>
      <c r="K26" s="15"/>
    </row>
    <row r="27" spans="1:11" x14ac:dyDescent="0.2">
      <c r="A27" s="23" t="str">
        <f t="shared" si="0"/>
        <v/>
      </c>
      <c r="B27" s="22"/>
      <c r="C27" s="24"/>
      <c r="D27" s="15"/>
      <c r="E27" s="17"/>
      <c r="F27" s="24"/>
      <c r="G27" s="25"/>
      <c r="H27" s="21"/>
      <c r="I27" s="26" t="str">
        <f t="shared" si="1"/>
        <v/>
      </c>
      <c r="J27" s="25"/>
      <c r="K27" s="15"/>
    </row>
    <row r="28" spans="1:11" x14ac:dyDescent="0.2">
      <c r="A28" s="23" t="str">
        <f t="shared" si="0"/>
        <v/>
      </c>
      <c r="B28" s="22"/>
      <c r="C28" s="24"/>
      <c r="D28" s="15"/>
      <c r="E28" s="17"/>
      <c r="F28" s="24"/>
      <c r="G28" s="25"/>
      <c r="H28" s="21"/>
      <c r="I28" s="26" t="str">
        <f t="shared" si="1"/>
        <v/>
      </c>
      <c r="J28" s="25"/>
      <c r="K28" s="15"/>
    </row>
    <row r="29" spans="1:11" x14ac:dyDescent="0.2">
      <c r="A29" s="23" t="str">
        <f t="shared" si="0"/>
        <v/>
      </c>
      <c r="B29" s="22"/>
      <c r="C29" s="24"/>
      <c r="D29" s="15"/>
      <c r="E29" s="17"/>
      <c r="F29" s="24"/>
      <c r="G29" s="25"/>
      <c r="H29" s="21"/>
      <c r="I29" s="26" t="str">
        <f t="shared" si="1"/>
        <v/>
      </c>
      <c r="J29" s="25"/>
      <c r="K29" s="15"/>
    </row>
    <row r="30" spans="1:11" x14ac:dyDescent="0.2">
      <c r="A30" s="23" t="str">
        <f t="shared" si="0"/>
        <v/>
      </c>
      <c r="B30" s="22"/>
      <c r="C30" s="24"/>
      <c r="D30" s="15"/>
      <c r="E30" s="17"/>
      <c r="F30" s="24"/>
      <c r="G30" s="25"/>
      <c r="H30" s="21"/>
      <c r="I30" s="26" t="str">
        <f t="shared" si="1"/>
        <v/>
      </c>
      <c r="J30" s="25"/>
      <c r="K30" s="15"/>
    </row>
    <row r="31" spans="1:11" x14ac:dyDescent="0.2">
      <c r="A31" s="23" t="str">
        <f t="shared" si="0"/>
        <v/>
      </c>
      <c r="B31" s="22"/>
      <c r="C31" s="24"/>
      <c r="D31" s="15"/>
      <c r="E31" s="17"/>
      <c r="F31" s="24"/>
      <c r="G31" s="25"/>
      <c r="H31" s="21"/>
      <c r="I31" s="26" t="str">
        <f t="shared" si="1"/>
        <v/>
      </c>
      <c r="J31" s="25"/>
      <c r="K31" s="15"/>
    </row>
    <row r="32" spans="1:11" x14ac:dyDescent="0.2">
      <c r="A32" s="23" t="str">
        <f t="shared" si="0"/>
        <v/>
      </c>
      <c r="B32" s="22"/>
      <c r="C32" s="24"/>
      <c r="D32" s="15"/>
      <c r="E32" s="17"/>
      <c r="F32" s="24"/>
      <c r="G32" s="25"/>
      <c r="H32" s="21"/>
      <c r="I32" s="26" t="str">
        <f t="shared" si="1"/>
        <v/>
      </c>
      <c r="J32" s="25"/>
      <c r="K32" s="15"/>
    </row>
    <row r="33" spans="1:11" x14ac:dyDescent="0.2">
      <c r="A33" s="23" t="str">
        <f t="shared" si="0"/>
        <v/>
      </c>
      <c r="B33" s="22"/>
      <c r="C33" s="24"/>
      <c r="D33" s="15"/>
      <c r="E33" s="17"/>
      <c r="F33" s="24"/>
      <c r="G33" s="25"/>
      <c r="H33" s="21"/>
      <c r="I33" s="26" t="str">
        <f t="shared" si="1"/>
        <v/>
      </c>
      <c r="J33" s="25"/>
      <c r="K33" s="15"/>
    </row>
    <row r="34" spans="1:11" x14ac:dyDescent="0.2">
      <c r="A34" s="23" t="str">
        <f t="shared" si="0"/>
        <v/>
      </c>
      <c r="B34" s="22"/>
      <c r="C34" s="24"/>
      <c r="D34" s="15"/>
      <c r="E34" s="17"/>
      <c r="F34" s="24"/>
      <c r="G34" s="25"/>
      <c r="H34" s="21"/>
      <c r="I34" s="26" t="str">
        <f t="shared" si="1"/>
        <v/>
      </c>
      <c r="J34" s="25"/>
      <c r="K34" s="15"/>
    </row>
    <row r="35" spans="1:11" x14ac:dyDescent="0.2">
      <c r="A35" s="23" t="str">
        <f t="shared" si="0"/>
        <v/>
      </c>
      <c r="B35" s="22"/>
      <c r="C35" s="24"/>
      <c r="D35" s="15"/>
      <c r="E35" s="17"/>
      <c r="F35" s="24"/>
      <c r="G35" s="25"/>
      <c r="H35" s="21"/>
      <c r="I35" s="26" t="str">
        <f t="shared" si="1"/>
        <v/>
      </c>
      <c r="J35" s="25"/>
      <c r="K35" s="15"/>
    </row>
    <row r="36" spans="1:11" x14ac:dyDescent="0.2">
      <c r="A36" s="23" t="str">
        <f t="shared" si="0"/>
        <v/>
      </c>
      <c r="B36" s="22"/>
      <c r="C36" s="24"/>
      <c r="D36" s="15"/>
      <c r="E36" s="17"/>
      <c r="F36" s="24"/>
      <c r="G36" s="25"/>
      <c r="H36" s="21"/>
      <c r="I36" s="26" t="str">
        <f t="shared" si="1"/>
        <v/>
      </c>
      <c r="J36" s="25"/>
      <c r="K36" s="15"/>
    </row>
    <row r="37" spans="1:11" x14ac:dyDescent="0.2">
      <c r="A37" s="23" t="str">
        <f t="shared" ref="A37:A68" si="2">IF(B37="","",ROW()-4)</f>
        <v/>
      </c>
      <c r="B37" s="22"/>
      <c r="C37" s="24"/>
      <c r="D37" s="15"/>
      <c r="E37" s="17"/>
      <c r="F37" s="24"/>
      <c r="G37" s="25"/>
      <c r="H37" s="21"/>
      <c r="I37" s="26" t="str">
        <f t="shared" ref="I37:I68" si="3">IF(OR(G37="",H37=""),"",G37*H37)</f>
        <v/>
      </c>
      <c r="J37" s="25"/>
      <c r="K37" s="15"/>
    </row>
    <row r="38" spans="1:11" x14ac:dyDescent="0.2">
      <c r="A38" s="23" t="str">
        <f t="shared" si="2"/>
        <v/>
      </c>
      <c r="B38" s="22"/>
      <c r="C38" s="24"/>
      <c r="D38" s="15"/>
      <c r="E38" s="17"/>
      <c r="F38" s="24"/>
      <c r="G38" s="25"/>
      <c r="H38" s="21"/>
      <c r="I38" s="26" t="str">
        <f t="shared" si="3"/>
        <v/>
      </c>
      <c r="J38" s="25"/>
      <c r="K38" s="15"/>
    </row>
    <row r="39" spans="1:11" x14ac:dyDescent="0.2">
      <c r="A39" s="23" t="str">
        <f t="shared" si="2"/>
        <v/>
      </c>
      <c r="B39" s="22"/>
      <c r="C39" s="24"/>
      <c r="D39" s="15"/>
      <c r="E39" s="17"/>
      <c r="F39" s="24"/>
      <c r="G39" s="25"/>
      <c r="H39" s="21"/>
      <c r="I39" s="26" t="str">
        <f t="shared" si="3"/>
        <v/>
      </c>
      <c r="J39" s="25"/>
      <c r="K39" s="15"/>
    </row>
    <row r="40" spans="1:11" x14ac:dyDescent="0.2">
      <c r="A40" s="23" t="str">
        <f t="shared" si="2"/>
        <v/>
      </c>
      <c r="B40" s="22"/>
      <c r="C40" s="24"/>
      <c r="D40" s="15"/>
      <c r="E40" s="17"/>
      <c r="F40" s="24"/>
      <c r="G40" s="25"/>
      <c r="H40" s="21"/>
      <c r="I40" s="26" t="str">
        <f t="shared" si="3"/>
        <v/>
      </c>
      <c r="J40" s="25"/>
      <c r="K40" s="15"/>
    </row>
    <row r="41" spans="1:11" x14ac:dyDescent="0.2">
      <c r="A41" s="23" t="str">
        <f t="shared" si="2"/>
        <v/>
      </c>
      <c r="B41" s="22"/>
      <c r="C41" s="24"/>
      <c r="D41" s="15"/>
      <c r="E41" s="17"/>
      <c r="F41" s="24"/>
      <c r="G41" s="25"/>
      <c r="H41" s="21"/>
      <c r="I41" s="26" t="str">
        <f t="shared" si="3"/>
        <v/>
      </c>
      <c r="J41" s="25"/>
      <c r="K41" s="15"/>
    </row>
    <row r="42" spans="1:11" x14ac:dyDescent="0.2">
      <c r="A42" s="23" t="str">
        <f t="shared" si="2"/>
        <v/>
      </c>
      <c r="B42" s="22"/>
      <c r="C42" s="24"/>
      <c r="D42" s="15"/>
      <c r="E42" s="17"/>
      <c r="F42" s="24"/>
      <c r="G42" s="25"/>
      <c r="H42" s="21"/>
      <c r="I42" s="26" t="str">
        <f t="shared" si="3"/>
        <v/>
      </c>
      <c r="J42" s="25"/>
      <c r="K42" s="15"/>
    </row>
    <row r="43" spans="1:11" x14ac:dyDescent="0.2">
      <c r="A43" s="23" t="str">
        <f t="shared" si="2"/>
        <v/>
      </c>
      <c r="B43" s="22"/>
      <c r="C43" s="24"/>
      <c r="D43" s="15"/>
      <c r="E43" s="17"/>
      <c r="F43" s="24"/>
      <c r="G43" s="25"/>
      <c r="H43" s="21"/>
      <c r="I43" s="26" t="str">
        <f t="shared" si="3"/>
        <v/>
      </c>
      <c r="J43" s="25"/>
      <c r="K43" s="15"/>
    </row>
    <row r="44" spans="1:11" x14ac:dyDescent="0.2">
      <c r="A44" s="23" t="str">
        <f t="shared" si="2"/>
        <v/>
      </c>
      <c r="B44" s="22"/>
      <c r="C44" s="24"/>
      <c r="D44" s="15"/>
      <c r="E44" s="17"/>
      <c r="F44" s="24"/>
      <c r="G44" s="25"/>
      <c r="H44" s="21"/>
      <c r="I44" s="26" t="str">
        <f t="shared" si="3"/>
        <v/>
      </c>
      <c r="J44" s="25"/>
      <c r="K44" s="15"/>
    </row>
    <row r="45" spans="1:11" x14ac:dyDescent="0.2">
      <c r="A45" s="23" t="str">
        <f t="shared" si="2"/>
        <v/>
      </c>
      <c r="B45" s="22"/>
      <c r="C45" s="24"/>
      <c r="D45" s="15"/>
      <c r="E45" s="17"/>
      <c r="F45" s="24"/>
      <c r="G45" s="25"/>
      <c r="H45" s="21"/>
      <c r="I45" s="26" t="str">
        <f t="shared" si="3"/>
        <v/>
      </c>
      <c r="J45" s="25"/>
      <c r="K45" s="15"/>
    </row>
    <row r="46" spans="1:11" x14ac:dyDescent="0.2">
      <c r="A46" s="23" t="str">
        <f t="shared" si="2"/>
        <v/>
      </c>
      <c r="B46" s="22"/>
      <c r="C46" s="24"/>
      <c r="D46" s="15"/>
      <c r="E46" s="17"/>
      <c r="F46" s="24"/>
      <c r="G46" s="25"/>
      <c r="H46" s="21"/>
      <c r="I46" s="26" t="str">
        <f t="shared" si="3"/>
        <v/>
      </c>
      <c r="J46" s="25"/>
      <c r="K46" s="15"/>
    </row>
    <row r="47" spans="1:11" x14ac:dyDescent="0.2">
      <c r="A47" s="23" t="str">
        <f t="shared" si="2"/>
        <v/>
      </c>
      <c r="B47" s="22"/>
      <c r="C47" s="24"/>
      <c r="D47" s="15"/>
      <c r="E47" s="17"/>
      <c r="F47" s="24"/>
      <c r="G47" s="25"/>
      <c r="H47" s="21"/>
      <c r="I47" s="26" t="str">
        <f t="shared" si="3"/>
        <v/>
      </c>
      <c r="J47" s="25"/>
      <c r="K47" s="15"/>
    </row>
    <row r="48" spans="1:11" x14ac:dyDescent="0.2">
      <c r="A48" s="23" t="str">
        <f t="shared" si="2"/>
        <v/>
      </c>
      <c r="B48" s="22"/>
      <c r="C48" s="24"/>
      <c r="D48" s="15"/>
      <c r="E48" s="17"/>
      <c r="F48" s="24"/>
      <c r="G48" s="25"/>
      <c r="H48" s="21"/>
      <c r="I48" s="26" t="str">
        <f t="shared" si="3"/>
        <v/>
      </c>
      <c r="J48" s="25"/>
      <c r="K48" s="15"/>
    </row>
    <row r="49" spans="1:11" x14ac:dyDescent="0.2">
      <c r="A49" s="23" t="str">
        <f t="shared" si="2"/>
        <v/>
      </c>
      <c r="B49" s="22"/>
      <c r="C49" s="24"/>
      <c r="D49" s="15"/>
      <c r="E49" s="17"/>
      <c r="F49" s="24"/>
      <c r="G49" s="25"/>
      <c r="H49" s="21"/>
      <c r="I49" s="26" t="str">
        <f t="shared" si="3"/>
        <v/>
      </c>
      <c r="J49" s="25"/>
      <c r="K49" s="15"/>
    </row>
    <row r="50" spans="1:11" x14ac:dyDescent="0.2">
      <c r="A50" s="23" t="str">
        <f t="shared" si="2"/>
        <v/>
      </c>
      <c r="B50" s="22"/>
      <c r="C50" s="24"/>
      <c r="D50" s="15"/>
      <c r="E50" s="17"/>
      <c r="F50" s="24"/>
      <c r="G50" s="25"/>
      <c r="H50" s="21"/>
      <c r="I50" s="26" t="str">
        <f t="shared" si="3"/>
        <v/>
      </c>
      <c r="J50" s="25"/>
      <c r="K50" s="15"/>
    </row>
    <row r="51" spans="1:11" x14ac:dyDescent="0.2">
      <c r="A51" s="23" t="str">
        <f t="shared" si="2"/>
        <v/>
      </c>
      <c r="B51" s="22"/>
      <c r="C51" s="24"/>
      <c r="D51" s="15"/>
      <c r="E51" s="17"/>
      <c r="F51" s="24"/>
      <c r="G51" s="25"/>
      <c r="H51" s="21"/>
      <c r="I51" s="26" t="str">
        <f t="shared" si="3"/>
        <v/>
      </c>
      <c r="J51" s="25"/>
      <c r="K51" s="15"/>
    </row>
    <row r="52" spans="1:11" x14ac:dyDescent="0.2">
      <c r="A52" s="23" t="str">
        <f t="shared" si="2"/>
        <v/>
      </c>
      <c r="B52" s="22"/>
      <c r="C52" s="24"/>
      <c r="D52" s="15"/>
      <c r="E52" s="17"/>
      <c r="F52" s="24"/>
      <c r="G52" s="25"/>
      <c r="H52" s="21"/>
      <c r="I52" s="26" t="str">
        <f t="shared" si="3"/>
        <v/>
      </c>
      <c r="J52" s="25"/>
      <c r="K52" s="15"/>
    </row>
    <row r="53" spans="1:11" x14ac:dyDescent="0.2">
      <c r="A53" s="23" t="str">
        <f t="shared" si="2"/>
        <v/>
      </c>
      <c r="B53" s="22"/>
      <c r="C53" s="24"/>
      <c r="D53" s="15"/>
      <c r="E53" s="17"/>
      <c r="F53" s="24"/>
      <c r="G53" s="25"/>
      <c r="H53" s="21"/>
      <c r="I53" s="26" t="str">
        <f t="shared" si="3"/>
        <v/>
      </c>
      <c r="J53" s="25"/>
      <c r="K53" s="15"/>
    </row>
    <row r="54" spans="1:11" x14ac:dyDescent="0.2">
      <c r="A54" s="23" t="str">
        <f t="shared" si="2"/>
        <v/>
      </c>
      <c r="B54" s="22"/>
      <c r="C54" s="24"/>
      <c r="D54" s="15"/>
      <c r="E54" s="17"/>
      <c r="F54" s="24"/>
      <c r="G54" s="25"/>
      <c r="H54" s="21"/>
      <c r="I54" s="26" t="str">
        <f t="shared" si="3"/>
        <v/>
      </c>
      <c r="J54" s="25"/>
      <c r="K54" s="15"/>
    </row>
    <row r="55" spans="1:11" x14ac:dyDescent="0.2">
      <c r="A55" s="23" t="str">
        <f t="shared" si="2"/>
        <v/>
      </c>
      <c r="B55" s="22"/>
      <c r="C55" s="24"/>
      <c r="D55" s="15"/>
      <c r="E55" s="17"/>
      <c r="F55" s="24"/>
      <c r="G55" s="25"/>
      <c r="H55" s="21"/>
      <c r="I55" s="26" t="str">
        <f t="shared" si="3"/>
        <v/>
      </c>
      <c r="J55" s="25"/>
      <c r="K55" s="15"/>
    </row>
    <row r="56" spans="1:11" x14ac:dyDescent="0.2">
      <c r="A56" s="23" t="str">
        <f t="shared" si="2"/>
        <v/>
      </c>
      <c r="B56" s="22"/>
      <c r="C56" s="24"/>
      <c r="D56" s="15"/>
      <c r="E56" s="17"/>
      <c r="F56" s="24"/>
      <c r="G56" s="25"/>
      <c r="H56" s="21"/>
      <c r="I56" s="26" t="str">
        <f t="shared" si="3"/>
        <v/>
      </c>
      <c r="J56" s="25"/>
      <c r="K56" s="15"/>
    </row>
    <row r="57" spans="1:11" x14ac:dyDescent="0.2">
      <c r="A57" s="23" t="str">
        <f t="shared" si="2"/>
        <v/>
      </c>
      <c r="B57" s="22"/>
      <c r="C57" s="24"/>
      <c r="D57" s="15"/>
      <c r="E57" s="17"/>
      <c r="F57" s="24"/>
      <c r="G57" s="25"/>
      <c r="H57" s="21"/>
      <c r="I57" s="26" t="str">
        <f t="shared" si="3"/>
        <v/>
      </c>
      <c r="J57" s="25"/>
      <c r="K57" s="15"/>
    </row>
    <row r="58" spans="1:11" x14ac:dyDescent="0.2">
      <c r="A58" s="23" t="str">
        <f t="shared" si="2"/>
        <v/>
      </c>
      <c r="B58" s="22"/>
      <c r="C58" s="24"/>
      <c r="D58" s="15"/>
      <c r="E58" s="17"/>
      <c r="F58" s="24"/>
      <c r="G58" s="25"/>
      <c r="H58" s="21"/>
      <c r="I58" s="26" t="str">
        <f t="shared" si="3"/>
        <v/>
      </c>
      <c r="J58" s="25"/>
      <c r="K58" s="15"/>
    </row>
    <row r="59" spans="1:11" x14ac:dyDescent="0.2">
      <c r="A59" s="23" t="str">
        <f t="shared" si="2"/>
        <v/>
      </c>
      <c r="B59" s="22"/>
      <c r="C59" s="24"/>
      <c r="D59" s="15"/>
      <c r="E59" s="17"/>
      <c r="F59" s="24"/>
      <c r="G59" s="25"/>
      <c r="H59" s="21"/>
      <c r="I59" s="26" t="str">
        <f t="shared" si="3"/>
        <v/>
      </c>
      <c r="J59" s="25"/>
      <c r="K59" s="15"/>
    </row>
    <row r="60" spans="1:11" x14ac:dyDescent="0.2">
      <c r="A60" s="23" t="str">
        <f t="shared" si="2"/>
        <v/>
      </c>
      <c r="B60" s="22"/>
      <c r="C60" s="24"/>
      <c r="D60" s="15"/>
      <c r="E60" s="17"/>
      <c r="F60" s="24"/>
      <c r="G60" s="25"/>
      <c r="H60" s="21"/>
      <c r="I60" s="26" t="str">
        <f t="shared" si="3"/>
        <v/>
      </c>
      <c r="J60" s="25"/>
      <c r="K60" s="15"/>
    </row>
    <row r="61" spans="1:11" x14ac:dyDescent="0.2">
      <c r="A61" s="23" t="str">
        <f t="shared" si="2"/>
        <v/>
      </c>
      <c r="B61" s="22"/>
      <c r="C61" s="24"/>
      <c r="D61" s="15"/>
      <c r="E61" s="17"/>
      <c r="F61" s="24"/>
      <c r="G61" s="25"/>
      <c r="H61" s="21"/>
      <c r="I61" s="26" t="str">
        <f t="shared" si="3"/>
        <v/>
      </c>
      <c r="J61" s="25"/>
      <c r="K61" s="15"/>
    </row>
    <row r="62" spans="1:11" x14ac:dyDescent="0.2">
      <c r="A62" s="23" t="str">
        <f t="shared" si="2"/>
        <v/>
      </c>
      <c r="B62" s="22"/>
      <c r="C62" s="24"/>
      <c r="D62" s="15"/>
      <c r="E62" s="17"/>
      <c r="F62" s="24"/>
      <c r="G62" s="25"/>
      <c r="H62" s="21"/>
      <c r="I62" s="26" t="str">
        <f t="shared" si="3"/>
        <v/>
      </c>
      <c r="J62" s="25"/>
      <c r="K62" s="15"/>
    </row>
    <row r="63" spans="1:11" x14ac:dyDescent="0.2">
      <c r="A63" s="23" t="str">
        <f t="shared" si="2"/>
        <v/>
      </c>
      <c r="B63" s="22"/>
      <c r="C63" s="24"/>
      <c r="D63" s="15"/>
      <c r="E63" s="17"/>
      <c r="F63" s="24"/>
      <c r="G63" s="25"/>
      <c r="H63" s="21"/>
      <c r="I63" s="26" t="str">
        <f t="shared" si="3"/>
        <v/>
      </c>
      <c r="J63" s="25"/>
      <c r="K63" s="15"/>
    </row>
    <row r="64" spans="1:11" x14ac:dyDescent="0.2">
      <c r="A64" s="23" t="str">
        <f t="shared" si="2"/>
        <v/>
      </c>
      <c r="B64" s="22"/>
      <c r="C64" s="24"/>
      <c r="D64" s="15"/>
      <c r="E64" s="17"/>
      <c r="F64" s="24"/>
      <c r="G64" s="25"/>
      <c r="H64" s="21"/>
      <c r="I64" s="26" t="str">
        <f t="shared" si="3"/>
        <v/>
      </c>
      <c r="J64" s="25"/>
      <c r="K64" s="15"/>
    </row>
    <row r="65" spans="1:11" x14ac:dyDescent="0.2">
      <c r="A65" s="23" t="str">
        <f t="shared" si="2"/>
        <v/>
      </c>
      <c r="B65" s="22"/>
      <c r="C65" s="24"/>
      <c r="D65" s="15"/>
      <c r="E65" s="17"/>
      <c r="F65" s="24"/>
      <c r="G65" s="25"/>
      <c r="H65" s="21"/>
      <c r="I65" s="26" t="str">
        <f t="shared" si="3"/>
        <v/>
      </c>
      <c r="J65" s="25"/>
      <c r="K65" s="15"/>
    </row>
    <row r="66" spans="1:11" x14ac:dyDescent="0.2">
      <c r="A66" s="23" t="str">
        <f t="shared" si="2"/>
        <v/>
      </c>
      <c r="B66" s="22"/>
      <c r="C66" s="24"/>
      <c r="D66" s="15"/>
      <c r="E66" s="17"/>
      <c r="F66" s="24"/>
      <c r="G66" s="25"/>
      <c r="H66" s="21"/>
      <c r="I66" s="26" t="str">
        <f t="shared" si="3"/>
        <v/>
      </c>
      <c r="J66" s="25"/>
      <c r="K66" s="15"/>
    </row>
    <row r="67" spans="1:11" x14ac:dyDescent="0.2">
      <c r="A67" s="23" t="str">
        <f t="shared" si="2"/>
        <v/>
      </c>
      <c r="B67" s="22"/>
      <c r="C67" s="24"/>
      <c r="D67" s="15"/>
      <c r="E67" s="17"/>
      <c r="F67" s="24"/>
      <c r="G67" s="25"/>
      <c r="H67" s="21"/>
      <c r="I67" s="26" t="str">
        <f t="shared" si="3"/>
        <v/>
      </c>
      <c r="J67" s="25"/>
      <c r="K67" s="15"/>
    </row>
    <row r="68" spans="1:11" x14ac:dyDescent="0.2">
      <c r="A68" s="23" t="str">
        <f t="shared" si="2"/>
        <v/>
      </c>
      <c r="B68" s="22"/>
      <c r="C68" s="24"/>
      <c r="D68" s="15"/>
      <c r="E68" s="17"/>
      <c r="F68" s="24"/>
      <c r="G68" s="25"/>
      <c r="H68" s="21"/>
      <c r="I68" s="26" t="str">
        <f t="shared" si="3"/>
        <v/>
      </c>
      <c r="J68" s="25"/>
      <c r="K68" s="15"/>
    </row>
    <row r="69" spans="1:11" x14ac:dyDescent="0.2">
      <c r="A69" s="23" t="str">
        <f t="shared" ref="A69:A100" si="4">IF(B69="","",ROW()-4)</f>
        <v/>
      </c>
      <c r="B69" s="22"/>
      <c r="C69" s="24"/>
      <c r="D69" s="15"/>
      <c r="E69" s="17"/>
      <c r="F69" s="24"/>
      <c r="G69" s="25"/>
      <c r="H69" s="21"/>
      <c r="I69" s="26" t="str">
        <f t="shared" ref="I69:I100" si="5">IF(OR(G69="",H69=""),"",G69*H69)</f>
        <v/>
      </c>
      <c r="J69" s="25"/>
      <c r="K69" s="15"/>
    </row>
    <row r="70" spans="1:11" x14ac:dyDescent="0.2">
      <c r="A70" s="23" t="str">
        <f t="shared" si="4"/>
        <v/>
      </c>
      <c r="B70" s="22"/>
      <c r="C70" s="24"/>
      <c r="D70" s="15"/>
      <c r="E70" s="17"/>
      <c r="F70" s="24"/>
      <c r="G70" s="25"/>
      <c r="H70" s="21"/>
      <c r="I70" s="26" t="str">
        <f t="shared" si="5"/>
        <v/>
      </c>
      <c r="J70" s="25"/>
      <c r="K70" s="15"/>
    </row>
    <row r="71" spans="1:11" x14ac:dyDescent="0.2">
      <c r="A71" s="23" t="str">
        <f t="shared" si="4"/>
        <v/>
      </c>
      <c r="B71" s="22"/>
      <c r="C71" s="24"/>
      <c r="D71" s="15"/>
      <c r="E71" s="17"/>
      <c r="F71" s="24"/>
      <c r="G71" s="25"/>
      <c r="H71" s="21"/>
      <c r="I71" s="26" t="str">
        <f t="shared" si="5"/>
        <v/>
      </c>
      <c r="J71" s="25"/>
      <c r="K71" s="15"/>
    </row>
    <row r="72" spans="1:11" x14ac:dyDescent="0.2">
      <c r="A72" s="23" t="str">
        <f t="shared" si="4"/>
        <v/>
      </c>
      <c r="B72" s="22"/>
      <c r="C72" s="24"/>
      <c r="D72" s="15"/>
      <c r="E72" s="17"/>
      <c r="F72" s="24"/>
      <c r="G72" s="25"/>
      <c r="H72" s="21"/>
      <c r="I72" s="26" t="str">
        <f t="shared" si="5"/>
        <v/>
      </c>
      <c r="J72" s="25"/>
      <c r="K72" s="15"/>
    </row>
    <row r="73" spans="1:11" x14ac:dyDescent="0.2">
      <c r="A73" s="23" t="str">
        <f t="shared" si="4"/>
        <v/>
      </c>
      <c r="B73" s="22"/>
      <c r="C73" s="24"/>
      <c r="D73" s="15"/>
      <c r="E73" s="17"/>
      <c r="F73" s="24"/>
      <c r="G73" s="25"/>
      <c r="H73" s="21"/>
      <c r="I73" s="26" t="str">
        <f t="shared" si="5"/>
        <v/>
      </c>
      <c r="J73" s="25"/>
      <c r="K73" s="15"/>
    </row>
    <row r="74" spans="1:11" x14ac:dyDescent="0.2">
      <c r="A74" s="23" t="str">
        <f t="shared" si="4"/>
        <v/>
      </c>
      <c r="B74" s="22"/>
      <c r="C74" s="24"/>
      <c r="D74" s="15"/>
      <c r="E74" s="17"/>
      <c r="F74" s="24"/>
      <c r="G74" s="25"/>
      <c r="H74" s="21"/>
      <c r="I74" s="26" t="str">
        <f t="shared" si="5"/>
        <v/>
      </c>
      <c r="J74" s="25"/>
      <c r="K74" s="15"/>
    </row>
    <row r="75" spans="1:11" x14ac:dyDescent="0.2">
      <c r="A75" s="23" t="str">
        <f t="shared" si="4"/>
        <v/>
      </c>
      <c r="B75" s="22"/>
      <c r="C75" s="24"/>
      <c r="D75" s="15"/>
      <c r="E75" s="17"/>
      <c r="F75" s="24"/>
      <c r="G75" s="25"/>
      <c r="H75" s="21"/>
      <c r="I75" s="26" t="str">
        <f t="shared" si="5"/>
        <v/>
      </c>
      <c r="J75" s="25"/>
      <c r="K75" s="15"/>
    </row>
    <row r="76" spans="1:11" x14ac:dyDescent="0.2">
      <c r="A76" s="23" t="str">
        <f t="shared" si="4"/>
        <v/>
      </c>
      <c r="B76" s="22"/>
      <c r="C76" s="24"/>
      <c r="D76" s="15"/>
      <c r="E76" s="17"/>
      <c r="F76" s="24"/>
      <c r="G76" s="25"/>
      <c r="H76" s="21"/>
      <c r="I76" s="26" t="str">
        <f t="shared" si="5"/>
        <v/>
      </c>
      <c r="J76" s="25"/>
      <c r="K76" s="15"/>
    </row>
    <row r="77" spans="1:11" x14ac:dyDescent="0.2">
      <c r="A77" s="23" t="str">
        <f t="shared" si="4"/>
        <v/>
      </c>
      <c r="B77" s="22"/>
      <c r="C77" s="24"/>
      <c r="D77" s="15"/>
      <c r="E77" s="17"/>
      <c r="F77" s="24"/>
      <c r="G77" s="25"/>
      <c r="H77" s="21"/>
      <c r="I77" s="26" t="str">
        <f t="shared" si="5"/>
        <v/>
      </c>
      <c r="J77" s="25"/>
      <c r="K77" s="15"/>
    </row>
    <row r="78" spans="1:11" x14ac:dyDescent="0.2">
      <c r="A78" s="23" t="str">
        <f t="shared" si="4"/>
        <v/>
      </c>
      <c r="B78" s="22"/>
      <c r="C78" s="24"/>
      <c r="D78" s="15"/>
      <c r="E78" s="17"/>
      <c r="F78" s="24"/>
      <c r="G78" s="25"/>
      <c r="H78" s="21"/>
      <c r="I78" s="26" t="str">
        <f t="shared" si="5"/>
        <v/>
      </c>
      <c r="J78" s="25"/>
      <c r="K78" s="15"/>
    </row>
    <row r="79" spans="1:11" x14ac:dyDescent="0.2">
      <c r="A79" s="23" t="str">
        <f t="shared" si="4"/>
        <v/>
      </c>
      <c r="B79" s="22"/>
      <c r="C79" s="24"/>
      <c r="D79" s="15"/>
      <c r="E79" s="17"/>
      <c r="F79" s="24"/>
      <c r="G79" s="25"/>
      <c r="H79" s="21"/>
      <c r="I79" s="26" t="str">
        <f t="shared" si="5"/>
        <v/>
      </c>
      <c r="J79" s="25"/>
      <c r="K79" s="15"/>
    </row>
    <row r="80" spans="1:11" x14ac:dyDescent="0.2">
      <c r="A80" s="23" t="str">
        <f t="shared" si="4"/>
        <v/>
      </c>
      <c r="B80" s="22"/>
      <c r="C80" s="24"/>
      <c r="D80" s="15"/>
      <c r="E80" s="17"/>
      <c r="F80" s="24"/>
      <c r="G80" s="25"/>
      <c r="H80" s="21"/>
      <c r="I80" s="26" t="str">
        <f t="shared" si="5"/>
        <v/>
      </c>
      <c r="J80" s="25"/>
      <c r="K80" s="15"/>
    </row>
    <row r="81" spans="1:11" x14ac:dyDescent="0.2">
      <c r="A81" s="23" t="str">
        <f t="shared" si="4"/>
        <v/>
      </c>
      <c r="B81" s="22"/>
      <c r="C81" s="24"/>
      <c r="D81" s="15"/>
      <c r="E81" s="17"/>
      <c r="F81" s="24"/>
      <c r="G81" s="25"/>
      <c r="H81" s="21"/>
      <c r="I81" s="26" t="str">
        <f t="shared" si="5"/>
        <v/>
      </c>
      <c r="J81" s="25"/>
      <c r="K81" s="15"/>
    </row>
    <row r="82" spans="1:11" x14ac:dyDescent="0.2">
      <c r="A82" s="23" t="str">
        <f t="shared" si="4"/>
        <v/>
      </c>
      <c r="B82" s="22"/>
      <c r="C82" s="24"/>
      <c r="D82" s="15"/>
      <c r="E82" s="17"/>
      <c r="F82" s="24"/>
      <c r="G82" s="25"/>
      <c r="H82" s="21"/>
      <c r="I82" s="26" t="str">
        <f t="shared" si="5"/>
        <v/>
      </c>
      <c r="J82" s="25"/>
      <c r="K82" s="15"/>
    </row>
    <row r="83" spans="1:11" x14ac:dyDescent="0.2">
      <c r="A83" s="23" t="str">
        <f t="shared" si="4"/>
        <v/>
      </c>
      <c r="B83" s="22"/>
      <c r="C83" s="24"/>
      <c r="D83" s="15"/>
      <c r="E83" s="17"/>
      <c r="F83" s="24"/>
      <c r="G83" s="25"/>
      <c r="H83" s="21"/>
      <c r="I83" s="26" t="str">
        <f t="shared" si="5"/>
        <v/>
      </c>
      <c r="J83" s="25"/>
      <c r="K83" s="15"/>
    </row>
    <row r="84" spans="1:11" x14ac:dyDescent="0.2">
      <c r="A84" s="23" t="str">
        <f t="shared" si="4"/>
        <v/>
      </c>
      <c r="B84" s="22"/>
      <c r="C84" s="24"/>
      <c r="D84" s="15"/>
      <c r="E84" s="17"/>
      <c r="F84" s="24"/>
      <c r="G84" s="25"/>
      <c r="H84" s="21"/>
      <c r="I84" s="26" t="str">
        <f t="shared" si="5"/>
        <v/>
      </c>
      <c r="J84" s="25"/>
      <c r="K84" s="15"/>
    </row>
    <row r="85" spans="1:11" x14ac:dyDescent="0.2">
      <c r="A85" s="23" t="str">
        <f t="shared" si="4"/>
        <v/>
      </c>
      <c r="B85" s="22"/>
      <c r="C85" s="24"/>
      <c r="D85" s="15"/>
      <c r="E85" s="17"/>
      <c r="F85" s="24"/>
      <c r="G85" s="25"/>
      <c r="H85" s="21"/>
      <c r="I85" s="26" t="str">
        <f t="shared" si="5"/>
        <v/>
      </c>
      <c r="J85" s="25"/>
      <c r="K85" s="15"/>
    </row>
    <row r="86" spans="1:11" x14ac:dyDescent="0.2">
      <c r="A86" s="23" t="str">
        <f t="shared" si="4"/>
        <v/>
      </c>
      <c r="B86" s="22"/>
      <c r="C86" s="24"/>
      <c r="D86" s="15"/>
      <c r="E86" s="17"/>
      <c r="F86" s="24"/>
      <c r="G86" s="25"/>
      <c r="H86" s="21"/>
      <c r="I86" s="26" t="str">
        <f t="shared" si="5"/>
        <v/>
      </c>
      <c r="J86" s="25"/>
      <c r="K86" s="15"/>
    </row>
    <row r="87" spans="1:11" x14ac:dyDescent="0.2">
      <c r="A87" s="23" t="str">
        <f t="shared" si="4"/>
        <v/>
      </c>
      <c r="B87" s="22"/>
      <c r="C87" s="24"/>
      <c r="D87" s="15"/>
      <c r="E87" s="17"/>
      <c r="F87" s="24"/>
      <c r="G87" s="25"/>
      <c r="H87" s="21"/>
      <c r="I87" s="26" t="str">
        <f t="shared" si="5"/>
        <v/>
      </c>
      <c r="J87" s="25"/>
      <c r="K87" s="15"/>
    </row>
    <row r="88" spans="1:11" x14ac:dyDescent="0.2">
      <c r="A88" s="23" t="str">
        <f t="shared" si="4"/>
        <v/>
      </c>
      <c r="B88" s="22"/>
      <c r="C88" s="24"/>
      <c r="D88" s="15"/>
      <c r="E88" s="17"/>
      <c r="F88" s="24"/>
      <c r="G88" s="25"/>
      <c r="H88" s="21"/>
      <c r="I88" s="26" t="str">
        <f t="shared" si="5"/>
        <v/>
      </c>
      <c r="J88" s="25"/>
      <c r="K88" s="15"/>
    </row>
    <row r="89" spans="1:11" x14ac:dyDescent="0.2">
      <c r="A89" s="23" t="str">
        <f t="shared" si="4"/>
        <v/>
      </c>
      <c r="B89" s="22"/>
      <c r="C89" s="24"/>
      <c r="D89" s="15"/>
      <c r="E89" s="17"/>
      <c r="F89" s="24"/>
      <c r="G89" s="25"/>
      <c r="H89" s="21"/>
      <c r="I89" s="26" t="str">
        <f t="shared" si="5"/>
        <v/>
      </c>
      <c r="J89" s="25"/>
      <c r="K89" s="15"/>
    </row>
    <row r="90" spans="1:11" x14ac:dyDescent="0.2">
      <c r="A90" s="23" t="str">
        <f t="shared" si="4"/>
        <v/>
      </c>
      <c r="B90" s="22"/>
      <c r="C90" s="24"/>
      <c r="D90" s="15"/>
      <c r="E90" s="17"/>
      <c r="F90" s="24"/>
      <c r="G90" s="25"/>
      <c r="H90" s="21"/>
      <c r="I90" s="26" t="str">
        <f t="shared" si="5"/>
        <v/>
      </c>
      <c r="J90" s="25"/>
      <c r="K90" s="15"/>
    </row>
    <row r="91" spans="1:11" x14ac:dyDescent="0.2">
      <c r="A91" s="23" t="str">
        <f t="shared" si="4"/>
        <v/>
      </c>
      <c r="B91" s="22"/>
      <c r="C91" s="24"/>
      <c r="D91" s="15"/>
      <c r="E91" s="17"/>
      <c r="F91" s="24"/>
      <c r="G91" s="25"/>
      <c r="H91" s="21"/>
      <c r="I91" s="26" t="str">
        <f t="shared" si="5"/>
        <v/>
      </c>
      <c r="J91" s="25"/>
      <c r="K91" s="15"/>
    </row>
    <row r="92" spans="1:11" x14ac:dyDescent="0.2">
      <c r="A92" s="23" t="str">
        <f t="shared" si="4"/>
        <v/>
      </c>
      <c r="B92" s="22"/>
      <c r="C92" s="24"/>
      <c r="D92" s="15"/>
      <c r="E92" s="17"/>
      <c r="F92" s="24"/>
      <c r="G92" s="25"/>
      <c r="H92" s="21"/>
      <c r="I92" s="26" t="str">
        <f t="shared" si="5"/>
        <v/>
      </c>
      <c r="J92" s="25"/>
      <c r="K92" s="15"/>
    </row>
    <row r="93" spans="1:11" x14ac:dyDescent="0.2">
      <c r="A93" s="23" t="str">
        <f t="shared" si="4"/>
        <v/>
      </c>
      <c r="B93" s="22"/>
      <c r="C93" s="24"/>
      <c r="D93" s="15"/>
      <c r="E93" s="17"/>
      <c r="F93" s="24"/>
      <c r="G93" s="25"/>
      <c r="H93" s="21"/>
      <c r="I93" s="26" t="str">
        <f t="shared" si="5"/>
        <v/>
      </c>
      <c r="J93" s="25"/>
      <c r="K93" s="15"/>
    </row>
    <row r="94" spans="1:11" x14ac:dyDescent="0.2">
      <c r="A94" s="23" t="str">
        <f t="shared" si="4"/>
        <v/>
      </c>
      <c r="B94" s="22"/>
      <c r="C94" s="24"/>
      <c r="D94" s="15"/>
      <c r="E94" s="17"/>
      <c r="F94" s="24"/>
      <c r="G94" s="25"/>
      <c r="H94" s="21"/>
      <c r="I94" s="26" t="str">
        <f t="shared" si="5"/>
        <v/>
      </c>
      <c r="J94" s="25"/>
      <c r="K94" s="15"/>
    </row>
    <row r="95" spans="1:11" x14ac:dyDescent="0.2">
      <c r="A95" s="23" t="str">
        <f t="shared" si="4"/>
        <v/>
      </c>
      <c r="B95" s="22"/>
      <c r="C95" s="24"/>
      <c r="D95" s="15"/>
      <c r="E95" s="17"/>
      <c r="F95" s="24"/>
      <c r="G95" s="25"/>
      <c r="H95" s="21"/>
      <c r="I95" s="26" t="str">
        <f t="shared" si="5"/>
        <v/>
      </c>
      <c r="J95" s="25"/>
      <c r="K95" s="15"/>
    </row>
    <row r="96" spans="1:11" x14ac:dyDescent="0.2">
      <c r="A96" s="23" t="str">
        <f t="shared" si="4"/>
        <v/>
      </c>
      <c r="B96" s="22"/>
      <c r="C96" s="24"/>
      <c r="D96" s="15"/>
      <c r="E96" s="17"/>
      <c r="F96" s="24"/>
      <c r="G96" s="25"/>
      <c r="H96" s="21"/>
      <c r="I96" s="26" t="str">
        <f t="shared" si="5"/>
        <v/>
      </c>
      <c r="J96" s="25"/>
      <c r="K96" s="15"/>
    </row>
    <row r="97" spans="1:11" x14ac:dyDescent="0.2">
      <c r="A97" s="23" t="str">
        <f t="shared" si="4"/>
        <v/>
      </c>
      <c r="B97" s="22"/>
      <c r="C97" s="24"/>
      <c r="D97" s="15"/>
      <c r="E97" s="17"/>
      <c r="F97" s="24"/>
      <c r="G97" s="25"/>
      <c r="H97" s="21"/>
      <c r="I97" s="26" t="str">
        <f t="shared" si="5"/>
        <v/>
      </c>
      <c r="J97" s="25"/>
      <c r="K97" s="15"/>
    </row>
    <row r="98" spans="1:11" x14ac:dyDescent="0.2">
      <c r="A98" s="23" t="str">
        <f t="shared" si="4"/>
        <v/>
      </c>
      <c r="B98" s="22"/>
      <c r="C98" s="24"/>
      <c r="D98" s="15"/>
      <c r="E98" s="17"/>
      <c r="F98" s="24"/>
      <c r="G98" s="25"/>
      <c r="H98" s="21"/>
      <c r="I98" s="26" t="str">
        <f t="shared" si="5"/>
        <v/>
      </c>
      <c r="J98" s="25"/>
      <c r="K98" s="15"/>
    </row>
    <row r="99" spans="1:11" x14ac:dyDescent="0.2">
      <c r="A99" s="23" t="str">
        <f t="shared" si="4"/>
        <v/>
      </c>
      <c r="B99" s="22"/>
      <c r="C99" s="24"/>
      <c r="D99" s="15"/>
      <c r="E99" s="17"/>
      <c r="F99" s="24"/>
      <c r="G99" s="25"/>
      <c r="H99" s="21"/>
      <c r="I99" s="26" t="str">
        <f t="shared" si="5"/>
        <v/>
      </c>
      <c r="J99" s="25"/>
      <c r="K99" s="15"/>
    </row>
    <row r="100" spans="1:11" x14ac:dyDescent="0.2">
      <c r="A100" s="23" t="str">
        <f t="shared" si="4"/>
        <v/>
      </c>
      <c r="B100" s="22"/>
      <c r="C100" s="24"/>
      <c r="D100" s="15"/>
      <c r="E100" s="17"/>
      <c r="F100" s="24"/>
      <c r="G100" s="25"/>
      <c r="H100" s="21"/>
      <c r="I100" s="26" t="str">
        <f t="shared" si="5"/>
        <v/>
      </c>
      <c r="J100" s="25"/>
      <c r="K100" s="15"/>
    </row>
    <row r="101" spans="1:11" x14ac:dyDescent="0.2">
      <c r="A101" s="23" t="str">
        <f t="shared" ref="A101:A132" si="6">IF(B101="","",ROW()-4)</f>
        <v/>
      </c>
      <c r="B101" s="22"/>
      <c r="C101" s="24"/>
      <c r="D101" s="15"/>
      <c r="E101" s="17"/>
      <c r="F101" s="24"/>
      <c r="G101" s="25"/>
      <c r="H101" s="21"/>
      <c r="I101" s="26" t="str">
        <f t="shared" ref="I101:I132" si="7">IF(OR(G101="",H101=""),"",G101*H101)</f>
        <v/>
      </c>
      <c r="J101" s="25"/>
      <c r="K101" s="15"/>
    </row>
    <row r="102" spans="1:11" x14ac:dyDescent="0.2">
      <c r="A102" s="23" t="str">
        <f t="shared" si="6"/>
        <v/>
      </c>
      <c r="B102" s="22"/>
      <c r="C102" s="24"/>
      <c r="D102" s="15"/>
      <c r="E102" s="17"/>
      <c r="F102" s="24"/>
      <c r="G102" s="25"/>
      <c r="H102" s="21"/>
      <c r="I102" s="26" t="str">
        <f t="shared" si="7"/>
        <v/>
      </c>
      <c r="J102" s="25"/>
      <c r="K102" s="15"/>
    </row>
    <row r="103" spans="1:11" x14ac:dyDescent="0.2">
      <c r="A103" s="23" t="str">
        <f t="shared" si="6"/>
        <v/>
      </c>
      <c r="B103" s="22"/>
      <c r="C103" s="24"/>
      <c r="D103" s="15"/>
      <c r="E103" s="17"/>
      <c r="F103" s="24"/>
      <c r="G103" s="25"/>
      <c r="H103" s="21"/>
      <c r="I103" s="26" t="str">
        <f t="shared" si="7"/>
        <v/>
      </c>
      <c r="J103" s="25"/>
      <c r="K103" s="15"/>
    </row>
    <row r="104" spans="1:11" x14ac:dyDescent="0.2">
      <c r="A104" s="23" t="str">
        <f t="shared" si="6"/>
        <v/>
      </c>
      <c r="B104" s="22"/>
      <c r="C104" s="24"/>
      <c r="D104" s="15"/>
      <c r="E104" s="17"/>
      <c r="F104" s="24"/>
      <c r="G104" s="25"/>
      <c r="H104" s="21"/>
      <c r="I104" s="26" t="str">
        <f t="shared" si="7"/>
        <v/>
      </c>
      <c r="J104" s="25"/>
      <c r="K104" s="15"/>
    </row>
    <row r="105" spans="1:11" x14ac:dyDescent="0.2">
      <c r="A105" s="23" t="str">
        <f t="shared" si="6"/>
        <v/>
      </c>
      <c r="B105" s="22"/>
      <c r="C105" s="24"/>
      <c r="D105" s="15"/>
      <c r="E105" s="17"/>
      <c r="F105" s="24"/>
      <c r="G105" s="25"/>
      <c r="H105" s="21"/>
      <c r="I105" s="26" t="str">
        <f t="shared" si="7"/>
        <v/>
      </c>
      <c r="J105" s="25"/>
      <c r="K105" s="15"/>
    </row>
    <row r="106" spans="1:11" x14ac:dyDescent="0.2">
      <c r="A106" s="23" t="str">
        <f t="shared" si="6"/>
        <v/>
      </c>
      <c r="B106" s="22"/>
      <c r="C106" s="24"/>
      <c r="D106" s="15"/>
      <c r="E106" s="17"/>
      <c r="F106" s="24"/>
      <c r="G106" s="25"/>
      <c r="H106" s="21"/>
      <c r="I106" s="26" t="str">
        <f t="shared" si="7"/>
        <v/>
      </c>
      <c r="J106" s="25"/>
      <c r="K106" s="15"/>
    </row>
    <row r="107" spans="1:11" x14ac:dyDescent="0.2">
      <c r="A107" s="23" t="str">
        <f t="shared" si="6"/>
        <v/>
      </c>
      <c r="B107" s="22"/>
      <c r="C107" s="24"/>
      <c r="D107" s="15"/>
      <c r="E107" s="17"/>
      <c r="F107" s="24"/>
      <c r="G107" s="25"/>
      <c r="H107" s="21"/>
      <c r="I107" s="26" t="str">
        <f t="shared" si="7"/>
        <v/>
      </c>
      <c r="J107" s="25"/>
      <c r="K107" s="15"/>
    </row>
    <row r="108" spans="1:11" x14ac:dyDescent="0.2">
      <c r="A108" s="23" t="str">
        <f t="shared" si="6"/>
        <v/>
      </c>
      <c r="B108" s="22"/>
      <c r="C108" s="24"/>
      <c r="D108" s="15"/>
      <c r="E108" s="17"/>
      <c r="F108" s="24"/>
      <c r="G108" s="25"/>
      <c r="H108" s="21"/>
      <c r="I108" s="26" t="str">
        <f t="shared" si="7"/>
        <v/>
      </c>
      <c r="J108" s="25"/>
      <c r="K108" s="15"/>
    </row>
    <row r="109" spans="1:11" x14ac:dyDescent="0.2">
      <c r="A109" s="23" t="str">
        <f t="shared" si="6"/>
        <v/>
      </c>
      <c r="B109" s="22"/>
      <c r="C109" s="24"/>
      <c r="D109" s="15"/>
      <c r="E109" s="17"/>
      <c r="F109" s="24"/>
      <c r="G109" s="25"/>
      <c r="H109" s="21"/>
      <c r="I109" s="26" t="str">
        <f t="shared" si="7"/>
        <v/>
      </c>
      <c r="J109" s="25"/>
      <c r="K109" s="15"/>
    </row>
    <row r="110" spans="1:11" x14ac:dyDescent="0.2">
      <c r="A110" s="23" t="str">
        <f t="shared" si="6"/>
        <v/>
      </c>
      <c r="B110" s="22"/>
      <c r="C110" s="24"/>
      <c r="D110" s="15"/>
      <c r="E110" s="17"/>
      <c r="F110" s="24"/>
      <c r="G110" s="25"/>
      <c r="H110" s="21"/>
      <c r="I110" s="26" t="str">
        <f t="shared" si="7"/>
        <v/>
      </c>
      <c r="J110" s="25"/>
      <c r="K110" s="15"/>
    </row>
    <row r="111" spans="1:11" x14ac:dyDescent="0.2">
      <c r="A111" s="23" t="str">
        <f t="shared" si="6"/>
        <v/>
      </c>
      <c r="B111" s="22"/>
      <c r="C111" s="24"/>
      <c r="D111" s="15"/>
      <c r="E111" s="17"/>
      <c r="F111" s="24"/>
      <c r="G111" s="25"/>
      <c r="H111" s="21"/>
      <c r="I111" s="26" t="str">
        <f t="shared" si="7"/>
        <v/>
      </c>
      <c r="J111" s="25"/>
      <c r="K111" s="15"/>
    </row>
    <row r="112" spans="1:11" x14ac:dyDescent="0.2">
      <c r="A112" s="23" t="str">
        <f t="shared" si="6"/>
        <v/>
      </c>
      <c r="B112" s="22"/>
      <c r="C112" s="24"/>
      <c r="D112" s="15"/>
      <c r="E112" s="17"/>
      <c r="F112" s="24"/>
      <c r="G112" s="25"/>
      <c r="H112" s="21"/>
      <c r="I112" s="26" t="str">
        <f t="shared" si="7"/>
        <v/>
      </c>
      <c r="J112" s="25"/>
      <c r="K112" s="15"/>
    </row>
    <row r="113" spans="1:11" x14ac:dyDescent="0.2">
      <c r="A113" s="23" t="str">
        <f t="shared" si="6"/>
        <v/>
      </c>
      <c r="B113" s="22"/>
      <c r="C113" s="24"/>
      <c r="D113" s="15"/>
      <c r="E113" s="17"/>
      <c r="F113" s="24"/>
      <c r="G113" s="25"/>
      <c r="H113" s="21"/>
      <c r="I113" s="26" t="str">
        <f t="shared" si="7"/>
        <v/>
      </c>
      <c r="J113" s="25"/>
      <c r="K113" s="15"/>
    </row>
    <row r="114" spans="1:11" x14ac:dyDescent="0.2">
      <c r="A114" s="23" t="str">
        <f t="shared" si="6"/>
        <v/>
      </c>
      <c r="B114" s="22"/>
      <c r="C114" s="24"/>
      <c r="D114" s="15"/>
      <c r="E114" s="17"/>
      <c r="F114" s="24"/>
      <c r="G114" s="25"/>
      <c r="H114" s="21"/>
      <c r="I114" s="26" t="str">
        <f t="shared" si="7"/>
        <v/>
      </c>
      <c r="J114" s="25"/>
      <c r="K114" s="15"/>
    </row>
    <row r="115" spans="1:11" x14ac:dyDescent="0.2">
      <c r="A115" s="23" t="str">
        <f t="shared" si="6"/>
        <v/>
      </c>
      <c r="B115" s="22"/>
      <c r="C115" s="24"/>
      <c r="D115" s="15"/>
      <c r="E115" s="17"/>
      <c r="F115" s="24"/>
      <c r="G115" s="25"/>
      <c r="H115" s="21"/>
      <c r="I115" s="26" t="str">
        <f t="shared" si="7"/>
        <v/>
      </c>
      <c r="J115" s="25"/>
      <c r="K115" s="15"/>
    </row>
    <row r="116" spans="1:11" x14ac:dyDescent="0.2">
      <c r="A116" s="23" t="str">
        <f t="shared" si="6"/>
        <v/>
      </c>
      <c r="B116" s="22"/>
      <c r="C116" s="24"/>
      <c r="D116" s="15"/>
      <c r="E116" s="17"/>
      <c r="F116" s="24"/>
      <c r="G116" s="25"/>
      <c r="H116" s="21"/>
      <c r="I116" s="26" t="str">
        <f t="shared" si="7"/>
        <v/>
      </c>
      <c r="J116" s="25"/>
      <c r="K116" s="15"/>
    </row>
    <row r="117" spans="1:11" x14ac:dyDescent="0.2">
      <c r="A117" s="23" t="str">
        <f t="shared" si="6"/>
        <v/>
      </c>
      <c r="B117" s="22"/>
      <c r="C117" s="24"/>
      <c r="D117" s="15"/>
      <c r="E117" s="17"/>
      <c r="F117" s="24"/>
      <c r="G117" s="25"/>
      <c r="H117" s="21"/>
      <c r="I117" s="26" t="str">
        <f t="shared" si="7"/>
        <v/>
      </c>
      <c r="J117" s="25"/>
      <c r="K117" s="15"/>
    </row>
    <row r="118" spans="1:11" x14ac:dyDescent="0.2">
      <c r="A118" s="23" t="str">
        <f t="shared" si="6"/>
        <v/>
      </c>
      <c r="B118" s="22"/>
      <c r="C118" s="24"/>
      <c r="D118" s="15"/>
      <c r="E118" s="17"/>
      <c r="F118" s="24"/>
      <c r="G118" s="25"/>
      <c r="H118" s="21"/>
      <c r="I118" s="26" t="str">
        <f t="shared" si="7"/>
        <v/>
      </c>
      <c r="J118" s="25"/>
      <c r="K118" s="15"/>
    </row>
    <row r="119" spans="1:11" x14ac:dyDescent="0.2">
      <c r="A119" s="23" t="str">
        <f t="shared" si="6"/>
        <v/>
      </c>
      <c r="B119" s="22"/>
      <c r="C119" s="24"/>
      <c r="D119" s="15"/>
      <c r="E119" s="17"/>
      <c r="F119" s="24"/>
      <c r="G119" s="25"/>
      <c r="H119" s="21"/>
      <c r="I119" s="26" t="str">
        <f t="shared" si="7"/>
        <v/>
      </c>
      <c r="J119" s="25"/>
      <c r="K119" s="15"/>
    </row>
    <row r="120" spans="1:11" x14ac:dyDescent="0.2">
      <c r="A120" s="23" t="str">
        <f t="shared" si="6"/>
        <v/>
      </c>
      <c r="B120" s="22"/>
      <c r="C120" s="24"/>
      <c r="D120" s="15"/>
      <c r="E120" s="17"/>
      <c r="F120" s="24"/>
      <c r="G120" s="25"/>
      <c r="H120" s="21"/>
      <c r="I120" s="26" t="str">
        <f t="shared" si="7"/>
        <v/>
      </c>
      <c r="J120" s="25"/>
      <c r="K120" s="15"/>
    </row>
    <row r="121" spans="1:11" x14ac:dyDescent="0.2">
      <c r="A121" s="23" t="str">
        <f t="shared" si="6"/>
        <v/>
      </c>
      <c r="B121" s="22"/>
      <c r="C121" s="24"/>
      <c r="D121" s="15"/>
      <c r="E121" s="17"/>
      <c r="F121" s="24"/>
      <c r="G121" s="25"/>
      <c r="H121" s="21"/>
      <c r="I121" s="26" t="str">
        <f t="shared" si="7"/>
        <v/>
      </c>
      <c r="J121" s="25"/>
      <c r="K121" s="15"/>
    </row>
    <row r="122" spans="1:11" x14ac:dyDescent="0.2">
      <c r="A122" s="23" t="str">
        <f t="shared" si="6"/>
        <v/>
      </c>
      <c r="B122" s="22"/>
      <c r="C122" s="24"/>
      <c r="D122" s="15"/>
      <c r="E122" s="17"/>
      <c r="F122" s="24"/>
      <c r="G122" s="25"/>
      <c r="H122" s="21"/>
      <c r="I122" s="26" t="str">
        <f t="shared" si="7"/>
        <v/>
      </c>
      <c r="J122" s="25"/>
      <c r="K122" s="15"/>
    </row>
    <row r="123" spans="1:11" x14ac:dyDescent="0.2">
      <c r="A123" s="23" t="str">
        <f t="shared" si="6"/>
        <v/>
      </c>
      <c r="B123" s="22"/>
      <c r="C123" s="24"/>
      <c r="D123" s="15"/>
      <c r="E123" s="17"/>
      <c r="F123" s="24"/>
      <c r="G123" s="25"/>
      <c r="H123" s="21"/>
      <c r="I123" s="26" t="str">
        <f t="shared" si="7"/>
        <v/>
      </c>
      <c r="J123" s="25"/>
      <c r="K123" s="15"/>
    </row>
    <row r="124" spans="1:11" x14ac:dyDescent="0.2">
      <c r="A124" s="23" t="str">
        <f t="shared" si="6"/>
        <v/>
      </c>
      <c r="B124" s="22"/>
      <c r="C124" s="24"/>
      <c r="D124" s="15"/>
      <c r="E124" s="17"/>
      <c r="F124" s="24"/>
      <c r="G124" s="25"/>
      <c r="H124" s="21"/>
      <c r="I124" s="26" t="str">
        <f t="shared" si="7"/>
        <v/>
      </c>
      <c r="J124" s="25"/>
      <c r="K124" s="15"/>
    </row>
    <row r="125" spans="1:11" x14ac:dyDescent="0.2">
      <c r="A125" s="23" t="str">
        <f t="shared" si="6"/>
        <v/>
      </c>
      <c r="B125" s="22"/>
      <c r="C125" s="24"/>
      <c r="D125" s="15"/>
      <c r="E125" s="17"/>
      <c r="F125" s="24"/>
      <c r="G125" s="25"/>
      <c r="H125" s="21"/>
      <c r="I125" s="26" t="str">
        <f t="shared" si="7"/>
        <v/>
      </c>
      <c r="J125" s="25"/>
      <c r="K125" s="15"/>
    </row>
    <row r="126" spans="1:11" x14ac:dyDescent="0.2">
      <c r="A126" s="23" t="str">
        <f t="shared" si="6"/>
        <v/>
      </c>
      <c r="B126" s="22"/>
      <c r="C126" s="24"/>
      <c r="D126" s="15"/>
      <c r="E126" s="17"/>
      <c r="F126" s="24"/>
      <c r="G126" s="25"/>
      <c r="H126" s="21"/>
      <c r="I126" s="26" t="str">
        <f t="shared" si="7"/>
        <v/>
      </c>
      <c r="J126" s="25"/>
      <c r="K126" s="15"/>
    </row>
    <row r="127" spans="1:11" x14ac:dyDescent="0.2">
      <c r="A127" s="23" t="str">
        <f t="shared" si="6"/>
        <v/>
      </c>
      <c r="B127" s="22"/>
      <c r="C127" s="24"/>
      <c r="D127" s="15"/>
      <c r="E127" s="17"/>
      <c r="F127" s="24"/>
      <c r="G127" s="25"/>
      <c r="H127" s="21"/>
      <c r="I127" s="26" t="str">
        <f t="shared" si="7"/>
        <v/>
      </c>
      <c r="J127" s="25"/>
      <c r="K127" s="15"/>
    </row>
    <row r="128" spans="1:11" x14ac:dyDescent="0.2">
      <c r="A128" s="23" t="str">
        <f t="shared" si="6"/>
        <v/>
      </c>
      <c r="B128" s="22"/>
      <c r="C128" s="24"/>
      <c r="D128" s="15"/>
      <c r="E128" s="17"/>
      <c r="F128" s="24"/>
      <c r="G128" s="25"/>
      <c r="H128" s="21"/>
      <c r="I128" s="26" t="str">
        <f t="shared" si="7"/>
        <v/>
      </c>
      <c r="J128" s="25"/>
      <c r="K128" s="15"/>
    </row>
    <row r="129" spans="1:11" x14ac:dyDescent="0.2">
      <c r="A129" s="23" t="str">
        <f t="shared" si="6"/>
        <v/>
      </c>
      <c r="B129" s="22"/>
      <c r="C129" s="24"/>
      <c r="D129" s="15"/>
      <c r="E129" s="17"/>
      <c r="F129" s="24"/>
      <c r="G129" s="25"/>
      <c r="H129" s="21"/>
      <c r="I129" s="26" t="str">
        <f t="shared" si="7"/>
        <v/>
      </c>
      <c r="J129" s="25"/>
      <c r="K129" s="15"/>
    </row>
    <row r="130" spans="1:11" x14ac:dyDescent="0.2">
      <c r="A130" s="23" t="str">
        <f t="shared" si="6"/>
        <v/>
      </c>
      <c r="B130" s="22"/>
      <c r="C130" s="24"/>
      <c r="D130" s="15"/>
      <c r="E130" s="17"/>
      <c r="F130" s="24"/>
      <c r="G130" s="25"/>
      <c r="H130" s="21"/>
      <c r="I130" s="26" t="str">
        <f t="shared" si="7"/>
        <v/>
      </c>
      <c r="J130" s="25"/>
      <c r="K130" s="15"/>
    </row>
    <row r="131" spans="1:11" x14ac:dyDescent="0.2">
      <c r="A131" s="23" t="str">
        <f t="shared" si="6"/>
        <v/>
      </c>
      <c r="B131" s="22"/>
      <c r="C131" s="24"/>
      <c r="D131" s="15"/>
      <c r="E131" s="17"/>
      <c r="F131" s="24"/>
      <c r="G131" s="25"/>
      <c r="H131" s="21"/>
      <c r="I131" s="26" t="str">
        <f t="shared" si="7"/>
        <v/>
      </c>
      <c r="J131" s="25"/>
      <c r="K131" s="15"/>
    </row>
    <row r="132" spans="1:11" x14ac:dyDescent="0.2">
      <c r="A132" s="23" t="str">
        <f t="shared" si="6"/>
        <v/>
      </c>
      <c r="B132" s="22"/>
      <c r="C132" s="24"/>
      <c r="D132" s="15"/>
      <c r="E132" s="17"/>
      <c r="F132" s="24"/>
      <c r="G132" s="25"/>
      <c r="H132" s="21"/>
      <c r="I132" s="26" t="str">
        <f t="shared" si="7"/>
        <v/>
      </c>
      <c r="J132" s="25"/>
      <c r="K132" s="15"/>
    </row>
    <row r="133" spans="1:11" x14ac:dyDescent="0.2">
      <c r="A133" s="23" t="str">
        <f t="shared" ref="A133:A164" si="8">IF(B133="","",ROW()-4)</f>
        <v/>
      </c>
      <c r="B133" s="22"/>
      <c r="C133" s="24"/>
      <c r="D133" s="15"/>
      <c r="E133" s="17"/>
      <c r="F133" s="24"/>
      <c r="G133" s="25"/>
      <c r="H133" s="21"/>
      <c r="I133" s="26" t="str">
        <f t="shared" ref="I133:I164" si="9">IF(OR(G133="",H133=""),"",G133*H133)</f>
        <v/>
      </c>
      <c r="J133" s="25"/>
      <c r="K133" s="15"/>
    </row>
    <row r="134" spans="1:11" x14ac:dyDescent="0.2">
      <c r="A134" s="23" t="str">
        <f t="shared" si="8"/>
        <v/>
      </c>
      <c r="B134" s="22"/>
      <c r="C134" s="24"/>
      <c r="D134" s="15"/>
      <c r="E134" s="17"/>
      <c r="F134" s="24"/>
      <c r="G134" s="25"/>
      <c r="H134" s="21"/>
      <c r="I134" s="26" t="str">
        <f t="shared" si="9"/>
        <v/>
      </c>
      <c r="J134" s="25"/>
      <c r="K134" s="15"/>
    </row>
    <row r="135" spans="1:11" x14ac:dyDescent="0.2">
      <c r="A135" s="23" t="str">
        <f t="shared" si="8"/>
        <v/>
      </c>
      <c r="B135" s="22"/>
      <c r="C135" s="24"/>
      <c r="D135" s="15"/>
      <c r="E135" s="17"/>
      <c r="F135" s="24"/>
      <c r="G135" s="25"/>
      <c r="H135" s="21"/>
      <c r="I135" s="26" t="str">
        <f t="shared" si="9"/>
        <v/>
      </c>
      <c r="J135" s="25"/>
      <c r="K135" s="15"/>
    </row>
    <row r="136" spans="1:11" x14ac:dyDescent="0.2">
      <c r="A136" s="23" t="str">
        <f t="shared" si="8"/>
        <v/>
      </c>
      <c r="B136" s="22"/>
      <c r="C136" s="24"/>
      <c r="D136" s="15"/>
      <c r="E136" s="17"/>
      <c r="F136" s="24"/>
      <c r="G136" s="25"/>
      <c r="H136" s="21"/>
      <c r="I136" s="26" t="str">
        <f t="shared" si="9"/>
        <v/>
      </c>
      <c r="J136" s="25"/>
      <c r="K136" s="15"/>
    </row>
    <row r="137" spans="1:11" x14ac:dyDescent="0.2">
      <c r="A137" s="23" t="str">
        <f t="shared" si="8"/>
        <v/>
      </c>
      <c r="B137" s="22"/>
      <c r="C137" s="24"/>
      <c r="D137" s="15"/>
      <c r="E137" s="17"/>
      <c r="F137" s="24"/>
      <c r="G137" s="25"/>
      <c r="H137" s="21"/>
      <c r="I137" s="26" t="str">
        <f t="shared" si="9"/>
        <v/>
      </c>
      <c r="J137" s="25"/>
      <c r="K137" s="15"/>
    </row>
    <row r="138" spans="1:11" x14ac:dyDescent="0.2">
      <c r="A138" s="23" t="str">
        <f t="shared" si="8"/>
        <v/>
      </c>
      <c r="B138" s="22"/>
      <c r="C138" s="24"/>
      <c r="D138" s="15"/>
      <c r="E138" s="17"/>
      <c r="F138" s="24"/>
      <c r="G138" s="25"/>
      <c r="H138" s="21"/>
      <c r="I138" s="26" t="str">
        <f t="shared" si="9"/>
        <v/>
      </c>
      <c r="J138" s="25"/>
      <c r="K138" s="15"/>
    </row>
    <row r="139" spans="1:11" x14ac:dyDescent="0.2">
      <c r="A139" s="23" t="str">
        <f t="shared" si="8"/>
        <v/>
      </c>
      <c r="B139" s="22"/>
      <c r="C139" s="24"/>
      <c r="D139" s="15"/>
      <c r="E139" s="17"/>
      <c r="F139" s="24"/>
      <c r="G139" s="25"/>
      <c r="H139" s="21"/>
      <c r="I139" s="26" t="str">
        <f t="shared" si="9"/>
        <v/>
      </c>
      <c r="J139" s="25"/>
      <c r="K139" s="15"/>
    </row>
    <row r="140" spans="1:11" x14ac:dyDescent="0.2">
      <c r="A140" s="23" t="str">
        <f t="shared" si="8"/>
        <v/>
      </c>
      <c r="B140" s="22"/>
      <c r="C140" s="24"/>
      <c r="D140" s="15"/>
      <c r="E140" s="17"/>
      <c r="F140" s="24"/>
      <c r="G140" s="25"/>
      <c r="H140" s="21"/>
      <c r="I140" s="26" t="str">
        <f t="shared" si="9"/>
        <v/>
      </c>
      <c r="J140" s="25"/>
      <c r="K140" s="15"/>
    </row>
    <row r="141" spans="1:11" x14ac:dyDescent="0.2">
      <c r="A141" s="23" t="str">
        <f t="shared" si="8"/>
        <v/>
      </c>
      <c r="B141" s="22"/>
      <c r="C141" s="24"/>
      <c r="D141" s="15"/>
      <c r="E141" s="17"/>
      <c r="F141" s="24"/>
      <c r="G141" s="25"/>
      <c r="H141" s="21"/>
      <c r="I141" s="26" t="str">
        <f t="shared" si="9"/>
        <v/>
      </c>
      <c r="J141" s="25"/>
      <c r="K141" s="15"/>
    </row>
    <row r="142" spans="1:11" x14ac:dyDescent="0.2">
      <c r="A142" s="23" t="str">
        <f t="shared" si="8"/>
        <v/>
      </c>
      <c r="B142" s="22"/>
      <c r="C142" s="24"/>
      <c r="D142" s="15"/>
      <c r="E142" s="17"/>
      <c r="F142" s="24"/>
      <c r="G142" s="25"/>
      <c r="H142" s="21"/>
      <c r="I142" s="26" t="str">
        <f t="shared" si="9"/>
        <v/>
      </c>
      <c r="J142" s="25"/>
      <c r="K142" s="15"/>
    </row>
    <row r="143" spans="1:11" x14ac:dyDescent="0.2">
      <c r="A143" s="23" t="str">
        <f t="shared" si="8"/>
        <v/>
      </c>
      <c r="B143" s="22"/>
      <c r="C143" s="24"/>
      <c r="D143" s="15"/>
      <c r="E143" s="17"/>
      <c r="F143" s="24"/>
      <c r="G143" s="25"/>
      <c r="H143" s="21"/>
      <c r="I143" s="26" t="str">
        <f t="shared" si="9"/>
        <v/>
      </c>
      <c r="J143" s="25"/>
      <c r="K143" s="15"/>
    </row>
    <row r="144" spans="1:11" x14ac:dyDescent="0.2">
      <c r="A144" s="23" t="str">
        <f t="shared" si="8"/>
        <v/>
      </c>
      <c r="B144" s="22"/>
      <c r="C144" s="24"/>
      <c r="D144" s="15"/>
      <c r="E144" s="17"/>
      <c r="F144" s="24"/>
      <c r="G144" s="25"/>
      <c r="H144" s="21"/>
      <c r="I144" s="26" t="str">
        <f t="shared" si="9"/>
        <v/>
      </c>
      <c r="J144" s="25"/>
      <c r="K144" s="15"/>
    </row>
    <row r="145" spans="1:11" x14ac:dyDescent="0.2">
      <c r="A145" s="23" t="str">
        <f t="shared" si="8"/>
        <v/>
      </c>
      <c r="B145" s="22"/>
      <c r="C145" s="24"/>
      <c r="D145" s="15"/>
      <c r="E145" s="17"/>
      <c r="F145" s="24"/>
      <c r="G145" s="25"/>
      <c r="H145" s="21"/>
      <c r="I145" s="26" t="str">
        <f t="shared" si="9"/>
        <v/>
      </c>
      <c r="J145" s="25"/>
      <c r="K145" s="15"/>
    </row>
    <row r="146" spans="1:11" x14ac:dyDescent="0.2">
      <c r="A146" s="23" t="str">
        <f t="shared" si="8"/>
        <v/>
      </c>
      <c r="B146" s="22"/>
      <c r="C146" s="24"/>
      <c r="D146" s="15"/>
      <c r="E146" s="17"/>
      <c r="F146" s="24"/>
      <c r="G146" s="25"/>
      <c r="H146" s="21"/>
      <c r="I146" s="26" t="str">
        <f t="shared" si="9"/>
        <v/>
      </c>
      <c r="J146" s="25"/>
      <c r="K146" s="15"/>
    </row>
    <row r="147" spans="1:11" x14ac:dyDescent="0.2">
      <c r="A147" s="23" t="str">
        <f t="shared" si="8"/>
        <v/>
      </c>
      <c r="B147" s="22"/>
      <c r="C147" s="24"/>
      <c r="D147" s="15"/>
      <c r="E147" s="17"/>
      <c r="F147" s="24"/>
      <c r="G147" s="25"/>
      <c r="H147" s="21"/>
      <c r="I147" s="26" t="str">
        <f t="shared" si="9"/>
        <v/>
      </c>
      <c r="J147" s="25"/>
      <c r="K147" s="15"/>
    </row>
    <row r="148" spans="1:11" x14ac:dyDescent="0.2">
      <c r="A148" s="23" t="str">
        <f t="shared" si="8"/>
        <v/>
      </c>
      <c r="B148" s="22"/>
      <c r="C148" s="24"/>
      <c r="D148" s="15"/>
      <c r="E148" s="17"/>
      <c r="F148" s="24"/>
      <c r="G148" s="25"/>
      <c r="H148" s="21"/>
      <c r="I148" s="26" t="str">
        <f t="shared" si="9"/>
        <v/>
      </c>
      <c r="J148" s="25"/>
      <c r="K148" s="15"/>
    </row>
    <row r="149" spans="1:11" x14ac:dyDescent="0.2">
      <c r="A149" s="23" t="str">
        <f t="shared" si="8"/>
        <v/>
      </c>
      <c r="B149" s="22"/>
      <c r="C149" s="24"/>
      <c r="D149" s="15"/>
      <c r="E149" s="17"/>
      <c r="F149" s="24"/>
      <c r="G149" s="25"/>
      <c r="H149" s="21"/>
      <c r="I149" s="26" t="str">
        <f t="shared" si="9"/>
        <v/>
      </c>
      <c r="J149" s="25"/>
      <c r="K149" s="15"/>
    </row>
    <row r="150" spans="1:11" x14ac:dyDescent="0.2">
      <c r="A150" s="23" t="str">
        <f t="shared" si="8"/>
        <v/>
      </c>
      <c r="B150" s="22"/>
      <c r="C150" s="24"/>
      <c r="D150" s="15"/>
      <c r="E150" s="17"/>
      <c r="F150" s="24"/>
      <c r="G150" s="25"/>
      <c r="H150" s="21"/>
      <c r="I150" s="26" t="str">
        <f t="shared" si="9"/>
        <v/>
      </c>
      <c r="J150" s="25"/>
      <c r="K150" s="15"/>
    </row>
    <row r="151" spans="1:11" x14ac:dyDescent="0.2">
      <c r="A151" s="23" t="str">
        <f t="shared" si="8"/>
        <v/>
      </c>
      <c r="B151" s="22"/>
      <c r="C151" s="24"/>
      <c r="D151" s="15"/>
      <c r="E151" s="17"/>
      <c r="F151" s="24"/>
      <c r="G151" s="25"/>
      <c r="H151" s="21"/>
      <c r="I151" s="26" t="str">
        <f t="shared" si="9"/>
        <v/>
      </c>
      <c r="J151" s="25"/>
      <c r="K151" s="15"/>
    </row>
    <row r="152" spans="1:11" x14ac:dyDescent="0.2">
      <c r="A152" s="23" t="str">
        <f t="shared" si="8"/>
        <v/>
      </c>
      <c r="B152" s="22"/>
      <c r="C152" s="24"/>
      <c r="D152" s="15"/>
      <c r="E152" s="17"/>
      <c r="F152" s="24"/>
      <c r="G152" s="25"/>
      <c r="H152" s="21"/>
      <c r="I152" s="26" t="str">
        <f t="shared" si="9"/>
        <v/>
      </c>
      <c r="J152" s="25"/>
      <c r="K152" s="15"/>
    </row>
    <row r="153" spans="1:11" x14ac:dyDescent="0.2">
      <c r="A153" s="23" t="str">
        <f t="shared" si="8"/>
        <v/>
      </c>
      <c r="B153" s="22"/>
      <c r="C153" s="24"/>
      <c r="D153" s="15"/>
      <c r="E153" s="17"/>
      <c r="F153" s="24"/>
      <c r="G153" s="25"/>
      <c r="H153" s="21"/>
      <c r="I153" s="26" t="str">
        <f t="shared" si="9"/>
        <v/>
      </c>
      <c r="J153" s="25"/>
      <c r="K153" s="15"/>
    </row>
    <row r="154" spans="1:11" x14ac:dyDescent="0.2">
      <c r="A154" s="23" t="str">
        <f t="shared" si="8"/>
        <v/>
      </c>
      <c r="B154" s="22"/>
      <c r="C154" s="24"/>
      <c r="D154" s="15"/>
      <c r="E154" s="17"/>
      <c r="F154" s="24"/>
      <c r="G154" s="25"/>
      <c r="H154" s="21"/>
      <c r="I154" s="26" t="str">
        <f t="shared" si="9"/>
        <v/>
      </c>
      <c r="J154" s="25"/>
      <c r="K154" s="15"/>
    </row>
    <row r="155" spans="1:11" x14ac:dyDescent="0.2">
      <c r="A155" s="23" t="str">
        <f t="shared" si="8"/>
        <v/>
      </c>
      <c r="B155" s="22"/>
      <c r="C155" s="24"/>
      <c r="D155" s="15"/>
      <c r="E155" s="17"/>
      <c r="F155" s="24"/>
      <c r="G155" s="25"/>
      <c r="H155" s="21"/>
      <c r="I155" s="26" t="str">
        <f t="shared" si="9"/>
        <v/>
      </c>
      <c r="J155" s="25"/>
      <c r="K155" s="15"/>
    </row>
    <row r="156" spans="1:11" x14ac:dyDescent="0.2">
      <c r="A156" s="23" t="str">
        <f t="shared" si="8"/>
        <v/>
      </c>
      <c r="B156" s="22"/>
      <c r="C156" s="24"/>
      <c r="D156" s="15"/>
      <c r="E156" s="17"/>
      <c r="F156" s="24"/>
      <c r="G156" s="25"/>
      <c r="H156" s="21"/>
      <c r="I156" s="26" t="str">
        <f t="shared" si="9"/>
        <v/>
      </c>
      <c r="J156" s="25"/>
      <c r="K156" s="15"/>
    </row>
    <row r="157" spans="1:11" x14ac:dyDescent="0.2">
      <c r="A157" s="23" t="str">
        <f t="shared" si="8"/>
        <v/>
      </c>
      <c r="B157" s="22"/>
      <c r="C157" s="24"/>
      <c r="D157" s="15"/>
      <c r="E157" s="17"/>
      <c r="F157" s="24"/>
      <c r="G157" s="25"/>
      <c r="H157" s="21"/>
      <c r="I157" s="26" t="str">
        <f t="shared" si="9"/>
        <v/>
      </c>
      <c r="J157" s="25"/>
      <c r="K157" s="15"/>
    </row>
    <row r="158" spans="1:11" x14ac:dyDescent="0.2">
      <c r="A158" s="23" t="str">
        <f t="shared" si="8"/>
        <v/>
      </c>
      <c r="B158" s="22"/>
      <c r="C158" s="24"/>
      <c r="D158" s="15"/>
      <c r="E158" s="17"/>
      <c r="F158" s="24"/>
      <c r="G158" s="25"/>
      <c r="H158" s="21"/>
      <c r="I158" s="26" t="str">
        <f t="shared" si="9"/>
        <v/>
      </c>
      <c r="J158" s="25"/>
      <c r="K158" s="15"/>
    </row>
    <row r="159" spans="1:11" x14ac:dyDescent="0.2">
      <c r="A159" s="23" t="str">
        <f t="shared" si="8"/>
        <v/>
      </c>
      <c r="B159" s="22"/>
      <c r="C159" s="24"/>
      <c r="D159" s="15"/>
      <c r="E159" s="17"/>
      <c r="F159" s="24"/>
      <c r="G159" s="25"/>
      <c r="H159" s="21"/>
      <c r="I159" s="26" t="str">
        <f t="shared" si="9"/>
        <v/>
      </c>
      <c r="J159" s="25"/>
      <c r="K159" s="15"/>
    </row>
    <row r="160" spans="1:11" x14ac:dyDescent="0.2">
      <c r="A160" s="23" t="str">
        <f t="shared" si="8"/>
        <v/>
      </c>
      <c r="B160" s="22"/>
      <c r="C160" s="24"/>
      <c r="D160" s="15"/>
      <c r="E160" s="17"/>
      <c r="F160" s="24"/>
      <c r="G160" s="25"/>
      <c r="H160" s="21"/>
      <c r="I160" s="26" t="str">
        <f t="shared" si="9"/>
        <v/>
      </c>
      <c r="J160" s="25"/>
      <c r="K160" s="15"/>
    </row>
    <row r="161" spans="1:11" x14ac:dyDescent="0.2">
      <c r="A161" s="23" t="str">
        <f t="shared" si="8"/>
        <v/>
      </c>
      <c r="B161" s="22"/>
      <c r="C161" s="24"/>
      <c r="D161" s="15"/>
      <c r="E161" s="17"/>
      <c r="F161" s="24"/>
      <c r="G161" s="25"/>
      <c r="H161" s="21"/>
      <c r="I161" s="26" t="str">
        <f t="shared" si="9"/>
        <v/>
      </c>
      <c r="J161" s="25"/>
      <c r="K161" s="15"/>
    </row>
    <row r="162" spans="1:11" x14ac:dyDescent="0.2">
      <c r="A162" s="23" t="str">
        <f t="shared" si="8"/>
        <v/>
      </c>
      <c r="B162" s="22"/>
      <c r="C162" s="24"/>
      <c r="D162" s="15"/>
      <c r="E162" s="17"/>
      <c r="F162" s="24"/>
      <c r="G162" s="25"/>
      <c r="H162" s="21"/>
      <c r="I162" s="26" t="str">
        <f t="shared" si="9"/>
        <v/>
      </c>
      <c r="J162" s="25"/>
      <c r="K162" s="15"/>
    </row>
    <row r="163" spans="1:11" x14ac:dyDescent="0.2">
      <c r="A163" s="23" t="str">
        <f t="shared" si="8"/>
        <v/>
      </c>
      <c r="B163" s="22"/>
      <c r="C163" s="24"/>
      <c r="D163" s="15"/>
      <c r="E163" s="17"/>
      <c r="F163" s="24"/>
      <c r="G163" s="25"/>
      <c r="H163" s="21"/>
      <c r="I163" s="26" t="str">
        <f t="shared" si="9"/>
        <v/>
      </c>
      <c r="J163" s="25"/>
      <c r="K163" s="15"/>
    </row>
    <row r="164" spans="1:11" x14ac:dyDescent="0.2">
      <c r="A164" s="23" t="str">
        <f t="shared" si="8"/>
        <v/>
      </c>
      <c r="B164" s="22"/>
      <c r="C164" s="24"/>
      <c r="D164" s="15"/>
      <c r="E164" s="17"/>
      <c r="F164" s="24"/>
      <c r="G164" s="25"/>
      <c r="H164" s="21"/>
      <c r="I164" s="26" t="str">
        <f t="shared" si="9"/>
        <v/>
      </c>
      <c r="J164" s="25"/>
      <c r="K164" s="15"/>
    </row>
    <row r="165" spans="1:11" x14ac:dyDescent="0.2">
      <c r="A165" s="23" t="str">
        <f t="shared" ref="A165:A196" si="10">IF(B165="","",ROW()-4)</f>
        <v/>
      </c>
      <c r="B165" s="22"/>
      <c r="C165" s="24"/>
      <c r="D165" s="15"/>
      <c r="E165" s="17"/>
      <c r="F165" s="24"/>
      <c r="G165" s="25"/>
      <c r="H165" s="21"/>
      <c r="I165" s="26" t="str">
        <f t="shared" ref="I165:I196" si="11">IF(OR(G165="",H165=""),"",G165*H165)</f>
        <v/>
      </c>
      <c r="J165" s="25"/>
      <c r="K165" s="15"/>
    </row>
    <row r="166" spans="1:11" x14ac:dyDescent="0.2">
      <c r="A166" s="23" t="str">
        <f t="shared" si="10"/>
        <v/>
      </c>
      <c r="B166" s="22"/>
      <c r="C166" s="24"/>
      <c r="D166" s="15"/>
      <c r="E166" s="17"/>
      <c r="F166" s="24"/>
      <c r="G166" s="25"/>
      <c r="H166" s="21"/>
      <c r="I166" s="26" t="str">
        <f t="shared" si="11"/>
        <v/>
      </c>
      <c r="J166" s="25"/>
      <c r="K166" s="15"/>
    </row>
    <row r="167" spans="1:11" x14ac:dyDescent="0.2">
      <c r="A167" s="23" t="str">
        <f t="shared" si="10"/>
        <v/>
      </c>
      <c r="B167" s="22"/>
      <c r="C167" s="24"/>
      <c r="D167" s="15"/>
      <c r="E167" s="17"/>
      <c r="F167" s="24"/>
      <c r="G167" s="25"/>
      <c r="H167" s="21"/>
      <c r="I167" s="26" t="str">
        <f t="shared" si="11"/>
        <v/>
      </c>
      <c r="J167" s="25"/>
      <c r="K167" s="15"/>
    </row>
    <row r="168" spans="1:11" x14ac:dyDescent="0.2">
      <c r="A168" s="23" t="str">
        <f t="shared" si="10"/>
        <v/>
      </c>
      <c r="B168" s="22"/>
      <c r="C168" s="24"/>
      <c r="D168" s="15"/>
      <c r="E168" s="17"/>
      <c r="F168" s="24"/>
      <c r="G168" s="25"/>
      <c r="H168" s="21"/>
      <c r="I168" s="26" t="str">
        <f t="shared" si="11"/>
        <v/>
      </c>
      <c r="J168" s="25"/>
      <c r="K168" s="15"/>
    </row>
    <row r="169" spans="1:11" x14ac:dyDescent="0.2">
      <c r="A169" s="23" t="str">
        <f t="shared" si="10"/>
        <v/>
      </c>
      <c r="B169" s="22"/>
      <c r="C169" s="24"/>
      <c r="D169" s="15"/>
      <c r="E169" s="17"/>
      <c r="F169" s="24"/>
      <c r="G169" s="25"/>
      <c r="H169" s="21"/>
      <c r="I169" s="26" t="str">
        <f t="shared" si="11"/>
        <v/>
      </c>
      <c r="J169" s="25"/>
      <c r="K169" s="15"/>
    </row>
    <row r="170" spans="1:11" x14ac:dyDescent="0.2">
      <c r="A170" s="23" t="str">
        <f t="shared" si="10"/>
        <v/>
      </c>
      <c r="B170" s="22"/>
      <c r="C170" s="24"/>
      <c r="D170" s="15"/>
      <c r="E170" s="17"/>
      <c r="F170" s="24"/>
      <c r="G170" s="25"/>
      <c r="H170" s="21"/>
      <c r="I170" s="26" t="str">
        <f t="shared" si="11"/>
        <v/>
      </c>
      <c r="J170" s="25"/>
      <c r="K170" s="15"/>
    </row>
    <row r="171" spans="1:11" x14ac:dyDescent="0.2">
      <c r="A171" s="23" t="str">
        <f t="shared" si="10"/>
        <v/>
      </c>
      <c r="B171" s="22"/>
      <c r="C171" s="24"/>
      <c r="D171" s="15"/>
      <c r="E171" s="17"/>
      <c r="F171" s="24"/>
      <c r="G171" s="25"/>
      <c r="H171" s="21"/>
      <c r="I171" s="26" t="str">
        <f t="shared" si="11"/>
        <v/>
      </c>
      <c r="J171" s="25"/>
      <c r="K171" s="15"/>
    </row>
    <row r="172" spans="1:11" x14ac:dyDescent="0.2">
      <c r="A172" s="23" t="str">
        <f t="shared" si="10"/>
        <v/>
      </c>
      <c r="B172" s="22"/>
      <c r="C172" s="24"/>
      <c r="D172" s="15"/>
      <c r="E172" s="17"/>
      <c r="F172" s="24"/>
      <c r="G172" s="25"/>
      <c r="H172" s="21"/>
      <c r="I172" s="26" t="str">
        <f t="shared" si="11"/>
        <v/>
      </c>
      <c r="J172" s="25"/>
      <c r="K172" s="15"/>
    </row>
    <row r="173" spans="1:11" x14ac:dyDescent="0.2">
      <c r="A173" s="23" t="str">
        <f t="shared" si="10"/>
        <v/>
      </c>
      <c r="B173" s="22"/>
      <c r="C173" s="24"/>
      <c r="D173" s="15"/>
      <c r="E173" s="17"/>
      <c r="F173" s="24"/>
      <c r="G173" s="25"/>
      <c r="H173" s="21"/>
      <c r="I173" s="26" t="str">
        <f t="shared" si="11"/>
        <v/>
      </c>
      <c r="J173" s="25"/>
      <c r="K173" s="15"/>
    </row>
    <row r="174" spans="1:11" x14ac:dyDescent="0.2">
      <c r="A174" s="23" t="str">
        <f t="shared" si="10"/>
        <v/>
      </c>
      <c r="B174" s="22"/>
      <c r="C174" s="24"/>
      <c r="D174" s="15"/>
      <c r="E174" s="17"/>
      <c r="F174" s="24"/>
      <c r="G174" s="25"/>
      <c r="H174" s="21"/>
      <c r="I174" s="26" t="str">
        <f t="shared" si="11"/>
        <v/>
      </c>
      <c r="J174" s="25"/>
      <c r="K174" s="15"/>
    </row>
    <row r="175" spans="1:11" x14ac:dyDescent="0.2">
      <c r="A175" s="23" t="str">
        <f t="shared" si="10"/>
        <v/>
      </c>
      <c r="B175" s="22"/>
      <c r="C175" s="24"/>
      <c r="D175" s="15"/>
      <c r="E175" s="17"/>
      <c r="F175" s="24"/>
      <c r="G175" s="25"/>
      <c r="H175" s="21"/>
      <c r="I175" s="26" t="str">
        <f t="shared" si="11"/>
        <v/>
      </c>
      <c r="J175" s="25"/>
      <c r="K175" s="15"/>
    </row>
    <row r="176" spans="1:11" x14ac:dyDescent="0.2">
      <c r="A176" s="23" t="str">
        <f t="shared" si="10"/>
        <v/>
      </c>
      <c r="B176" s="22"/>
      <c r="C176" s="24"/>
      <c r="D176" s="15"/>
      <c r="E176" s="17"/>
      <c r="F176" s="24"/>
      <c r="G176" s="25"/>
      <c r="H176" s="21"/>
      <c r="I176" s="26" t="str">
        <f t="shared" si="11"/>
        <v/>
      </c>
      <c r="J176" s="25"/>
      <c r="K176" s="15"/>
    </row>
    <row r="177" spans="1:11" x14ac:dyDescent="0.2">
      <c r="A177" s="23" t="str">
        <f t="shared" si="10"/>
        <v/>
      </c>
      <c r="B177" s="22"/>
      <c r="C177" s="24"/>
      <c r="D177" s="15"/>
      <c r="E177" s="17"/>
      <c r="F177" s="24"/>
      <c r="G177" s="25"/>
      <c r="H177" s="21"/>
      <c r="I177" s="26" t="str">
        <f t="shared" si="11"/>
        <v/>
      </c>
      <c r="J177" s="25"/>
      <c r="K177" s="15"/>
    </row>
    <row r="178" spans="1:11" x14ac:dyDescent="0.2">
      <c r="A178" s="23" t="str">
        <f t="shared" si="10"/>
        <v/>
      </c>
      <c r="B178" s="22"/>
      <c r="C178" s="24"/>
      <c r="D178" s="15"/>
      <c r="E178" s="17"/>
      <c r="F178" s="24"/>
      <c r="G178" s="25"/>
      <c r="H178" s="21"/>
      <c r="I178" s="26" t="str">
        <f t="shared" si="11"/>
        <v/>
      </c>
      <c r="J178" s="25"/>
      <c r="K178" s="15"/>
    </row>
    <row r="179" spans="1:11" x14ac:dyDescent="0.2">
      <c r="A179" s="23" t="str">
        <f t="shared" si="10"/>
        <v/>
      </c>
      <c r="B179" s="22"/>
      <c r="C179" s="24"/>
      <c r="D179" s="15"/>
      <c r="E179" s="17"/>
      <c r="F179" s="24"/>
      <c r="G179" s="25"/>
      <c r="H179" s="21"/>
      <c r="I179" s="26" t="str">
        <f t="shared" si="11"/>
        <v/>
      </c>
      <c r="J179" s="25"/>
      <c r="K179" s="15"/>
    </row>
    <row r="180" spans="1:11" x14ac:dyDescent="0.2">
      <c r="A180" s="23" t="str">
        <f t="shared" si="10"/>
        <v/>
      </c>
      <c r="B180" s="22"/>
      <c r="C180" s="24"/>
      <c r="D180" s="15"/>
      <c r="E180" s="17"/>
      <c r="F180" s="24"/>
      <c r="G180" s="25"/>
      <c r="H180" s="21"/>
      <c r="I180" s="26" t="str">
        <f t="shared" si="11"/>
        <v/>
      </c>
      <c r="J180" s="25"/>
      <c r="K180" s="15"/>
    </row>
    <row r="181" spans="1:11" x14ac:dyDescent="0.2">
      <c r="A181" s="23" t="str">
        <f t="shared" si="10"/>
        <v/>
      </c>
      <c r="B181" s="22"/>
      <c r="C181" s="24"/>
      <c r="D181" s="15"/>
      <c r="E181" s="17"/>
      <c r="F181" s="24"/>
      <c r="G181" s="25"/>
      <c r="H181" s="21"/>
      <c r="I181" s="26" t="str">
        <f t="shared" si="11"/>
        <v/>
      </c>
      <c r="J181" s="25"/>
      <c r="K181" s="15"/>
    </row>
    <row r="182" spans="1:11" x14ac:dyDescent="0.2">
      <c r="A182" s="23" t="str">
        <f t="shared" si="10"/>
        <v/>
      </c>
      <c r="B182" s="22"/>
      <c r="C182" s="24"/>
      <c r="D182" s="15"/>
      <c r="E182" s="17"/>
      <c r="F182" s="24"/>
      <c r="G182" s="25"/>
      <c r="H182" s="21"/>
      <c r="I182" s="26" t="str">
        <f t="shared" si="11"/>
        <v/>
      </c>
      <c r="J182" s="25"/>
      <c r="K182" s="15"/>
    </row>
    <row r="183" spans="1:11" x14ac:dyDescent="0.2">
      <c r="A183" s="23" t="str">
        <f t="shared" si="10"/>
        <v/>
      </c>
      <c r="B183" s="22"/>
      <c r="C183" s="24"/>
      <c r="D183" s="15"/>
      <c r="E183" s="17"/>
      <c r="F183" s="24"/>
      <c r="G183" s="25"/>
      <c r="H183" s="21"/>
      <c r="I183" s="26" t="str">
        <f t="shared" si="11"/>
        <v/>
      </c>
      <c r="J183" s="25"/>
      <c r="K183" s="15"/>
    </row>
    <row r="184" spans="1:11" x14ac:dyDescent="0.2">
      <c r="A184" s="23" t="str">
        <f t="shared" si="10"/>
        <v/>
      </c>
      <c r="B184" s="22"/>
      <c r="C184" s="24"/>
      <c r="D184" s="15"/>
      <c r="E184" s="17"/>
      <c r="F184" s="24"/>
      <c r="G184" s="25"/>
      <c r="H184" s="21"/>
      <c r="I184" s="26" t="str">
        <f t="shared" si="11"/>
        <v/>
      </c>
      <c r="J184" s="25"/>
      <c r="K184" s="15"/>
    </row>
    <row r="185" spans="1:11" x14ac:dyDescent="0.2">
      <c r="A185" s="23" t="str">
        <f t="shared" si="10"/>
        <v/>
      </c>
      <c r="B185" s="22"/>
      <c r="C185" s="24"/>
      <c r="D185" s="15"/>
      <c r="E185" s="17"/>
      <c r="F185" s="24"/>
      <c r="G185" s="25"/>
      <c r="H185" s="21"/>
      <c r="I185" s="26" t="str">
        <f t="shared" si="11"/>
        <v/>
      </c>
      <c r="J185" s="25"/>
      <c r="K185" s="15"/>
    </row>
    <row r="186" spans="1:11" x14ac:dyDescent="0.2">
      <c r="A186" s="23" t="str">
        <f t="shared" si="10"/>
        <v/>
      </c>
      <c r="B186" s="22"/>
      <c r="C186" s="24"/>
      <c r="D186" s="15"/>
      <c r="E186" s="17"/>
      <c r="F186" s="24"/>
      <c r="G186" s="25"/>
      <c r="H186" s="21"/>
      <c r="I186" s="26" t="str">
        <f t="shared" si="11"/>
        <v/>
      </c>
      <c r="J186" s="25"/>
      <c r="K186" s="15"/>
    </row>
    <row r="187" spans="1:11" x14ac:dyDescent="0.2">
      <c r="A187" s="23" t="str">
        <f t="shared" si="10"/>
        <v/>
      </c>
      <c r="B187" s="22"/>
      <c r="C187" s="24"/>
      <c r="D187" s="15"/>
      <c r="E187" s="17"/>
      <c r="F187" s="24"/>
      <c r="G187" s="25"/>
      <c r="H187" s="21"/>
      <c r="I187" s="26" t="str">
        <f t="shared" si="11"/>
        <v/>
      </c>
      <c r="J187" s="25"/>
      <c r="K187" s="15"/>
    </row>
    <row r="188" spans="1:11" x14ac:dyDescent="0.2">
      <c r="A188" s="23" t="str">
        <f t="shared" si="10"/>
        <v/>
      </c>
      <c r="B188" s="22"/>
      <c r="C188" s="24"/>
      <c r="D188" s="15"/>
      <c r="E188" s="17"/>
      <c r="F188" s="24"/>
      <c r="G188" s="25"/>
      <c r="H188" s="21"/>
      <c r="I188" s="26" t="str">
        <f t="shared" si="11"/>
        <v/>
      </c>
      <c r="J188" s="25"/>
      <c r="K188" s="15"/>
    </row>
    <row r="189" spans="1:11" x14ac:dyDescent="0.2">
      <c r="A189" s="23" t="str">
        <f t="shared" si="10"/>
        <v/>
      </c>
      <c r="B189" s="22"/>
      <c r="C189" s="24"/>
      <c r="D189" s="15"/>
      <c r="E189" s="17"/>
      <c r="F189" s="24"/>
      <c r="G189" s="25"/>
      <c r="H189" s="21"/>
      <c r="I189" s="26" t="str">
        <f t="shared" si="11"/>
        <v/>
      </c>
      <c r="J189" s="25"/>
      <c r="K189" s="15"/>
    </row>
    <row r="190" spans="1:11" x14ac:dyDescent="0.2">
      <c r="A190" s="23" t="str">
        <f t="shared" si="10"/>
        <v/>
      </c>
      <c r="B190" s="22"/>
      <c r="C190" s="24"/>
      <c r="D190" s="15"/>
      <c r="E190" s="17"/>
      <c r="F190" s="24"/>
      <c r="G190" s="25"/>
      <c r="H190" s="21"/>
      <c r="I190" s="26" t="str">
        <f t="shared" si="11"/>
        <v/>
      </c>
      <c r="J190" s="25"/>
      <c r="K190" s="15"/>
    </row>
    <row r="191" spans="1:11" x14ac:dyDescent="0.2">
      <c r="A191" s="23" t="str">
        <f t="shared" si="10"/>
        <v/>
      </c>
      <c r="B191" s="22"/>
      <c r="C191" s="24"/>
      <c r="D191" s="15"/>
      <c r="E191" s="17"/>
      <c r="F191" s="24"/>
      <c r="G191" s="25"/>
      <c r="H191" s="21"/>
      <c r="I191" s="26" t="str">
        <f t="shared" si="11"/>
        <v/>
      </c>
      <c r="J191" s="25"/>
      <c r="K191" s="15"/>
    </row>
    <row r="192" spans="1:11" x14ac:dyDescent="0.2">
      <c r="A192" s="23" t="str">
        <f t="shared" si="10"/>
        <v/>
      </c>
      <c r="B192" s="22"/>
      <c r="C192" s="24"/>
      <c r="D192" s="15"/>
      <c r="E192" s="17"/>
      <c r="F192" s="24"/>
      <c r="G192" s="25"/>
      <c r="H192" s="21"/>
      <c r="I192" s="26" t="str">
        <f t="shared" si="11"/>
        <v/>
      </c>
      <c r="J192" s="25"/>
      <c r="K192" s="15"/>
    </row>
    <row r="193" spans="1:11" x14ac:dyDescent="0.2">
      <c r="A193" s="23" t="str">
        <f t="shared" si="10"/>
        <v/>
      </c>
      <c r="B193" s="22"/>
      <c r="C193" s="24"/>
      <c r="D193" s="15"/>
      <c r="E193" s="17"/>
      <c r="F193" s="24"/>
      <c r="G193" s="25"/>
      <c r="H193" s="21"/>
      <c r="I193" s="26" t="str">
        <f t="shared" si="11"/>
        <v/>
      </c>
      <c r="J193" s="25"/>
      <c r="K193" s="15"/>
    </row>
    <row r="194" spans="1:11" x14ac:dyDescent="0.2">
      <c r="A194" s="23" t="str">
        <f t="shared" si="10"/>
        <v/>
      </c>
      <c r="B194" s="22"/>
      <c r="C194" s="24"/>
      <c r="D194" s="15"/>
      <c r="E194" s="17"/>
      <c r="F194" s="24"/>
      <c r="G194" s="25"/>
      <c r="H194" s="21"/>
      <c r="I194" s="26" t="str">
        <f t="shared" si="11"/>
        <v/>
      </c>
      <c r="J194" s="25"/>
      <c r="K194" s="15"/>
    </row>
    <row r="195" spans="1:11" x14ac:dyDescent="0.2">
      <c r="A195" s="23" t="str">
        <f t="shared" si="10"/>
        <v/>
      </c>
      <c r="B195" s="22"/>
      <c r="C195" s="24"/>
      <c r="D195" s="15"/>
      <c r="E195" s="17"/>
      <c r="F195" s="24"/>
      <c r="G195" s="25"/>
      <c r="H195" s="21"/>
      <c r="I195" s="26" t="str">
        <f t="shared" si="11"/>
        <v/>
      </c>
      <c r="J195" s="25"/>
      <c r="K195" s="15"/>
    </row>
    <row r="196" spans="1:11" x14ac:dyDescent="0.2">
      <c r="A196" s="23" t="str">
        <f t="shared" si="10"/>
        <v/>
      </c>
      <c r="B196" s="22"/>
      <c r="C196" s="24"/>
      <c r="D196" s="15"/>
      <c r="E196" s="17"/>
      <c r="F196" s="24"/>
      <c r="G196" s="25"/>
      <c r="H196" s="21"/>
      <c r="I196" s="26" t="str">
        <f t="shared" si="11"/>
        <v/>
      </c>
      <c r="J196" s="25"/>
      <c r="K196" s="15"/>
    </row>
    <row r="197" spans="1:11" x14ac:dyDescent="0.2">
      <c r="A197" s="23" t="str">
        <f t="shared" ref="A197:A228" si="12">IF(B197="","",ROW()-4)</f>
        <v/>
      </c>
      <c r="B197" s="22"/>
      <c r="C197" s="24"/>
      <c r="D197" s="15"/>
      <c r="E197" s="17"/>
      <c r="F197" s="24"/>
      <c r="G197" s="25"/>
      <c r="H197" s="21"/>
      <c r="I197" s="26" t="str">
        <f t="shared" ref="I197:I228" si="13">IF(OR(G197="",H197=""),"",G197*H197)</f>
        <v/>
      </c>
      <c r="J197" s="25"/>
      <c r="K197" s="15"/>
    </row>
    <row r="198" spans="1:11" x14ac:dyDescent="0.2">
      <c r="A198" s="23" t="str">
        <f t="shared" si="12"/>
        <v/>
      </c>
      <c r="B198" s="22"/>
      <c r="C198" s="24"/>
      <c r="D198" s="15"/>
      <c r="E198" s="17"/>
      <c r="F198" s="24"/>
      <c r="G198" s="25"/>
      <c r="H198" s="21"/>
      <c r="I198" s="26" t="str">
        <f t="shared" si="13"/>
        <v/>
      </c>
      <c r="J198" s="25"/>
      <c r="K198" s="15"/>
    </row>
    <row r="199" spans="1:11" x14ac:dyDescent="0.2">
      <c r="A199" s="23" t="str">
        <f t="shared" si="12"/>
        <v/>
      </c>
      <c r="B199" s="22"/>
      <c r="C199" s="24"/>
      <c r="D199" s="15"/>
      <c r="E199" s="17"/>
      <c r="F199" s="24"/>
      <c r="G199" s="25"/>
      <c r="H199" s="21"/>
      <c r="I199" s="26" t="str">
        <f t="shared" si="13"/>
        <v/>
      </c>
      <c r="J199" s="25"/>
      <c r="K199" s="15"/>
    </row>
    <row r="200" spans="1:11" x14ac:dyDescent="0.2">
      <c r="A200" s="23" t="str">
        <f t="shared" si="12"/>
        <v/>
      </c>
      <c r="B200" s="22"/>
      <c r="C200" s="24"/>
      <c r="D200" s="15"/>
      <c r="E200" s="17"/>
      <c r="F200" s="24"/>
      <c r="G200" s="25"/>
      <c r="H200" s="21"/>
      <c r="I200" s="26" t="str">
        <f t="shared" si="13"/>
        <v/>
      </c>
      <c r="J200" s="25"/>
      <c r="K200" s="15"/>
    </row>
    <row r="201" spans="1:11" x14ac:dyDescent="0.2">
      <c r="A201" s="23" t="str">
        <f t="shared" si="12"/>
        <v/>
      </c>
      <c r="B201" s="22"/>
      <c r="C201" s="24"/>
      <c r="D201" s="15"/>
      <c r="E201" s="17"/>
      <c r="F201" s="24"/>
      <c r="G201" s="25"/>
      <c r="H201" s="21"/>
      <c r="I201" s="26" t="str">
        <f t="shared" si="13"/>
        <v/>
      </c>
      <c r="J201" s="25"/>
      <c r="K201" s="15"/>
    </row>
    <row r="202" spans="1:11" x14ac:dyDescent="0.2">
      <c r="A202" s="23" t="str">
        <f t="shared" si="12"/>
        <v/>
      </c>
      <c r="B202" s="22"/>
      <c r="C202" s="24"/>
      <c r="D202" s="15"/>
      <c r="E202" s="17"/>
      <c r="F202" s="24"/>
      <c r="G202" s="25"/>
      <c r="H202" s="21"/>
      <c r="I202" s="26" t="str">
        <f t="shared" si="13"/>
        <v/>
      </c>
      <c r="J202" s="25"/>
      <c r="K202" s="15"/>
    </row>
    <row r="203" spans="1:11" x14ac:dyDescent="0.2">
      <c r="A203" s="23" t="str">
        <f t="shared" si="12"/>
        <v/>
      </c>
      <c r="B203" s="22"/>
      <c r="C203" s="24"/>
      <c r="D203" s="15"/>
      <c r="E203" s="17"/>
      <c r="F203" s="24"/>
      <c r="G203" s="25"/>
      <c r="H203" s="21"/>
      <c r="I203" s="26" t="str">
        <f t="shared" si="13"/>
        <v/>
      </c>
      <c r="J203" s="25"/>
      <c r="K203" s="15"/>
    </row>
    <row r="204" spans="1:11" x14ac:dyDescent="0.2">
      <c r="A204" s="23" t="str">
        <f t="shared" si="12"/>
        <v/>
      </c>
      <c r="B204" s="22"/>
      <c r="C204" s="24"/>
      <c r="D204" s="15"/>
      <c r="E204" s="17"/>
      <c r="F204" s="24"/>
      <c r="G204" s="25"/>
      <c r="H204" s="21"/>
      <c r="I204" s="26" t="str">
        <f t="shared" si="13"/>
        <v/>
      </c>
      <c r="J204" s="25"/>
      <c r="K204" s="15"/>
    </row>
  </sheetData>
  <mergeCells count="2">
    <mergeCell ref="A2:K2"/>
    <mergeCell ref="A1:K1"/>
  </mergeCells>
  <dataValidations count="1">
    <dataValidation type="list" allowBlank="1" sqref="C5:C204" xr:uid="{00000000-0002-0000-0600-000000000000}">
      <formula1>"BUY,SELL"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1000000}">
          <x14:formula1>
            <xm:f>'02_FX_Rates'!$A$5:$A$10</xm:f>
          </x14:formula1>
          <xm:sqref>F5:F204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5B6"/>
  </sheetPr>
  <dimension ref="A1:J204"/>
  <sheetViews>
    <sheetView zoomScaleNormal="100" workbookViewId="0">
      <pane ySplit="4" topLeftCell="A5" activePane="bottomLeft" state="frozen"/>
      <selection pane="bottomLeft" activeCell="F23" sqref="F23"/>
    </sheetView>
  </sheetViews>
  <sheetFormatPr baseColWidth="10" defaultColWidth="8.6640625" defaultRowHeight="15" x14ac:dyDescent="0.2"/>
  <cols>
    <col min="1" max="1" width="6" customWidth="1"/>
    <col min="2" max="2" width="13" customWidth="1"/>
    <col min="3" max="3" width="15" customWidth="1"/>
    <col min="4" max="4" width="28" customWidth="1"/>
    <col min="5" max="5" width="9" customWidth="1"/>
    <col min="6" max="6" width="16" customWidth="1"/>
    <col min="7" max="7" width="12" customWidth="1"/>
    <col min="8" max="8" width="16" customWidth="1"/>
    <col min="9" max="9" width="22" customWidth="1"/>
    <col min="10" max="10" width="30" customWidth="1"/>
  </cols>
  <sheetData>
    <row r="1" spans="1:10" ht="27.75" customHeight="1" x14ac:dyDescent="0.2">
      <c r="A1" s="85" t="s">
        <v>338</v>
      </c>
      <c r="B1" s="86"/>
      <c r="C1" s="86"/>
      <c r="D1" s="86"/>
      <c r="E1" s="86"/>
      <c r="F1" s="86"/>
      <c r="G1" s="86"/>
      <c r="H1" s="86"/>
      <c r="I1" s="86"/>
      <c r="J1" s="86"/>
    </row>
    <row r="2" spans="1:10" ht="15" customHeight="1" x14ac:dyDescent="0.2">
      <c r="A2" s="87" t="s">
        <v>339</v>
      </c>
      <c r="B2" s="86"/>
      <c r="C2" s="86"/>
      <c r="D2" s="86"/>
      <c r="E2" s="86"/>
      <c r="F2" s="86"/>
      <c r="G2" s="86"/>
      <c r="H2" s="86"/>
      <c r="I2" s="86"/>
      <c r="J2" s="86"/>
    </row>
    <row r="4" spans="1:10" ht="31.5" customHeight="1" x14ac:dyDescent="0.2">
      <c r="A4" s="19" t="s">
        <v>112</v>
      </c>
      <c r="B4" s="19" t="s">
        <v>130</v>
      </c>
      <c r="C4" s="19" t="s">
        <v>115</v>
      </c>
      <c r="D4" s="19" t="s">
        <v>340</v>
      </c>
      <c r="E4" s="19" t="s">
        <v>99</v>
      </c>
      <c r="F4" s="19" t="s">
        <v>135</v>
      </c>
      <c r="G4" s="19" t="s">
        <v>117</v>
      </c>
      <c r="H4" s="19" t="s">
        <v>118</v>
      </c>
      <c r="I4" s="19" t="s">
        <v>341</v>
      </c>
      <c r="J4" s="19" t="s">
        <v>102</v>
      </c>
    </row>
    <row r="5" spans="1:10" x14ac:dyDescent="0.2">
      <c r="A5" s="23">
        <f t="shared" ref="A5:A36" si="0">IF(B5="","",ROW()-4)</f>
        <v>1</v>
      </c>
      <c r="B5" s="22">
        <v>45961</v>
      </c>
      <c r="C5" s="24" t="s">
        <v>342</v>
      </c>
      <c r="D5" s="15" t="s">
        <v>343</v>
      </c>
      <c r="E5" s="24" t="s">
        <v>54</v>
      </c>
      <c r="F5" s="25">
        <v>15000</v>
      </c>
      <c r="G5" s="21">
        <v>1</v>
      </c>
      <c r="H5" s="26">
        <f t="shared" ref="H5:H36" si="1">IF(OR(F5="",G5=""),"",F5*G5)</f>
        <v>15000</v>
      </c>
      <c r="I5" s="25"/>
      <c r="J5" s="15"/>
    </row>
    <row r="6" spans="1:10" x14ac:dyDescent="0.2">
      <c r="A6" s="23">
        <f t="shared" si="0"/>
        <v>2</v>
      </c>
      <c r="B6" s="22">
        <v>45992</v>
      </c>
      <c r="C6" s="24" t="s">
        <v>342</v>
      </c>
      <c r="D6" s="15" t="s">
        <v>343</v>
      </c>
      <c r="E6" s="24" t="s">
        <v>54</v>
      </c>
      <c r="F6" s="25">
        <v>15000</v>
      </c>
      <c r="G6" s="21">
        <v>1</v>
      </c>
      <c r="H6" s="26">
        <f t="shared" si="1"/>
        <v>15000</v>
      </c>
      <c r="I6" s="25"/>
      <c r="J6" s="15"/>
    </row>
    <row r="7" spans="1:10" x14ac:dyDescent="0.2">
      <c r="A7" s="23">
        <f t="shared" si="0"/>
        <v>3</v>
      </c>
      <c r="B7" s="22">
        <v>46007</v>
      </c>
      <c r="C7" s="24" t="s">
        <v>342</v>
      </c>
      <c r="D7" s="15" t="s">
        <v>343</v>
      </c>
      <c r="E7" s="24" t="s">
        <v>54</v>
      </c>
      <c r="F7" s="25">
        <v>15000</v>
      </c>
      <c r="G7" s="21">
        <v>1</v>
      </c>
      <c r="H7" s="26">
        <f t="shared" si="1"/>
        <v>15000</v>
      </c>
      <c r="I7" s="25"/>
      <c r="J7" s="15"/>
    </row>
    <row r="8" spans="1:10" x14ac:dyDescent="0.2">
      <c r="A8" s="23">
        <f t="shared" si="0"/>
        <v>4</v>
      </c>
      <c r="B8" s="22">
        <v>46018</v>
      </c>
      <c r="C8" s="24" t="s">
        <v>342</v>
      </c>
      <c r="D8" s="15" t="s">
        <v>343</v>
      </c>
      <c r="E8" s="24" t="s">
        <v>54</v>
      </c>
      <c r="F8" s="25">
        <v>15000</v>
      </c>
      <c r="G8" s="21">
        <v>1</v>
      </c>
      <c r="H8" s="26">
        <f t="shared" si="1"/>
        <v>15000</v>
      </c>
      <c r="I8" s="25"/>
      <c r="J8" s="15"/>
    </row>
    <row r="9" spans="1:10" x14ac:dyDescent="0.2">
      <c r="A9" s="23">
        <f t="shared" si="0"/>
        <v>5</v>
      </c>
      <c r="B9" s="22">
        <v>46049</v>
      </c>
      <c r="C9" s="24" t="s">
        <v>342</v>
      </c>
      <c r="D9" s="15" t="s">
        <v>343</v>
      </c>
      <c r="E9" s="24" t="s">
        <v>54</v>
      </c>
      <c r="F9" s="25">
        <v>10000</v>
      </c>
      <c r="G9" s="21">
        <v>1</v>
      </c>
      <c r="H9" s="26">
        <f t="shared" si="1"/>
        <v>10000</v>
      </c>
      <c r="I9" s="25"/>
      <c r="J9" s="15"/>
    </row>
    <row r="10" spans="1:10" x14ac:dyDescent="0.2">
      <c r="A10" s="23">
        <f t="shared" si="0"/>
        <v>6</v>
      </c>
      <c r="B10" s="22">
        <v>46066</v>
      </c>
      <c r="C10" s="24" t="s">
        <v>342</v>
      </c>
      <c r="D10" s="15" t="s">
        <v>343</v>
      </c>
      <c r="E10" s="24" t="s">
        <v>54</v>
      </c>
      <c r="F10" s="25">
        <v>10000</v>
      </c>
      <c r="G10" s="21">
        <v>1</v>
      </c>
      <c r="H10" s="26">
        <f t="shared" si="1"/>
        <v>10000</v>
      </c>
      <c r="I10" s="25"/>
      <c r="J10" s="15"/>
    </row>
    <row r="11" spans="1:10" x14ac:dyDescent="0.2">
      <c r="A11" s="23">
        <f t="shared" si="0"/>
        <v>7</v>
      </c>
      <c r="B11" s="22">
        <v>46084</v>
      </c>
      <c r="C11" s="24" t="s">
        <v>342</v>
      </c>
      <c r="D11" s="15" t="s">
        <v>343</v>
      </c>
      <c r="E11" s="24" t="s">
        <v>54</v>
      </c>
      <c r="F11" s="25">
        <v>10000</v>
      </c>
      <c r="G11" s="21">
        <v>1</v>
      </c>
      <c r="H11" s="26">
        <f t="shared" si="1"/>
        <v>10000</v>
      </c>
      <c r="I11" s="25"/>
      <c r="J11" s="15"/>
    </row>
    <row r="12" spans="1:10" x14ac:dyDescent="0.2">
      <c r="A12" s="23">
        <f t="shared" si="0"/>
        <v>8</v>
      </c>
      <c r="B12" s="22">
        <v>46104</v>
      </c>
      <c r="C12" s="24" t="s">
        <v>342</v>
      </c>
      <c r="D12" s="15" t="s">
        <v>343</v>
      </c>
      <c r="E12" s="24" t="s">
        <v>54</v>
      </c>
      <c r="F12" s="25">
        <v>15000</v>
      </c>
      <c r="G12" s="21">
        <v>1</v>
      </c>
      <c r="H12" s="26">
        <f t="shared" si="1"/>
        <v>15000</v>
      </c>
      <c r="I12" s="25"/>
      <c r="J12" s="15"/>
    </row>
    <row r="13" spans="1:10" x14ac:dyDescent="0.2">
      <c r="A13" s="23">
        <f t="shared" si="0"/>
        <v>9</v>
      </c>
      <c r="B13" s="22">
        <v>46120</v>
      </c>
      <c r="C13" s="24" t="s">
        <v>342</v>
      </c>
      <c r="D13" s="15" t="s">
        <v>343</v>
      </c>
      <c r="E13" s="24" t="s">
        <v>54</v>
      </c>
      <c r="F13" s="25">
        <v>15000</v>
      </c>
      <c r="G13" s="21">
        <v>1</v>
      </c>
      <c r="H13" s="26">
        <f t="shared" si="1"/>
        <v>15000</v>
      </c>
      <c r="I13" s="25"/>
      <c r="J13" s="15"/>
    </row>
    <row r="14" spans="1:10" x14ac:dyDescent="0.2">
      <c r="A14" s="23">
        <f t="shared" si="0"/>
        <v>10</v>
      </c>
      <c r="B14" s="22">
        <v>46136</v>
      </c>
      <c r="C14" s="24" t="s">
        <v>342</v>
      </c>
      <c r="D14" s="15" t="s">
        <v>343</v>
      </c>
      <c r="E14" s="24" t="s">
        <v>54</v>
      </c>
      <c r="F14" s="25">
        <v>15000</v>
      </c>
      <c r="G14" s="21">
        <v>1</v>
      </c>
      <c r="H14" s="26">
        <f t="shared" si="1"/>
        <v>15000</v>
      </c>
      <c r="I14" s="25"/>
      <c r="J14" s="15"/>
    </row>
    <row r="15" spans="1:10" x14ac:dyDescent="0.2">
      <c r="A15" s="23" t="str">
        <f t="shared" si="0"/>
        <v/>
      </c>
      <c r="B15" s="22"/>
      <c r="C15" s="24"/>
      <c r="D15" s="15"/>
      <c r="E15" s="24"/>
      <c r="F15" s="25"/>
      <c r="G15" s="21"/>
      <c r="H15" s="26" t="str">
        <f t="shared" si="1"/>
        <v/>
      </c>
      <c r="I15" s="25"/>
      <c r="J15" s="15"/>
    </row>
    <row r="16" spans="1:10" x14ac:dyDescent="0.2">
      <c r="A16" s="23" t="str">
        <f t="shared" si="0"/>
        <v/>
      </c>
      <c r="B16" s="22"/>
      <c r="C16" s="24"/>
      <c r="D16" s="15"/>
      <c r="E16" s="24"/>
      <c r="F16" s="25"/>
      <c r="G16" s="21"/>
      <c r="H16" s="26" t="str">
        <f t="shared" si="1"/>
        <v/>
      </c>
      <c r="I16" s="25"/>
      <c r="J16" s="15"/>
    </row>
    <row r="17" spans="1:10" x14ac:dyDescent="0.2">
      <c r="A17" s="23" t="str">
        <f t="shared" si="0"/>
        <v/>
      </c>
      <c r="B17" s="22"/>
      <c r="C17" s="24"/>
      <c r="D17" s="15"/>
      <c r="E17" s="24"/>
      <c r="F17" s="25"/>
      <c r="G17" s="21"/>
      <c r="H17" s="26" t="str">
        <f t="shared" si="1"/>
        <v/>
      </c>
      <c r="I17" s="25"/>
      <c r="J17" s="15"/>
    </row>
    <row r="18" spans="1:10" x14ac:dyDescent="0.2">
      <c r="A18" s="23" t="str">
        <f t="shared" si="0"/>
        <v/>
      </c>
      <c r="B18" s="22"/>
      <c r="C18" s="24"/>
      <c r="D18" s="15"/>
      <c r="E18" s="24"/>
      <c r="F18" s="25"/>
      <c r="G18" s="21"/>
      <c r="H18" s="26" t="str">
        <f t="shared" si="1"/>
        <v/>
      </c>
      <c r="I18" s="25"/>
      <c r="J18" s="15"/>
    </row>
    <row r="19" spans="1:10" x14ac:dyDescent="0.2">
      <c r="A19" s="23" t="str">
        <f t="shared" si="0"/>
        <v/>
      </c>
      <c r="B19" s="22"/>
      <c r="C19" s="24"/>
      <c r="D19" s="15"/>
      <c r="E19" s="24"/>
      <c r="F19" s="25"/>
      <c r="G19" s="21"/>
      <c r="H19" s="26" t="str">
        <f t="shared" si="1"/>
        <v/>
      </c>
      <c r="I19" s="25"/>
      <c r="J19" s="15"/>
    </row>
    <row r="20" spans="1:10" x14ac:dyDescent="0.2">
      <c r="A20" s="23" t="str">
        <f t="shared" si="0"/>
        <v/>
      </c>
      <c r="B20" s="22"/>
      <c r="C20" s="24"/>
      <c r="D20" s="15"/>
      <c r="E20" s="24"/>
      <c r="F20" s="25"/>
      <c r="G20" s="21"/>
      <c r="H20" s="26" t="str">
        <f t="shared" si="1"/>
        <v/>
      </c>
      <c r="I20" s="25"/>
      <c r="J20" s="15"/>
    </row>
    <row r="21" spans="1:10" x14ac:dyDescent="0.2">
      <c r="A21" s="23" t="str">
        <f t="shared" si="0"/>
        <v/>
      </c>
      <c r="B21" s="22"/>
      <c r="C21" s="24"/>
      <c r="D21" s="15"/>
      <c r="E21" s="24"/>
      <c r="F21" s="25"/>
      <c r="G21" s="21"/>
      <c r="H21" s="26" t="str">
        <f t="shared" si="1"/>
        <v/>
      </c>
      <c r="I21" s="25"/>
      <c r="J21" s="15"/>
    </row>
    <row r="22" spans="1:10" x14ac:dyDescent="0.2">
      <c r="A22" s="23" t="str">
        <f t="shared" si="0"/>
        <v/>
      </c>
      <c r="B22" s="22"/>
      <c r="C22" s="24"/>
      <c r="D22" s="15"/>
      <c r="E22" s="24"/>
      <c r="F22" s="25"/>
      <c r="G22" s="21"/>
      <c r="H22" s="26" t="str">
        <f t="shared" si="1"/>
        <v/>
      </c>
      <c r="I22" s="25"/>
      <c r="J22" s="15"/>
    </row>
    <row r="23" spans="1:10" x14ac:dyDescent="0.2">
      <c r="A23" s="23" t="str">
        <f t="shared" si="0"/>
        <v/>
      </c>
      <c r="B23" s="22"/>
      <c r="C23" s="24"/>
      <c r="D23" s="15"/>
      <c r="E23" s="24"/>
      <c r="F23" s="25"/>
      <c r="G23" s="21"/>
      <c r="H23" s="26" t="str">
        <f t="shared" si="1"/>
        <v/>
      </c>
      <c r="I23" s="25"/>
      <c r="J23" s="15"/>
    </row>
    <row r="24" spans="1:10" x14ac:dyDescent="0.2">
      <c r="A24" s="23" t="str">
        <f t="shared" si="0"/>
        <v/>
      </c>
      <c r="B24" s="22"/>
      <c r="C24" s="24"/>
      <c r="D24" s="15"/>
      <c r="E24" s="24"/>
      <c r="F24" s="25"/>
      <c r="G24" s="21"/>
      <c r="H24" s="26" t="str">
        <f t="shared" si="1"/>
        <v/>
      </c>
      <c r="I24" s="25"/>
      <c r="J24" s="15"/>
    </row>
    <row r="25" spans="1:10" x14ac:dyDescent="0.2">
      <c r="A25" s="23" t="str">
        <f t="shared" si="0"/>
        <v/>
      </c>
      <c r="B25" s="22"/>
      <c r="C25" s="24"/>
      <c r="D25" s="15"/>
      <c r="E25" s="24"/>
      <c r="F25" s="25"/>
      <c r="G25" s="21"/>
      <c r="H25" s="26" t="str">
        <f t="shared" si="1"/>
        <v/>
      </c>
      <c r="I25" s="25"/>
      <c r="J25" s="15"/>
    </row>
    <row r="26" spans="1:10" x14ac:dyDescent="0.2">
      <c r="A26" s="23" t="str">
        <f t="shared" si="0"/>
        <v/>
      </c>
      <c r="B26" s="22"/>
      <c r="C26" s="24"/>
      <c r="D26" s="15"/>
      <c r="E26" s="24"/>
      <c r="F26" s="25"/>
      <c r="G26" s="21"/>
      <c r="H26" s="26" t="str">
        <f t="shared" si="1"/>
        <v/>
      </c>
      <c r="I26" s="25"/>
      <c r="J26" s="15"/>
    </row>
    <row r="27" spans="1:10" x14ac:dyDescent="0.2">
      <c r="A27" s="23" t="str">
        <f t="shared" si="0"/>
        <v/>
      </c>
      <c r="B27" s="22"/>
      <c r="C27" s="24"/>
      <c r="D27" s="15"/>
      <c r="E27" s="24"/>
      <c r="F27" s="25"/>
      <c r="G27" s="21"/>
      <c r="H27" s="26" t="str">
        <f t="shared" si="1"/>
        <v/>
      </c>
      <c r="I27" s="25"/>
      <c r="J27" s="15"/>
    </row>
    <row r="28" spans="1:10" x14ac:dyDescent="0.2">
      <c r="A28" s="23" t="str">
        <f t="shared" si="0"/>
        <v/>
      </c>
      <c r="B28" s="22"/>
      <c r="C28" s="24"/>
      <c r="D28" s="15"/>
      <c r="E28" s="24"/>
      <c r="F28" s="25"/>
      <c r="G28" s="21"/>
      <c r="H28" s="26" t="str">
        <f t="shared" si="1"/>
        <v/>
      </c>
      <c r="I28" s="25"/>
      <c r="J28" s="15"/>
    </row>
    <row r="29" spans="1:10" x14ac:dyDescent="0.2">
      <c r="A29" s="23" t="str">
        <f t="shared" si="0"/>
        <v/>
      </c>
      <c r="B29" s="22"/>
      <c r="C29" s="24"/>
      <c r="D29" s="15"/>
      <c r="E29" s="24"/>
      <c r="F29" s="25"/>
      <c r="G29" s="21"/>
      <c r="H29" s="26" t="str">
        <f t="shared" si="1"/>
        <v/>
      </c>
      <c r="I29" s="25"/>
      <c r="J29" s="15"/>
    </row>
    <row r="30" spans="1:10" x14ac:dyDescent="0.2">
      <c r="A30" s="23" t="str">
        <f t="shared" si="0"/>
        <v/>
      </c>
      <c r="B30" s="22"/>
      <c r="C30" s="24"/>
      <c r="D30" s="15"/>
      <c r="E30" s="24"/>
      <c r="F30" s="25"/>
      <c r="G30" s="21"/>
      <c r="H30" s="26" t="str">
        <f t="shared" si="1"/>
        <v/>
      </c>
      <c r="I30" s="25"/>
      <c r="J30" s="15"/>
    </row>
    <row r="31" spans="1:10" x14ac:dyDescent="0.2">
      <c r="A31" s="23" t="str">
        <f t="shared" si="0"/>
        <v/>
      </c>
      <c r="B31" s="22"/>
      <c r="C31" s="24"/>
      <c r="D31" s="15"/>
      <c r="E31" s="24"/>
      <c r="F31" s="25"/>
      <c r="G31" s="21"/>
      <c r="H31" s="26" t="str">
        <f t="shared" si="1"/>
        <v/>
      </c>
      <c r="I31" s="25"/>
      <c r="J31" s="15"/>
    </row>
    <row r="32" spans="1:10" x14ac:dyDescent="0.2">
      <c r="A32" s="23" t="str">
        <f t="shared" si="0"/>
        <v/>
      </c>
      <c r="B32" s="22"/>
      <c r="C32" s="24"/>
      <c r="D32" s="15"/>
      <c r="E32" s="24"/>
      <c r="F32" s="25"/>
      <c r="G32" s="21"/>
      <c r="H32" s="26" t="str">
        <f t="shared" si="1"/>
        <v/>
      </c>
      <c r="I32" s="25"/>
      <c r="J32" s="15"/>
    </row>
    <row r="33" spans="1:10" x14ac:dyDescent="0.2">
      <c r="A33" s="23" t="str">
        <f t="shared" si="0"/>
        <v/>
      </c>
      <c r="B33" s="22"/>
      <c r="C33" s="24"/>
      <c r="D33" s="15"/>
      <c r="E33" s="24"/>
      <c r="F33" s="25"/>
      <c r="G33" s="21"/>
      <c r="H33" s="26" t="str">
        <f t="shared" si="1"/>
        <v/>
      </c>
      <c r="I33" s="25"/>
      <c r="J33" s="15"/>
    </row>
    <row r="34" spans="1:10" x14ac:dyDescent="0.2">
      <c r="A34" s="23" t="str">
        <f t="shared" si="0"/>
        <v/>
      </c>
      <c r="B34" s="22"/>
      <c r="C34" s="24"/>
      <c r="D34" s="15"/>
      <c r="E34" s="24"/>
      <c r="F34" s="25"/>
      <c r="G34" s="21"/>
      <c r="H34" s="26" t="str">
        <f t="shared" si="1"/>
        <v/>
      </c>
      <c r="I34" s="25"/>
      <c r="J34" s="15"/>
    </row>
    <row r="35" spans="1:10" x14ac:dyDescent="0.2">
      <c r="A35" s="23" t="str">
        <f t="shared" si="0"/>
        <v/>
      </c>
      <c r="B35" s="22"/>
      <c r="C35" s="24"/>
      <c r="D35" s="15"/>
      <c r="E35" s="24"/>
      <c r="F35" s="25"/>
      <c r="G35" s="21"/>
      <c r="H35" s="26" t="str">
        <f t="shared" si="1"/>
        <v/>
      </c>
      <c r="I35" s="25"/>
      <c r="J35" s="15"/>
    </row>
    <row r="36" spans="1:10" x14ac:dyDescent="0.2">
      <c r="A36" s="23" t="str">
        <f t="shared" si="0"/>
        <v/>
      </c>
      <c r="B36" s="22"/>
      <c r="C36" s="24"/>
      <c r="D36" s="15"/>
      <c r="E36" s="24"/>
      <c r="F36" s="25"/>
      <c r="G36" s="21"/>
      <c r="H36" s="26" t="str">
        <f t="shared" si="1"/>
        <v/>
      </c>
      <c r="I36" s="25"/>
      <c r="J36" s="15"/>
    </row>
    <row r="37" spans="1:10" x14ac:dyDescent="0.2">
      <c r="A37" s="23" t="str">
        <f t="shared" ref="A37:A68" si="2">IF(B37="","",ROW()-4)</f>
        <v/>
      </c>
      <c r="B37" s="22"/>
      <c r="C37" s="24"/>
      <c r="D37" s="15"/>
      <c r="E37" s="24"/>
      <c r="F37" s="25"/>
      <c r="G37" s="21"/>
      <c r="H37" s="26" t="str">
        <f t="shared" ref="H37:H68" si="3">IF(OR(F37="",G37=""),"",F37*G37)</f>
        <v/>
      </c>
      <c r="I37" s="25"/>
      <c r="J37" s="15"/>
    </row>
    <row r="38" spans="1:10" x14ac:dyDescent="0.2">
      <c r="A38" s="23" t="str">
        <f t="shared" si="2"/>
        <v/>
      </c>
      <c r="B38" s="22"/>
      <c r="C38" s="24"/>
      <c r="D38" s="15"/>
      <c r="E38" s="24"/>
      <c r="F38" s="25"/>
      <c r="G38" s="21"/>
      <c r="H38" s="26" t="str">
        <f t="shared" si="3"/>
        <v/>
      </c>
      <c r="I38" s="25"/>
      <c r="J38" s="15"/>
    </row>
    <row r="39" spans="1:10" x14ac:dyDescent="0.2">
      <c r="A39" s="23" t="str">
        <f t="shared" si="2"/>
        <v/>
      </c>
      <c r="B39" s="22"/>
      <c r="C39" s="24"/>
      <c r="D39" s="15"/>
      <c r="E39" s="24"/>
      <c r="F39" s="25"/>
      <c r="G39" s="21"/>
      <c r="H39" s="26" t="str">
        <f t="shared" si="3"/>
        <v/>
      </c>
      <c r="I39" s="25"/>
      <c r="J39" s="15"/>
    </row>
    <row r="40" spans="1:10" x14ac:dyDescent="0.2">
      <c r="A40" s="23" t="str">
        <f t="shared" si="2"/>
        <v/>
      </c>
      <c r="B40" s="22"/>
      <c r="C40" s="24"/>
      <c r="D40" s="15"/>
      <c r="E40" s="24"/>
      <c r="F40" s="25"/>
      <c r="G40" s="21"/>
      <c r="H40" s="26" t="str">
        <f t="shared" si="3"/>
        <v/>
      </c>
      <c r="I40" s="25"/>
      <c r="J40" s="15"/>
    </row>
    <row r="41" spans="1:10" x14ac:dyDescent="0.2">
      <c r="A41" s="23" t="str">
        <f t="shared" si="2"/>
        <v/>
      </c>
      <c r="B41" s="22"/>
      <c r="C41" s="24"/>
      <c r="D41" s="15"/>
      <c r="E41" s="24"/>
      <c r="F41" s="25"/>
      <c r="G41" s="21"/>
      <c r="H41" s="26" t="str">
        <f t="shared" si="3"/>
        <v/>
      </c>
      <c r="I41" s="25"/>
      <c r="J41" s="15"/>
    </row>
    <row r="42" spans="1:10" x14ac:dyDescent="0.2">
      <c r="A42" s="23" t="str">
        <f t="shared" si="2"/>
        <v/>
      </c>
      <c r="B42" s="22"/>
      <c r="C42" s="24"/>
      <c r="D42" s="15"/>
      <c r="E42" s="24"/>
      <c r="F42" s="25"/>
      <c r="G42" s="21"/>
      <c r="H42" s="26" t="str">
        <f t="shared" si="3"/>
        <v/>
      </c>
      <c r="I42" s="25"/>
      <c r="J42" s="15"/>
    </row>
    <row r="43" spans="1:10" x14ac:dyDescent="0.2">
      <c r="A43" s="23" t="str">
        <f t="shared" si="2"/>
        <v/>
      </c>
      <c r="B43" s="22"/>
      <c r="C43" s="24"/>
      <c r="D43" s="15"/>
      <c r="E43" s="24"/>
      <c r="F43" s="25"/>
      <c r="G43" s="21"/>
      <c r="H43" s="26" t="str">
        <f t="shared" si="3"/>
        <v/>
      </c>
      <c r="I43" s="25"/>
      <c r="J43" s="15"/>
    </row>
    <row r="44" spans="1:10" x14ac:dyDescent="0.2">
      <c r="A44" s="23" t="str">
        <f t="shared" si="2"/>
        <v/>
      </c>
      <c r="B44" s="22"/>
      <c r="C44" s="24"/>
      <c r="D44" s="15"/>
      <c r="E44" s="24"/>
      <c r="F44" s="25"/>
      <c r="G44" s="21"/>
      <c r="H44" s="26" t="str">
        <f t="shared" si="3"/>
        <v/>
      </c>
      <c r="I44" s="25"/>
      <c r="J44" s="15"/>
    </row>
    <row r="45" spans="1:10" x14ac:dyDescent="0.2">
      <c r="A45" s="23" t="str">
        <f t="shared" si="2"/>
        <v/>
      </c>
      <c r="B45" s="22"/>
      <c r="C45" s="24"/>
      <c r="D45" s="15"/>
      <c r="E45" s="24"/>
      <c r="F45" s="25"/>
      <c r="G45" s="21"/>
      <c r="H45" s="26" t="str">
        <f t="shared" si="3"/>
        <v/>
      </c>
      <c r="I45" s="25"/>
      <c r="J45" s="15"/>
    </row>
    <row r="46" spans="1:10" x14ac:dyDescent="0.2">
      <c r="A46" s="23" t="str">
        <f t="shared" si="2"/>
        <v/>
      </c>
      <c r="B46" s="22"/>
      <c r="C46" s="24"/>
      <c r="D46" s="15"/>
      <c r="E46" s="24"/>
      <c r="F46" s="25"/>
      <c r="G46" s="21"/>
      <c r="H46" s="26" t="str">
        <f t="shared" si="3"/>
        <v/>
      </c>
      <c r="I46" s="25"/>
      <c r="J46" s="15"/>
    </row>
    <row r="47" spans="1:10" x14ac:dyDescent="0.2">
      <c r="A47" s="23" t="str">
        <f t="shared" si="2"/>
        <v/>
      </c>
      <c r="B47" s="22"/>
      <c r="C47" s="24"/>
      <c r="D47" s="15"/>
      <c r="E47" s="24"/>
      <c r="F47" s="25"/>
      <c r="G47" s="21"/>
      <c r="H47" s="26" t="str">
        <f t="shared" si="3"/>
        <v/>
      </c>
      <c r="I47" s="25"/>
      <c r="J47" s="15"/>
    </row>
    <row r="48" spans="1:10" x14ac:dyDescent="0.2">
      <c r="A48" s="23" t="str">
        <f t="shared" si="2"/>
        <v/>
      </c>
      <c r="B48" s="22"/>
      <c r="C48" s="24"/>
      <c r="D48" s="15"/>
      <c r="E48" s="24"/>
      <c r="F48" s="25"/>
      <c r="G48" s="21"/>
      <c r="H48" s="26" t="str">
        <f t="shared" si="3"/>
        <v/>
      </c>
      <c r="I48" s="25"/>
      <c r="J48" s="15"/>
    </row>
    <row r="49" spans="1:10" x14ac:dyDescent="0.2">
      <c r="A49" s="23" t="str">
        <f t="shared" si="2"/>
        <v/>
      </c>
      <c r="B49" s="22"/>
      <c r="C49" s="24"/>
      <c r="D49" s="15"/>
      <c r="E49" s="24"/>
      <c r="F49" s="25"/>
      <c r="G49" s="21"/>
      <c r="H49" s="26" t="str">
        <f t="shared" si="3"/>
        <v/>
      </c>
      <c r="I49" s="25"/>
      <c r="J49" s="15"/>
    </row>
    <row r="50" spans="1:10" x14ac:dyDescent="0.2">
      <c r="A50" s="23" t="str">
        <f t="shared" si="2"/>
        <v/>
      </c>
      <c r="B50" s="22"/>
      <c r="C50" s="24"/>
      <c r="D50" s="15"/>
      <c r="E50" s="24"/>
      <c r="F50" s="25"/>
      <c r="G50" s="21"/>
      <c r="H50" s="26" t="str">
        <f t="shared" si="3"/>
        <v/>
      </c>
      <c r="I50" s="25"/>
      <c r="J50" s="15"/>
    </row>
    <row r="51" spans="1:10" x14ac:dyDescent="0.2">
      <c r="A51" s="23" t="str">
        <f t="shared" si="2"/>
        <v/>
      </c>
      <c r="B51" s="22"/>
      <c r="C51" s="24"/>
      <c r="D51" s="15"/>
      <c r="E51" s="24"/>
      <c r="F51" s="25"/>
      <c r="G51" s="21"/>
      <c r="H51" s="26" t="str">
        <f t="shared" si="3"/>
        <v/>
      </c>
      <c r="I51" s="25"/>
      <c r="J51" s="15"/>
    </row>
    <row r="52" spans="1:10" x14ac:dyDescent="0.2">
      <c r="A52" s="23" t="str">
        <f t="shared" si="2"/>
        <v/>
      </c>
      <c r="B52" s="22"/>
      <c r="C52" s="24"/>
      <c r="D52" s="15"/>
      <c r="E52" s="24"/>
      <c r="F52" s="25"/>
      <c r="G52" s="21"/>
      <c r="H52" s="26" t="str">
        <f t="shared" si="3"/>
        <v/>
      </c>
      <c r="I52" s="25"/>
      <c r="J52" s="15"/>
    </row>
    <row r="53" spans="1:10" x14ac:dyDescent="0.2">
      <c r="A53" s="23" t="str">
        <f t="shared" si="2"/>
        <v/>
      </c>
      <c r="B53" s="22"/>
      <c r="C53" s="24"/>
      <c r="D53" s="15"/>
      <c r="E53" s="24"/>
      <c r="F53" s="25"/>
      <c r="G53" s="21"/>
      <c r="H53" s="26" t="str">
        <f t="shared" si="3"/>
        <v/>
      </c>
      <c r="I53" s="25"/>
      <c r="J53" s="15"/>
    </row>
    <row r="54" spans="1:10" x14ac:dyDescent="0.2">
      <c r="A54" s="23" t="str">
        <f t="shared" si="2"/>
        <v/>
      </c>
      <c r="B54" s="22"/>
      <c r="C54" s="24"/>
      <c r="D54" s="15"/>
      <c r="E54" s="24"/>
      <c r="F54" s="25"/>
      <c r="G54" s="21"/>
      <c r="H54" s="26" t="str">
        <f t="shared" si="3"/>
        <v/>
      </c>
      <c r="I54" s="25"/>
      <c r="J54" s="15"/>
    </row>
    <row r="55" spans="1:10" x14ac:dyDescent="0.2">
      <c r="A55" s="23" t="str">
        <f t="shared" si="2"/>
        <v/>
      </c>
      <c r="B55" s="22"/>
      <c r="C55" s="24"/>
      <c r="D55" s="15"/>
      <c r="E55" s="24"/>
      <c r="F55" s="25"/>
      <c r="G55" s="21"/>
      <c r="H55" s="26" t="str">
        <f t="shared" si="3"/>
        <v/>
      </c>
      <c r="I55" s="25"/>
      <c r="J55" s="15"/>
    </row>
    <row r="56" spans="1:10" x14ac:dyDescent="0.2">
      <c r="A56" s="23" t="str">
        <f t="shared" si="2"/>
        <v/>
      </c>
      <c r="B56" s="22"/>
      <c r="C56" s="24"/>
      <c r="D56" s="15"/>
      <c r="E56" s="24"/>
      <c r="F56" s="25"/>
      <c r="G56" s="21"/>
      <c r="H56" s="26" t="str">
        <f t="shared" si="3"/>
        <v/>
      </c>
      <c r="I56" s="25"/>
      <c r="J56" s="15"/>
    </row>
    <row r="57" spans="1:10" x14ac:dyDescent="0.2">
      <c r="A57" s="23" t="str">
        <f t="shared" si="2"/>
        <v/>
      </c>
      <c r="B57" s="22"/>
      <c r="C57" s="24"/>
      <c r="D57" s="15"/>
      <c r="E57" s="24"/>
      <c r="F57" s="25"/>
      <c r="G57" s="21"/>
      <c r="H57" s="26" t="str">
        <f t="shared" si="3"/>
        <v/>
      </c>
      <c r="I57" s="25"/>
      <c r="J57" s="15"/>
    </row>
    <row r="58" spans="1:10" x14ac:dyDescent="0.2">
      <c r="A58" s="23" t="str">
        <f t="shared" si="2"/>
        <v/>
      </c>
      <c r="B58" s="22"/>
      <c r="C58" s="24"/>
      <c r="D58" s="15"/>
      <c r="E58" s="24"/>
      <c r="F58" s="25"/>
      <c r="G58" s="21"/>
      <c r="H58" s="26" t="str">
        <f t="shared" si="3"/>
        <v/>
      </c>
      <c r="I58" s="25"/>
      <c r="J58" s="15"/>
    </row>
    <row r="59" spans="1:10" x14ac:dyDescent="0.2">
      <c r="A59" s="23" t="str">
        <f t="shared" si="2"/>
        <v/>
      </c>
      <c r="B59" s="22"/>
      <c r="C59" s="24"/>
      <c r="D59" s="15"/>
      <c r="E59" s="24"/>
      <c r="F59" s="25"/>
      <c r="G59" s="21"/>
      <c r="H59" s="26" t="str">
        <f t="shared" si="3"/>
        <v/>
      </c>
      <c r="I59" s="25"/>
      <c r="J59" s="15"/>
    </row>
    <row r="60" spans="1:10" x14ac:dyDescent="0.2">
      <c r="A60" s="23" t="str">
        <f t="shared" si="2"/>
        <v/>
      </c>
      <c r="B60" s="22"/>
      <c r="C60" s="24"/>
      <c r="D60" s="15"/>
      <c r="E60" s="24"/>
      <c r="F60" s="25"/>
      <c r="G60" s="21"/>
      <c r="H60" s="26" t="str">
        <f t="shared" si="3"/>
        <v/>
      </c>
      <c r="I60" s="25"/>
      <c r="J60" s="15"/>
    </row>
    <row r="61" spans="1:10" x14ac:dyDescent="0.2">
      <c r="A61" s="23" t="str">
        <f t="shared" si="2"/>
        <v/>
      </c>
      <c r="B61" s="22"/>
      <c r="C61" s="24"/>
      <c r="D61" s="15"/>
      <c r="E61" s="24"/>
      <c r="F61" s="25"/>
      <c r="G61" s="21"/>
      <c r="H61" s="26" t="str">
        <f t="shared" si="3"/>
        <v/>
      </c>
      <c r="I61" s="25"/>
      <c r="J61" s="15"/>
    </row>
    <row r="62" spans="1:10" x14ac:dyDescent="0.2">
      <c r="A62" s="23" t="str">
        <f t="shared" si="2"/>
        <v/>
      </c>
      <c r="B62" s="22"/>
      <c r="C62" s="24"/>
      <c r="D62" s="15"/>
      <c r="E62" s="24"/>
      <c r="F62" s="25"/>
      <c r="G62" s="21"/>
      <c r="H62" s="26" t="str">
        <f t="shared" si="3"/>
        <v/>
      </c>
      <c r="I62" s="25"/>
      <c r="J62" s="15"/>
    </row>
    <row r="63" spans="1:10" x14ac:dyDescent="0.2">
      <c r="A63" s="23" t="str">
        <f t="shared" si="2"/>
        <v/>
      </c>
      <c r="B63" s="22"/>
      <c r="C63" s="24"/>
      <c r="D63" s="15"/>
      <c r="E63" s="24"/>
      <c r="F63" s="25"/>
      <c r="G63" s="21"/>
      <c r="H63" s="26" t="str">
        <f t="shared" si="3"/>
        <v/>
      </c>
      <c r="I63" s="25"/>
      <c r="J63" s="15"/>
    </row>
    <row r="64" spans="1:10" x14ac:dyDescent="0.2">
      <c r="A64" s="23" t="str">
        <f t="shared" si="2"/>
        <v/>
      </c>
      <c r="B64" s="22"/>
      <c r="C64" s="24"/>
      <c r="D64" s="15"/>
      <c r="E64" s="24"/>
      <c r="F64" s="25"/>
      <c r="G64" s="21"/>
      <c r="H64" s="26" t="str">
        <f t="shared" si="3"/>
        <v/>
      </c>
      <c r="I64" s="25"/>
      <c r="J64" s="15"/>
    </row>
    <row r="65" spans="1:10" x14ac:dyDescent="0.2">
      <c r="A65" s="23" t="str">
        <f t="shared" si="2"/>
        <v/>
      </c>
      <c r="B65" s="22"/>
      <c r="C65" s="24"/>
      <c r="D65" s="15"/>
      <c r="E65" s="24"/>
      <c r="F65" s="25"/>
      <c r="G65" s="21"/>
      <c r="H65" s="26" t="str">
        <f t="shared" si="3"/>
        <v/>
      </c>
      <c r="I65" s="25"/>
      <c r="J65" s="15"/>
    </row>
    <row r="66" spans="1:10" x14ac:dyDescent="0.2">
      <c r="A66" s="23" t="str">
        <f t="shared" si="2"/>
        <v/>
      </c>
      <c r="B66" s="22"/>
      <c r="C66" s="24"/>
      <c r="D66" s="15"/>
      <c r="E66" s="24"/>
      <c r="F66" s="25"/>
      <c r="G66" s="21"/>
      <c r="H66" s="26" t="str">
        <f t="shared" si="3"/>
        <v/>
      </c>
      <c r="I66" s="25"/>
      <c r="J66" s="15"/>
    </row>
    <row r="67" spans="1:10" x14ac:dyDescent="0.2">
      <c r="A67" s="23" t="str">
        <f t="shared" si="2"/>
        <v/>
      </c>
      <c r="B67" s="22"/>
      <c r="C67" s="24"/>
      <c r="D67" s="15"/>
      <c r="E67" s="24"/>
      <c r="F67" s="25"/>
      <c r="G67" s="21"/>
      <c r="H67" s="26" t="str">
        <f t="shared" si="3"/>
        <v/>
      </c>
      <c r="I67" s="25"/>
      <c r="J67" s="15"/>
    </row>
    <row r="68" spans="1:10" x14ac:dyDescent="0.2">
      <c r="A68" s="23" t="str">
        <f t="shared" si="2"/>
        <v/>
      </c>
      <c r="B68" s="22"/>
      <c r="C68" s="24"/>
      <c r="D68" s="15"/>
      <c r="E68" s="24"/>
      <c r="F68" s="25"/>
      <c r="G68" s="21"/>
      <c r="H68" s="26" t="str">
        <f t="shared" si="3"/>
        <v/>
      </c>
      <c r="I68" s="25"/>
      <c r="J68" s="15"/>
    </row>
    <row r="69" spans="1:10" x14ac:dyDescent="0.2">
      <c r="A69" s="23" t="str">
        <f t="shared" ref="A69:A100" si="4">IF(B69="","",ROW()-4)</f>
        <v/>
      </c>
      <c r="B69" s="22"/>
      <c r="C69" s="24"/>
      <c r="D69" s="15"/>
      <c r="E69" s="24"/>
      <c r="F69" s="25"/>
      <c r="G69" s="21"/>
      <c r="H69" s="26" t="str">
        <f t="shared" ref="H69:H100" si="5">IF(OR(F69="",G69=""),"",F69*G69)</f>
        <v/>
      </c>
      <c r="I69" s="25"/>
      <c r="J69" s="15"/>
    </row>
    <row r="70" spans="1:10" x14ac:dyDescent="0.2">
      <c r="A70" s="23" t="str">
        <f t="shared" si="4"/>
        <v/>
      </c>
      <c r="B70" s="22"/>
      <c r="C70" s="24"/>
      <c r="D70" s="15"/>
      <c r="E70" s="24"/>
      <c r="F70" s="25"/>
      <c r="G70" s="21"/>
      <c r="H70" s="26" t="str">
        <f t="shared" si="5"/>
        <v/>
      </c>
      <c r="I70" s="25"/>
      <c r="J70" s="15"/>
    </row>
    <row r="71" spans="1:10" x14ac:dyDescent="0.2">
      <c r="A71" s="23" t="str">
        <f t="shared" si="4"/>
        <v/>
      </c>
      <c r="B71" s="22"/>
      <c r="C71" s="24"/>
      <c r="D71" s="15"/>
      <c r="E71" s="24"/>
      <c r="F71" s="25"/>
      <c r="G71" s="21"/>
      <c r="H71" s="26" t="str">
        <f t="shared" si="5"/>
        <v/>
      </c>
      <c r="I71" s="25"/>
      <c r="J71" s="15"/>
    </row>
    <row r="72" spans="1:10" x14ac:dyDescent="0.2">
      <c r="A72" s="23" t="str">
        <f t="shared" si="4"/>
        <v/>
      </c>
      <c r="B72" s="22"/>
      <c r="C72" s="24"/>
      <c r="D72" s="15"/>
      <c r="E72" s="24"/>
      <c r="F72" s="25"/>
      <c r="G72" s="21"/>
      <c r="H72" s="26" t="str">
        <f t="shared" si="5"/>
        <v/>
      </c>
      <c r="I72" s="25"/>
      <c r="J72" s="15"/>
    </row>
    <row r="73" spans="1:10" x14ac:dyDescent="0.2">
      <c r="A73" s="23" t="str">
        <f t="shared" si="4"/>
        <v/>
      </c>
      <c r="B73" s="22"/>
      <c r="C73" s="24"/>
      <c r="D73" s="15"/>
      <c r="E73" s="24"/>
      <c r="F73" s="25"/>
      <c r="G73" s="21"/>
      <c r="H73" s="26" t="str">
        <f t="shared" si="5"/>
        <v/>
      </c>
      <c r="I73" s="25"/>
      <c r="J73" s="15"/>
    </row>
    <row r="74" spans="1:10" x14ac:dyDescent="0.2">
      <c r="A74" s="23" t="str">
        <f t="shared" si="4"/>
        <v/>
      </c>
      <c r="B74" s="22"/>
      <c r="C74" s="24"/>
      <c r="D74" s="15"/>
      <c r="E74" s="24"/>
      <c r="F74" s="25"/>
      <c r="G74" s="21"/>
      <c r="H74" s="26" t="str">
        <f t="shared" si="5"/>
        <v/>
      </c>
      <c r="I74" s="25"/>
      <c r="J74" s="15"/>
    </row>
    <row r="75" spans="1:10" x14ac:dyDescent="0.2">
      <c r="A75" s="23" t="str">
        <f t="shared" si="4"/>
        <v/>
      </c>
      <c r="B75" s="22"/>
      <c r="C75" s="24"/>
      <c r="D75" s="15"/>
      <c r="E75" s="24"/>
      <c r="F75" s="25"/>
      <c r="G75" s="21"/>
      <c r="H75" s="26" t="str">
        <f t="shared" si="5"/>
        <v/>
      </c>
      <c r="I75" s="25"/>
      <c r="J75" s="15"/>
    </row>
    <row r="76" spans="1:10" x14ac:dyDescent="0.2">
      <c r="A76" s="23" t="str">
        <f t="shared" si="4"/>
        <v/>
      </c>
      <c r="B76" s="22"/>
      <c r="C76" s="24"/>
      <c r="D76" s="15"/>
      <c r="E76" s="24"/>
      <c r="F76" s="25"/>
      <c r="G76" s="21"/>
      <c r="H76" s="26" t="str">
        <f t="shared" si="5"/>
        <v/>
      </c>
      <c r="I76" s="25"/>
      <c r="J76" s="15"/>
    </row>
    <row r="77" spans="1:10" x14ac:dyDescent="0.2">
      <c r="A77" s="23" t="str">
        <f t="shared" si="4"/>
        <v/>
      </c>
      <c r="B77" s="22"/>
      <c r="C77" s="24"/>
      <c r="D77" s="15"/>
      <c r="E77" s="24"/>
      <c r="F77" s="25"/>
      <c r="G77" s="21"/>
      <c r="H77" s="26" t="str">
        <f t="shared" si="5"/>
        <v/>
      </c>
      <c r="I77" s="25"/>
      <c r="J77" s="15"/>
    </row>
    <row r="78" spans="1:10" x14ac:dyDescent="0.2">
      <c r="A78" s="23" t="str">
        <f t="shared" si="4"/>
        <v/>
      </c>
      <c r="B78" s="22"/>
      <c r="C78" s="24"/>
      <c r="D78" s="15"/>
      <c r="E78" s="24"/>
      <c r="F78" s="25"/>
      <c r="G78" s="21"/>
      <c r="H78" s="26" t="str">
        <f t="shared" si="5"/>
        <v/>
      </c>
      <c r="I78" s="25"/>
      <c r="J78" s="15"/>
    </row>
    <row r="79" spans="1:10" x14ac:dyDescent="0.2">
      <c r="A79" s="23" t="str">
        <f t="shared" si="4"/>
        <v/>
      </c>
      <c r="B79" s="22"/>
      <c r="C79" s="24"/>
      <c r="D79" s="15"/>
      <c r="E79" s="24"/>
      <c r="F79" s="25"/>
      <c r="G79" s="21"/>
      <c r="H79" s="26" t="str">
        <f t="shared" si="5"/>
        <v/>
      </c>
      <c r="I79" s="25"/>
      <c r="J79" s="15"/>
    </row>
    <row r="80" spans="1:10" x14ac:dyDescent="0.2">
      <c r="A80" s="23" t="str">
        <f t="shared" si="4"/>
        <v/>
      </c>
      <c r="B80" s="22"/>
      <c r="C80" s="24"/>
      <c r="D80" s="15"/>
      <c r="E80" s="24"/>
      <c r="F80" s="25"/>
      <c r="G80" s="21"/>
      <c r="H80" s="26" t="str">
        <f t="shared" si="5"/>
        <v/>
      </c>
      <c r="I80" s="25"/>
      <c r="J80" s="15"/>
    </row>
    <row r="81" spans="1:10" x14ac:dyDescent="0.2">
      <c r="A81" s="23" t="str">
        <f t="shared" si="4"/>
        <v/>
      </c>
      <c r="B81" s="22"/>
      <c r="C81" s="24"/>
      <c r="D81" s="15"/>
      <c r="E81" s="24"/>
      <c r="F81" s="25"/>
      <c r="G81" s="21"/>
      <c r="H81" s="26" t="str">
        <f t="shared" si="5"/>
        <v/>
      </c>
      <c r="I81" s="25"/>
      <c r="J81" s="15"/>
    </row>
    <row r="82" spans="1:10" x14ac:dyDescent="0.2">
      <c r="A82" s="23" t="str">
        <f t="shared" si="4"/>
        <v/>
      </c>
      <c r="B82" s="22"/>
      <c r="C82" s="24"/>
      <c r="D82" s="15"/>
      <c r="E82" s="24"/>
      <c r="F82" s="25"/>
      <c r="G82" s="21"/>
      <c r="H82" s="26" t="str">
        <f t="shared" si="5"/>
        <v/>
      </c>
      <c r="I82" s="25"/>
      <c r="J82" s="15"/>
    </row>
    <row r="83" spans="1:10" x14ac:dyDescent="0.2">
      <c r="A83" s="23" t="str">
        <f t="shared" si="4"/>
        <v/>
      </c>
      <c r="B83" s="22"/>
      <c r="C83" s="24"/>
      <c r="D83" s="15"/>
      <c r="E83" s="24"/>
      <c r="F83" s="25"/>
      <c r="G83" s="21"/>
      <c r="H83" s="26" t="str">
        <f t="shared" si="5"/>
        <v/>
      </c>
      <c r="I83" s="25"/>
      <c r="J83" s="15"/>
    </row>
    <row r="84" spans="1:10" x14ac:dyDescent="0.2">
      <c r="A84" s="23" t="str">
        <f t="shared" si="4"/>
        <v/>
      </c>
      <c r="B84" s="22"/>
      <c r="C84" s="24"/>
      <c r="D84" s="15"/>
      <c r="E84" s="24"/>
      <c r="F84" s="25"/>
      <c r="G84" s="21"/>
      <c r="H84" s="26" t="str">
        <f t="shared" si="5"/>
        <v/>
      </c>
      <c r="I84" s="25"/>
      <c r="J84" s="15"/>
    </row>
    <row r="85" spans="1:10" x14ac:dyDescent="0.2">
      <c r="A85" s="23" t="str">
        <f t="shared" si="4"/>
        <v/>
      </c>
      <c r="B85" s="22"/>
      <c r="C85" s="24"/>
      <c r="D85" s="15"/>
      <c r="E85" s="24"/>
      <c r="F85" s="25"/>
      <c r="G85" s="21"/>
      <c r="H85" s="26" t="str">
        <f t="shared" si="5"/>
        <v/>
      </c>
      <c r="I85" s="25"/>
      <c r="J85" s="15"/>
    </row>
    <row r="86" spans="1:10" x14ac:dyDescent="0.2">
      <c r="A86" s="23" t="str">
        <f t="shared" si="4"/>
        <v/>
      </c>
      <c r="B86" s="22"/>
      <c r="C86" s="24"/>
      <c r="D86" s="15"/>
      <c r="E86" s="24"/>
      <c r="F86" s="25"/>
      <c r="G86" s="21"/>
      <c r="H86" s="26" t="str">
        <f t="shared" si="5"/>
        <v/>
      </c>
      <c r="I86" s="25"/>
      <c r="J86" s="15"/>
    </row>
    <row r="87" spans="1:10" x14ac:dyDescent="0.2">
      <c r="A87" s="23" t="str">
        <f t="shared" si="4"/>
        <v/>
      </c>
      <c r="B87" s="22"/>
      <c r="C87" s="24"/>
      <c r="D87" s="15"/>
      <c r="E87" s="24"/>
      <c r="F87" s="25"/>
      <c r="G87" s="21"/>
      <c r="H87" s="26" t="str">
        <f t="shared" si="5"/>
        <v/>
      </c>
      <c r="I87" s="25"/>
      <c r="J87" s="15"/>
    </row>
    <row r="88" spans="1:10" x14ac:dyDescent="0.2">
      <c r="A88" s="23" t="str">
        <f t="shared" si="4"/>
        <v/>
      </c>
      <c r="B88" s="22"/>
      <c r="C88" s="24"/>
      <c r="D88" s="15"/>
      <c r="E88" s="24"/>
      <c r="F88" s="25"/>
      <c r="G88" s="21"/>
      <c r="H88" s="26" t="str">
        <f t="shared" si="5"/>
        <v/>
      </c>
      <c r="I88" s="25"/>
      <c r="J88" s="15"/>
    </row>
    <row r="89" spans="1:10" x14ac:dyDescent="0.2">
      <c r="A89" s="23" t="str">
        <f t="shared" si="4"/>
        <v/>
      </c>
      <c r="B89" s="22"/>
      <c r="C89" s="24"/>
      <c r="D89" s="15"/>
      <c r="E89" s="24"/>
      <c r="F89" s="25"/>
      <c r="G89" s="21"/>
      <c r="H89" s="26" t="str">
        <f t="shared" si="5"/>
        <v/>
      </c>
      <c r="I89" s="25"/>
      <c r="J89" s="15"/>
    </row>
    <row r="90" spans="1:10" x14ac:dyDescent="0.2">
      <c r="A90" s="23" t="str">
        <f t="shared" si="4"/>
        <v/>
      </c>
      <c r="B90" s="22"/>
      <c r="C90" s="24"/>
      <c r="D90" s="15"/>
      <c r="E90" s="24"/>
      <c r="F90" s="25"/>
      <c r="G90" s="21"/>
      <c r="H90" s="26" t="str">
        <f t="shared" si="5"/>
        <v/>
      </c>
      <c r="I90" s="25"/>
      <c r="J90" s="15"/>
    </row>
    <row r="91" spans="1:10" x14ac:dyDescent="0.2">
      <c r="A91" s="23" t="str">
        <f t="shared" si="4"/>
        <v/>
      </c>
      <c r="B91" s="22"/>
      <c r="C91" s="24"/>
      <c r="D91" s="15"/>
      <c r="E91" s="24"/>
      <c r="F91" s="25"/>
      <c r="G91" s="21"/>
      <c r="H91" s="26" t="str">
        <f t="shared" si="5"/>
        <v/>
      </c>
      <c r="I91" s="25"/>
      <c r="J91" s="15"/>
    </row>
    <row r="92" spans="1:10" x14ac:dyDescent="0.2">
      <c r="A92" s="23" t="str">
        <f t="shared" si="4"/>
        <v/>
      </c>
      <c r="B92" s="22"/>
      <c r="C92" s="24"/>
      <c r="D92" s="15"/>
      <c r="E92" s="24"/>
      <c r="F92" s="25"/>
      <c r="G92" s="21"/>
      <c r="H92" s="26" t="str">
        <f t="shared" si="5"/>
        <v/>
      </c>
      <c r="I92" s="25"/>
      <c r="J92" s="15"/>
    </row>
    <row r="93" spans="1:10" x14ac:dyDescent="0.2">
      <c r="A93" s="23" t="str">
        <f t="shared" si="4"/>
        <v/>
      </c>
      <c r="B93" s="22"/>
      <c r="C93" s="24"/>
      <c r="D93" s="15"/>
      <c r="E93" s="24"/>
      <c r="F93" s="25"/>
      <c r="G93" s="21"/>
      <c r="H93" s="26" t="str">
        <f t="shared" si="5"/>
        <v/>
      </c>
      <c r="I93" s="25"/>
      <c r="J93" s="15"/>
    </row>
    <row r="94" spans="1:10" x14ac:dyDescent="0.2">
      <c r="A94" s="23" t="str">
        <f t="shared" si="4"/>
        <v/>
      </c>
      <c r="B94" s="22"/>
      <c r="C94" s="24"/>
      <c r="D94" s="15"/>
      <c r="E94" s="24"/>
      <c r="F94" s="25"/>
      <c r="G94" s="21"/>
      <c r="H94" s="26" t="str">
        <f t="shared" si="5"/>
        <v/>
      </c>
      <c r="I94" s="25"/>
      <c r="J94" s="15"/>
    </row>
    <row r="95" spans="1:10" x14ac:dyDescent="0.2">
      <c r="A95" s="23" t="str">
        <f t="shared" si="4"/>
        <v/>
      </c>
      <c r="B95" s="22"/>
      <c r="C95" s="24"/>
      <c r="D95" s="15"/>
      <c r="E95" s="24"/>
      <c r="F95" s="25"/>
      <c r="G95" s="21"/>
      <c r="H95" s="26" t="str">
        <f t="shared" si="5"/>
        <v/>
      </c>
      <c r="I95" s="25"/>
      <c r="J95" s="15"/>
    </row>
    <row r="96" spans="1:10" x14ac:dyDescent="0.2">
      <c r="A96" s="23" t="str">
        <f t="shared" si="4"/>
        <v/>
      </c>
      <c r="B96" s="22"/>
      <c r="C96" s="24"/>
      <c r="D96" s="15"/>
      <c r="E96" s="24"/>
      <c r="F96" s="25"/>
      <c r="G96" s="21"/>
      <c r="H96" s="26" t="str">
        <f t="shared" si="5"/>
        <v/>
      </c>
      <c r="I96" s="25"/>
      <c r="J96" s="15"/>
    </row>
    <row r="97" spans="1:10" x14ac:dyDescent="0.2">
      <c r="A97" s="23" t="str">
        <f t="shared" si="4"/>
        <v/>
      </c>
      <c r="B97" s="22"/>
      <c r="C97" s="24"/>
      <c r="D97" s="15"/>
      <c r="E97" s="24"/>
      <c r="F97" s="25"/>
      <c r="G97" s="21"/>
      <c r="H97" s="26" t="str">
        <f t="shared" si="5"/>
        <v/>
      </c>
      <c r="I97" s="25"/>
      <c r="J97" s="15"/>
    </row>
    <row r="98" spans="1:10" x14ac:dyDescent="0.2">
      <c r="A98" s="23" t="str">
        <f t="shared" si="4"/>
        <v/>
      </c>
      <c r="B98" s="22"/>
      <c r="C98" s="24"/>
      <c r="D98" s="15"/>
      <c r="E98" s="24"/>
      <c r="F98" s="25"/>
      <c r="G98" s="21"/>
      <c r="H98" s="26" t="str">
        <f t="shared" si="5"/>
        <v/>
      </c>
      <c r="I98" s="25"/>
      <c r="J98" s="15"/>
    </row>
    <row r="99" spans="1:10" x14ac:dyDescent="0.2">
      <c r="A99" s="23" t="str">
        <f t="shared" si="4"/>
        <v/>
      </c>
      <c r="B99" s="22"/>
      <c r="C99" s="24"/>
      <c r="D99" s="15"/>
      <c r="E99" s="24"/>
      <c r="F99" s="25"/>
      <c r="G99" s="21"/>
      <c r="H99" s="26" t="str">
        <f t="shared" si="5"/>
        <v/>
      </c>
      <c r="I99" s="25"/>
      <c r="J99" s="15"/>
    </row>
    <row r="100" spans="1:10" x14ac:dyDescent="0.2">
      <c r="A100" s="23" t="str">
        <f t="shared" si="4"/>
        <v/>
      </c>
      <c r="B100" s="22"/>
      <c r="C100" s="24"/>
      <c r="D100" s="15"/>
      <c r="E100" s="24"/>
      <c r="F100" s="25"/>
      <c r="G100" s="21"/>
      <c r="H100" s="26" t="str">
        <f t="shared" si="5"/>
        <v/>
      </c>
      <c r="I100" s="25"/>
      <c r="J100" s="15"/>
    </row>
    <row r="101" spans="1:10" x14ac:dyDescent="0.2">
      <c r="A101" s="23" t="str">
        <f t="shared" ref="A101:A132" si="6">IF(B101="","",ROW()-4)</f>
        <v/>
      </c>
      <c r="B101" s="22"/>
      <c r="C101" s="24"/>
      <c r="D101" s="15"/>
      <c r="E101" s="24"/>
      <c r="F101" s="25"/>
      <c r="G101" s="21"/>
      <c r="H101" s="26" t="str">
        <f t="shared" ref="H101:H132" si="7">IF(OR(F101="",G101=""),"",F101*G101)</f>
        <v/>
      </c>
      <c r="I101" s="25"/>
      <c r="J101" s="15"/>
    </row>
    <row r="102" spans="1:10" x14ac:dyDescent="0.2">
      <c r="A102" s="23" t="str">
        <f t="shared" si="6"/>
        <v/>
      </c>
      <c r="B102" s="22"/>
      <c r="C102" s="24"/>
      <c r="D102" s="15"/>
      <c r="E102" s="24"/>
      <c r="F102" s="25"/>
      <c r="G102" s="21"/>
      <c r="H102" s="26" t="str">
        <f t="shared" si="7"/>
        <v/>
      </c>
      <c r="I102" s="25"/>
      <c r="J102" s="15"/>
    </row>
    <row r="103" spans="1:10" x14ac:dyDescent="0.2">
      <c r="A103" s="23" t="str">
        <f t="shared" si="6"/>
        <v/>
      </c>
      <c r="B103" s="22"/>
      <c r="C103" s="24"/>
      <c r="D103" s="15"/>
      <c r="E103" s="24"/>
      <c r="F103" s="25"/>
      <c r="G103" s="21"/>
      <c r="H103" s="26" t="str">
        <f t="shared" si="7"/>
        <v/>
      </c>
      <c r="I103" s="25"/>
      <c r="J103" s="15"/>
    </row>
    <row r="104" spans="1:10" x14ac:dyDescent="0.2">
      <c r="A104" s="23" t="str">
        <f t="shared" si="6"/>
        <v/>
      </c>
      <c r="B104" s="22"/>
      <c r="C104" s="24"/>
      <c r="D104" s="15"/>
      <c r="E104" s="24"/>
      <c r="F104" s="25"/>
      <c r="G104" s="21"/>
      <c r="H104" s="26" t="str">
        <f t="shared" si="7"/>
        <v/>
      </c>
      <c r="I104" s="25"/>
      <c r="J104" s="15"/>
    </row>
    <row r="105" spans="1:10" x14ac:dyDescent="0.2">
      <c r="A105" s="23" t="str">
        <f t="shared" si="6"/>
        <v/>
      </c>
      <c r="B105" s="22"/>
      <c r="C105" s="24"/>
      <c r="D105" s="15"/>
      <c r="E105" s="24"/>
      <c r="F105" s="25"/>
      <c r="G105" s="21"/>
      <c r="H105" s="26" t="str">
        <f t="shared" si="7"/>
        <v/>
      </c>
      <c r="I105" s="25"/>
      <c r="J105" s="15"/>
    </row>
    <row r="106" spans="1:10" x14ac:dyDescent="0.2">
      <c r="A106" s="23" t="str">
        <f t="shared" si="6"/>
        <v/>
      </c>
      <c r="B106" s="22"/>
      <c r="C106" s="24"/>
      <c r="D106" s="15"/>
      <c r="E106" s="24"/>
      <c r="F106" s="25"/>
      <c r="G106" s="21"/>
      <c r="H106" s="26" t="str">
        <f t="shared" si="7"/>
        <v/>
      </c>
      <c r="I106" s="25"/>
      <c r="J106" s="15"/>
    </row>
    <row r="107" spans="1:10" x14ac:dyDescent="0.2">
      <c r="A107" s="23" t="str">
        <f t="shared" si="6"/>
        <v/>
      </c>
      <c r="B107" s="22"/>
      <c r="C107" s="24"/>
      <c r="D107" s="15"/>
      <c r="E107" s="24"/>
      <c r="F107" s="25"/>
      <c r="G107" s="21"/>
      <c r="H107" s="26" t="str">
        <f t="shared" si="7"/>
        <v/>
      </c>
      <c r="I107" s="25"/>
      <c r="J107" s="15"/>
    </row>
    <row r="108" spans="1:10" x14ac:dyDescent="0.2">
      <c r="A108" s="23" t="str">
        <f t="shared" si="6"/>
        <v/>
      </c>
      <c r="B108" s="22"/>
      <c r="C108" s="24"/>
      <c r="D108" s="15"/>
      <c r="E108" s="24"/>
      <c r="F108" s="25"/>
      <c r="G108" s="21"/>
      <c r="H108" s="26" t="str">
        <f t="shared" si="7"/>
        <v/>
      </c>
      <c r="I108" s="25"/>
      <c r="J108" s="15"/>
    </row>
    <row r="109" spans="1:10" x14ac:dyDescent="0.2">
      <c r="A109" s="23" t="str">
        <f t="shared" si="6"/>
        <v/>
      </c>
      <c r="B109" s="22"/>
      <c r="C109" s="24"/>
      <c r="D109" s="15"/>
      <c r="E109" s="24"/>
      <c r="F109" s="25"/>
      <c r="G109" s="21"/>
      <c r="H109" s="26" t="str">
        <f t="shared" si="7"/>
        <v/>
      </c>
      <c r="I109" s="25"/>
      <c r="J109" s="15"/>
    </row>
    <row r="110" spans="1:10" x14ac:dyDescent="0.2">
      <c r="A110" s="23" t="str">
        <f t="shared" si="6"/>
        <v/>
      </c>
      <c r="B110" s="22"/>
      <c r="C110" s="24"/>
      <c r="D110" s="15"/>
      <c r="E110" s="24"/>
      <c r="F110" s="25"/>
      <c r="G110" s="21"/>
      <c r="H110" s="26" t="str">
        <f t="shared" si="7"/>
        <v/>
      </c>
      <c r="I110" s="25"/>
      <c r="J110" s="15"/>
    </row>
    <row r="111" spans="1:10" x14ac:dyDescent="0.2">
      <c r="A111" s="23" t="str">
        <f t="shared" si="6"/>
        <v/>
      </c>
      <c r="B111" s="22"/>
      <c r="C111" s="24"/>
      <c r="D111" s="15"/>
      <c r="E111" s="24"/>
      <c r="F111" s="25"/>
      <c r="G111" s="21"/>
      <c r="H111" s="26" t="str">
        <f t="shared" si="7"/>
        <v/>
      </c>
      <c r="I111" s="25"/>
      <c r="J111" s="15"/>
    </row>
    <row r="112" spans="1:10" x14ac:dyDescent="0.2">
      <c r="A112" s="23" t="str">
        <f t="shared" si="6"/>
        <v/>
      </c>
      <c r="B112" s="22"/>
      <c r="C112" s="24"/>
      <c r="D112" s="15"/>
      <c r="E112" s="24"/>
      <c r="F112" s="25"/>
      <c r="G112" s="21"/>
      <c r="H112" s="26" t="str">
        <f t="shared" si="7"/>
        <v/>
      </c>
      <c r="I112" s="25"/>
      <c r="J112" s="15"/>
    </row>
    <row r="113" spans="1:10" x14ac:dyDescent="0.2">
      <c r="A113" s="23" t="str">
        <f t="shared" si="6"/>
        <v/>
      </c>
      <c r="B113" s="22"/>
      <c r="C113" s="24"/>
      <c r="D113" s="15"/>
      <c r="E113" s="24"/>
      <c r="F113" s="25"/>
      <c r="G113" s="21"/>
      <c r="H113" s="26" t="str">
        <f t="shared" si="7"/>
        <v/>
      </c>
      <c r="I113" s="25"/>
      <c r="J113" s="15"/>
    </row>
    <row r="114" spans="1:10" x14ac:dyDescent="0.2">
      <c r="A114" s="23" t="str">
        <f t="shared" si="6"/>
        <v/>
      </c>
      <c r="B114" s="22"/>
      <c r="C114" s="24"/>
      <c r="D114" s="15"/>
      <c r="E114" s="24"/>
      <c r="F114" s="25"/>
      <c r="G114" s="21"/>
      <c r="H114" s="26" t="str">
        <f t="shared" si="7"/>
        <v/>
      </c>
      <c r="I114" s="25"/>
      <c r="J114" s="15"/>
    </row>
    <row r="115" spans="1:10" x14ac:dyDescent="0.2">
      <c r="A115" s="23" t="str">
        <f t="shared" si="6"/>
        <v/>
      </c>
      <c r="B115" s="22"/>
      <c r="C115" s="24"/>
      <c r="D115" s="15"/>
      <c r="E115" s="24"/>
      <c r="F115" s="25"/>
      <c r="G115" s="21"/>
      <c r="H115" s="26" t="str">
        <f t="shared" si="7"/>
        <v/>
      </c>
      <c r="I115" s="25"/>
      <c r="J115" s="15"/>
    </row>
    <row r="116" spans="1:10" x14ac:dyDescent="0.2">
      <c r="A116" s="23" t="str">
        <f t="shared" si="6"/>
        <v/>
      </c>
      <c r="B116" s="22"/>
      <c r="C116" s="24"/>
      <c r="D116" s="15"/>
      <c r="E116" s="24"/>
      <c r="F116" s="25"/>
      <c r="G116" s="21"/>
      <c r="H116" s="26" t="str">
        <f t="shared" si="7"/>
        <v/>
      </c>
      <c r="I116" s="25"/>
      <c r="J116" s="15"/>
    </row>
    <row r="117" spans="1:10" x14ac:dyDescent="0.2">
      <c r="A117" s="23" t="str">
        <f t="shared" si="6"/>
        <v/>
      </c>
      <c r="B117" s="22"/>
      <c r="C117" s="24"/>
      <c r="D117" s="15"/>
      <c r="E117" s="24"/>
      <c r="F117" s="25"/>
      <c r="G117" s="21"/>
      <c r="H117" s="26" t="str">
        <f t="shared" si="7"/>
        <v/>
      </c>
      <c r="I117" s="25"/>
      <c r="J117" s="15"/>
    </row>
    <row r="118" spans="1:10" x14ac:dyDescent="0.2">
      <c r="A118" s="23" t="str">
        <f t="shared" si="6"/>
        <v/>
      </c>
      <c r="B118" s="22"/>
      <c r="C118" s="24"/>
      <c r="D118" s="15"/>
      <c r="E118" s="24"/>
      <c r="F118" s="25"/>
      <c r="G118" s="21"/>
      <c r="H118" s="26" t="str">
        <f t="shared" si="7"/>
        <v/>
      </c>
      <c r="I118" s="25"/>
      <c r="J118" s="15"/>
    </row>
    <row r="119" spans="1:10" x14ac:dyDescent="0.2">
      <c r="A119" s="23" t="str">
        <f t="shared" si="6"/>
        <v/>
      </c>
      <c r="B119" s="22"/>
      <c r="C119" s="24"/>
      <c r="D119" s="15"/>
      <c r="E119" s="24"/>
      <c r="F119" s="25"/>
      <c r="G119" s="21"/>
      <c r="H119" s="26" t="str">
        <f t="shared" si="7"/>
        <v/>
      </c>
      <c r="I119" s="25"/>
      <c r="J119" s="15"/>
    </row>
    <row r="120" spans="1:10" x14ac:dyDescent="0.2">
      <c r="A120" s="23" t="str">
        <f t="shared" si="6"/>
        <v/>
      </c>
      <c r="B120" s="22"/>
      <c r="C120" s="24"/>
      <c r="D120" s="15"/>
      <c r="E120" s="24"/>
      <c r="F120" s="25"/>
      <c r="G120" s="21"/>
      <c r="H120" s="26" t="str">
        <f t="shared" si="7"/>
        <v/>
      </c>
      <c r="I120" s="25"/>
      <c r="J120" s="15"/>
    </row>
    <row r="121" spans="1:10" x14ac:dyDescent="0.2">
      <c r="A121" s="23" t="str">
        <f t="shared" si="6"/>
        <v/>
      </c>
      <c r="B121" s="22"/>
      <c r="C121" s="24"/>
      <c r="D121" s="15"/>
      <c r="E121" s="24"/>
      <c r="F121" s="25"/>
      <c r="G121" s="21"/>
      <c r="H121" s="26" t="str">
        <f t="shared" si="7"/>
        <v/>
      </c>
      <c r="I121" s="25"/>
      <c r="J121" s="15"/>
    </row>
    <row r="122" spans="1:10" x14ac:dyDescent="0.2">
      <c r="A122" s="23" t="str">
        <f t="shared" si="6"/>
        <v/>
      </c>
      <c r="B122" s="22"/>
      <c r="C122" s="24"/>
      <c r="D122" s="15"/>
      <c r="E122" s="24"/>
      <c r="F122" s="25"/>
      <c r="G122" s="21"/>
      <c r="H122" s="26" t="str">
        <f t="shared" si="7"/>
        <v/>
      </c>
      <c r="I122" s="25"/>
      <c r="J122" s="15"/>
    </row>
    <row r="123" spans="1:10" x14ac:dyDescent="0.2">
      <c r="A123" s="23" t="str">
        <f t="shared" si="6"/>
        <v/>
      </c>
      <c r="B123" s="22"/>
      <c r="C123" s="24"/>
      <c r="D123" s="15"/>
      <c r="E123" s="24"/>
      <c r="F123" s="25"/>
      <c r="G123" s="21"/>
      <c r="H123" s="26" t="str">
        <f t="shared" si="7"/>
        <v/>
      </c>
      <c r="I123" s="25"/>
      <c r="J123" s="15"/>
    </row>
    <row r="124" spans="1:10" x14ac:dyDescent="0.2">
      <c r="A124" s="23" t="str">
        <f t="shared" si="6"/>
        <v/>
      </c>
      <c r="B124" s="22"/>
      <c r="C124" s="24"/>
      <c r="D124" s="15"/>
      <c r="E124" s="24"/>
      <c r="F124" s="25"/>
      <c r="G124" s="21"/>
      <c r="H124" s="26" t="str">
        <f t="shared" si="7"/>
        <v/>
      </c>
      <c r="I124" s="25"/>
      <c r="J124" s="15"/>
    </row>
    <row r="125" spans="1:10" x14ac:dyDescent="0.2">
      <c r="A125" s="23" t="str">
        <f t="shared" si="6"/>
        <v/>
      </c>
      <c r="B125" s="22"/>
      <c r="C125" s="24"/>
      <c r="D125" s="15"/>
      <c r="E125" s="24"/>
      <c r="F125" s="25"/>
      <c r="G125" s="21"/>
      <c r="H125" s="26" t="str">
        <f t="shared" si="7"/>
        <v/>
      </c>
      <c r="I125" s="25"/>
      <c r="J125" s="15"/>
    </row>
    <row r="126" spans="1:10" x14ac:dyDescent="0.2">
      <c r="A126" s="23" t="str">
        <f t="shared" si="6"/>
        <v/>
      </c>
      <c r="B126" s="22"/>
      <c r="C126" s="24"/>
      <c r="D126" s="15"/>
      <c r="E126" s="24"/>
      <c r="F126" s="25"/>
      <c r="G126" s="21"/>
      <c r="H126" s="26" t="str">
        <f t="shared" si="7"/>
        <v/>
      </c>
      <c r="I126" s="25"/>
      <c r="J126" s="15"/>
    </row>
    <row r="127" spans="1:10" x14ac:dyDescent="0.2">
      <c r="A127" s="23" t="str">
        <f t="shared" si="6"/>
        <v/>
      </c>
      <c r="B127" s="22"/>
      <c r="C127" s="24"/>
      <c r="D127" s="15"/>
      <c r="E127" s="24"/>
      <c r="F127" s="25"/>
      <c r="G127" s="21"/>
      <c r="H127" s="26" t="str">
        <f t="shared" si="7"/>
        <v/>
      </c>
      <c r="I127" s="25"/>
      <c r="J127" s="15"/>
    </row>
    <row r="128" spans="1:10" x14ac:dyDescent="0.2">
      <c r="A128" s="23" t="str">
        <f t="shared" si="6"/>
        <v/>
      </c>
      <c r="B128" s="22"/>
      <c r="C128" s="24"/>
      <c r="D128" s="15"/>
      <c r="E128" s="24"/>
      <c r="F128" s="25"/>
      <c r="G128" s="21"/>
      <c r="H128" s="26" t="str">
        <f t="shared" si="7"/>
        <v/>
      </c>
      <c r="I128" s="25"/>
      <c r="J128" s="15"/>
    </row>
    <row r="129" spans="1:10" x14ac:dyDescent="0.2">
      <c r="A129" s="23" t="str">
        <f t="shared" si="6"/>
        <v/>
      </c>
      <c r="B129" s="22"/>
      <c r="C129" s="24"/>
      <c r="D129" s="15"/>
      <c r="E129" s="24"/>
      <c r="F129" s="25"/>
      <c r="G129" s="21"/>
      <c r="H129" s="26" t="str">
        <f t="shared" si="7"/>
        <v/>
      </c>
      <c r="I129" s="25"/>
      <c r="J129" s="15"/>
    </row>
    <row r="130" spans="1:10" x14ac:dyDescent="0.2">
      <c r="A130" s="23" t="str">
        <f t="shared" si="6"/>
        <v/>
      </c>
      <c r="B130" s="22"/>
      <c r="C130" s="24"/>
      <c r="D130" s="15"/>
      <c r="E130" s="24"/>
      <c r="F130" s="25"/>
      <c r="G130" s="21"/>
      <c r="H130" s="26" t="str">
        <f t="shared" si="7"/>
        <v/>
      </c>
      <c r="I130" s="25"/>
      <c r="J130" s="15"/>
    </row>
    <row r="131" spans="1:10" x14ac:dyDescent="0.2">
      <c r="A131" s="23" t="str">
        <f t="shared" si="6"/>
        <v/>
      </c>
      <c r="B131" s="22"/>
      <c r="C131" s="24"/>
      <c r="D131" s="15"/>
      <c r="E131" s="24"/>
      <c r="F131" s="25"/>
      <c r="G131" s="21"/>
      <c r="H131" s="26" t="str">
        <f t="shared" si="7"/>
        <v/>
      </c>
      <c r="I131" s="25"/>
      <c r="J131" s="15"/>
    </row>
    <row r="132" spans="1:10" x14ac:dyDescent="0.2">
      <c r="A132" s="23" t="str">
        <f t="shared" si="6"/>
        <v/>
      </c>
      <c r="B132" s="22"/>
      <c r="C132" s="24"/>
      <c r="D132" s="15"/>
      <c r="E132" s="24"/>
      <c r="F132" s="25"/>
      <c r="G132" s="21"/>
      <c r="H132" s="26" t="str">
        <f t="shared" si="7"/>
        <v/>
      </c>
      <c r="I132" s="25"/>
      <c r="J132" s="15"/>
    </row>
    <row r="133" spans="1:10" x14ac:dyDescent="0.2">
      <c r="A133" s="23" t="str">
        <f t="shared" ref="A133:A164" si="8">IF(B133="","",ROW()-4)</f>
        <v/>
      </c>
      <c r="B133" s="22"/>
      <c r="C133" s="24"/>
      <c r="D133" s="15"/>
      <c r="E133" s="24"/>
      <c r="F133" s="25"/>
      <c r="G133" s="21"/>
      <c r="H133" s="26" t="str">
        <f t="shared" ref="H133:H164" si="9">IF(OR(F133="",G133=""),"",F133*G133)</f>
        <v/>
      </c>
      <c r="I133" s="25"/>
      <c r="J133" s="15"/>
    </row>
    <row r="134" spans="1:10" x14ac:dyDescent="0.2">
      <c r="A134" s="23" t="str">
        <f t="shared" si="8"/>
        <v/>
      </c>
      <c r="B134" s="22"/>
      <c r="C134" s="24"/>
      <c r="D134" s="15"/>
      <c r="E134" s="24"/>
      <c r="F134" s="25"/>
      <c r="G134" s="21"/>
      <c r="H134" s="26" t="str">
        <f t="shared" si="9"/>
        <v/>
      </c>
      <c r="I134" s="25"/>
      <c r="J134" s="15"/>
    </row>
    <row r="135" spans="1:10" x14ac:dyDescent="0.2">
      <c r="A135" s="23" t="str">
        <f t="shared" si="8"/>
        <v/>
      </c>
      <c r="B135" s="22"/>
      <c r="C135" s="24"/>
      <c r="D135" s="15"/>
      <c r="E135" s="24"/>
      <c r="F135" s="25"/>
      <c r="G135" s="21"/>
      <c r="H135" s="26" t="str">
        <f t="shared" si="9"/>
        <v/>
      </c>
      <c r="I135" s="25"/>
      <c r="J135" s="15"/>
    </row>
    <row r="136" spans="1:10" x14ac:dyDescent="0.2">
      <c r="A136" s="23" t="str">
        <f t="shared" si="8"/>
        <v/>
      </c>
      <c r="B136" s="22"/>
      <c r="C136" s="24"/>
      <c r="D136" s="15"/>
      <c r="E136" s="24"/>
      <c r="F136" s="25"/>
      <c r="G136" s="21"/>
      <c r="H136" s="26" t="str">
        <f t="shared" si="9"/>
        <v/>
      </c>
      <c r="I136" s="25"/>
      <c r="J136" s="15"/>
    </row>
    <row r="137" spans="1:10" x14ac:dyDescent="0.2">
      <c r="A137" s="23" t="str">
        <f t="shared" si="8"/>
        <v/>
      </c>
      <c r="B137" s="22"/>
      <c r="C137" s="24"/>
      <c r="D137" s="15"/>
      <c r="E137" s="24"/>
      <c r="F137" s="25"/>
      <c r="G137" s="21"/>
      <c r="H137" s="26" t="str">
        <f t="shared" si="9"/>
        <v/>
      </c>
      <c r="I137" s="25"/>
      <c r="J137" s="15"/>
    </row>
    <row r="138" spans="1:10" x14ac:dyDescent="0.2">
      <c r="A138" s="23" t="str">
        <f t="shared" si="8"/>
        <v/>
      </c>
      <c r="B138" s="22"/>
      <c r="C138" s="24"/>
      <c r="D138" s="15"/>
      <c r="E138" s="24"/>
      <c r="F138" s="25"/>
      <c r="G138" s="21"/>
      <c r="H138" s="26" t="str">
        <f t="shared" si="9"/>
        <v/>
      </c>
      <c r="I138" s="25"/>
      <c r="J138" s="15"/>
    </row>
    <row r="139" spans="1:10" x14ac:dyDescent="0.2">
      <c r="A139" s="23" t="str">
        <f t="shared" si="8"/>
        <v/>
      </c>
      <c r="B139" s="22"/>
      <c r="C139" s="24"/>
      <c r="D139" s="15"/>
      <c r="E139" s="24"/>
      <c r="F139" s="25"/>
      <c r="G139" s="21"/>
      <c r="H139" s="26" t="str">
        <f t="shared" si="9"/>
        <v/>
      </c>
      <c r="I139" s="25"/>
      <c r="J139" s="15"/>
    </row>
    <row r="140" spans="1:10" x14ac:dyDescent="0.2">
      <c r="A140" s="23" t="str">
        <f t="shared" si="8"/>
        <v/>
      </c>
      <c r="B140" s="22"/>
      <c r="C140" s="24"/>
      <c r="D140" s="15"/>
      <c r="E140" s="24"/>
      <c r="F140" s="25"/>
      <c r="G140" s="21"/>
      <c r="H140" s="26" t="str">
        <f t="shared" si="9"/>
        <v/>
      </c>
      <c r="I140" s="25"/>
      <c r="J140" s="15"/>
    </row>
    <row r="141" spans="1:10" x14ac:dyDescent="0.2">
      <c r="A141" s="23" t="str">
        <f t="shared" si="8"/>
        <v/>
      </c>
      <c r="B141" s="22"/>
      <c r="C141" s="24"/>
      <c r="D141" s="15"/>
      <c r="E141" s="24"/>
      <c r="F141" s="25"/>
      <c r="G141" s="21"/>
      <c r="H141" s="26" t="str">
        <f t="shared" si="9"/>
        <v/>
      </c>
      <c r="I141" s="25"/>
      <c r="J141" s="15"/>
    </row>
    <row r="142" spans="1:10" x14ac:dyDescent="0.2">
      <c r="A142" s="23" t="str">
        <f t="shared" si="8"/>
        <v/>
      </c>
      <c r="B142" s="22"/>
      <c r="C142" s="24"/>
      <c r="D142" s="15"/>
      <c r="E142" s="24"/>
      <c r="F142" s="25"/>
      <c r="G142" s="21"/>
      <c r="H142" s="26" t="str">
        <f t="shared" si="9"/>
        <v/>
      </c>
      <c r="I142" s="25"/>
      <c r="J142" s="15"/>
    </row>
    <row r="143" spans="1:10" x14ac:dyDescent="0.2">
      <c r="A143" s="23" t="str">
        <f t="shared" si="8"/>
        <v/>
      </c>
      <c r="B143" s="22"/>
      <c r="C143" s="24"/>
      <c r="D143" s="15"/>
      <c r="E143" s="24"/>
      <c r="F143" s="25"/>
      <c r="G143" s="21"/>
      <c r="H143" s="26" t="str">
        <f t="shared" si="9"/>
        <v/>
      </c>
      <c r="I143" s="25"/>
      <c r="J143" s="15"/>
    </row>
    <row r="144" spans="1:10" x14ac:dyDescent="0.2">
      <c r="A144" s="23" t="str">
        <f t="shared" si="8"/>
        <v/>
      </c>
      <c r="B144" s="22"/>
      <c r="C144" s="24"/>
      <c r="D144" s="15"/>
      <c r="E144" s="24"/>
      <c r="F144" s="25"/>
      <c r="G144" s="21"/>
      <c r="H144" s="26" t="str">
        <f t="shared" si="9"/>
        <v/>
      </c>
      <c r="I144" s="25"/>
      <c r="J144" s="15"/>
    </row>
    <row r="145" spans="1:10" x14ac:dyDescent="0.2">
      <c r="A145" s="23" t="str">
        <f t="shared" si="8"/>
        <v/>
      </c>
      <c r="B145" s="22"/>
      <c r="C145" s="24"/>
      <c r="D145" s="15"/>
      <c r="E145" s="24"/>
      <c r="F145" s="25"/>
      <c r="G145" s="21"/>
      <c r="H145" s="26" t="str">
        <f t="shared" si="9"/>
        <v/>
      </c>
      <c r="I145" s="25"/>
      <c r="J145" s="15"/>
    </row>
    <row r="146" spans="1:10" x14ac:dyDescent="0.2">
      <c r="A146" s="23" t="str">
        <f t="shared" si="8"/>
        <v/>
      </c>
      <c r="B146" s="22"/>
      <c r="C146" s="24"/>
      <c r="D146" s="15"/>
      <c r="E146" s="24"/>
      <c r="F146" s="25"/>
      <c r="G146" s="21"/>
      <c r="H146" s="26" t="str">
        <f t="shared" si="9"/>
        <v/>
      </c>
      <c r="I146" s="25"/>
      <c r="J146" s="15"/>
    </row>
    <row r="147" spans="1:10" x14ac:dyDescent="0.2">
      <c r="A147" s="23" t="str">
        <f t="shared" si="8"/>
        <v/>
      </c>
      <c r="B147" s="22"/>
      <c r="C147" s="24"/>
      <c r="D147" s="15"/>
      <c r="E147" s="24"/>
      <c r="F147" s="25"/>
      <c r="G147" s="21"/>
      <c r="H147" s="26" t="str">
        <f t="shared" si="9"/>
        <v/>
      </c>
      <c r="I147" s="25"/>
      <c r="J147" s="15"/>
    </row>
    <row r="148" spans="1:10" x14ac:dyDescent="0.2">
      <c r="A148" s="23" t="str">
        <f t="shared" si="8"/>
        <v/>
      </c>
      <c r="B148" s="22"/>
      <c r="C148" s="24"/>
      <c r="D148" s="15"/>
      <c r="E148" s="24"/>
      <c r="F148" s="25"/>
      <c r="G148" s="21"/>
      <c r="H148" s="26" t="str">
        <f t="shared" si="9"/>
        <v/>
      </c>
      <c r="I148" s="25"/>
      <c r="J148" s="15"/>
    </row>
    <row r="149" spans="1:10" x14ac:dyDescent="0.2">
      <c r="A149" s="23" t="str">
        <f t="shared" si="8"/>
        <v/>
      </c>
      <c r="B149" s="22"/>
      <c r="C149" s="24"/>
      <c r="D149" s="15"/>
      <c r="E149" s="24"/>
      <c r="F149" s="25"/>
      <c r="G149" s="21"/>
      <c r="H149" s="26" t="str">
        <f t="shared" si="9"/>
        <v/>
      </c>
      <c r="I149" s="25"/>
      <c r="J149" s="15"/>
    </row>
    <row r="150" spans="1:10" x14ac:dyDescent="0.2">
      <c r="A150" s="23" t="str">
        <f t="shared" si="8"/>
        <v/>
      </c>
      <c r="B150" s="22"/>
      <c r="C150" s="24"/>
      <c r="D150" s="15"/>
      <c r="E150" s="24"/>
      <c r="F150" s="25"/>
      <c r="G150" s="21"/>
      <c r="H150" s="26" t="str">
        <f t="shared" si="9"/>
        <v/>
      </c>
      <c r="I150" s="25"/>
      <c r="J150" s="15"/>
    </row>
    <row r="151" spans="1:10" x14ac:dyDescent="0.2">
      <c r="A151" s="23" t="str">
        <f t="shared" si="8"/>
        <v/>
      </c>
      <c r="B151" s="22"/>
      <c r="C151" s="24"/>
      <c r="D151" s="15"/>
      <c r="E151" s="24"/>
      <c r="F151" s="25"/>
      <c r="G151" s="21"/>
      <c r="H151" s="26" t="str">
        <f t="shared" si="9"/>
        <v/>
      </c>
      <c r="I151" s="25"/>
      <c r="J151" s="15"/>
    </row>
    <row r="152" spans="1:10" x14ac:dyDescent="0.2">
      <c r="A152" s="23" t="str">
        <f t="shared" si="8"/>
        <v/>
      </c>
      <c r="B152" s="22"/>
      <c r="C152" s="24"/>
      <c r="D152" s="15"/>
      <c r="E152" s="24"/>
      <c r="F152" s="25"/>
      <c r="G152" s="21"/>
      <c r="H152" s="26" t="str">
        <f t="shared" si="9"/>
        <v/>
      </c>
      <c r="I152" s="25"/>
      <c r="J152" s="15"/>
    </row>
    <row r="153" spans="1:10" x14ac:dyDescent="0.2">
      <c r="A153" s="23" t="str">
        <f t="shared" si="8"/>
        <v/>
      </c>
      <c r="B153" s="22"/>
      <c r="C153" s="24"/>
      <c r="D153" s="15"/>
      <c r="E153" s="24"/>
      <c r="F153" s="25"/>
      <c r="G153" s="21"/>
      <c r="H153" s="26" t="str">
        <f t="shared" si="9"/>
        <v/>
      </c>
      <c r="I153" s="25"/>
      <c r="J153" s="15"/>
    </row>
    <row r="154" spans="1:10" x14ac:dyDescent="0.2">
      <c r="A154" s="23" t="str">
        <f t="shared" si="8"/>
        <v/>
      </c>
      <c r="B154" s="22"/>
      <c r="C154" s="24"/>
      <c r="D154" s="15"/>
      <c r="E154" s="24"/>
      <c r="F154" s="25"/>
      <c r="G154" s="21"/>
      <c r="H154" s="26" t="str">
        <f t="shared" si="9"/>
        <v/>
      </c>
      <c r="I154" s="25"/>
      <c r="J154" s="15"/>
    </row>
    <row r="155" spans="1:10" x14ac:dyDescent="0.2">
      <c r="A155" s="23" t="str">
        <f t="shared" si="8"/>
        <v/>
      </c>
      <c r="B155" s="22"/>
      <c r="C155" s="24"/>
      <c r="D155" s="15"/>
      <c r="E155" s="24"/>
      <c r="F155" s="25"/>
      <c r="G155" s="21"/>
      <c r="H155" s="26" t="str">
        <f t="shared" si="9"/>
        <v/>
      </c>
      <c r="I155" s="25"/>
      <c r="J155" s="15"/>
    </row>
    <row r="156" spans="1:10" x14ac:dyDescent="0.2">
      <c r="A156" s="23" t="str">
        <f t="shared" si="8"/>
        <v/>
      </c>
      <c r="B156" s="22"/>
      <c r="C156" s="24"/>
      <c r="D156" s="15"/>
      <c r="E156" s="24"/>
      <c r="F156" s="25"/>
      <c r="G156" s="21"/>
      <c r="H156" s="26" t="str">
        <f t="shared" si="9"/>
        <v/>
      </c>
      <c r="I156" s="25"/>
      <c r="J156" s="15"/>
    </row>
    <row r="157" spans="1:10" x14ac:dyDescent="0.2">
      <c r="A157" s="23" t="str">
        <f t="shared" si="8"/>
        <v/>
      </c>
      <c r="B157" s="22"/>
      <c r="C157" s="24"/>
      <c r="D157" s="15"/>
      <c r="E157" s="24"/>
      <c r="F157" s="25"/>
      <c r="G157" s="21"/>
      <c r="H157" s="26" t="str">
        <f t="shared" si="9"/>
        <v/>
      </c>
      <c r="I157" s="25"/>
      <c r="J157" s="15"/>
    </row>
    <row r="158" spans="1:10" x14ac:dyDescent="0.2">
      <c r="A158" s="23" t="str">
        <f t="shared" si="8"/>
        <v/>
      </c>
      <c r="B158" s="22"/>
      <c r="C158" s="24"/>
      <c r="D158" s="15"/>
      <c r="E158" s="24"/>
      <c r="F158" s="25"/>
      <c r="G158" s="21"/>
      <c r="H158" s="26" t="str">
        <f t="shared" si="9"/>
        <v/>
      </c>
      <c r="I158" s="25"/>
      <c r="J158" s="15"/>
    </row>
    <row r="159" spans="1:10" x14ac:dyDescent="0.2">
      <c r="A159" s="23" t="str">
        <f t="shared" si="8"/>
        <v/>
      </c>
      <c r="B159" s="22"/>
      <c r="C159" s="24"/>
      <c r="D159" s="15"/>
      <c r="E159" s="24"/>
      <c r="F159" s="25"/>
      <c r="G159" s="21"/>
      <c r="H159" s="26" t="str">
        <f t="shared" si="9"/>
        <v/>
      </c>
      <c r="I159" s="25"/>
      <c r="J159" s="15"/>
    </row>
    <row r="160" spans="1:10" x14ac:dyDescent="0.2">
      <c r="A160" s="23" t="str">
        <f t="shared" si="8"/>
        <v/>
      </c>
      <c r="B160" s="22"/>
      <c r="C160" s="24"/>
      <c r="D160" s="15"/>
      <c r="E160" s="24"/>
      <c r="F160" s="25"/>
      <c r="G160" s="21"/>
      <c r="H160" s="26" t="str">
        <f t="shared" si="9"/>
        <v/>
      </c>
      <c r="I160" s="25"/>
      <c r="J160" s="15"/>
    </row>
    <row r="161" spans="1:10" x14ac:dyDescent="0.2">
      <c r="A161" s="23" t="str">
        <f t="shared" si="8"/>
        <v/>
      </c>
      <c r="B161" s="22"/>
      <c r="C161" s="24"/>
      <c r="D161" s="15"/>
      <c r="E161" s="24"/>
      <c r="F161" s="25"/>
      <c r="G161" s="21"/>
      <c r="H161" s="26" t="str">
        <f t="shared" si="9"/>
        <v/>
      </c>
      <c r="I161" s="25"/>
      <c r="J161" s="15"/>
    </row>
    <row r="162" spans="1:10" x14ac:dyDescent="0.2">
      <c r="A162" s="23" t="str">
        <f t="shared" si="8"/>
        <v/>
      </c>
      <c r="B162" s="22"/>
      <c r="C162" s="24"/>
      <c r="D162" s="15"/>
      <c r="E162" s="24"/>
      <c r="F162" s="25"/>
      <c r="G162" s="21"/>
      <c r="H162" s="26" t="str">
        <f t="shared" si="9"/>
        <v/>
      </c>
      <c r="I162" s="25"/>
      <c r="J162" s="15"/>
    </row>
    <row r="163" spans="1:10" x14ac:dyDescent="0.2">
      <c r="A163" s="23" t="str">
        <f t="shared" si="8"/>
        <v/>
      </c>
      <c r="B163" s="22"/>
      <c r="C163" s="24"/>
      <c r="D163" s="15"/>
      <c r="E163" s="24"/>
      <c r="F163" s="25"/>
      <c r="G163" s="21"/>
      <c r="H163" s="26" t="str">
        <f t="shared" si="9"/>
        <v/>
      </c>
      <c r="I163" s="25"/>
      <c r="J163" s="15"/>
    </row>
    <row r="164" spans="1:10" x14ac:dyDescent="0.2">
      <c r="A164" s="23" t="str">
        <f t="shared" si="8"/>
        <v/>
      </c>
      <c r="B164" s="22"/>
      <c r="C164" s="24"/>
      <c r="D164" s="15"/>
      <c r="E164" s="24"/>
      <c r="F164" s="25"/>
      <c r="G164" s="21"/>
      <c r="H164" s="26" t="str">
        <f t="shared" si="9"/>
        <v/>
      </c>
      <c r="I164" s="25"/>
      <c r="J164" s="15"/>
    </row>
    <row r="165" spans="1:10" x14ac:dyDescent="0.2">
      <c r="A165" s="23" t="str">
        <f t="shared" ref="A165:A196" si="10">IF(B165="","",ROW()-4)</f>
        <v/>
      </c>
      <c r="B165" s="22"/>
      <c r="C165" s="24"/>
      <c r="D165" s="15"/>
      <c r="E165" s="24"/>
      <c r="F165" s="25"/>
      <c r="G165" s="21"/>
      <c r="H165" s="26" t="str">
        <f t="shared" ref="H165:H196" si="11">IF(OR(F165="",G165=""),"",F165*G165)</f>
        <v/>
      </c>
      <c r="I165" s="25"/>
      <c r="J165" s="15"/>
    </row>
    <row r="166" spans="1:10" x14ac:dyDescent="0.2">
      <c r="A166" s="23" t="str">
        <f t="shared" si="10"/>
        <v/>
      </c>
      <c r="B166" s="22"/>
      <c r="C166" s="24"/>
      <c r="D166" s="15"/>
      <c r="E166" s="24"/>
      <c r="F166" s="25"/>
      <c r="G166" s="21"/>
      <c r="H166" s="26" t="str">
        <f t="shared" si="11"/>
        <v/>
      </c>
      <c r="I166" s="25"/>
      <c r="J166" s="15"/>
    </row>
    <row r="167" spans="1:10" x14ac:dyDescent="0.2">
      <c r="A167" s="23" t="str">
        <f t="shared" si="10"/>
        <v/>
      </c>
      <c r="B167" s="22"/>
      <c r="C167" s="24"/>
      <c r="D167" s="15"/>
      <c r="E167" s="24"/>
      <c r="F167" s="25"/>
      <c r="G167" s="21"/>
      <c r="H167" s="26" t="str">
        <f t="shared" si="11"/>
        <v/>
      </c>
      <c r="I167" s="25"/>
      <c r="J167" s="15"/>
    </row>
    <row r="168" spans="1:10" x14ac:dyDescent="0.2">
      <c r="A168" s="23" t="str">
        <f t="shared" si="10"/>
        <v/>
      </c>
      <c r="B168" s="22"/>
      <c r="C168" s="24"/>
      <c r="D168" s="15"/>
      <c r="E168" s="24"/>
      <c r="F168" s="25"/>
      <c r="G168" s="21"/>
      <c r="H168" s="26" t="str">
        <f t="shared" si="11"/>
        <v/>
      </c>
      <c r="I168" s="25"/>
      <c r="J168" s="15"/>
    </row>
    <row r="169" spans="1:10" x14ac:dyDescent="0.2">
      <c r="A169" s="23" t="str">
        <f t="shared" si="10"/>
        <v/>
      </c>
      <c r="B169" s="22"/>
      <c r="C169" s="24"/>
      <c r="D169" s="15"/>
      <c r="E169" s="24"/>
      <c r="F169" s="25"/>
      <c r="G169" s="21"/>
      <c r="H169" s="26" t="str">
        <f t="shared" si="11"/>
        <v/>
      </c>
      <c r="I169" s="25"/>
      <c r="J169" s="15"/>
    </row>
    <row r="170" spans="1:10" x14ac:dyDescent="0.2">
      <c r="A170" s="23" t="str">
        <f t="shared" si="10"/>
        <v/>
      </c>
      <c r="B170" s="22"/>
      <c r="C170" s="24"/>
      <c r="D170" s="15"/>
      <c r="E170" s="24"/>
      <c r="F170" s="25"/>
      <c r="G170" s="21"/>
      <c r="H170" s="26" t="str">
        <f t="shared" si="11"/>
        <v/>
      </c>
      <c r="I170" s="25"/>
      <c r="J170" s="15"/>
    </row>
    <row r="171" spans="1:10" x14ac:dyDescent="0.2">
      <c r="A171" s="23" t="str">
        <f t="shared" si="10"/>
        <v/>
      </c>
      <c r="B171" s="22"/>
      <c r="C171" s="24"/>
      <c r="D171" s="15"/>
      <c r="E171" s="24"/>
      <c r="F171" s="25"/>
      <c r="G171" s="21"/>
      <c r="H171" s="26" t="str">
        <f t="shared" si="11"/>
        <v/>
      </c>
      <c r="I171" s="25"/>
      <c r="J171" s="15"/>
    </row>
    <row r="172" spans="1:10" x14ac:dyDescent="0.2">
      <c r="A172" s="23" t="str">
        <f t="shared" si="10"/>
        <v/>
      </c>
      <c r="B172" s="22"/>
      <c r="C172" s="24"/>
      <c r="D172" s="15"/>
      <c r="E172" s="24"/>
      <c r="F172" s="25"/>
      <c r="G172" s="21"/>
      <c r="H172" s="26" t="str">
        <f t="shared" si="11"/>
        <v/>
      </c>
      <c r="I172" s="25"/>
      <c r="J172" s="15"/>
    </row>
    <row r="173" spans="1:10" x14ac:dyDescent="0.2">
      <c r="A173" s="23" t="str">
        <f t="shared" si="10"/>
        <v/>
      </c>
      <c r="B173" s="22"/>
      <c r="C173" s="24"/>
      <c r="D173" s="15"/>
      <c r="E173" s="24"/>
      <c r="F173" s="25"/>
      <c r="G173" s="21"/>
      <c r="H173" s="26" t="str">
        <f t="shared" si="11"/>
        <v/>
      </c>
      <c r="I173" s="25"/>
      <c r="J173" s="15"/>
    </row>
    <row r="174" spans="1:10" x14ac:dyDescent="0.2">
      <c r="A174" s="23" t="str">
        <f t="shared" si="10"/>
        <v/>
      </c>
      <c r="B174" s="22"/>
      <c r="C174" s="24"/>
      <c r="D174" s="15"/>
      <c r="E174" s="24"/>
      <c r="F174" s="25"/>
      <c r="G174" s="21"/>
      <c r="H174" s="26" t="str">
        <f t="shared" si="11"/>
        <v/>
      </c>
      <c r="I174" s="25"/>
      <c r="J174" s="15"/>
    </row>
    <row r="175" spans="1:10" x14ac:dyDescent="0.2">
      <c r="A175" s="23" t="str">
        <f t="shared" si="10"/>
        <v/>
      </c>
      <c r="B175" s="22"/>
      <c r="C175" s="24"/>
      <c r="D175" s="15"/>
      <c r="E175" s="24"/>
      <c r="F175" s="25"/>
      <c r="G175" s="21"/>
      <c r="H175" s="26" t="str">
        <f t="shared" si="11"/>
        <v/>
      </c>
      <c r="I175" s="25"/>
      <c r="J175" s="15"/>
    </row>
    <row r="176" spans="1:10" x14ac:dyDescent="0.2">
      <c r="A176" s="23" t="str">
        <f t="shared" si="10"/>
        <v/>
      </c>
      <c r="B176" s="22"/>
      <c r="C176" s="24"/>
      <c r="D176" s="15"/>
      <c r="E176" s="24"/>
      <c r="F176" s="25"/>
      <c r="G176" s="21"/>
      <c r="H176" s="26" t="str">
        <f t="shared" si="11"/>
        <v/>
      </c>
      <c r="I176" s="25"/>
      <c r="J176" s="15"/>
    </row>
    <row r="177" spans="1:10" x14ac:dyDescent="0.2">
      <c r="A177" s="23" t="str">
        <f t="shared" si="10"/>
        <v/>
      </c>
      <c r="B177" s="22"/>
      <c r="C177" s="24"/>
      <c r="D177" s="15"/>
      <c r="E177" s="24"/>
      <c r="F177" s="25"/>
      <c r="G177" s="21"/>
      <c r="H177" s="26" t="str">
        <f t="shared" si="11"/>
        <v/>
      </c>
      <c r="I177" s="25"/>
      <c r="J177" s="15"/>
    </row>
    <row r="178" spans="1:10" x14ac:dyDescent="0.2">
      <c r="A178" s="23" t="str">
        <f t="shared" si="10"/>
        <v/>
      </c>
      <c r="B178" s="22"/>
      <c r="C178" s="24"/>
      <c r="D178" s="15"/>
      <c r="E178" s="24"/>
      <c r="F178" s="25"/>
      <c r="G178" s="21"/>
      <c r="H178" s="26" t="str">
        <f t="shared" si="11"/>
        <v/>
      </c>
      <c r="I178" s="25"/>
      <c r="J178" s="15"/>
    </row>
    <row r="179" spans="1:10" x14ac:dyDescent="0.2">
      <c r="A179" s="23" t="str">
        <f t="shared" si="10"/>
        <v/>
      </c>
      <c r="B179" s="22"/>
      <c r="C179" s="24"/>
      <c r="D179" s="15"/>
      <c r="E179" s="24"/>
      <c r="F179" s="25"/>
      <c r="G179" s="21"/>
      <c r="H179" s="26" t="str">
        <f t="shared" si="11"/>
        <v/>
      </c>
      <c r="I179" s="25"/>
      <c r="J179" s="15"/>
    </row>
    <row r="180" spans="1:10" x14ac:dyDescent="0.2">
      <c r="A180" s="23" t="str">
        <f t="shared" si="10"/>
        <v/>
      </c>
      <c r="B180" s="22"/>
      <c r="C180" s="24"/>
      <c r="D180" s="15"/>
      <c r="E180" s="24"/>
      <c r="F180" s="25"/>
      <c r="G180" s="21"/>
      <c r="H180" s="26" t="str">
        <f t="shared" si="11"/>
        <v/>
      </c>
      <c r="I180" s="25"/>
      <c r="J180" s="15"/>
    </row>
    <row r="181" spans="1:10" x14ac:dyDescent="0.2">
      <c r="A181" s="23" t="str">
        <f t="shared" si="10"/>
        <v/>
      </c>
      <c r="B181" s="22"/>
      <c r="C181" s="24"/>
      <c r="D181" s="15"/>
      <c r="E181" s="24"/>
      <c r="F181" s="25"/>
      <c r="G181" s="21"/>
      <c r="H181" s="26" t="str">
        <f t="shared" si="11"/>
        <v/>
      </c>
      <c r="I181" s="25"/>
      <c r="J181" s="15"/>
    </row>
    <row r="182" spans="1:10" x14ac:dyDescent="0.2">
      <c r="A182" s="23" t="str">
        <f t="shared" si="10"/>
        <v/>
      </c>
      <c r="B182" s="22"/>
      <c r="C182" s="24"/>
      <c r="D182" s="15"/>
      <c r="E182" s="24"/>
      <c r="F182" s="25"/>
      <c r="G182" s="21"/>
      <c r="H182" s="26" t="str">
        <f t="shared" si="11"/>
        <v/>
      </c>
      <c r="I182" s="25"/>
      <c r="J182" s="15"/>
    </row>
    <row r="183" spans="1:10" x14ac:dyDescent="0.2">
      <c r="A183" s="23" t="str">
        <f t="shared" si="10"/>
        <v/>
      </c>
      <c r="B183" s="22"/>
      <c r="C183" s="24"/>
      <c r="D183" s="15"/>
      <c r="E183" s="24"/>
      <c r="F183" s="25"/>
      <c r="G183" s="21"/>
      <c r="H183" s="26" t="str">
        <f t="shared" si="11"/>
        <v/>
      </c>
      <c r="I183" s="25"/>
      <c r="J183" s="15"/>
    </row>
    <row r="184" spans="1:10" x14ac:dyDescent="0.2">
      <c r="A184" s="23" t="str">
        <f t="shared" si="10"/>
        <v/>
      </c>
      <c r="B184" s="22"/>
      <c r="C184" s="24"/>
      <c r="D184" s="15"/>
      <c r="E184" s="24"/>
      <c r="F184" s="25"/>
      <c r="G184" s="21"/>
      <c r="H184" s="26" t="str">
        <f t="shared" si="11"/>
        <v/>
      </c>
      <c r="I184" s="25"/>
      <c r="J184" s="15"/>
    </row>
    <row r="185" spans="1:10" x14ac:dyDescent="0.2">
      <c r="A185" s="23" t="str">
        <f t="shared" si="10"/>
        <v/>
      </c>
      <c r="B185" s="22"/>
      <c r="C185" s="24"/>
      <c r="D185" s="15"/>
      <c r="E185" s="24"/>
      <c r="F185" s="25"/>
      <c r="G185" s="21"/>
      <c r="H185" s="26" t="str">
        <f t="shared" si="11"/>
        <v/>
      </c>
      <c r="I185" s="25"/>
      <c r="J185" s="15"/>
    </row>
    <row r="186" spans="1:10" x14ac:dyDescent="0.2">
      <c r="A186" s="23" t="str">
        <f t="shared" si="10"/>
        <v/>
      </c>
      <c r="B186" s="22"/>
      <c r="C186" s="24"/>
      <c r="D186" s="15"/>
      <c r="E186" s="24"/>
      <c r="F186" s="25"/>
      <c r="G186" s="21"/>
      <c r="H186" s="26" t="str">
        <f t="shared" si="11"/>
        <v/>
      </c>
      <c r="I186" s="25"/>
      <c r="J186" s="15"/>
    </row>
    <row r="187" spans="1:10" x14ac:dyDescent="0.2">
      <c r="A187" s="23" t="str">
        <f t="shared" si="10"/>
        <v/>
      </c>
      <c r="B187" s="22"/>
      <c r="C187" s="24"/>
      <c r="D187" s="15"/>
      <c r="E187" s="24"/>
      <c r="F187" s="25"/>
      <c r="G187" s="21"/>
      <c r="H187" s="26" t="str">
        <f t="shared" si="11"/>
        <v/>
      </c>
      <c r="I187" s="25"/>
      <c r="J187" s="15"/>
    </row>
    <row r="188" spans="1:10" x14ac:dyDescent="0.2">
      <c r="A188" s="23" t="str">
        <f t="shared" si="10"/>
        <v/>
      </c>
      <c r="B188" s="22"/>
      <c r="C188" s="24"/>
      <c r="D188" s="15"/>
      <c r="E188" s="24"/>
      <c r="F188" s="25"/>
      <c r="G188" s="21"/>
      <c r="H188" s="26" t="str">
        <f t="shared" si="11"/>
        <v/>
      </c>
      <c r="I188" s="25"/>
      <c r="J188" s="15"/>
    </row>
    <row r="189" spans="1:10" x14ac:dyDescent="0.2">
      <c r="A189" s="23" t="str">
        <f t="shared" si="10"/>
        <v/>
      </c>
      <c r="B189" s="22"/>
      <c r="C189" s="24"/>
      <c r="D189" s="15"/>
      <c r="E189" s="24"/>
      <c r="F189" s="25"/>
      <c r="G189" s="21"/>
      <c r="H189" s="26" t="str">
        <f t="shared" si="11"/>
        <v/>
      </c>
      <c r="I189" s="25"/>
      <c r="J189" s="15"/>
    </row>
    <row r="190" spans="1:10" x14ac:dyDescent="0.2">
      <c r="A190" s="23" t="str">
        <f t="shared" si="10"/>
        <v/>
      </c>
      <c r="B190" s="22"/>
      <c r="C190" s="24"/>
      <c r="D190" s="15"/>
      <c r="E190" s="24"/>
      <c r="F190" s="25"/>
      <c r="G190" s="21"/>
      <c r="H190" s="26" t="str">
        <f t="shared" si="11"/>
        <v/>
      </c>
      <c r="I190" s="25"/>
      <c r="J190" s="15"/>
    </row>
    <row r="191" spans="1:10" x14ac:dyDescent="0.2">
      <c r="A191" s="23" t="str">
        <f t="shared" si="10"/>
        <v/>
      </c>
      <c r="B191" s="22"/>
      <c r="C191" s="24"/>
      <c r="D191" s="15"/>
      <c r="E191" s="24"/>
      <c r="F191" s="25"/>
      <c r="G191" s="21"/>
      <c r="H191" s="26" t="str">
        <f t="shared" si="11"/>
        <v/>
      </c>
      <c r="I191" s="25"/>
      <c r="J191" s="15"/>
    </row>
    <row r="192" spans="1:10" x14ac:dyDescent="0.2">
      <c r="A192" s="23" t="str">
        <f t="shared" si="10"/>
        <v/>
      </c>
      <c r="B192" s="22"/>
      <c r="C192" s="24"/>
      <c r="D192" s="15"/>
      <c r="E192" s="24"/>
      <c r="F192" s="25"/>
      <c r="G192" s="21"/>
      <c r="H192" s="26" t="str">
        <f t="shared" si="11"/>
        <v/>
      </c>
      <c r="I192" s="25"/>
      <c r="J192" s="15"/>
    </row>
    <row r="193" spans="1:10" x14ac:dyDescent="0.2">
      <c r="A193" s="23" t="str">
        <f t="shared" si="10"/>
        <v/>
      </c>
      <c r="B193" s="22"/>
      <c r="C193" s="24"/>
      <c r="D193" s="15"/>
      <c r="E193" s="24"/>
      <c r="F193" s="25"/>
      <c r="G193" s="21"/>
      <c r="H193" s="26" t="str">
        <f t="shared" si="11"/>
        <v/>
      </c>
      <c r="I193" s="25"/>
      <c r="J193" s="15"/>
    </row>
    <row r="194" spans="1:10" x14ac:dyDescent="0.2">
      <c r="A194" s="23" t="str">
        <f t="shared" si="10"/>
        <v/>
      </c>
      <c r="B194" s="22"/>
      <c r="C194" s="24"/>
      <c r="D194" s="15"/>
      <c r="E194" s="24"/>
      <c r="F194" s="25"/>
      <c r="G194" s="21"/>
      <c r="H194" s="26" t="str">
        <f t="shared" si="11"/>
        <v/>
      </c>
      <c r="I194" s="25"/>
      <c r="J194" s="15"/>
    </row>
    <row r="195" spans="1:10" x14ac:dyDescent="0.2">
      <c r="A195" s="23" t="str">
        <f t="shared" si="10"/>
        <v/>
      </c>
      <c r="B195" s="22"/>
      <c r="C195" s="24"/>
      <c r="D195" s="15"/>
      <c r="E195" s="24"/>
      <c r="F195" s="25"/>
      <c r="G195" s="21"/>
      <c r="H195" s="26" t="str">
        <f t="shared" si="11"/>
        <v/>
      </c>
      <c r="I195" s="25"/>
      <c r="J195" s="15"/>
    </row>
    <row r="196" spans="1:10" x14ac:dyDescent="0.2">
      <c r="A196" s="23" t="str">
        <f t="shared" si="10"/>
        <v/>
      </c>
      <c r="B196" s="22"/>
      <c r="C196" s="24"/>
      <c r="D196" s="15"/>
      <c r="E196" s="24"/>
      <c r="F196" s="25"/>
      <c r="G196" s="21"/>
      <c r="H196" s="26" t="str">
        <f t="shared" si="11"/>
        <v/>
      </c>
      <c r="I196" s="25"/>
      <c r="J196" s="15"/>
    </row>
    <row r="197" spans="1:10" x14ac:dyDescent="0.2">
      <c r="A197" s="23" t="str">
        <f t="shared" ref="A197:A228" si="12">IF(B197="","",ROW()-4)</f>
        <v/>
      </c>
      <c r="B197" s="22"/>
      <c r="C197" s="24"/>
      <c r="D197" s="15"/>
      <c r="E197" s="24"/>
      <c r="F197" s="25"/>
      <c r="G197" s="21"/>
      <c r="H197" s="26" t="str">
        <f t="shared" ref="H197:H228" si="13">IF(OR(F197="",G197=""),"",F197*G197)</f>
        <v/>
      </c>
      <c r="I197" s="25"/>
      <c r="J197" s="15"/>
    </row>
    <row r="198" spans="1:10" x14ac:dyDescent="0.2">
      <c r="A198" s="23" t="str">
        <f t="shared" si="12"/>
        <v/>
      </c>
      <c r="B198" s="22"/>
      <c r="C198" s="24"/>
      <c r="D198" s="15"/>
      <c r="E198" s="24"/>
      <c r="F198" s="25"/>
      <c r="G198" s="21"/>
      <c r="H198" s="26" t="str">
        <f t="shared" si="13"/>
        <v/>
      </c>
      <c r="I198" s="25"/>
      <c r="J198" s="15"/>
    </row>
    <row r="199" spans="1:10" x14ac:dyDescent="0.2">
      <c r="A199" s="23" t="str">
        <f t="shared" si="12"/>
        <v/>
      </c>
      <c r="B199" s="22"/>
      <c r="C199" s="24"/>
      <c r="D199" s="15"/>
      <c r="E199" s="24"/>
      <c r="F199" s="25"/>
      <c r="G199" s="21"/>
      <c r="H199" s="26" t="str">
        <f t="shared" si="13"/>
        <v/>
      </c>
      <c r="I199" s="25"/>
      <c r="J199" s="15"/>
    </row>
    <row r="200" spans="1:10" x14ac:dyDescent="0.2">
      <c r="A200" s="23" t="str">
        <f t="shared" si="12"/>
        <v/>
      </c>
      <c r="B200" s="22"/>
      <c r="C200" s="24"/>
      <c r="D200" s="15"/>
      <c r="E200" s="24"/>
      <c r="F200" s="25"/>
      <c r="G200" s="21"/>
      <c r="H200" s="26" t="str">
        <f t="shared" si="13"/>
        <v/>
      </c>
      <c r="I200" s="25"/>
      <c r="J200" s="15"/>
    </row>
    <row r="201" spans="1:10" x14ac:dyDescent="0.2">
      <c r="A201" s="23" t="str">
        <f t="shared" si="12"/>
        <v/>
      </c>
      <c r="B201" s="22"/>
      <c r="C201" s="24"/>
      <c r="D201" s="15"/>
      <c r="E201" s="24"/>
      <c r="F201" s="25"/>
      <c r="G201" s="21"/>
      <c r="H201" s="26" t="str">
        <f t="shared" si="13"/>
        <v/>
      </c>
      <c r="I201" s="25"/>
      <c r="J201" s="15"/>
    </row>
    <row r="202" spans="1:10" x14ac:dyDescent="0.2">
      <c r="A202" s="23" t="str">
        <f t="shared" si="12"/>
        <v/>
      </c>
      <c r="B202" s="22"/>
      <c r="C202" s="24"/>
      <c r="D202" s="15"/>
      <c r="E202" s="24"/>
      <c r="F202" s="25"/>
      <c r="G202" s="21"/>
      <c r="H202" s="26" t="str">
        <f t="shared" si="13"/>
        <v/>
      </c>
      <c r="I202" s="25"/>
      <c r="J202" s="15"/>
    </row>
    <row r="203" spans="1:10" x14ac:dyDescent="0.2">
      <c r="A203" s="23" t="str">
        <f t="shared" si="12"/>
        <v/>
      </c>
      <c r="B203" s="22"/>
      <c r="C203" s="24"/>
      <c r="D203" s="15"/>
      <c r="E203" s="24"/>
      <c r="F203" s="25"/>
      <c r="G203" s="21"/>
      <c r="H203" s="26" t="str">
        <f t="shared" si="13"/>
        <v/>
      </c>
      <c r="I203" s="25"/>
      <c r="J203" s="15"/>
    </row>
    <row r="204" spans="1:10" x14ac:dyDescent="0.2">
      <c r="A204" s="23" t="str">
        <f t="shared" si="12"/>
        <v/>
      </c>
      <c r="B204" s="22"/>
      <c r="C204" s="24"/>
      <c r="D204" s="15"/>
      <c r="E204" s="24"/>
      <c r="F204" s="25"/>
      <c r="G204" s="21"/>
      <c r="H204" s="26" t="str">
        <f t="shared" si="13"/>
        <v/>
      </c>
      <c r="I204" s="25"/>
      <c r="J204" s="15"/>
    </row>
  </sheetData>
  <mergeCells count="2">
    <mergeCell ref="A1:J1"/>
    <mergeCell ref="A2:J2"/>
  </mergeCells>
  <dataValidations count="1">
    <dataValidation type="list" allowBlank="1" sqref="C5:C204" xr:uid="{00000000-0002-0000-0700-000000000000}">
      <formula1>"DISBURSEMENT,REPAYMENT"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1000000}">
          <x14:formula1>
            <xm:f>'02_FX_Rates'!$A$5:$A$10</xm:f>
          </x14:formula1>
          <xm:sqref>E5:E204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75B6"/>
  </sheetPr>
  <dimension ref="A1:I503"/>
  <sheetViews>
    <sheetView zoomScaleNormal="100" workbookViewId="0">
      <pane ySplit="4" topLeftCell="A5" activePane="bottomLeft" state="frozen"/>
      <selection pane="bottomLeft" activeCell="J34" sqref="J34"/>
    </sheetView>
  </sheetViews>
  <sheetFormatPr baseColWidth="10" defaultColWidth="8.6640625" defaultRowHeight="15" x14ac:dyDescent="0.2"/>
  <cols>
    <col min="1" max="1" width="6" customWidth="1"/>
    <col min="2" max="2" width="13" customWidth="1"/>
    <col min="3" max="3" width="22" customWidth="1"/>
    <col min="4" max="4" width="38" customWidth="1"/>
    <col min="5" max="5" width="9" customWidth="1"/>
    <col min="6" max="6" width="16" customWidth="1"/>
    <col min="7" max="7" width="12" customWidth="1"/>
    <col min="8" max="8" width="16" customWidth="1"/>
    <col min="9" max="9" width="30" customWidth="1"/>
  </cols>
  <sheetData>
    <row r="1" spans="1:9" ht="27.75" customHeight="1" x14ac:dyDescent="0.2">
      <c r="A1" s="85" t="s">
        <v>344</v>
      </c>
      <c r="B1" s="86"/>
      <c r="C1" s="86"/>
      <c r="D1" s="86"/>
      <c r="E1" s="86"/>
      <c r="F1" s="86"/>
      <c r="G1" s="86"/>
      <c r="H1" s="86"/>
      <c r="I1" s="86"/>
    </row>
    <row r="2" spans="1:9" ht="15" customHeight="1" x14ac:dyDescent="0.2">
      <c r="A2" s="87" t="s">
        <v>345</v>
      </c>
      <c r="B2" s="86"/>
      <c r="C2" s="86"/>
      <c r="D2" s="86"/>
      <c r="E2" s="86"/>
      <c r="F2" s="86"/>
      <c r="G2" s="86"/>
      <c r="H2" s="86"/>
      <c r="I2" s="86"/>
    </row>
    <row r="4" spans="1:9" ht="31.5" customHeight="1" x14ac:dyDescent="0.2">
      <c r="A4" s="19" t="s">
        <v>112</v>
      </c>
      <c r="B4" s="19" t="s">
        <v>130</v>
      </c>
      <c r="C4" s="19" t="s">
        <v>346</v>
      </c>
      <c r="D4" s="19" t="s">
        <v>347</v>
      </c>
      <c r="E4" s="19" t="s">
        <v>99</v>
      </c>
      <c r="F4" s="19" t="s">
        <v>348</v>
      </c>
      <c r="G4" s="19" t="s">
        <v>117</v>
      </c>
      <c r="H4" s="19" t="s">
        <v>349</v>
      </c>
      <c r="I4" s="19" t="s">
        <v>102</v>
      </c>
    </row>
    <row r="5" spans="1:9" x14ac:dyDescent="0.2">
      <c r="A5" s="23">
        <f t="shared" ref="A5:A68" si="0">IF(B5="","",ROW()-4)</f>
        <v>1</v>
      </c>
      <c r="B5" s="54">
        <v>45667</v>
      </c>
      <c r="C5" s="56" t="s">
        <v>350</v>
      </c>
      <c r="D5" s="56" t="s">
        <v>351</v>
      </c>
      <c r="E5" s="55" t="s">
        <v>54</v>
      </c>
      <c r="F5" s="61">
        <v>-4.7</v>
      </c>
      <c r="G5" s="59">
        <v>1</v>
      </c>
      <c r="H5" s="26">
        <f t="shared" ref="H5:H68" si="1">IF(OR(F5="",G5=""),"",F5*G5)</f>
        <v>-4.7</v>
      </c>
      <c r="I5" s="15"/>
    </row>
    <row r="6" spans="1:9" x14ac:dyDescent="0.2">
      <c r="A6" s="23">
        <f t="shared" si="0"/>
        <v>2</v>
      </c>
      <c r="B6" s="54">
        <v>45847</v>
      </c>
      <c r="C6" s="56" t="s">
        <v>350</v>
      </c>
      <c r="D6" s="56" t="s">
        <v>352</v>
      </c>
      <c r="E6" s="55" t="s">
        <v>54</v>
      </c>
      <c r="F6" s="61">
        <v>-45</v>
      </c>
      <c r="G6" s="59">
        <v>1</v>
      </c>
      <c r="H6" s="26">
        <f t="shared" si="1"/>
        <v>-45</v>
      </c>
      <c r="I6" s="15"/>
    </row>
    <row r="7" spans="1:9" x14ac:dyDescent="0.2">
      <c r="A7" s="23">
        <f t="shared" si="0"/>
        <v>3</v>
      </c>
      <c r="B7" s="54">
        <v>45853</v>
      </c>
      <c r="C7" s="56" t="s">
        <v>353</v>
      </c>
      <c r="D7" s="56" t="s">
        <v>354</v>
      </c>
      <c r="E7" s="55" t="s">
        <v>54</v>
      </c>
      <c r="F7" s="61">
        <v>-261.07</v>
      </c>
      <c r="G7" s="59">
        <v>1</v>
      </c>
      <c r="H7" s="26">
        <f t="shared" si="1"/>
        <v>-261.07</v>
      </c>
      <c r="I7" s="15"/>
    </row>
    <row r="8" spans="1:9" x14ac:dyDescent="0.2">
      <c r="A8" s="23">
        <f t="shared" si="0"/>
        <v>4</v>
      </c>
      <c r="B8" s="54">
        <v>45859</v>
      </c>
      <c r="C8" s="56" t="s">
        <v>350</v>
      </c>
      <c r="D8" s="56" t="s">
        <v>355</v>
      </c>
      <c r="E8" s="55" t="s">
        <v>54</v>
      </c>
      <c r="F8" s="61">
        <v>-27.99</v>
      </c>
      <c r="G8" s="59">
        <v>1</v>
      </c>
      <c r="H8" s="26">
        <f t="shared" si="1"/>
        <v>-27.99</v>
      </c>
      <c r="I8" s="15"/>
    </row>
    <row r="9" spans="1:9" x14ac:dyDescent="0.2">
      <c r="A9" s="23">
        <f t="shared" si="0"/>
        <v>5</v>
      </c>
      <c r="B9" s="54">
        <v>45897</v>
      </c>
      <c r="C9" s="56" t="s">
        <v>350</v>
      </c>
      <c r="D9" s="56" t="s">
        <v>356</v>
      </c>
      <c r="E9" s="55" t="s">
        <v>54</v>
      </c>
      <c r="F9" s="61">
        <v>-20.63</v>
      </c>
      <c r="G9" s="59">
        <v>1</v>
      </c>
      <c r="H9" s="26">
        <f t="shared" si="1"/>
        <v>-20.63</v>
      </c>
      <c r="I9" s="15"/>
    </row>
    <row r="10" spans="1:9" x14ac:dyDescent="0.2">
      <c r="A10" s="23">
        <f t="shared" si="0"/>
        <v>6</v>
      </c>
      <c r="B10" s="54">
        <v>45910</v>
      </c>
      <c r="C10" s="56" t="s">
        <v>350</v>
      </c>
      <c r="D10" s="56" t="s">
        <v>357</v>
      </c>
      <c r="E10" s="55" t="s">
        <v>54</v>
      </c>
      <c r="F10" s="61">
        <v>-156.72999999999999</v>
      </c>
      <c r="G10" s="59">
        <v>1</v>
      </c>
      <c r="H10" s="26">
        <f t="shared" si="1"/>
        <v>-156.72999999999999</v>
      </c>
      <c r="I10" s="15"/>
    </row>
    <row r="11" spans="1:9" x14ac:dyDescent="0.2">
      <c r="A11" s="23">
        <f t="shared" si="0"/>
        <v>7</v>
      </c>
      <c r="B11" s="54">
        <v>45911</v>
      </c>
      <c r="C11" s="56" t="s">
        <v>350</v>
      </c>
      <c r="D11" s="56" t="s">
        <v>358</v>
      </c>
      <c r="E11" s="55" t="s">
        <v>54</v>
      </c>
      <c r="F11" s="61">
        <v>-4.71</v>
      </c>
      <c r="G11" s="59">
        <v>1</v>
      </c>
      <c r="H11" s="26">
        <f t="shared" si="1"/>
        <v>-4.71</v>
      </c>
      <c r="I11" s="15"/>
    </row>
    <row r="12" spans="1:9" x14ac:dyDescent="0.2">
      <c r="A12" s="23">
        <f t="shared" si="0"/>
        <v>8</v>
      </c>
      <c r="B12" s="54">
        <v>45912</v>
      </c>
      <c r="C12" s="56" t="s">
        <v>350</v>
      </c>
      <c r="D12" s="56" t="s">
        <v>359</v>
      </c>
      <c r="E12" s="55" t="s">
        <v>54</v>
      </c>
      <c r="F12" s="61">
        <v>-2.33</v>
      </c>
      <c r="G12" s="59">
        <v>1</v>
      </c>
      <c r="H12" s="26">
        <f t="shared" si="1"/>
        <v>-2.33</v>
      </c>
      <c r="I12" s="15"/>
    </row>
    <row r="13" spans="1:9" x14ac:dyDescent="0.2">
      <c r="A13" s="23">
        <f t="shared" si="0"/>
        <v>9</v>
      </c>
      <c r="B13" s="54">
        <v>45917</v>
      </c>
      <c r="C13" s="56" t="s">
        <v>350</v>
      </c>
      <c r="D13" s="56" t="s">
        <v>360</v>
      </c>
      <c r="E13" s="55" t="s">
        <v>54</v>
      </c>
      <c r="F13" s="61">
        <v>-8.36</v>
      </c>
      <c r="G13" s="59">
        <v>1</v>
      </c>
      <c r="H13" s="26">
        <f t="shared" si="1"/>
        <v>-8.36</v>
      </c>
      <c r="I13" s="15"/>
    </row>
    <row r="14" spans="1:9" x14ac:dyDescent="0.2">
      <c r="A14" s="23">
        <f t="shared" si="0"/>
        <v>10</v>
      </c>
      <c r="B14" s="54">
        <v>45929</v>
      </c>
      <c r="C14" s="56" t="s">
        <v>350</v>
      </c>
      <c r="D14" s="56" t="s">
        <v>361</v>
      </c>
      <c r="E14" s="55" t="s">
        <v>54</v>
      </c>
      <c r="F14" s="61">
        <v>-45.66</v>
      </c>
      <c r="G14" s="59">
        <v>1</v>
      </c>
      <c r="H14" s="26">
        <f t="shared" si="1"/>
        <v>-45.66</v>
      </c>
      <c r="I14" s="15"/>
    </row>
    <row r="15" spans="1:9" x14ac:dyDescent="0.2">
      <c r="A15" s="23">
        <f t="shared" si="0"/>
        <v>11</v>
      </c>
      <c r="B15" s="54">
        <v>45932</v>
      </c>
      <c r="C15" s="56" t="s">
        <v>353</v>
      </c>
      <c r="D15" s="56" t="s">
        <v>362</v>
      </c>
      <c r="E15" s="55" t="s">
        <v>54</v>
      </c>
      <c r="F15" s="61">
        <v>-243.48</v>
      </c>
      <c r="G15" s="59">
        <v>1</v>
      </c>
      <c r="H15" s="26">
        <f t="shared" si="1"/>
        <v>-243.48</v>
      </c>
      <c r="I15" s="15"/>
    </row>
    <row r="16" spans="1:9" x14ac:dyDescent="0.2">
      <c r="A16" s="23">
        <f t="shared" si="0"/>
        <v>12</v>
      </c>
      <c r="B16" s="54">
        <v>45940</v>
      </c>
      <c r="C16" s="56" t="s">
        <v>350</v>
      </c>
      <c r="D16" s="56" t="s">
        <v>363</v>
      </c>
      <c r="E16" s="55" t="s">
        <v>54</v>
      </c>
      <c r="F16" s="61">
        <v>-272.2</v>
      </c>
      <c r="G16" s="59">
        <v>1</v>
      </c>
      <c r="H16" s="26">
        <f t="shared" si="1"/>
        <v>-272.2</v>
      </c>
      <c r="I16" s="15"/>
    </row>
    <row r="17" spans="1:9" x14ac:dyDescent="0.2">
      <c r="A17" s="23">
        <f t="shared" si="0"/>
        <v>13</v>
      </c>
      <c r="B17" s="54">
        <v>45945</v>
      </c>
      <c r="C17" s="56" t="s">
        <v>350</v>
      </c>
      <c r="D17" s="56" t="s">
        <v>364</v>
      </c>
      <c r="E17" s="55" t="s">
        <v>54</v>
      </c>
      <c r="F17" s="61">
        <v>-10.67</v>
      </c>
      <c r="G17" s="59">
        <v>1</v>
      </c>
      <c r="H17" s="26">
        <f t="shared" si="1"/>
        <v>-10.67</v>
      </c>
      <c r="I17" s="15"/>
    </row>
    <row r="18" spans="1:9" x14ac:dyDescent="0.2">
      <c r="A18" s="23">
        <f t="shared" si="0"/>
        <v>14</v>
      </c>
      <c r="B18" s="54">
        <v>45953</v>
      </c>
      <c r="C18" s="56" t="s">
        <v>350</v>
      </c>
      <c r="D18" s="56" t="s">
        <v>365</v>
      </c>
      <c r="E18" s="55" t="s">
        <v>54</v>
      </c>
      <c r="F18" s="61">
        <v>-3.42</v>
      </c>
      <c r="G18" s="59">
        <v>1</v>
      </c>
      <c r="H18" s="26">
        <f t="shared" si="1"/>
        <v>-3.42</v>
      </c>
      <c r="I18" s="15"/>
    </row>
    <row r="19" spans="1:9" x14ac:dyDescent="0.2">
      <c r="A19" s="23">
        <f t="shared" si="0"/>
        <v>15</v>
      </c>
      <c r="B19" s="54">
        <v>45995</v>
      </c>
      <c r="C19" s="56" t="s">
        <v>350</v>
      </c>
      <c r="D19" s="56" t="s">
        <v>366</v>
      </c>
      <c r="E19" s="55" t="s">
        <v>54</v>
      </c>
      <c r="F19" s="61">
        <v>-117.87</v>
      </c>
      <c r="G19" s="59">
        <v>1</v>
      </c>
      <c r="H19" s="26">
        <f t="shared" si="1"/>
        <v>-117.87</v>
      </c>
      <c r="I19" s="15"/>
    </row>
    <row r="20" spans="1:9" x14ac:dyDescent="0.2">
      <c r="A20" s="23">
        <f t="shared" si="0"/>
        <v>16</v>
      </c>
      <c r="B20" s="54">
        <v>46022</v>
      </c>
      <c r="C20" s="56" t="s">
        <v>367</v>
      </c>
      <c r="D20" s="56" t="s">
        <v>368</v>
      </c>
      <c r="E20" s="55" t="s">
        <v>54</v>
      </c>
      <c r="F20" s="61">
        <v>-75000</v>
      </c>
      <c r="G20" s="59">
        <v>1</v>
      </c>
      <c r="H20" s="26">
        <f t="shared" si="1"/>
        <v>-75000</v>
      </c>
      <c r="I20" s="15"/>
    </row>
    <row r="21" spans="1:9" x14ac:dyDescent="0.2">
      <c r="A21" s="23">
        <f t="shared" si="0"/>
        <v>17</v>
      </c>
      <c r="B21" s="54">
        <v>46034</v>
      </c>
      <c r="C21" s="56" t="s">
        <v>350</v>
      </c>
      <c r="D21" s="56" t="s">
        <v>369</v>
      </c>
      <c r="E21" s="55" t="s">
        <v>54</v>
      </c>
      <c r="F21" s="61">
        <v>-418</v>
      </c>
      <c r="G21" s="59">
        <v>1</v>
      </c>
      <c r="H21" s="26">
        <f t="shared" si="1"/>
        <v>-418</v>
      </c>
      <c r="I21" s="15"/>
    </row>
    <row r="22" spans="1:9" x14ac:dyDescent="0.2">
      <c r="A22" s="23">
        <f t="shared" si="0"/>
        <v>18</v>
      </c>
      <c r="B22" s="54">
        <v>46044</v>
      </c>
      <c r="C22" s="56" t="s">
        <v>350</v>
      </c>
      <c r="D22" s="56" t="s">
        <v>370</v>
      </c>
      <c r="E22" s="55" t="s">
        <v>54</v>
      </c>
      <c r="F22" s="61">
        <v>-199.77</v>
      </c>
      <c r="G22" s="59">
        <v>1</v>
      </c>
      <c r="H22" s="26">
        <f t="shared" si="1"/>
        <v>-199.77</v>
      </c>
      <c r="I22" s="15"/>
    </row>
    <row r="23" spans="1:9" x14ac:dyDescent="0.2">
      <c r="A23" s="23">
        <f t="shared" si="0"/>
        <v>19</v>
      </c>
      <c r="B23" s="54">
        <v>46055</v>
      </c>
      <c r="C23" s="56" t="s">
        <v>353</v>
      </c>
      <c r="D23" s="56" t="s">
        <v>371</v>
      </c>
      <c r="E23" s="55" t="s">
        <v>54</v>
      </c>
      <c r="F23" s="61">
        <v>-1347.83</v>
      </c>
      <c r="G23" s="59">
        <v>1</v>
      </c>
      <c r="H23" s="26">
        <f t="shared" si="1"/>
        <v>-1347.83</v>
      </c>
      <c r="I23" s="15"/>
    </row>
    <row r="24" spans="1:9" x14ac:dyDescent="0.2">
      <c r="A24" s="23">
        <f t="shared" si="0"/>
        <v>20</v>
      </c>
      <c r="B24" s="54">
        <v>46059</v>
      </c>
      <c r="C24" s="56" t="s">
        <v>350</v>
      </c>
      <c r="D24" s="56" t="s">
        <v>372</v>
      </c>
      <c r="E24" s="55" t="s">
        <v>54</v>
      </c>
      <c r="F24" s="61">
        <v>-95.52</v>
      </c>
      <c r="G24" s="59">
        <v>1</v>
      </c>
      <c r="H24" s="26">
        <f t="shared" si="1"/>
        <v>-95.52</v>
      </c>
      <c r="I24" s="15"/>
    </row>
    <row r="25" spans="1:9" x14ac:dyDescent="0.2">
      <c r="A25" s="23">
        <f t="shared" si="0"/>
        <v>21</v>
      </c>
      <c r="B25" s="54">
        <v>46069</v>
      </c>
      <c r="C25" s="56" t="s">
        <v>350</v>
      </c>
      <c r="D25" s="56" t="s">
        <v>373</v>
      </c>
      <c r="E25" s="55" t="s">
        <v>54</v>
      </c>
      <c r="F25" s="61">
        <v>-68.239999999999995</v>
      </c>
      <c r="G25" s="59">
        <v>1</v>
      </c>
      <c r="H25" s="26">
        <f t="shared" si="1"/>
        <v>-68.239999999999995</v>
      </c>
      <c r="I25" s="15"/>
    </row>
    <row r="26" spans="1:9" x14ac:dyDescent="0.2">
      <c r="A26" s="23">
        <f t="shared" si="0"/>
        <v>22</v>
      </c>
      <c r="B26" s="54">
        <v>46072</v>
      </c>
      <c r="C26" s="56" t="s">
        <v>350</v>
      </c>
      <c r="D26" s="56" t="s">
        <v>374</v>
      </c>
      <c r="E26" s="55" t="s">
        <v>54</v>
      </c>
      <c r="F26" s="61">
        <v>-78.08</v>
      </c>
      <c r="G26" s="59">
        <v>1</v>
      </c>
      <c r="H26" s="26">
        <f t="shared" si="1"/>
        <v>-78.08</v>
      </c>
      <c r="I26" s="15"/>
    </row>
    <row r="27" spans="1:9" x14ac:dyDescent="0.2">
      <c r="A27" s="23">
        <f t="shared" si="0"/>
        <v>23</v>
      </c>
      <c r="B27" s="54">
        <v>46090</v>
      </c>
      <c r="C27" s="56" t="s">
        <v>350</v>
      </c>
      <c r="D27" s="56" t="s">
        <v>375</v>
      </c>
      <c r="E27" s="55" t="s">
        <v>54</v>
      </c>
      <c r="F27" s="61">
        <v>-12.36</v>
      </c>
      <c r="G27" s="59">
        <v>1</v>
      </c>
      <c r="H27" s="26">
        <f t="shared" si="1"/>
        <v>-12.36</v>
      </c>
      <c r="I27" s="15"/>
    </row>
    <row r="28" spans="1:9" x14ac:dyDescent="0.2">
      <c r="A28" s="23">
        <f t="shared" si="0"/>
        <v>24</v>
      </c>
      <c r="B28" s="54">
        <v>46099</v>
      </c>
      <c r="C28" s="56" t="s">
        <v>350</v>
      </c>
      <c r="D28" s="56" t="s">
        <v>357</v>
      </c>
      <c r="E28" s="55" t="s">
        <v>54</v>
      </c>
      <c r="F28" s="61">
        <v>-211.52</v>
      </c>
      <c r="G28" s="59">
        <v>1</v>
      </c>
      <c r="H28" s="26">
        <f t="shared" si="1"/>
        <v>-211.52</v>
      </c>
      <c r="I28" s="15"/>
    </row>
    <row r="29" spans="1:9" x14ac:dyDescent="0.2">
      <c r="A29" s="23">
        <f t="shared" si="0"/>
        <v>25</v>
      </c>
      <c r="B29" s="54">
        <v>46122</v>
      </c>
      <c r="C29" s="56" t="s">
        <v>350</v>
      </c>
      <c r="D29" s="56" t="s">
        <v>376</v>
      </c>
      <c r="E29" s="55" t="s">
        <v>54</v>
      </c>
      <c r="F29" s="61">
        <v>-538.6</v>
      </c>
      <c r="G29" s="59">
        <v>1</v>
      </c>
      <c r="H29" s="26">
        <f t="shared" si="1"/>
        <v>-538.6</v>
      </c>
      <c r="I29" s="15"/>
    </row>
    <row r="30" spans="1:9" x14ac:dyDescent="0.2">
      <c r="A30" s="23">
        <f t="shared" si="0"/>
        <v>26</v>
      </c>
      <c r="B30" s="54">
        <v>46128</v>
      </c>
      <c r="C30" s="56" t="s">
        <v>350</v>
      </c>
      <c r="D30" s="56" t="s">
        <v>377</v>
      </c>
      <c r="E30" s="55" t="s">
        <v>54</v>
      </c>
      <c r="F30" s="61">
        <v>-2.99</v>
      </c>
      <c r="G30" s="59">
        <v>1</v>
      </c>
      <c r="H30" s="26">
        <f t="shared" si="1"/>
        <v>-2.99</v>
      </c>
      <c r="I30" s="15"/>
    </row>
    <row r="31" spans="1:9" x14ac:dyDescent="0.2">
      <c r="A31" s="23">
        <f t="shared" si="0"/>
        <v>27</v>
      </c>
      <c r="B31" s="54">
        <v>46112</v>
      </c>
      <c r="C31" s="56" t="s">
        <v>378</v>
      </c>
      <c r="D31" s="56" t="s">
        <v>379</v>
      </c>
      <c r="E31" s="55" t="s">
        <v>54</v>
      </c>
      <c r="F31" s="61">
        <v>64959</v>
      </c>
      <c r="G31" s="59">
        <v>1</v>
      </c>
      <c r="H31" s="26">
        <f t="shared" si="1"/>
        <v>64959</v>
      </c>
      <c r="I31" s="15"/>
    </row>
    <row r="32" spans="1:9" x14ac:dyDescent="0.2">
      <c r="A32" s="23" t="str">
        <f t="shared" si="0"/>
        <v/>
      </c>
      <c r="B32" s="54"/>
      <c r="C32" s="56"/>
      <c r="D32" s="56"/>
      <c r="E32" s="55"/>
      <c r="F32" s="61"/>
      <c r="G32" s="59"/>
      <c r="H32" s="26" t="str">
        <f t="shared" si="1"/>
        <v/>
      </c>
      <c r="I32" s="15"/>
    </row>
    <row r="33" spans="1:9" x14ac:dyDescent="0.2">
      <c r="A33" s="23" t="str">
        <f t="shared" si="0"/>
        <v/>
      </c>
      <c r="B33" s="54"/>
      <c r="C33" s="56"/>
      <c r="D33" s="56"/>
      <c r="E33" s="55"/>
      <c r="F33" s="61"/>
      <c r="G33" s="59"/>
      <c r="H33" s="26" t="str">
        <f t="shared" si="1"/>
        <v/>
      </c>
      <c r="I33" s="15"/>
    </row>
    <row r="34" spans="1:9" x14ac:dyDescent="0.2">
      <c r="A34" s="23" t="str">
        <f t="shared" si="0"/>
        <v/>
      </c>
      <c r="B34" s="54"/>
      <c r="C34" s="56"/>
      <c r="D34" s="56"/>
      <c r="E34" s="55"/>
      <c r="F34" s="61"/>
      <c r="G34" s="59"/>
      <c r="H34" s="26" t="str">
        <f t="shared" si="1"/>
        <v/>
      </c>
      <c r="I34" s="15"/>
    </row>
    <row r="35" spans="1:9" x14ac:dyDescent="0.2">
      <c r="A35" s="23" t="str">
        <f t="shared" si="0"/>
        <v/>
      </c>
      <c r="B35" s="54"/>
      <c r="C35" s="56"/>
      <c r="D35" s="56"/>
      <c r="E35" s="55"/>
      <c r="F35" s="61"/>
      <c r="G35" s="59"/>
      <c r="H35" s="26" t="str">
        <f t="shared" si="1"/>
        <v/>
      </c>
      <c r="I35" s="15"/>
    </row>
    <row r="36" spans="1:9" x14ac:dyDescent="0.2">
      <c r="A36" s="23" t="str">
        <f t="shared" si="0"/>
        <v/>
      </c>
      <c r="B36" s="54"/>
      <c r="C36" s="56"/>
      <c r="D36" s="56"/>
      <c r="E36" s="55"/>
      <c r="F36" s="61"/>
      <c r="G36" s="59"/>
      <c r="H36" s="26" t="str">
        <f t="shared" si="1"/>
        <v/>
      </c>
      <c r="I36" s="15"/>
    </row>
    <row r="37" spans="1:9" x14ac:dyDescent="0.2">
      <c r="A37" s="23" t="str">
        <f t="shared" si="0"/>
        <v/>
      </c>
      <c r="B37" s="54"/>
      <c r="C37" s="56"/>
      <c r="D37" s="56"/>
      <c r="E37" s="55"/>
      <c r="F37" s="61"/>
      <c r="G37" s="59"/>
      <c r="H37" s="26" t="str">
        <f t="shared" si="1"/>
        <v/>
      </c>
      <c r="I37" s="15"/>
    </row>
    <row r="38" spans="1:9" x14ac:dyDescent="0.2">
      <c r="A38" s="23" t="str">
        <f t="shared" si="0"/>
        <v/>
      </c>
      <c r="B38" s="54"/>
      <c r="C38" s="56"/>
      <c r="D38" s="56"/>
      <c r="E38" s="55"/>
      <c r="F38" s="61"/>
      <c r="G38" s="59"/>
      <c r="H38" s="26" t="str">
        <f t="shared" si="1"/>
        <v/>
      </c>
      <c r="I38" s="15"/>
    </row>
    <row r="39" spans="1:9" x14ac:dyDescent="0.2">
      <c r="A39" s="23" t="str">
        <f t="shared" si="0"/>
        <v/>
      </c>
      <c r="B39" s="54"/>
      <c r="C39" s="56"/>
      <c r="D39" s="56"/>
      <c r="E39" s="55"/>
      <c r="F39" s="61"/>
      <c r="G39" s="59"/>
      <c r="H39" s="26" t="str">
        <f t="shared" si="1"/>
        <v/>
      </c>
      <c r="I39" s="15"/>
    </row>
    <row r="40" spans="1:9" x14ac:dyDescent="0.2">
      <c r="A40" s="23" t="str">
        <f t="shared" si="0"/>
        <v/>
      </c>
      <c r="B40" s="54"/>
      <c r="C40" s="56"/>
      <c r="D40" s="56"/>
      <c r="E40" s="55"/>
      <c r="F40" s="61"/>
      <c r="G40" s="59"/>
      <c r="H40" s="26" t="str">
        <f t="shared" si="1"/>
        <v/>
      </c>
      <c r="I40" s="15"/>
    </row>
    <row r="41" spans="1:9" x14ac:dyDescent="0.2">
      <c r="A41" s="23" t="str">
        <f t="shared" si="0"/>
        <v/>
      </c>
      <c r="B41" s="54"/>
      <c r="C41" s="56"/>
      <c r="D41" s="56"/>
      <c r="E41" s="55"/>
      <c r="F41" s="61"/>
      <c r="G41" s="59"/>
      <c r="H41" s="26" t="str">
        <f t="shared" si="1"/>
        <v/>
      </c>
      <c r="I41" s="15"/>
    </row>
    <row r="42" spans="1:9" x14ac:dyDescent="0.2">
      <c r="A42" s="23" t="str">
        <f t="shared" si="0"/>
        <v/>
      </c>
      <c r="B42" s="54"/>
      <c r="C42" s="56"/>
      <c r="D42" s="56"/>
      <c r="E42" s="55"/>
      <c r="F42" s="61"/>
      <c r="G42" s="59"/>
      <c r="H42" s="26" t="str">
        <f t="shared" si="1"/>
        <v/>
      </c>
      <c r="I42" s="15"/>
    </row>
    <row r="43" spans="1:9" x14ac:dyDescent="0.2">
      <c r="A43" s="23" t="str">
        <f t="shared" si="0"/>
        <v/>
      </c>
      <c r="B43" s="54"/>
      <c r="C43" s="56"/>
      <c r="D43" s="56"/>
      <c r="E43" s="55"/>
      <c r="F43" s="61"/>
      <c r="G43" s="59"/>
      <c r="H43" s="26" t="str">
        <f t="shared" si="1"/>
        <v/>
      </c>
      <c r="I43" s="15"/>
    </row>
    <row r="44" spans="1:9" x14ac:dyDescent="0.2">
      <c r="A44" s="23" t="str">
        <f t="shared" si="0"/>
        <v/>
      </c>
      <c r="B44" s="54"/>
      <c r="C44" s="56"/>
      <c r="D44" s="56"/>
      <c r="E44" s="55"/>
      <c r="F44" s="61"/>
      <c r="G44" s="59"/>
      <c r="H44" s="26" t="str">
        <f t="shared" si="1"/>
        <v/>
      </c>
      <c r="I44" s="15"/>
    </row>
    <row r="45" spans="1:9" x14ac:dyDescent="0.2">
      <c r="A45" s="23" t="str">
        <f t="shared" si="0"/>
        <v/>
      </c>
      <c r="B45" s="54"/>
      <c r="C45" s="56"/>
      <c r="D45" s="56"/>
      <c r="E45" s="55"/>
      <c r="F45" s="61"/>
      <c r="G45" s="59"/>
      <c r="H45" s="26" t="str">
        <f t="shared" si="1"/>
        <v/>
      </c>
      <c r="I45" s="15"/>
    </row>
    <row r="46" spans="1:9" x14ac:dyDescent="0.2">
      <c r="A46" s="23" t="str">
        <f t="shared" si="0"/>
        <v/>
      </c>
      <c r="B46" s="54"/>
      <c r="C46" s="56"/>
      <c r="D46" s="56"/>
      <c r="E46" s="55"/>
      <c r="F46" s="61"/>
      <c r="G46" s="59"/>
      <c r="H46" s="26" t="str">
        <f t="shared" si="1"/>
        <v/>
      </c>
      <c r="I46" s="15"/>
    </row>
    <row r="47" spans="1:9" x14ac:dyDescent="0.2">
      <c r="A47" s="23" t="str">
        <f t="shared" si="0"/>
        <v/>
      </c>
      <c r="B47" s="54"/>
      <c r="C47" s="56"/>
      <c r="D47" s="56"/>
      <c r="E47" s="55"/>
      <c r="F47" s="61"/>
      <c r="G47" s="59"/>
      <c r="H47" s="26" t="str">
        <f t="shared" si="1"/>
        <v/>
      </c>
      <c r="I47" s="15"/>
    </row>
    <row r="48" spans="1:9" x14ac:dyDescent="0.2">
      <c r="A48" s="23" t="str">
        <f t="shared" si="0"/>
        <v/>
      </c>
      <c r="B48" s="54"/>
      <c r="C48" s="56"/>
      <c r="D48" s="56"/>
      <c r="E48" s="55"/>
      <c r="F48" s="61"/>
      <c r="G48" s="59"/>
      <c r="H48" s="26" t="str">
        <f t="shared" si="1"/>
        <v/>
      </c>
      <c r="I48" s="15"/>
    </row>
    <row r="49" spans="1:9" x14ac:dyDescent="0.2">
      <c r="A49" s="23" t="str">
        <f t="shared" si="0"/>
        <v/>
      </c>
      <c r="B49" s="54"/>
      <c r="C49" s="56"/>
      <c r="D49" s="56"/>
      <c r="E49" s="55"/>
      <c r="F49" s="61"/>
      <c r="G49" s="59"/>
      <c r="H49" s="26" t="str">
        <f t="shared" si="1"/>
        <v/>
      </c>
      <c r="I49" s="15"/>
    </row>
    <row r="50" spans="1:9" x14ac:dyDescent="0.2">
      <c r="A50" s="23" t="str">
        <f t="shared" si="0"/>
        <v/>
      </c>
      <c r="B50" s="54"/>
      <c r="C50" s="56"/>
      <c r="D50" s="56"/>
      <c r="E50" s="55"/>
      <c r="F50" s="61"/>
      <c r="G50" s="59"/>
      <c r="H50" s="26" t="str">
        <f t="shared" si="1"/>
        <v/>
      </c>
      <c r="I50" s="15"/>
    </row>
    <row r="51" spans="1:9" x14ac:dyDescent="0.2">
      <c r="A51" s="23" t="str">
        <f t="shared" si="0"/>
        <v/>
      </c>
      <c r="B51" s="54"/>
      <c r="C51" s="56"/>
      <c r="D51" s="56"/>
      <c r="E51" s="55"/>
      <c r="F51" s="61"/>
      <c r="G51" s="59"/>
      <c r="H51" s="26" t="str">
        <f t="shared" si="1"/>
        <v/>
      </c>
      <c r="I51" s="15"/>
    </row>
    <row r="52" spans="1:9" x14ac:dyDescent="0.2">
      <c r="A52" s="23" t="str">
        <f t="shared" si="0"/>
        <v/>
      </c>
      <c r="B52" s="54"/>
      <c r="C52" s="56"/>
      <c r="D52" s="56"/>
      <c r="E52" s="55"/>
      <c r="F52" s="61"/>
      <c r="G52" s="59"/>
      <c r="H52" s="26" t="str">
        <f t="shared" si="1"/>
        <v/>
      </c>
      <c r="I52" s="15"/>
    </row>
    <row r="53" spans="1:9" x14ac:dyDescent="0.2">
      <c r="A53" s="23" t="str">
        <f t="shared" si="0"/>
        <v/>
      </c>
      <c r="B53" s="54"/>
      <c r="C53" s="56"/>
      <c r="D53" s="56"/>
      <c r="E53" s="55"/>
      <c r="F53" s="61"/>
      <c r="G53" s="59"/>
      <c r="H53" s="26" t="str">
        <f t="shared" si="1"/>
        <v/>
      </c>
      <c r="I53" s="15"/>
    </row>
    <row r="54" spans="1:9" x14ac:dyDescent="0.2">
      <c r="A54" s="23" t="str">
        <f t="shared" si="0"/>
        <v/>
      </c>
      <c r="B54" s="54"/>
      <c r="C54" s="56"/>
      <c r="D54" s="56"/>
      <c r="E54" s="55"/>
      <c r="F54" s="61"/>
      <c r="G54" s="59"/>
      <c r="H54" s="26" t="str">
        <f t="shared" si="1"/>
        <v/>
      </c>
      <c r="I54" s="15"/>
    </row>
    <row r="55" spans="1:9" x14ac:dyDescent="0.2">
      <c r="A55" s="23" t="str">
        <f t="shared" si="0"/>
        <v/>
      </c>
      <c r="B55" s="54"/>
      <c r="C55" s="56"/>
      <c r="D55" s="56"/>
      <c r="E55" s="55"/>
      <c r="F55" s="61"/>
      <c r="G55" s="59"/>
      <c r="H55" s="26" t="str">
        <f t="shared" si="1"/>
        <v/>
      </c>
      <c r="I55" s="15"/>
    </row>
    <row r="56" spans="1:9" x14ac:dyDescent="0.2">
      <c r="A56" s="23" t="str">
        <f t="shared" si="0"/>
        <v/>
      </c>
      <c r="B56" s="54"/>
      <c r="C56" s="56"/>
      <c r="D56" s="56"/>
      <c r="E56" s="55"/>
      <c r="F56" s="61"/>
      <c r="G56" s="59"/>
      <c r="H56" s="26" t="str">
        <f t="shared" si="1"/>
        <v/>
      </c>
      <c r="I56" s="15"/>
    </row>
    <row r="57" spans="1:9" x14ac:dyDescent="0.2">
      <c r="A57" s="23" t="str">
        <f t="shared" si="0"/>
        <v/>
      </c>
      <c r="B57" s="22"/>
      <c r="C57" s="15"/>
      <c r="D57" s="15"/>
      <c r="E57" s="24"/>
      <c r="F57" s="25"/>
      <c r="G57" s="21"/>
      <c r="H57" s="26" t="str">
        <f t="shared" si="1"/>
        <v/>
      </c>
      <c r="I57" s="15"/>
    </row>
    <row r="58" spans="1:9" x14ac:dyDescent="0.2">
      <c r="A58" s="23" t="str">
        <f t="shared" si="0"/>
        <v/>
      </c>
      <c r="B58" s="22"/>
      <c r="C58" s="15"/>
      <c r="D58" s="15"/>
      <c r="E58" s="24"/>
      <c r="F58" s="25"/>
      <c r="G58" s="21"/>
      <c r="H58" s="26" t="str">
        <f t="shared" si="1"/>
        <v/>
      </c>
      <c r="I58" s="15"/>
    </row>
    <row r="59" spans="1:9" x14ac:dyDescent="0.2">
      <c r="A59" s="23" t="str">
        <f t="shared" si="0"/>
        <v/>
      </c>
      <c r="B59" s="22"/>
      <c r="C59" s="15"/>
      <c r="D59" s="15"/>
      <c r="E59" s="24"/>
      <c r="F59" s="25"/>
      <c r="G59" s="21"/>
      <c r="H59" s="26" t="str">
        <f t="shared" si="1"/>
        <v/>
      </c>
      <c r="I59" s="15"/>
    </row>
    <row r="60" spans="1:9" x14ac:dyDescent="0.2">
      <c r="A60" s="23" t="str">
        <f t="shared" si="0"/>
        <v/>
      </c>
      <c r="B60" s="22"/>
      <c r="C60" s="15"/>
      <c r="D60" s="15"/>
      <c r="E60" s="24"/>
      <c r="F60" s="25"/>
      <c r="G60" s="21"/>
      <c r="H60" s="26" t="str">
        <f t="shared" si="1"/>
        <v/>
      </c>
      <c r="I60" s="15"/>
    </row>
    <row r="61" spans="1:9" x14ac:dyDescent="0.2">
      <c r="A61" s="23" t="str">
        <f t="shared" si="0"/>
        <v/>
      </c>
      <c r="B61" s="22"/>
      <c r="C61" s="15"/>
      <c r="D61" s="15"/>
      <c r="E61" s="24"/>
      <c r="F61" s="25"/>
      <c r="G61" s="21"/>
      <c r="H61" s="26" t="str">
        <f t="shared" si="1"/>
        <v/>
      </c>
      <c r="I61" s="15"/>
    </row>
    <row r="62" spans="1:9" x14ac:dyDescent="0.2">
      <c r="A62" s="23" t="str">
        <f t="shared" si="0"/>
        <v/>
      </c>
      <c r="B62" s="22"/>
      <c r="C62" s="15"/>
      <c r="D62" s="15"/>
      <c r="E62" s="24"/>
      <c r="F62" s="25"/>
      <c r="G62" s="21"/>
      <c r="H62" s="26" t="str">
        <f t="shared" si="1"/>
        <v/>
      </c>
      <c r="I62" s="15"/>
    </row>
    <row r="63" spans="1:9" x14ac:dyDescent="0.2">
      <c r="A63" s="23" t="str">
        <f t="shared" si="0"/>
        <v/>
      </c>
      <c r="B63" s="22"/>
      <c r="C63" s="15"/>
      <c r="D63" s="15"/>
      <c r="E63" s="24"/>
      <c r="F63" s="25"/>
      <c r="G63" s="21"/>
      <c r="H63" s="26" t="str">
        <f t="shared" si="1"/>
        <v/>
      </c>
      <c r="I63" s="15"/>
    </row>
    <row r="64" spans="1:9" x14ac:dyDescent="0.2">
      <c r="A64" s="23" t="str">
        <f t="shared" si="0"/>
        <v/>
      </c>
      <c r="B64" s="22"/>
      <c r="C64" s="15"/>
      <c r="D64" s="15"/>
      <c r="E64" s="24"/>
      <c r="F64" s="25"/>
      <c r="G64" s="21"/>
      <c r="H64" s="26" t="str">
        <f t="shared" si="1"/>
        <v/>
      </c>
      <c r="I64" s="15"/>
    </row>
    <row r="65" spans="1:9" x14ac:dyDescent="0.2">
      <c r="A65" s="23" t="str">
        <f t="shared" si="0"/>
        <v/>
      </c>
      <c r="B65" s="22"/>
      <c r="C65" s="15"/>
      <c r="D65" s="15"/>
      <c r="E65" s="24"/>
      <c r="F65" s="25"/>
      <c r="G65" s="21"/>
      <c r="H65" s="26" t="str">
        <f t="shared" si="1"/>
        <v/>
      </c>
      <c r="I65" s="15"/>
    </row>
    <row r="66" spans="1:9" x14ac:dyDescent="0.2">
      <c r="A66" s="23" t="str">
        <f t="shared" si="0"/>
        <v/>
      </c>
      <c r="B66" s="22"/>
      <c r="C66" s="15"/>
      <c r="D66" s="15"/>
      <c r="E66" s="24"/>
      <c r="F66" s="25"/>
      <c r="G66" s="21"/>
      <c r="H66" s="26" t="str">
        <f t="shared" si="1"/>
        <v/>
      </c>
      <c r="I66" s="15"/>
    </row>
    <row r="67" spans="1:9" x14ac:dyDescent="0.2">
      <c r="A67" s="23" t="str">
        <f t="shared" si="0"/>
        <v/>
      </c>
      <c r="B67" s="22"/>
      <c r="C67" s="15"/>
      <c r="D67" s="15"/>
      <c r="E67" s="24"/>
      <c r="F67" s="25"/>
      <c r="G67" s="21"/>
      <c r="H67" s="26" t="str">
        <f t="shared" si="1"/>
        <v/>
      </c>
      <c r="I67" s="15"/>
    </row>
    <row r="68" spans="1:9" x14ac:dyDescent="0.2">
      <c r="A68" s="23" t="str">
        <f t="shared" si="0"/>
        <v/>
      </c>
      <c r="B68" s="22"/>
      <c r="C68" s="15"/>
      <c r="D68" s="15"/>
      <c r="E68" s="24"/>
      <c r="F68" s="25"/>
      <c r="G68" s="21"/>
      <c r="H68" s="26" t="str">
        <f t="shared" si="1"/>
        <v/>
      </c>
      <c r="I68" s="15"/>
    </row>
    <row r="69" spans="1:9" x14ac:dyDescent="0.2">
      <c r="A69" s="23" t="str">
        <f t="shared" ref="A69:A132" si="2">IF(B69="","",ROW()-4)</f>
        <v/>
      </c>
      <c r="B69" s="22"/>
      <c r="C69" s="15"/>
      <c r="D69" s="15"/>
      <c r="E69" s="24"/>
      <c r="F69" s="25"/>
      <c r="G69" s="21"/>
      <c r="H69" s="26" t="str">
        <f t="shared" ref="H69:H132" si="3">IF(OR(F69="",G69=""),"",F69*G69)</f>
        <v/>
      </c>
      <c r="I69" s="15"/>
    </row>
    <row r="70" spans="1:9" x14ac:dyDescent="0.2">
      <c r="A70" s="23" t="str">
        <f t="shared" si="2"/>
        <v/>
      </c>
      <c r="B70" s="22"/>
      <c r="C70" s="15"/>
      <c r="D70" s="15"/>
      <c r="E70" s="24"/>
      <c r="F70" s="25"/>
      <c r="G70" s="21"/>
      <c r="H70" s="26" t="str">
        <f t="shared" si="3"/>
        <v/>
      </c>
      <c r="I70" s="15"/>
    </row>
    <row r="71" spans="1:9" x14ac:dyDescent="0.2">
      <c r="A71" s="23" t="str">
        <f t="shared" si="2"/>
        <v/>
      </c>
      <c r="B71" s="22"/>
      <c r="C71" s="15"/>
      <c r="D71" s="15"/>
      <c r="E71" s="24"/>
      <c r="F71" s="25"/>
      <c r="G71" s="21"/>
      <c r="H71" s="26" t="str">
        <f t="shared" si="3"/>
        <v/>
      </c>
      <c r="I71" s="15"/>
    </row>
    <row r="72" spans="1:9" x14ac:dyDescent="0.2">
      <c r="A72" s="23" t="str">
        <f t="shared" si="2"/>
        <v/>
      </c>
      <c r="B72" s="22"/>
      <c r="C72" s="15"/>
      <c r="D72" s="15"/>
      <c r="E72" s="24"/>
      <c r="F72" s="25"/>
      <c r="G72" s="21"/>
      <c r="H72" s="26" t="str">
        <f t="shared" si="3"/>
        <v/>
      </c>
      <c r="I72" s="15"/>
    </row>
    <row r="73" spans="1:9" x14ac:dyDescent="0.2">
      <c r="A73" s="23" t="str">
        <f t="shared" si="2"/>
        <v/>
      </c>
      <c r="B73" s="22"/>
      <c r="C73" s="15"/>
      <c r="D73" s="15"/>
      <c r="E73" s="24"/>
      <c r="F73" s="25"/>
      <c r="G73" s="21"/>
      <c r="H73" s="26" t="str">
        <f t="shared" si="3"/>
        <v/>
      </c>
      <c r="I73" s="15"/>
    </row>
    <row r="74" spans="1:9" x14ac:dyDescent="0.2">
      <c r="A74" s="23" t="str">
        <f t="shared" si="2"/>
        <v/>
      </c>
      <c r="B74" s="22"/>
      <c r="C74" s="15"/>
      <c r="D74" s="15"/>
      <c r="E74" s="24"/>
      <c r="F74" s="25"/>
      <c r="G74" s="21"/>
      <c r="H74" s="26" t="str">
        <f t="shared" si="3"/>
        <v/>
      </c>
      <c r="I74" s="15"/>
    </row>
    <row r="75" spans="1:9" x14ac:dyDescent="0.2">
      <c r="A75" s="23" t="str">
        <f t="shared" si="2"/>
        <v/>
      </c>
      <c r="B75" s="22"/>
      <c r="C75" s="15"/>
      <c r="D75" s="15"/>
      <c r="E75" s="24"/>
      <c r="F75" s="25"/>
      <c r="G75" s="21"/>
      <c r="H75" s="26" t="str">
        <f t="shared" si="3"/>
        <v/>
      </c>
      <c r="I75" s="15"/>
    </row>
    <row r="76" spans="1:9" x14ac:dyDescent="0.2">
      <c r="A76" s="23" t="str">
        <f t="shared" si="2"/>
        <v/>
      </c>
      <c r="B76" s="22"/>
      <c r="C76" s="15"/>
      <c r="D76" s="15"/>
      <c r="E76" s="24"/>
      <c r="F76" s="25"/>
      <c r="G76" s="21"/>
      <c r="H76" s="26" t="str">
        <f t="shared" si="3"/>
        <v/>
      </c>
      <c r="I76" s="15"/>
    </row>
    <row r="77" spans="1:9" x14ac:dyDescent="0.2">
      <c r="A77" s="23" t="str">
        <f t="shared" si="2"/>
        <v/>
      </c>
      <c r="B77" s="22"/>
      <c r="C77" s="15"/>
      <c r="D77" s="15"/>
      <c r="E77" s="24"/>
      <c r="F77" s="25"/>
      <c r="G77" s="21"/>
      <c r="H77" s="26" t="str">
        <f t="shared" si="3"/>
        <v/>
      </c>
      <c r="I77" s="15"/>
    </row>
    <row r="78" spans="1:9" x14ac:dyDescent="0.2">
      <c r="A78" s="23" t="str">
        <f t="shared" si="2"/>
        <v/>
      </c>
      <c r="B78" s="22"/>
      <c r="C78" s="15"/>
      <c r="D78" s="15"/>
      <c r="E78" s="24"/>
      <c r="F78" s="25"/>
      <c r="G78" s="21"/>
      <c r="H78" s="26" t="str">
        <f t="shared" si="3"/>
        <v/>
      </c>
      <c r="I78" s="15"/>
    </row>
    <row r="79" spans="1:9" x14ac:dyDescent="0.2">
      <c r="A79" s="23" t="str">
        <f t="shared" si="2"/>
        <v/>
      </c>
      <c r="B79" s="22"/>
      <c r="C79" s="15"/>
      <c r="D79" s="15"/>
      <c r="E79" s="24"/>
      <c r="F79" s="25"/>
      <c r="G79" s="21"/>
      <c r="H79" s="26" t="str">
        <f t="shared" si="3"/>
        <v/>
      </c>
      <c r="I79" s="15"/>
    </row>
    <row r="80" spans="1:9" x14ac:dyDescent="0.2">
      <c r="A80" s="23" t="str">
        <f t="shared" si="2"/>
        <v/>
      </c>
      <c r="B80" s="22"/>
      <c r="C80" s="15"/>
      <c r="D80" s="15"/>
      <c r="E80" s="24"/>
      <c r="F80" s="25"/>
      <c r="G80" s="21"/>
      <c r="H80" s="26" t="str">
        <f t="shared" si="3"/>
        <v/>
      </c>
      <c r="I80" s="15"/>
    </row>
    <row r="81" spans="1:9" x14ac:dyDescent="0.2">
      <c r="A81" s="23" t="str">
        <f t="shared" si="2"/>
        <v/>
      </c>
      <c r="B81" s="22"/>
      <c r="C81" s="15"/>
      <c r="D81" s="15"/>
      <c r="E81" s="24"/>
      <c r="F81" s="25"/>
      <c r="G81" s="21"/>
      <c r="H81" s="26" t="str">
        <f t="shared" si="3"/>
        <v/>
      </c>
      <c r="I81" s="15"/>
    </row>
    <row r="82" spans="1:9" x14ac:dyDescent="0.2">
      <c r="A82" s="23" t="str">
        <f t="shared" si="2"/>
        <v/>
      </c>
      <c r="B82" s="22"/>
      <c r="C82" s="15"/>
      <c r="D82" s="15"/>
      <c r="E82" s="24"/>
      <c r="F82" s="25"/>
      <c r="G82" s="21"/>
      <c r="H82" s="26" t="str">
        <f t="shared" si="3"/>
        <v/>
      </c>
      <c r="I82" s="15"/>
    </row>
    <row r="83" spans="1:9" x14ac:dyDescent="0.2">
      <c r="A83" s="23" t="str">
        <f t="shared" si="2"/>
        <v/>
      </c>
      <c r="B83" s="22"/>
      <c r="C83" s="15"/>
      <c r="D83" s="15"/>
      <c r="E83" s="24"/>
      <c r="F83" s="25"/>
      <c r="G83" s="21"/>
      <c r="H83" s="26" t="str">
        <f t="shared" si="3"/>
        <v/>
      </c>
      <c r="I83" s="15"/>
    </row>
    <row r="84" spans="1:9" x14ac:dyDescent="0.2">
      <c r="A84" s="23" t="str">
        <f t="shared" si="2"/>
        <v/>
      </c>
      <c r="B84" s="22"/>
      <c r="C84" s="15"/>
      <c r="D84" s="15"/>
      <c r="E84" s="24"/>
      <c r="F84" s="25"/>
      <c r="G84" s="21"/>
      <c r="H84" s="26" t="str">
        <f t="shared" si="3"/>
        <v/>
      </c>
      <c r="I84" s="15"/>
    </row>
    <row r="85" spans="1:9" x14ac:dyDescent="0.2">
      <c r="A85" s="23" t="str">
        <f t="shared" si="2"/>
        <v/>
      </c>
      <c r="B85" s="22"/>
      <c r="C85" s="15"/>
      <c r="D85" s="15"/>
      <c r="E85" s="24"/>
      <c r="F85" s="25"/>
      <c r="G85" s="21"/>
      <c r="H85" s="26" t="str">
        <f t="shared" si="3"/>
        <v/>
      </c>
      <c r="I85" s="15"/>
    </row>
    <row r="86" spans="1:9" x14ac:dyDescent="0.2">
      <c r="A86" s="23" t="str">
        <f t="shared" si="2"/>
        <v/>
      </c>
      <c r="B86" s="22"/>
      <c r="C86" s="15"/>
      <c r="D86" s="15"/>
      <c r="E86" s="24"/>
      <c r="F86" s="25"/>
      <c r="G86" s="21"/>
      <c r="H86" s="26" t="str">
        <f t="shared" si="3"/>
        <v/>
      </c>
      <c r="I86" s="15"/>
    </row>
    <row r="87" spans="1:9" x14ac:dyDescent="0.2">
      <c r="A87" s="23" t="str">
        <f t="shared" si="2"/>
        <v/>
      </c>
      <c r="B87" s="22"/>
      <c r="C87" s="15"/>
      <c r="D87" s="15"/>
      <c r="E87" s="24"/>
      <c r="F87" s="25"/>
      <c r="G87" s="21"/>
      <c r="H87" s="26" t="str">
        <f t="shared" si="3"/>
        <v/>
      </c>
      <c r="I87" s="15"/>
    </row>
    <row r="88" spans="1:9" x14ac:dyDescent="0.2">
      <c r="A88" s="23" t="str">
        <f t="shared" si="2"/>
        <v/>
      </c>
      <c r="B88" s="22"/>
      <c r="C88" s="15"/>
      <c r="D88" s="15"/>
      <c r="E88" s="24"/>
      <c r="F88" s="25"/>
      <c r="G88" s="21"/>
      <c r="H88" s="26" t="str">
        <f t="shared" si="3"/>
        <v/>
      </c>
      <c r="I88" s="15"/>
    </row>
    <row r="89" spans="1:9" x14ac:dyDescent="0.2">
      <c r="A89" s="23" t="str">
        <f t="shared" si="2"/>
        <v/>
      </c>
      <c r="B89" s="22"/>
      <c r="C89" s="15"/>
      <c r="D89" s="15"/>
      <c r="E89" s="24"/>
      <c r="F89" s="25"/>
      <c r="G89" s="21"/>
      <c r="H89" s="26" t="str">
        <f t="shared" si="3"/>
        <v/>
      </c>
      <c r="I89" s="15"/>
    </row>
    <row r="90" spans="1:9" x14ac:dyDescent="0.2">
      <c r="A90" s="23" t="str">
        <f t="shared" si="2"/>
        <v/>
      </c>
      <c r="B90" s="22"/>
      <c r="C90" s="15"/>
      <c r="D90" s="15"/>
      <c r="E90" s="24"/>
      <c r="F90" s="25"/>
      <c r="G90" s="21"/>
      <c r="H90" s="26" t="str">
        <f t="shared" si="3"/>
        <v/>
      </c>
      <c r="I90" s="15"/>
    </row>
    <row r="91" spans="1:9" x14ac:dyDescent="0.2">
      <c r="A91" s="23" t="str">
        <f t="shared" si="2"/>
        <v/>
      </c>
      <c r="B91" s="22"/>
      <c r="C91" s="15"/>
      <c r="D91" s="15"/>
      <c r="E91" s="24"/>
      <c r="F91" s="25"/>
      <c r="G91" s="21"/>
      <c r="H91" s="26" t="str">
        <f t="shared" si="3"/>
        <v/>
      </c>
      <c r="I91" s="15"/>
    </row>
    <row r="92" spans="1:9" x14ac:dyDescent="0.2">
      <c r="A92" s="23" t="str">
        <f t="shared" si="2"/>
        <v/>
      </c>
      <c r="B92" s="22"/>
      <c r="C92" s="15"/>
      <c r="D92" s="15"/>
      <c r="E92" s="24"/>
      <c r="F92" s="25"/>
      <c r="G92" s="21"/>
      <c r="H92" s="26" t="str">
        <f t="shared" si="3"/>
        <v/>
      </c>
      <c r="I92" s="15"/>
    </row>
    <row r="93" spans="1:9" x14ac:dyDescent="0.2">
      <c r="A93" s="23" t="str">
        <f t="shared" si="2"/>
        <v/>
      </c>
      <c r="B93" s="22"/>
      <c r="C93" s="15"/>
      <c r="D93" s="15"/>
      <c r="E93" s="24"/>
      <c r="F93" s="25"/>
      <c r="G93" s="21"/>
      <c r="H93" s="26" t="str">
        <f t="shared" si="3"/>
        <v/>
      </c>
      <c r="I93" s="15"/>
    </row>
    <row r="94" spans="1:9" x14ac:dyDescent="0.2">
      <c r="A94" s="23" t="str">
        <f t="shared" si="2"/>
        <v/>
      </c>
      <c r="B94" s="22"/>
      <c r="C94" s="15"/>
      <c r="D94" s="15"/>
      <c r="E94" s="24"/>
      <c r="F94" s="25"/>
      <c r="G94" s="21"/>
      <c r="H94" s="26" t="str">
        <f t="shared" si="3"/>
        <v/>
      </c>
      <c r="I94" s="15"/>
    </row>
    <row r="95" spans="1:9" x14ac:dyDescent="0.2">
      <c r="A95" s="23" t="str">
        <f t="shared" si="2"/>
        <v/>
      </c>
      <c r="B95" s="22"/>
      <c r="C95" s="15"/>
      <c r="D95" s="15"/>
      <c r="E95" s="24"/>
      <c r="F95" s="25"/>
      <c r="G95" s="21"/>
      <c r="H95" s="26" t="str">
        <f t="shared" si="3"/>
        <v/>
      </c>
      <c r="I95" s="15"/>
    </row>
    <row r="96" spans="1:9" x14ac:dyDescent="0.2">
      <c r="A96" s="23" t="str">
        <f t="shared" si="2"/>
        <v/>
      </c>
      <c r="B96" s="22"/>
      <c r="C96" s="15"/>
      <c r="D96" s="15"/>
      <c r="E96" s="24"/>
      <c r="F96" s="25"/>
      <c r="G96" s="21"/>
      <c r="H96" s="26" t="str">
        <f t="shared" si="3"/>
        <v/>
      </c>
      <c r="I96" s="15"/>
    </row>
    <row r="97" spans="1:9" x14ac:dyDescent="0.2">
      <c r="A97" s="23" t="str">
        <f t="shared" si="2"/>
        <v/>
      </c>
      <c r="B97" s="22"/>
      <c r="C97" s="15"/>
      <c r="D97" s="15"/>
      <c r="E97" s="24"/>
      <c r="F97" s="25"/>
      <c r="G97" s="21"/>
      <c r="H97" s="26" t="str">
        <f t="shared" si="3"/>
        <v/>
      </c>
      <c r="I97" s="15"/>
    </row>
    <row r="98" spans="1:9" x14ac:dyDescent="0.2">
      <c r="A98" s="23" t="str">
        <f t="shared" si="2"/>
        <v/>
      </c>
      <c r="B98" s="22"/>
      <c r="C98" s="15"/>
      <c r="D98" s="15"/>
      <c r="E98" s="24"/>
      <c r="F98" s="25"/>
      <c r="G98" s="21"/>
      <c r="H98" s="26" t="str">
        <f t="shared" si="3"/>
        <v/>
      </c>
      <c r="I98" s="15"/>
    </row>
    <row r="99" spans="1:9" x14ac:dyDescent="0.2">
      <c r="A99" s="23" t="str">
        <f t="shared" si="2"/>
        <v/>
      </c>
      <c r="B99" s="22"/>
      <c r="C99" s="15"/>
      <c r="D99" s="15"/>
      <c r="E99" s="24"/>
      <c r="F99" s="25"/>
      <c r="G99" s="21"/>
      <c r="H99" s="26" t="str">
        <f t="shared" si="3"/>
        <v/>
      </c>
      <c r="I99" s="15"/>
    </row>
    <row r="100" spans="1:9" x14ac:dyDescent="0.2">
      <c r="A100" s="23" t="str">
        <f t="shared" si="2"/>
        <v/>
      </c>
      <c r="B100" s="22"/>
      <c r="C100" s="15"/>
      <c r="D100" s="15"/>
      <c r="E100" s="24"/>
      <c r="F100" s="25"/>
      <c r="G100" s="21"/>
      <c r="H100" s="26" t="str">
        <f t="shared" si="3"/>
        <v/>
      </c>
      <c r="I100" s="15"/>
    </row>
    <row r="101" spans="1:9" x14ac:dyDescent="0.2">
      <c r="A101" s="23" t="str">
        <f t="shared" si="2"/>
        <v/>
      </c>
      <c r="B101" s="22"/>
      <c r="C101" s="15"/>
      <c r="D101" s="15"/>
      <c r="E101" s="24"/>
      <c r="F101" s="25"/>
      <c r="G101" s="21"/>
      <c r="H101" s="26" t="str">
        <f t="shared" si="3"/>
        <v/>
      </c>
      <c r="I101" s="15"/>
    </row>
    <row r="102" spans="1:9" x14ac:dyDescent="0.2">
      <c r="A102" s="23" t="str">
        <f t="shared" si="2"/>
        <v/>
      </c>
      <c r="B102" s="22"/>
      <c r="C102" s="15"/>
      <c r="D102" s="15"/>
      <c r="E102" s="24"/>
      <c r="F102" s="25"/>
      <c r="G102" s="21"/>
      <c r="H102" s="26" t="str">
        <f t="shared" si="3"/>
        <v/>
      </c>
      <c r="I102" s="15"/>
    </row>
    <row r="103" spans="1:9" x14ac:dyDescent="0.2">
      <c r="A103" s="23" t="str">
        <f t="shared" si="2"/>
        <v/>
      </c>
      <c r="B103" s="22"/>
      <c r="C103" s="15"/>
      <c r="D103" s="15"/>
      <c r="E103" s="24"/>
      <c r="F103" s="25"/>
      <c r="G103" s="21"/>
      <c r="H103" s="26" t="str">
        <f t="shared" si="3"/>
        <v/>
      </c>
      <c r="I103" s="15"/>
    </row>
    <row r="104" spans="1:9" x14ac:dyDescent="0.2">
      <c r="A104" s="23" t="str">
        <f t="shared" si="2"/>
        <v/>
      </c>
      <c r="B104" s="22"/>
      <c r="C104" s="15"/>
      <c r="D104" s="15"/>
      <c r="E104" s="24"/>
      <c r="F104" s="25"/>
      <c r="G104" s="21"/>
      <c r="H104" s="26" t="str">
        <f t="shared" si="3"/>
        <v/>
      </c>
      <c r="I104" s="15"/>
    </row>
    <row r="105" spans="1:9" x14ac:dyDescent="0.2">
      <c r="A105" s="23" t="str">
        <f t="shared" si="2"/>
        <v/>
      </c>
      <c r="B105" s="22"/>
      <c r="C105" s="15"/>
      <c r="D105" s="15"/>
      <c r="E105" s="24"/>
      <c r="F105" s="25"/>
      <c r="G105" s="21"/>
      <c r="H105" s="26" t="str">
        <f t="shared" si="3"/>
        <v/>
      </c>
      <c r="I105" s="15"/>
    </row>
    <row r="106" spans="1:9" x14ac:dyDescent="0.2">
      <c r="A106" s="23" t="str">
        <f t="shared" si="2"/>
        <v/>
      </c>
      <c r="B106" s="22"/>
      <c r="C106" s="15"/>
      <c r="D106" s="15"/>
      <c r="E106" s="24"/>
      <c r="F106" s="25"/>
      <c r="G106" s="21"/>
      <c r="H106" s="26" t="str">
        <f t="shared" si="3"/>
        <v/>
      </c>
      <c r="I106" s="15"/>
    </row>
    <row r="107" spans="1:9" x14ac:dyDescent="0.2">
      <c r="A107" s="23" t="str">
        <f t="shared" si="2"/>
        <v/>
      </c>
      <c r="B107" s="22"/>
      <c r="C107" s="15"/>
      <c r="D107" s="15"/>
      <c r="E107" s="24"/>
      <c r="F107" s="25"/>
      <c r="G107" s="21"/>
      <c r="H107" s="26" t="str">
        <f t="shared" si="3"/>
        <v/>
      </c>
      <c r="I107" s="15"/>
    </row>
    <row r="108" spans="1:9" x14ac:dyDescent="0.2">
      <c r="A108" s="23" t="str">
        <f t="shared" si="2"/>
        <v/>
      </c>
      <c r="B108" s="22"/>
      <c r="C108" s="15"/>
      <c r="D108" s="15"/>
      <c r="E108" s="24"/>
      <c r="F108" s="25"/>
      <c r="G108" s="21"/>
      <c r="H108" s="26" t="str">
        <f t="shared" si="3"/>
        <v/>
      </c>
      <c r="I108" s="15"/>
    </row>
    <row r="109" spans="1:9" x14ac:dyDescent="0.2">
      <c r="A109" s="23" t="str">
        <f t="shared" si="2"/>
        <v/>
      </c>
      <c r="B109" s="22"/>
      <c r="C109" s="15"/>
      <c r="D109" s="15"/>
      <c r="E109" s="24"/>
      <c r="F109" s="25"/>
      <c r="G109" s="21"/>
      <c r="H109" s="26" t="str">
        <f t="shared" si="3"/>
        <v/>
      </c>
      <c r="I109" s="15"/>
    </row>
    <row r="110" spans="1:9" x14ac:dyDescent="0.2">
      <c r="A110" s="23" t="str">
        <f t="shared" si="2"/>
        <v/>
      </c>
      <c r="B110" s="22"/>
      <c r="C110" s="15"/>
      <c r="D110" s="15"/>
      <c r="E110" s="24"/>
      <c r="F110" s="25"/>
      <c r="G110" s="21"/>
      <c r="H110" s="26" t="str">
        <f t="shared" si="3"/>
        <v/>
      </c>
      <c r="I110" s="15"/>
    </row>
    <row r="111" spans="1:9" x14ac:dyDescent="0.2">
      <c r="A111" s="23" t="str">
        <f t="shared" si="2"/>
        <v/>
      </c>
      <c r="B111" s="22"/>
      <c r="C111" s="15"/>
      <c r="D111" s="15"/>
      <c r="E111" s="24"/>
      <c r="F111" s="25"/>
      <c r="G111" s="21"/>
      <c r="H111" s="26" t="str">
        <f t="shared" si="3"/>
        <v/>
      </c>
      <c r="I111" s="15"/>
    </row>
    <row r="112" spans="1:9" x14ac:dyDescent="0.2">
      <c r="A112" s="23" t="str">
        <f t="shared" si="2"/>
        <v/>
      </c>
      <c r="B112" s="22"/>
      <c r="C112" s="15"/>
      <c r="D112" s="15"/>
      <c r="E112" s="24"/>
      <c r="F112" s="25"/>
      <c r="G112" s="21"/>
      <c r="H112" s="26" t="str">
        <f t="shared" si="3"/>
        <v/>
      </c>
      <c r="I112" s="15"/>
    </row>
    <row r="113" spans="1:9" x14ac:dyDescent="0.2">
      <c r="A113" s="23" t="str">
        <f t="shared" si="2"/>
        <v/>
      </c>
      <c r="B113" s="22"/>
      <c r="C113" s="15"/>
      <c r="D113" s="15"/>
      <c r="E113" s="24"/>
      <c r="F113" s="25"/>
      <c r="G113" s="21"/>
      <c r="H113" s="26" t="str">
        <f t="shared" si="3"/>
        <v/>
      </c>
      <c r="I113" s="15"/>
    </row>
    <row r="114" spans="1:9" x14ac:dyDescent="0.2">
      <c r="A114" s="23" t="str">
        <f t="shared" si="2"/>
        <v/>
      </c>
      <c r="B114" s="22"/>
      <c r="C114" s="15"/>
      <c r="D114" s="15"/>
      <c r="E114" s="24"/>
      <c r="F114" s="25"/>
      <c r="G114" s="21"/>
      <c r="H114" s="26" t="str">
        <f t="shared" si="3"/>
        <v/>
      </c>
      <c r="I114" s="15"/>
    </row>
    <row r="115" spans="1:9" x14ac:dyDescent="0.2">
      <c r="A115" s="23" t="str">
        <f t="shared" si="2"/>
        <v/>
      </c>
      <c r="B115" s="22"/>
      <c r="C115" s="15"/>
      <c r="D115" s="15"/>
      <c r="E115" s="24"/>
      <c r="F115" s="25"/>
      <c r="G115" s="21"/>
      <c r="H115" s="26" t="str">
        <f t="shared" si="3"/>
        <v/>
      </c>
      <c r="I115" s="15"/>
    </row>
    <row r="116" spans="1:9" x14ac:dyDescent="0.2">
      <c r="A116" s="23" t="str">
        <f t="shared" si="2"/>
        <v/>
      </c>
      <c r="B116" s="22"/>
      <c r="C116" s="15"/>
      <c r="D116" s="15"/>
      <c r="E116" s="24"/>
      <c r="F116" s="25"/>
      <c r="G116" s="21"/>
      <c r="H116" s="26" t="str">
        <f t="shared" si="3"/>
        <v/>
      </c>
      <c r="I116" s="15"/>
    </row>
    <row r="117" spans="1:9" x14ac:dyDescent="0.2">
      <c r="A117" s="23" t="str">
        <f t="shared" si="2"/>
        <v/>
      </c>
      <c r="B117" s="22"/>
      <c r="C117" s="15"/>
      <c r="D117" s="15"/>
      <c r="E117" s="24"/>
      <c r="F117" s="25"/>
      <c r="G117" s="21"/>
      <c r="H117" s="26" t="str">
        <f t="shared" si="3"/>
        <v/>
      </c>
      <c r="I117" s="15"/>
    </row>
    <row r="118" spans="1:9" x14ac:dyDescent="0.2">
      <c r="A118" s="23" t="str">
        <f t="shared" si="2"/>
        <v/>
      </c>
      <c r="B118" s="22"/>
      <c r="C118" s="15"/>
      <c r="D118" s="15"/>
      <c r="E118" s="24"/>
      <c r="F118" s="25"/>
      <c r="G118" s="21"/>
      <c r="H118" s="26" t="str">
        <f t="shared" si="3"/>
        <v/>
      </c>
      <c r="I118" s="15"/>
    </row>
    <row r="119" spans="1:9" x14ac:dyDescent="0.2">
      <c r="A119" s="23" t="str">
        <f t="shared" si="2"/>
        <v/>
      </c>
      <c r="B119" s="22"/>
      <c r="C119" s="15"/>
      <c r="D119" s="15"/>
      <c r="E119" s="24"/>
      <c r="F119" s="25"/>
      <c r="G119" s="21"/>
      <c r="H119" s="26" t="str">
        <f t="shared" si="3"/>
        <v/>
      </c>
      <c r="I119" s="15"/>
    </row>
    <row r="120" spans="1:9" x14ac:dyDescent="0.2">
      <c r="A120" s="23" t="str">
        <f t="shared" si="2"/>
        <v/>
      </c>
      <c r="B120" s="22"/>
      <c r="C120" s="15"/>
      <c r="D120" s="15"/>
      <c r="E120" s="24"/>
      <c r="F120" s="25"/>
      <c r="G120" s="21"/>
      <c r="H120" s="26" t="str">
        <f t="shared" si="3"/>
        <v/>
      </c>
      <c r="I120" s="15"/>
    </row>
    <row r="121" spans="1:9" x14ac:dyDescent="0.2">
      <c r="A121" s="23" t="str">
        <f t="shared" si="2"/>
        <v/>
      </c>
      <c r="B121" s="22"/>
      <c r="C121" s="15"/>
      <c r="D121" s="15"/>
      <c r="E121" s="24"/>
      <c r="F121" s="25"/>
      <c r="G121" s="21"/>
      <c r="H121" s="26" t="str">
        <f t="shared" si="3"/>
        <v/>
      </c>
      <c r="I121" s="15"/>
    </row>
    <row r="122" spans="1:9" x14ac:dyDescent="0.2">
      <c r="A122" s="23" t="str">
        <f t="shared" si="2"/>
        <v/>
      </c>
      <c r="B122" s="22"/>
      <c r="C122" s="15"/>
      <c r="D122" s="15"/>
      <c r="E122" s="24"/>
      <c r="F122" s="25"/>
      <c r="G122" s="21"/>
      <c r="H122" s="26" t="str">
        <f t="shared" si="3"/>
        <v/>
      </c>
      <c r="I122" s="15"/>
    </row>
    <row r="123" spans="1:9" x14ac:dyDescent="0.2">
      <c r="A123" s="23" t="str">
        <f t="shared" si="2"/>
        <v/>
      </c>
      <c r="B123" s="22"/>
      <c r="C123" s="15"/>
      <c r="D123" s="15"/>
      <c r="E123" s="24"/>
      <c r="F123" s="25"/>
      <c r="G123" s="21"/>
      <c r="H123" s="26" t="str">
        <f t="shared" si="3"/>
        <v/>
      </c>
      <c r="I123" s="15"/>
    </row>
    <row r="124" spans="1:9" x14ac:dyDescent="0.2">
      <c r="A124" s="23" t="str">
        <f t="shared" si="2"/>
        <v/>
      </c>
      <c r="B124" s="22"/>
      <c r="C124" s="15"/>
      <c r="D124" s="15"/>
      <c r="E124" s="24"/>
      <c r="F124" s="25"/>
      <c r="G124" s="21"/>
      <c r="H124" s="26" t="str">
        <f t="shared" si="3"/>
        <v/>
      </c>
      <c r="I124" s="15"/>
    </row>
    <row r="125" spans="1:9" x14ac:dyDescent="0.2">
      <c r="A125" s="23" t="str">
        <f t="shared" si="2"/>
        <v/>
      </c>
      <c r="B125" s="22"/>
      <c r="C125" s="15"/>
      <c r="D125" s="15"/>
      <c r="E125" s="24"/>
      <c r="F125" s="25"/>
      <c r="G125" s="21"/>
      <c r="H125" s="26" t="str">
        <f t="shared" si="3"/>
        <v/>
      </c>
      <c r="I125" s="15"/>
    </row>
    <row r="126" spans="1:9" x14ac:dyDescent="0.2">
      <c r="A126" s="23" t="str">
        <f t="shared" si="2"/>
        <v/>
      </c>
      <c r="B126" s="22"/>
      <c r="C126" s="15"/>
      <c r="D126" s="15"/>
      <c r="E126" s="24"/>
      <c r="F126" s="25"/>
      <c r="G126" s="21"/>
      <c r="H126" s="26" t="str">
        <f t="shared" si="3"/>
        <v/>
      </c>
      <c r="I126" s="15"/>
    </row>
    <row r="127" spans="1:9" x14ac:dyDescent="0.2">
      <c r="A127" s="23" t="str">
        <f t="shared" si="2"/>
        <v/>
      </c>
      <c r="B127" s="22"/>
      <c r="C127" s="15"/>
      <c r="D127" s="15"/>
      <c r="E127" s="24"/>
      <c r="F127" s="25"/>
      <c r="G127" s="21"/>
      <c r="H127" s="26" t="str">
        <f t="shared" si="3"/>
        <v/>
      </c>
      <c r="I127" s="15"/>
    </row>
    <row r="128" spans="1:9" x14ac:dyDescent="0.2">
      <c r="A128" s="23" t="str">
        <f t="shared" si="2"/>
        <v/>
      </c>
      <c r="B128" s="22"/>
      <c r="C128" s="15"/>
      <c r="D128" s="15"/>
      <c r="E128" s="24"/>
      <c r="F128" s="25"/>
      <c r="G128" s="21"/>
      <c r="H128" s="26" t="str">
        <f t="shared" si="3"/>
        <v/>
      </c>
      <c r="I128" s="15"/>
    </row>
    <row r="129" spans="1:9" x14ac:dyDescent="0.2">
      <c r="A129" s="23" t="str">
        <f t="shared" si="2"/>
        <v/>
      </c>
      <c r="B129" s="22"/>
      <c r="C129" s="15"/>
      <c r="D129" s="15"/>
      <c r="E129" s="24"/>
      <c r="F129" s="25"/>
      <c r="G129" s="21"/>
      <c r="H129" s="26" t="str">
        <f t="shared" si="3"/>
        <v/>
      </c>
      <c r="I129" s="15"/>
    </row>
    <row r="130" spans="1:9" x14ac:dyDescent="0.2">
      <c r="A130" s="23" t="str">
        <f t="shared" si="2"/>
        <v/>
      </c>
      <c r="B130" s="22"/>
      <c r="C130" s="15"/>
      <c r="D130" s="15"/>
      <c r="E130" s="24"/>
      <c r="F130" s="25"/>
      <c r="G130" s="21"/>
      <c r="H130" s="26" t="str">
        <f t="shared" si="3"/>
        <v/>
      </c>
      <c r="I130" s="15"/>
    </row>
    <row r="131" spans="1:9" x14ac:dyDescent="0.2">
      <c r="A131" s="23" t="str">
        <f t="shared" si="2"/>
        <v/>
      </c>
      <c r="B131" s="22"/>
      <c r="C131" s="15"/>
      <c r="D131" s="15"/>
      <c r="E131" s="24"/>
      <c r="F131" s="25"/>
      <c r="G131" s="21"/>
      <c r="H131" s="26" t="str">
        <f t="shared" si="3"/>
        <v/>
      </c>
      <c r="I131" s="15"/>
    </row>
    <row r="132" spans="1:9" x14ac:dyDescent="0.2">
      <c r="A132" s="23" t="str">
        <f t="shared" si="2"/>
        <v/>
      </c>
      <c r="B132" s="22"/>
      <c r="C132" s="15"/>
      <c r="D132" s="15"/>
      <c r="E132" s="24"/>
      <c r="F132" s="25"/>
      <c r="G132" s="21"/>
      <c r="H132" s="26" t="str">
        <f t="shared" si="3"/>
        <v/>
      </c>
      <c r="I132" s="15"/>
    </row>
    <row r="133" spans="1:9" x14ac:dyDescent="0.2">
      <c r="A133" s="23" t="str">
        <f t="shared" ref="A133:A196" si="4">IF(B133="","",ROW()-4)</f>
        <v/>
      </c>
      <c r="B133" s="22"/>
      <c r="C133" s="15"/>
      <c r="D133" s="15"/>
      <c r="E133" s="24"/>
      <c r="F133" s="25"/>
      <c r="G133" s="21"/>
      <c r="H133" s="26" t="str">
        <f t="shared" ref="H133:H196" si="5">IF(OR(F133="",G133=""),"",F133*G133)</f>
        <v/>
      </c>
      <c r="I133" s="15"/>
    </row>
    <row r="134" spans="1:9" x14ac:dyDescent="0.2">
      <c r="A134" s="23" t="str">
        <f t="shared" si="4"/>
        <v/>
      </c>
      <c r="B134" s="22"/>
      <c r="C134" s="15"/>
      <c r="D134" s="15"/>
      <c r="E134" s="24"/>
      <c r="F134" s="25"/>
      <c r="G134" s="21"/>
      <c r="H134" s="26" t="str">
        <f t="shared" si="5"/>
        <v/>
      </c>
      <c r="I134" s="15"/>
    </row>
    <row r="135" spans="1:9" x14ac:dyDescent="0.2">
      <c r="A135" s="23" t="str">
        <f t="shared" si="4"/>
        <v/>
      </c>
      <c r="B135" s="22"/>
      <c r="C135" s="15"/>
      <c r="D135" s="15"/>
      <c r="E135" s="24"/>
      <c r="F135" s="25"/>
      <c r="G135" s="21"/>
      <c r="H135" s="26" t="str">
        <f t="shared" si="5"/>
        <v/>
      </c>
      <c r="I135" s="15"/>
    </row>
    <row r="136" spans="1:9" x14ac:dyDescent="0.2">
      <c r="A136" s="23" t="str">
        <f t="shared" si="4"/>
        <v/>
      </c>
      <c r="B136" s="22"/>
      <c r="C136" s="15"/>
      <c r="D136" s="15"/>
      <c r="E136" s="24"/>
      <c r="F136" s="25"/>
      <c r="G136" s="21"/>
      <c r="H136" s="26" t="str">
        <f t="shared" si="5"/>
        <v/>
      </c>
      <c r="I136" s="15"/>
    </row>
    <row r="137" spans="1:9" x14ac:dyDescent="0.2">
      <c r="A137" s="23" t="str">
        <f t="shared" si="4"/>
        <v/>
      </c>
      <c r="B137" s="22"/>
      <c r="C137" s="15"/>
      <c r="D137" s="15"/>
      <c r="E137" s="24"/>
      <c r="F137" s="25"/>
      <c r="G137" s="21"/>
      <c r="H137" s="26" t="str">
        <f t="shared" si="5"/>
        <v/>
      </c>
      <c r="I137" s="15"/>
    </row>
    <row r="138" spans="1:9" x14ac:dyDescent="0.2">
      <c r="A138" s="23" t="str">
        <f t="shared" si="4"/>
        <v/>
      </c>
      <c r="B138" s="22"/>
      <c r="C138" s="15"/>
      <c r="D138" s="15"/>
      <c r="E138" s="24"/>
      <c r="F138" s="25"/>
      <c r="G138" s="21"/>
      <c r="H138" s="26" t="str">
        <f t="shared" si="5"/>
        <v/>
      </c>
      <c r="I138" s="15"/>
    </row>
    <row r="139" spans="1:9" x14ac:dyDescent="0.2">
      <c r="A139" s="23" t="str">
        <f t="shared" si="4"/>
        <v/>
      </c>
      <c r="B139" s="22"/>
      <c r="C139" s="15"/>
      <c r="D139" s="15"/>
      <c r="E139" s="24"/>
      <c r="F139" s="25"/>
      <c r="G139" s="21"/>
      <c r="H139" s="26" t="str">
        <f t="shared" si="5"/>
        <v/>
      </c>
      <c r="I139" s="15"/>
    </row>
    <row r="140" spans="1:9" x14ac:dyDescent="0.2">
      <c r="A140" s="23" t="str">
        <f t="shared" si="4"/>
        <v/>
      </c>
      <c r="B140" s="22"/>
      <c r="C140" s="15"/>
      <c r="D140" s="15"/>
      <c r="E140" s="24"/>
      <c r="F140" s="25"/>
      <c r="G140" s="21"/>
      <c r="H140" s="26" t="str">
        <f t="shared" si="5"/>
        <v/>
      </c>
      <c r="I140" s="15"/>
    </row>
    <row r="141" spans="1:9" x14ac:dyDescent="0.2">
      <c r="A141" s="23" t="str">
        <f t="shared" si="4"/>
        <v/>
      </c>
      <c r="B141" s="22"/>
      <c r="C141" s="15"/>
      <c r="D141" s="15"/>
      <c r="E141" s="24"/>
      <c r="F141" s="25"/>
      <c r="G141" s="21"/>
      <c r="H141" s="26" t="str">
        <f t="shared" si="5"/>
        <v/>
      </c>
      <c r="I141" s="15"/>
    </row>
    <row r="142" spans="1:9" x14ac:dyDescent="0.2">
      <c r="A142" s="23" t="str">
        <f t="shared" si="4"/>
        <v/>
      </c>
      <c r="B142" s="22"/>
      <c r="C142" s="15"/>
      <c r="D142" s="15"/>
      <c r="E142" s="24"/>
      <c r="F142" s="25"/>
      <c r="G142" s="21"/>
      <c r="H142" s="26" t="str">
        <f t="shared" si="5"/>
        <v/>
      </c>
      <c r="I142" s="15"/>
    </row>
    <row r="143" spans="1:9" x14ac:dyDescent="0.2">
      <c r="A143" s="23" t="str">
        <f t="shared" si="4"/>
        <v/>
      </c>
      <c r="B143" s="22"/>
      <c r="C143" s="15"/>
      <c r="D143" s="15"/>
      <c r="E143" s="24"/>
      <c r="F143" s="25"/>
      <c r="G143" s="21"/>
      <c r="H143" s="26" t="str">
        <f t="shared" si="5"/>
        <v/>
      </c>
      <c r="I143" s="15"/>
    </row>
    <row r="144" spans="1:9" x14ac:dyDescent="0.2">
      <c r="A144" s="23" t="str">
        <f t="shared" si="4"/>
        <v/>
      </c>
      <c r="B144" s="22"/>
      <c r="C144" s="15"/>
      <c r="D144" s="15"/>
      <c r="E144" s="24"/>
      <c r="F144" s="25"/>
      <c r="G144" s="21"/>
      <c r="H144" s="26" t="str">
        <f t="shared" si="5"/>
        <v/>
      </c>
      <c r="I144" s="15"/>
    </row>
    <row r="145" spans="1:9" x14ac:dyDescent="0.2">
      <c r="A145" s="23" t="str">
        <f t="shared" si="4"/>
        <v/>
      </c>
      <c r="B145" s="22"/>
      <c r="C145" s="15"/>
      <c r="D145" s="15"/>
      <c r="E145" s="24"/>
      <c r="F145" s="25"/>
      <c r="G145" s="21"/>
      <c r="H145" s="26" t="str">
        <f t="shared" si="5"/>
        <v/>
      </c>
      <c r="I145" s="15"/>
    </row>
    <row r="146" spans="1:9" x14ac:dyDescent="0.2">
      <c r="A146" s="23" t="str">
        <f t="shared" si="4"/>
        <v/>
      </c>
      <c r="B146" s="22"/>
      <c r="C146" s="15"/>
      <c r="D146" s="15"/>
      <c r="E146" s="24"/>
      <c r="F146" s="25"/>
      <c r="G146" s="21"/>
      <c r="H146" s="26" t="str">
        <f t="shared" si="5"/>
        <v/>
      </c>
      <c r="I146" s="15"/>
    </row>
    <row r="147" spans="1:9" x14ac:dyDescent="0.2">
      <c r="A147" s="23" t="str">
        <f t="shared" si="4"/>
        <v/>
      </c>
      <c r="B147" s="22"/>
      <c r="C147" s="15"/>
      <c r="D147" s="15"/>
      <c r="E147" s="24"/>
      <c r="F147" s="25"/>
      <c r="G147" s="21"/>
      <c r="H147" s="26" t="str">
        <f t="shared" si="5"/>
        <v/>
      </c>
      <c r="I147" s="15"/>
    </row>
    <row r="148" spans="1:9" x14ac:dyDescent="0.2">
      <c r="A148" s="23" t="str">
        <f t="shared" si="4"/>
        <v/>
      </c>
      <c r="B148" s="22"/>
      <c r="C148" s="15"/>
      <c r="D148" s="15"/>
      <c r="E148" s="24"/>
      <c r="F148" s="25"/>
      <c r="G148" s="21"/>
      <c r="H148" s="26" t="str">
        <f t="shared" si="5"/>
        <v/>
      </c>
      <c r="I148" s="15"/>
    </row>
    <row r="149" spans="1:9" x14ac:dyDescent="0.2">
      <c r="A149" s="23" t="str">
        <f t="shared" si="4"/>
        <v/>
      </c>
      <c r="B149" s="22"/>
      <c r="C149" s="15"/>
      <c r="D149" s="15"/>
      <c r="E149" s="24"/>
      <c r="F149" s="25"/>
      <c r="G149" s="21"/>
      <c r="H149" s="26" t="str">
        <f t="shared" si="5"/>
        <v/>
      </c>
      <c r="I149" s="15"/>
    </row>
    <row r="150" spans="1:9" x14ac:dyDescent="0.2">
      <c r="A150" s="23" t="str">
        <f t="shared" si="4"/>
        <v/>
      </c>
      <c r="B150" s="22"/>
      <c r="C150" s="15"/>
      <c r="D150" s="15"/>
      <c r="E150" s="24"/>
      <c r="F150" s="25"/>
      <c r="G150" s="21"/>
      <c r="H150" s="26" t="str">
        <f t="shared" si="5"/>
        <v/>
      </c>
      <c r="I150" s="15"/>
    </row>
    <row r="151" spans="1:9" x14ac:dyDescent="0.2">
      <c r="A151" s="23" t="str">
        <f t="shared" si="4"/>
        <v/>
      </c>
      <c r="B151" s="22"/>
      <c r="C151" s="15"/>
      <c r="D151" s="15"/>
      <c r="E151" s="24"/>
      <c r="F151" s="25"/>
      <c r="G151" s="21"/>
      <c r="H151" s="26" t="str">
        <f t="shared" si="5"/>
        <v/>
      </c>
      <c r="I151" s="15"/>
    </row>
    <row r="152" spans="1:9" x14ac:dyDescent="0.2">
      <c r="A152" s="23" t="str">
        <f t="shared" si="4"/>
        <v/>
      </c>
      <c r="B152" s="22"/>
      <c r="C152" s="15"/>
      <c r="D152" s="15"/>
      <c r="E152" s="24"/>
      <c r="F152" s="25"/>
      <c r="G152" s="21"/>
      <c r="H152" s="26" t="str">
        <f t="shared" si="5"/>
        <v/>
      </c>
      <c r="I152" s="15"/>
    </row>
    <row r="153" spans="1:9" x14ac:dyDescent="0.2">
      <c r="A153" s="23" t="str">
        <f t="shared" si="4"/>
        <v/>
      </c>
      <c r="B153" s="22"/>
      <c r="C153" s="15"/>
      <c r="D153" s="15"/>
      <c r="E153" s="24"/>
      <c r="F153" s="25"/>
      <c r="G153" s="21"/>
      <c r="H153" s="26" t="str">
        <f t="shared" si="5"/>
        <v/>
      </c>
      <c r="I153" s="15"/>
    </row>
    <row r="154" spans="1:9" x14ac:dyDescent="0.2">
      <c r="A154" s="23" t="str">
        <f t="shared" si="4"/>
        <v/>
      </c>
      <c r="B154" s="22"/>
      <c r="C154" s="15"/>
      <c r="D154" s="15"/>
      <c r="E154" s="24"/>
      <c r="F154" s="25"/>
      <c r="G154" s="21"/>
      <c r="H154" s="26" t="str">
        <f t="shared" si="5"/>
        <v/>
      </c>
      <c r="I154" s="15"/>
    </row>
    <row r="155" spans="1:9" x14ac:dyDescent="0.2">
      <c r="A155" s="23" t="str">
        <f t="shared" si="4"/>
        <v/>
      </c>
      <c r="B155" s="22"/>
      <c r="C155" s="15"/>
      <c r="D155" s="15"/>
      <c r="E155" s="24"/>
      <c r="F155" s="25"/>
      <c r="G155" s="21"/>
      <c r="H155" s="26" t="str">
        <f t="shared" si="5"/>
        <v/>
      </c>
      <c r="I155" s="15"/>
    </row>
    <row r="156" spans="1:9" x14ac:dyDescent="0.2">
      <c r="A156" s="23" t="str">
        <f t="shared" si="4"/>
        <v/>
      </c>
      <c r="B156" s="22"/>
      <c r="C156" s="15"/>
      <c r="D156" s="15"/>
      <c r="E156" s="24"/>
      <c r="F156" s="25"/>
      <c r="G156" s="21"/>
      <c r="H156" s="26" t="str">
        <f t="shared" si="5"/>
        <v/>
      </c>
      <c r="I156" s="15"/>
    </row>
    <row r="157" spans="1:9" x14ac:dyDescent="0.2">
      <c r="A157" s="23" t="str">
        <f t="shared" si="4"/>
        <v/>
      </c>
      <c r="B157" s="22"/>
      <c r="C157" s="15"/>
      <c r="D157" s="15"/>
      <c r="E157" s="24"/>
      <c r="F157" s="25"/>
      <c r="G157" s="21"/>
      <c r="H157" s="26" t="str">
        <f t="shared" si="5"/>
        <v/>
      </c>
      <c r="I157" s="15"/>
    </row>
    <row r="158" spans="1:9" x14ac:dyDescent="0.2">
      <c r="A158" s="23" t="str">
        <f t="shared" si="4"/>
        <v/>
      </c>
      <c r="B158" s="22"/>
      <c r="C158" s="15"/>
      <c r="D158" s="15"/>
      <c r="E158" s="24"/>
      <c r="F158" s="25"/>
      <c r="G158" s="21"/>
      <c r="H158" s="26" t="str">
        <f t="shared" si="5"/>
        <v/>
      </c>
      <c r="I158" s="15"/>
    </row>
    <row r="159" spans="1:9" x14ac:dyDescent="0.2">
      <c r="A159" s="23" t="str">
        <f t="shared" si="4"/>
        <v/>
      </c>
      <c r="B159" s="22"/>
      <c r="C159" s="15"/>
      <c r="D159" s="15"/>
      <c r="E159" s="24"/>
      <c r="F159" s="25"/>
      <c r="G159" s="21"/>
      <c r="H159" s="26" t="str">
        <f t="shared" si="5"/>
        <v/>
      </c>
      <c r="I159" s="15"/>
    </row>
    <row r="160" spans="1:9" x14ac:dyDescent="0.2">
      <c r="A160" s="23" t="str">
        <f t="shared" si="4"/>
        <v/>
      </c>
      <c r="B160" s="22"/>
      <c r="C160" s="15"/>
      <c r="D160" s="15"/>
      <c r="E160" s="24"/>
      <c r="F160" s="25"/>
      <c r="G160" s="21"/>
      <c r="H160" s="26" t="str">
        <f t="shared" si="5"/>
        <v/>
      </c>
      <c r="I160" s="15"/>
    </row>
    <row r="161" spans="1:9" x14ac:dyDescent="0.2">
      <c r="A161" s="23" t="str">
        <f t="shared" si="4"/>
        <v/>
      </c>
      <c r="B161" s="22"/>
      <c r="C161" s="15"/>
      <c r="D161" s="15"/>
      <c r="E161" s="24"/>
      <c r="F161" s="25"/>
      <c r="G161" s="21"/>
      <c r="H161" s="26" t="str">
        <f t="shared" si="5"/>
        <v/>
      </c>
      <c r="I161" s="15"/>
    </row>
    <row r="162" spans="1:9" x14ac:dyDescent="0.2">
      <c r="A162" s="23" t="str">
        <f t="shared" si="4"/>
        <v/>
      </c>
      <c r="B162" s="22"/>
      <c r="C162" s="15"/>
      <c r="D162" s="15"/>
      <c r="E162" s="24"/>
      <c r="F162" s="25"/>
      <c r="G162" s="21"/>
      <c r="H162" s="26" t="str">
        <f t="shared" si="5"/>
        <v/>
      </c>
      <c r="I162" s="15"/>
    </row>
    <row r="163" spans="1:9" x14ac:dyDescent="0.2">
      <c r="A163" s="23" t="str">
        <f t="shared" si="4"/>
        <v/>
      </c>
      <c r="B163" s="22"/>
      <c r="C163" s="15"/>
      <c r="D163" s="15"/>
      <c r="E163" s="24"/>
      <c r="F163" s="25"/>
      <c r="G163" s="21"/>
      <c r="H163" s="26" t="str">
        <f t="shared" si="5"/>
        <v/>
      </c>
      <c r="I163" s="15"/>
    </row>
    <row r="164" spans="1:9" x14ac:dyDescent="0.2">
      <c r="A164" s="23" t="str">
        <f t="shared" si="4"/>
        <v/>
      </c>
      <c r="B164" s="22"/>
      <c r="C164" s="15"/>
      <c r="D164" s="15"/>
      <c r="E164" s="24"/>
      <c r="F164" s="25"/>
      <c r="G164" s="21"/>
      <c r="H164" s="26" t="str">
        <f t="shared" si="5"/>
        <v/>
      </c>
      <c r="I164" s="15"/>
    </row>
    <row r="165" spans="1:9" x14ac:dyDescent="0.2">
      <c r="A165" s="23" t="str">
        <f t="shared" si="4"/>
        <v/>
      </c>
      <c r="B165" s="22"/>
      <c r="C165" s="15"/>
      <c r="D165" s="15"/>
      <c r="E165" s="24"/>
      <c r="F165" s="25"/>
      <c r="G165" s="21"/>
      <c r="H165" s="26" t="str">
        <f t="shared" si="5"/>
        <v/>
      </c>
      <c r="I165" s="15"/>
    </row>
    <row r="166" spans="1:9" x14ac:dyDescent="0.2">
      <c r="A166" s="23" t="str">
        <f t="shared" si="4"/>
        <v/>
      </c>
      <c r="B166" s="22"/>
      <c r="C166" s="15"/>
      <c r="D166" s="15"/>
      <c r="E166" s="24"/>
      <c r="F166" s="25"/>
      <c r="G166" s="21"/>
      <c r="H166" s="26" t="str">
        <f t="shared" si="5"/>
        <v/>
      </c>
      <c r="I166" s="15"/>
    </row>
    <row r="167" spans="1:9" x14ac:dyDescent="0.2">
      <c r="A167" s="23" t="str">
        <f t="shared" si="4"/>
        <v/>
      </c>
      <c r="B167" s="22"/>
      <c r="C167" s="15"/>
      <c r="D167" s="15"/>
      <c r="E167" s="24"/>
      <c r="F167" s="25"/>
      <c r="G167" s="21"/>
      <c r="H167" s="26" t="str">
        <f t="shared" si="5"/>
        <v/>
      </c>
      <c r="I167" s="15"/>
    </row>
    <row r="168" spans="1:9" x14ac:dyDescent="0.2">
      <c r="A168" s="23" t="str">
        <f t="shared" si="4"/>
        <v/>
      </c>
      <c r="B168" s="22"/>
      <c r="C168" s="15"/>
      <c r="D168" s="15"/>
      <c r="E168" s="24"/>
      <c r="F168" s="25"/>
      <c r="G168" s="21"/>
      <c r="H168" s="26" t="str">
        <f t="shared" si="5"/>
        <v/>
      </c>
      <c r="I168" s="15"/>
    </row>
    <row r="169" spans="1:9" x14ac:dyDescent="0.2">
      <c r="A169" s="23" t="str">
        <f t="shared" si="4"/>
        <v/>
      </c>
      <c r="B169" s="22"/>
      <c r="C169" s="15"/>
      <c r="D169" s="15"/>
      <c r="E169" s="24"/>
      <c r="F169" s="25"/>
      <c r="G169" s="21"/>
      <c r="H169" s="26" t="str">
        <f t="shared" si="5"/>
        <v/>
      </c>
      <c r="I169" s="15"/>
    </row>
    <row r="170" spans="1:9" x14ac:dyDescent="0.2">
      <c r="A170" s="23" t="str">
        <f t="shared" si="4"/>
        <v/>
      </c>
      <c r="B170" s="22"/>
      <c r="C170" s="15"/>
      <c r="D170" s="15"/>
      <c r="E170" s="24"/>
      <c r="F170" s="25"/>
      <c r="G170" s="21"/>
      <c r="H170" s="26" t="str">
        <f t="shared" si="5"/>
        <v/>
      </c>
      <c r="I170" s="15"/>
    </row>
    <row r="171" spans="1:9" x14ac:dyDescent="0.2">
      <c r="A171" s="23" t="str">
        <f t="shared" si="4"/>
        <v/>
      </c>
      <c r="B171" s="22"/>
      <c r="C171" s="15"/>
      <c r="D171" s="15"/>
      <c r="E171" s="24"/>
      <c r="F171" s="25"/>
      <c r="G171" s="21"/>
      <c r="H171" s="26" t="str">
        <f t="shared" si="5"/>
        <v/>
      </c>
      <c r="I171" s="15"/>
    </row>
    <row r="172" spans="1:9" x14ac:dyDescent="0.2">
      <c r="A172" s="23" t="str">
        <f t="shared" si="4"/>
        <v/>
      </c>
      <c r="B172" s="22"/>
      <c r="C172" s="15"/>
      <c r="D172" s="15"/>
      <c r="E172" s="24"/>
      <c r="F172" s="25"/>
      <c r="G172" s="21"/>
      <c r="H172" s="26" t="str">
        <f t="shared" si="5"/>
        <v/>
      </c>
      <c r="I172" s="15"/>
    </row>
    <row r="173" spans="1:9" x14ac:dyDescent="0.2">
      <c r="A173" s="23" t="str">
        <f t="shared" si="4"/>
        <v/>
      </c>
      <c r="B173" s="22"/>
      <c r="C173" s="15"/>
      <c r="D173" s="15"/>
      <c r="E173" s="24"/>
      <c r="F173" s="25"/>
      <c r="G173" s="21"/>
      <c r="H173" s="26" t="str">
        <f t="shared" si="5"/>
        <v/>
      </c>
      <c r="I173" s="15"/>
    </row>
    <row r="174" spans="1:9" x14ac:dyDescent="0.2">
      <c r="A174" s="23" t="str">
        <f t="shared" si="4"/>
        <v/>
      </c>
      <c r="B174" s="22"/>
      <c r="C174" s="15"/>
      <c r="D174" s="15"/>
      <c r="E174" s="24"/>
      <c r="F174" s="25"/>
      <c r="G174" s="21"/>
      <c r="H174" s="26" t="str">
        <f t="shared" si="5"/>
        <v/>
      </c>
      <c r="I174" s="15"/>
    </row>
    <row r="175" spans="1:9" x14ac:dyDescent="0.2">
      <c r="A175" s="23" t="str">
        <f t="shared" si="4"/>
        <v/>
      </c>
      <c r="B175" s="22"/>
      <c r="C175" s="15"/>
      <c r="D175" s="15"/>
      <c r="E175" s="24"/>
      <c r="F175" s="25"/>
      <c r="G175" s="21"/>
      <c r="H175" s="26" t="str">
        <f t="shared" si="5"/>
        <v/>
      </c>
      <c r="I175" s="15"/>
    </row>
    <row r="176" spans="1:9" x14ac:dyDescent="0.2">
      <c r="A176" s="23" t="str">
        <f t="shared" si="4"/>
        <v/>
      </c>
      <c r="B176" s="22"/>
      <c r="C176" s="15"/>
      <c r="D176" s="15"/>
      <c r="E176" s="24"/>
      <c r="F176" s="25"/>
      <c r="G176" s="21"/>
      <c r="H176" s="26" t="str">
        <f t="shared" si="5"/>
        <v/>
      </c>
      <c r="I176" s="15"/>
    </row>
    <row r="177" spans="1:9" x14ac:dyDescent="0.2">
      <c r="A177" s="23" t="str">
        <f t="shared" si="4"/>
        <v/>
      </c>
      <c r="B177" s="22"/>
      <c r="C177" s="15"/>
      <c r="D177" s="15"/>
      <c r="E177" s="24"/>
      <c r="F177" s="25"/>
      <c r="G177" s="21"/>
      <c r="H177" s="26" t="str">
        <f t="shared" si="5"/>
        <v/>
      </c>
      <c r="I177" s="15"/>
    </row>
    <row r="178" spans="1:9" x14ac:dyDescent="0.2">
      <c r="A178" s="23" t="str">
        <f t="shared" si="4"/>
        <v/>
      </c>
      <c r="B178" s="22"/>
      <c r="C178" s="15"/>
      <c r="D178" s="15"/>
      <c r="E178" s="24"/>
      <c r="F178" s="25"/>
      <c r="G178" s="21"/>
      <c r="H178" s="26" t="str">
        <f t="shared" si="5"/>
        <v/>
      </c>
      <c r="I178" s="15"/>
    </row>
    <row r="179" spans="1:9" x14ac:dyDescent="0.2">
      <c r="A179" s="23" t="str">
        <f t="shared" si="4"/>
        <v/>
      </c>
      <c r="B179" s="22"/>
      <c r="C179" s="15"/>
      <c r="D179" s="15"/>
      <c r="E179" s="24"/>
      <c r="F179" s="25"/>
      <c r="G179" s="21"/>
      <c r="H179" s="26" t="str">
        <f t="shared" si="5"/>
        <v/>
      </c>
      <c r="I179" s="15"/>
    </row>
    <row r="180" spans="1:9" x14ac:dyDescent="0.2">
      <c r="A180" s="23" t="str">
        <f t="shared" si="4"/>
        <v/>
      </c>
      <c r="B180" s="22"/>
      <c r="C180" s="15"/>
      <c r="D180" s="15"/>
      <c r="E180" s="24"/>
      <c r="F180" s="25"/>
      <c r="G180" s="21"/>
      <c r="H180" s="26" t="str">
        <f t="shared" si="5"/>
        <v/>
      </c>
      <c r="I180" s="15"/>
    </row>
    <row r="181" spans="1:9" x14ac:dyDescent="0.2">
      <c r="A181" s="23" t="str">
        <f t="shared" si="4"/>
        <v/>
      </c>
      <c r="B181" s="22"/>
      <c r="C181" s="15"/>
      <c r="D181" s="15"/>
      <c r="E181" s="24"/>
      <c r="F181" s="25"/>
      <c r="G181" s="21"/>
      <c r="H181" s="26" t="str">
        <f t="shared" si="5"/>
        <v/>
      </c>
      <c r="I181" s="15"/>
    </row>
    <row r="182" spans="1:9" x14ac:dyDescent="0.2">
      <c r="A182" s="23" t="str">
        <f t="shared" si="4"/>
        <v/>
      </c>
      <c r="B182" s="22"/>
      <c r="C182" s="15"/>
      <c r="D182" s="15"/>
      <c r="E182" s="24"/>
      <c r="F182" s="25"/>
      <c r="G182" s="21"/>
      <c r="H182" s="26" t="str">
        <f t="shared" si="5"/>
        <v/>
      </c>
      <c r="I182" s="15"/>
    </row>
    <row r="183" spans="1:9" x14ac:dyDescent="0.2">
      <c r="A183" s="23" t="str">
        <f t="shared" si="4"/>
        <v/>
      </c>
      <c r="B183" s="22"/>
      <c r="C183" s="15"/>
      <c r="D183" s="15"/>
      <c r="E183" s="24"/>
      <c r="F183" s="25"/>
      <c r="G183" s="21"/>
      <c r="H183" s="26" t="str">
        <f t="shared" si="5"/>
        <v/>
      </c>
      <c r="I183" s="15"/>
    </row>
    <row r="184" spans="1:9" x14ac:dyDescent="0.2">
      <c r="A184" s="23" t="str">
        <f t="shared" si="4"/>
        <v/>
      </c>
      <c r="B184" s="22"/>
      <c r="C184" s="15"/>
      <c r="D184" s="15"/>
      <c r="E184" s="24"/>
      <c r="F184" s="25"/>
      <c r="G184" s="21"/>
      <c r="H184" s="26" t="str">
        <f t="shared" si="5"/>
        <v/>
      </c>
      <c r="I184" s="15"/>
    </row>
    <row r="185" spans="1:9" x14ac:dyDescent="0.2">
      <c r="A185" s="23" t="str">
        <f t="shared" si="4"/>
        <v/>
      </c>
      <c r="B185" s="22"/>
      <c r="C185" s="15"/>
      <c r="D185" s="15"/>
      <c r="E185" s="24"/>
      <c r="F185" s="25"/>
      <c r="G185" s="21"/>
      <c r="H185" s="26" t="str">
        <f t="shared" si="5"/>
        <v/>
      </c>
      <c r="I185" s="15"/>
    </row>
    <row r="186" spans="1:9" x14ac:dyDescent="0.2">
      <c r="A186" s="23" t="str">
        <f t="shared" si="4"/>
        <v/>
      </c>
      <c r="B186" s="22"/>
      <c r="C186" s="15"/>
      <c r="D186" s="15"/>
      <c r="E186" s="24"/>
      <c r="F186" s="25"/>
      <c r="G186" s="21"/>
      <c r="H186" s="26" t="str">
        <f t="shared" si="5"/>
        <v/>
      </c>
      <c r="I186" s="15"/>
    </row>
    <row r="187" spans="1:9" x14ac:dyDescent="0.2">
      <c r="A187" s="23" t="str">
        <f t="shared" si="4"/>
        <v/>
      </c>
      <c r="B187" s="22"/>
      <c r="C187" s="15"/>
      <c r="D187" s="15"/>
      <c r="E187" s="24"/>
      <c r="F187" s="25"/>
      <c r="G187" s="21"/>
      <c r="H187" s="26" t="str">
        <f t="shared" si="5"/>
        <v/>
      </c>
      <c r="I187" s="15"/>
    </row>
    <row r="188" spans="1:9" x14ac:dyDescent="0.2">
      <c r="A188" s="23" t="str">
        <f t="shared" si="4"/>
        <v/>
      </c>
      <c r="B188" s="22"/>
      <c r="C188" s="15"/>
      <c r="D188" s="15"/>
      <c r="E188" s="24"/>
      <c r="F188" s="25"/>
      <c r="G188" s="21"/>
      <c r="H188" s="26" t="str">
        <f t="shared" si="5"/>
        <v/>
      </c>
      <c r="I188" s="15"/>
    </row>
    <row r="189" spans="1:9" x14ac:dyDescent="0.2">
      <c r="A189" s="23" t="str">
        <f t="shared" si="4"/>
        <v/>
      </c>
      <c r="B189" s="22"/>
      <c r="C189" s="15"/>
      <c r="D189" s="15"/>
      <c r="E189" s="24"/>
      <c r="F189" s="25"/>
      <c r="G189" s="21"/>
      <c r="H189" s="26" t="str">
        <f t="shared" si="5"/>
        <v/>
      </c>
      <c r="I189" s="15"/>
    </row>
    <row r="190" spans="1:9" x14ac:dyDescent="0.2">
      <c r="A190" s="23" t="str">
        <f t="shared" si="4"/>
        <v/>
      </c>
      <c r="B190" s="22"/>
      <c r="C190" s="15"/>
      <c r="D190" s="15"/>
      <c r="E190" s="24"/>
      <c r="F190" s="25"/>
      <c r="G190" s="21"/>
      <c r="H190" s="26" t="str">
        <f t="shared" si="5"/>
        <v/>
      </c>
      <c r="I190" s="15"/>
    </row>
    <row r="191" spans="1:9" x14ac:dyDescent="0.2">
      <c r="A191" s="23" t="str">
        <f t="shared" si="4"/>
        <v/>
      </c>
      <c r="B191" s="22"/>
      <c r="C191" s="15"/>
      <c r="D191" s="15"/>
      <c r="E191" s="24"/>
      <c r="F191" s="25"/>
      <c r="G191" s="21"/>
      <c r="H191" s="26" t="str">
        <f t="shared" si="5"/>
        <v/>
      </c>
      <c r="I191" s="15"/>
    </row>
    <row r="192" spans="1:9" x14ac:dyDescent="0.2">
      <c r="A192" s="23" t="str">
        <f t="shared" si="4"/>
        <v/>
      </c>
      <c r="B192" s="22"/>
      <c r="C192" s="15"/>
      <c r="D192" s="15"/>
      <c r="E192" s="24"/>
      <c r="F192" s="25"/>
      <c r="G192" s="21"/>
      <c r="H192" s="26" t="str">
        <f t="shared" si="5"/>
        <v/>
      </c>
      <c r="I192" s="15"/>
    </row>
    <row r="193" spans="1:9" x14ac:dyDescent="0.2">
      <c r="A193" s="23" t="str">
        <f t="shared" si="4"/>
        <v/>
      </c>
      <c r="B193" s="22"/>
      <c r="C193" s="15"/>
      <c r="D193" s="15"/>
      <c r="E193" s="24"/>
      <c r="F193" s="25"/>
      <c r="G193" s="21"/>
      <c r="H193" s="26" t="str">
        <f t="shared" si="5"/>
        <v/>
      </c>
      <c r="I193" s="15"/>
    </row>
    <row r="194" spans="1:9" x14ac:dyDescent="0.2">
      <c r="A194" s="23" t="str">
        <f t="shared" si="4"/>
        <v/>
      </c>
      <c r="B194" s="22"/>
      <c r="C194" s="15"/>
      <c r="D194" s="15"/>
      <c r="E194" s="24"/>
      <c r="F194" s="25"/>
      <c r="G194" s="21"/>
      <c r="H194" s="26" t="str">
        <f t="shared" si="5"/>
        <v/>
      </c>
      <c r="I194" s="15"/>
    </row>
    <row r="195" spans="1:9" x14ac:dyDescent="0.2">
      <c r="A195" s="23" t="str">
        <f t="shared" si="4"/>
        <v/>
      </c>
      <c r="B195" s="22"/>
      <c r="C195" s="15"/>
      <c r="D195" s="15"/>
      <c r="E195" s="24"/>
      <c r="F195" s="25"/>
      <c r="G195" s="21"/>
      <c r="H195" s="26" t="str">
        <f t="shared" si="5"/>
        <v/>
      </c>
      <c r="I195" s="15"/>
    </row>
    <row r="196" spans="1:9" x14ac:dyDescent="0.2">
      <c r="A196" s="23" t="str">
        <f t="shared" si="4"/>
        <v/>
      </c>
      <c r="B196" s="22"/>
      <c r="C196" s="15"/>
      <c r="D196" s="15"/>
      <c r="E196" s="24"/>
      <c r="F196" s="25"/>
      <c r="G196" s="21"/>
      <c r="H196" s="26" t="str">
        <f t="shared" si="5"/>
        <v/>
      </c>
      <c r="I196" s="15"/>
    </row>
    <row r="197" spans="1:9" x14ac:dyDescent="0.2">
      <c r="A197" s="23" t="str">
        <f t="shared" ref="A197:A260" si="6">IF(B197="","",ROW()-4)</f>
        <v/>
      </c>
      <c r="B197" s="22"/>
      <c r="C197" s="15"/>
      <c r="D197" s="15"/>
      <c r="E197" s="24"/>
      <c r="F197" s="25"/>
      <c r="G197" s="21"/>
      <c r="H197" s="26" t="str">
        <f t="shared" ref="H197:H260" si="7">IF(OR(F197="",G197=""),"",F197*G197)</f>
        <v/>
      </c>
      <c r="I197" s="15"/>
    </row>
    <row r="198" spans="1:9" x14ac:dyDescent="0.2">
      <c r="A198" s="23" t="str">
        <f t="shared" si="6"/>
        <v/>
      </c>
      <c r="B198" s="22"/>
      <c r="C198" s="15"/>
      <c r="D198" s="15"/>
      <c r="E198" s="24"/>
      <c r="F198" s="25"/>
      <c r="G198" s="21"/>
      <c r="H198" s="26" t="str">
        <f t="shared" si="7"/>
        <v/>
      </c>
      <c r="I198" s="15"/>
    </row>
    <row r="199" spans="1:9" x14ac:dyDescent="0.2">
      <c r="A199" s="23" t="str">
        <f t="shared" si="6"/>
        <v/>
      </c>
      <c r="B199" s="22"/>
      <c r="C199" s="15"/>
      <c r="D199" s="15"/>
      <c r="E199" s="24"/>
      <c r="F199" s="25"/>
      <c r="G199" s="21"/>
      <c r="H199" s="26" t="str">
        <f t="shared" si="7"/>
        <v/>
      </c>
      <c r="I199" s="15"/>
    </row>
    <row r="200" spans="1:9" x14ac:dyDescent="0.2">
      <c r="A200" s="23" t="str">
        <f t="shared" si="6"/>
        <v/>
      </c>
      <c r="B200" s="22"/>
      <c r="C200" s="15"/>
      <c r="D200" s="15"/>
      <c r="E200" s="24"/>
      <c r="F200" s="25"/>
      <c r="G200" s="21"/>
      <c r="H200" s="26" t="str">
        <f t="shared" si="7"/>
        <v/>
      </c>
      <c r="I200" s="15"/>
    </row>
    <row r="201" spans="1:9" x14ac:dyDescent="0.2">
      <c r="A201" s="23" t="str">
        <f t="shared" si="6"/>
        <v/>
      </c>
      <c r="B201" s="22"/>
      <c r="C201" s="15"/>
      <c r="D201" s="15"/>
      <c r="E201" s="24"/>
      <c r="F201" s="25"/>
      <c r="G201" s="21"/>
      <c r="H201" s="26" t="str">
        <f t="shared" si="7"/>
        <v/>
      </c>
      <c r="I201" s="15"/>
    </row>
    <row r="202" spans="1:9" x14ac:dyDescent="0.2">
      <c r="A202" s="23" t="str">
        <f t="shared" si="6"/>
        <v/>
      </c>
      <c r="B202" s="22"/>
      <c r="C202" s="15"/>
      <c r="D202" s="15"/>
      <c r="E202" s="24"/>
      <c r="F202" s="25"/>
      <c r="G202" s="21"/>
      <c r="H202" s="26" t="str">
        <f t="shared" si="7"/>
        <v/>
      </c>
      <c r="I202" s="15"/>
    </row>
    <row r="203" spans="1:9" x14ac:dyDescent="0.2">
      <c r="A203" s="23" t="str">
        <f t="shared" si="6"/>
        <v/>
      </c>
      <c r="B203" s="22"/>
      <c r="C203" s="15"/>
      <c r="D203" s="15"/>
      <c r="E203" s="24"/>
      <c r="F203" s="25"/>
      <c r="G203" s="21"/>
      <c r="H203" s="26" t="str">
        <f t="shared" si="7"/>
        <v/>
      </c>
      <c r="I203" s="15"/>
    </row>
    <row r="204" spans="1:9" x14ac:dyDescent="0.2">
      <c r="A204" s="23" t="str">
        <f t="shared" si="6"/>
        <v/>
      </c>
      <c r="B204" s="22"/>
      <c r="C204" s="15"/>
      <c r="D204" s="15"/>
      <c r="E204" s="24"/>
      <c r="F204" s="25"/>
      <c r="G204" s="21"/>
      <c r="H204" s="26" t="str">
        <f t="shared" si="7"/>
        <v/>
      </c>
      <c r="I204" s="15"/>
    </row>
    <row r="205" spans="1:9" x14ac:dyDescent="0.2">
      <c r="A205" s="23" t="str">
        <f t="shared" si="6"/>
        <v/>
      </c>
      <c r="B205" s="22"/>
      <c r="C205" s="15"/>
      <c r="D205" s="15"/>
      <c r="E205" s="24"/>
      <c r="F205" s="25"/>
      <c r="G205" s="21"/>
      <c r="H205" s="26" t="str">
        <f t="shared" si="7"/>
        <v/>
      </c>
      <c r="I205" s="15"/>
    </row>
    <row r="206" spans="1:9" x14ac:dyDescent="0.2">
      <c r="A206" s="23" t="str">
        <f t="shared" si="6"/>
        <v/>
      </c>
      <c r="B206" s="22"/>
      <c r="C206" s="15"/>
      <c r="D206" s="15"/>
      <c r="E206" s="24"/>
      <c r="F206" s="25"/>
      <c r="G206" s="21"/>
      <c r="H206" s="26" t="str">
        <f t="shared" si="7"/>
        <v/>
      </c>
      <c r="I206" s="15"/>
    </row>
    <row r="207" spans="1:9" x14ac:dyDescent="0.2">
      <c r="A207" s="23" t="str">
        <f t="shared" si="6"/>
        <v/>
      </c>
      <c r="B207" s="22"/>
      <c r="C207" s="15"/>
      <c r="D207" s="15"/>
      <c r="E207" s="24"/>
      <c r="F207" s="25"/>
      <c r="G207" s="21"/>
      <c r="H207" s="26" t="str">
        <f t="shared" si="7"/>
        <v/>
      </c>
      <c r="I207" s="15"/>
    </row>
    <row r="208" spans="1:9" x14ac:dyDescent="0.2">
      <c r="A208" s="23" t="str">
        <f t="shared" si="6"/>
        <v/>
      </c>
      <c r="B208" s="22"/>
      <c r="C208" s="15"/>
      <c r="D208" s="15"/>
      <c r="E208" s="24"/>
      <c r="F208" s="25"/>
      <c r="G208" s="21"/>
      <c r="H208" s="26" t="str">
        <f t="shared" si="7"/>
        <v/>
      </c>
      <c r="I208" s="15"/>
    </row>
    <row r="209" spans="1:9" x14ac:dyDescent="0.2">
      <c r="A209" s="23" t="str">
        <f t="shared" si="6"/>
        <v/>
      </c>
      <c r="B209" s="22"/>
      <c r="C209" s="15"/>
      <c r="D209" s="15"/>
      <c r="E209" s="24"/>
      <c r="F209" s="25"/>
      <c r="G209" s="21"/>
      <c r="H209" s="26" t="str">
        <f t="shared" si="7"/>
        <v/>
      </c>
      <c r="I209" s="15"/>
    </row>
    <row r="210" spans="1:9" x14ac:dyDescent="0.2">
      <c r="A210" s="23" t="str">
        <f t="shared" si="6"/>
        <v/>
      </c>
      <c r="B210" s="22"/>
      <c r="C210" s="15"/>
      <c r="D210" s="15"/>
      <c r="E210" s="24"/>
      <c r="F210" s="25"/>
      <c r="G210" s="21"/>
      <c r="H210" s="26" t="str">
        <f t="shared" si="7"/>
        <v/>
      </c>
      <c r="I210" s="15"/>
    </row>
    <row r="211" spans="1:9" x14ac:dyDescent="0.2">
      <c r="A211" s="23" t="str">
        <f t="shared" si="6"/>
        <v/>
      </c>
      <c r="B211" s="22"/>
      <c r="C211" s="15"/>
      <c r="D211" s="15"/>
      <c r="E211" s="24"/>
      <c r="F211" s="25"/>
      <c r="G211" s="21"/>
      <c r="H211" s="26" t="str">
        <f t="shared" si="7"/>
        <v/>
      </c>
      <c r="I211" s="15"/>
    </row>
    <row r="212" spans="1:9" x14ac:dyDescent="0.2">
      <c r="A212" s="23" t="str">
        <f t="shared" si="6"/>
        <v/>
      </c>
      <c r="B212" s="22"/>
      <c r="C212" s="15"/>
      <c r="D212" s="15"/>
      <c r="E212" s="24"/>
      <c r="F212" s="25"/>
      <c r="G212" s="21"/>
      <c r="H212" s="26" t="str">
        <f t="shared" si="7"/>
        <v/>
      </c>
      <c r="I212" s="15"/>
    </row>
    <row r="213" spans="1:9" x14ac:dyDescent="0.2">
      <c r="A213" s="23" t="str">
        <f t="shared" si="6"/>
        <v/>
      </c>
      <c r="B213" s="22"/>
      <c r="C213" s="15"/>
      <c r="D213" s="15"/>
      <c r="E213" s="24"/>
      <c r="F213" s="25"/>
      <c r="G213" s="21"/>
      <c r="H213" s="26" t="str">
        <f t="shared" si="7"/>
        <v/>
      </c>
      <c r="I213" s="15"/>
    </row>
    <row r="214" spans="1:9" x14ac:dyDescent="0.2">
      <c r="A214" s="23" t="str">
        <f t="shared" si="6"/>
        <v/>
      </c>
      <c r="B214" s="22"/>
      <c r="C214" s="15"/>
      <c r="D214" s="15"/>
      <c r="E214" s="24"/>
      <c r="F214" s="25"/>
      <c r="G214" s="21"/>
      <c r="H214" s="26" t="str">
        <f t="shared" si="7"/>
        <v/>
      </c>
      <c r="I214" s="15"/>
    </row>
    <row r="215" spans="1:9" x14ac:dyDescent="0.2">
      <c r="A215" s="23" t="str">
        <f t="shared" si="6"/>
        <v/>
      </c>
      <c r="B215" s="22"/>
      <c r="C215" s="15"/>
      <c r="D215" s="15"/>
      <c r="E215" s="24"/>
      <c r="F215" s="25"/>
      <c r="G215" s="21"/>
      <c r="H215" s="26" t="str">
        <f t="shared" si="7"/>
        <v/>
      </c>
      <c r="I215" s="15"/>
    </row>
    <row r="216" spans="1:9" x14ac:dyDescent="0.2">
      <c r="A216" s="23" t="str">
        <f t="shared" si="6"/>
        <v/>
      </c>
      <c r="B216" s="22"/>
      <c r="C216" s="15"/>
      <c r="D216" s="15"/>
      <c r="E216" s="24"/>
      <c r="F216" s="25"/>
      <c r="G216" s="21"/>
      <c r="H216" s="26" t="str">
        <f t="shared" si="7"/>
        <v/>
      </c>
      <c r="I216" s="15"/>
    </row>
    <row r="217" spans="1:9" x14ac:dyDescent="0.2">
      <c r="A217" s="23" t="str">
        <f t="shared" si="6"/>
        <v/>
      </c>
      <c r="B217" s="22"/>
      <c r="C217" s="15"/>
      <c r="D217" s="15"/>
      <c r="E217" s="24"/>
      <c r="F217" s="25"/>
      <c r="G217" s="21"/>
      <c r="H217" s="26" t="str">
        <f t="shared" si="7"/>
        <v/>
      </c>
      <c r="I217" s="15"/>
    </row>
    <row r="218" spans="1:9" x14ac:dyDescent="0.2">
      <c r="A218" s="23" t="str">
        <f t="shared" si="6"/>
        <v/>
      </c>
      <c r="B218" s="22"/>
      <c r="C218" s="15"/>
      <c r="D218" s="15"/>
      <c r="E218" s="24"/>
      <c r="F218" s="25"/>
      <c r="G218" s="21"/>
      <c r="H218" s="26" t="str">
        <f t="shared" si="7"/>
        <v/>
      </c>
      <c r="I218" s="15"/>
    </row>
    <row r="219" spans="1:9" x14ac:dyDescent="0.2">
      <c r="A219" s="23" t="str">
        <f t="shared" si="6"/>
        <v/>
      </c>
      <c r="B219" s="22"/>
      <c r="C219" s="15"/>
      <c r="D219" s="15"/>
      <c r="E219" s="24"/>
      <c r="F219" s="25"/>
      <c r="G219" s="21"/>
      <c r="H219" s="26" t="str">
        <f t="shared" si="7"/>
        <v/>
      </c>
      <c r="I219" s="15"/>
    </row>
    <row r="220" spans="1:9" x14ac:dyDescent="0.2">
      <c r="A220" s="23" t="str">
        <f t="shared" si="6"/>
        <v/>
      </c>
      <c r="B220" s="22"/>
      <c r="C220" s="15"/>
      <c r="D220" s="15"/>
      <c r="E220" s="24"/>
      <c r="F220" s="25"/>
      <c r="G220" s="21"/>
      <c r="H220" s="26" t="str">
        <f t="shared" si="7"/>
        <v/>
      </c>
      <c r="I220" s="15"/>
    </row>
    <row r="221" spans="1:9" x14ac:dyDescent="0.2">
      <c r="A221" s="23" t="str">
        <f t="shared" si="6"/>
        <v/>
      </c>
      <c r="B221" s="22"/>
      <c r="C221" s="15"/>
      <c r="D221" s="15"/>
      <c r="E221" s="24"/>
      <c r="F221" s="25"/>
      <c r="G221" s="21"/>
      <c r="H221" s="26" t="str">
        <f t="shared" si="7"/>
        <v/>
      </c>
      <c r="I221" s="15"/>
    </row>
    <row r="222" spans="1:9" x14ac:dyDescent="0.2">
      <c r="A222" s="23" t="str">
        <f t="shared" si="6"/>
        <v/>
      </c>
      <c r="B222" s="22"/>
      <c r="C222" s="15"/>
      <c r="D222" s="15"/>
      <c r="E222" s="24"/>
      <c r="F222" s="25"/>
      <c r="G222" s="21"/>
      <c r="H222" s="26" t="str">
        <f t="shared" si="7"/>
        <v/>
      </c>
      <c r="I222" s="15"/>
    </row>
    <row r="223" spans="1:9" x14ac:dyDescent="0.2">
      <c r="A223" s="23" t="str">
        <f t="shared" si="6"/>
        <v/>
      </c>
      <c r="B223" s="22"/>
      <c r="C223" s="15"/>
      <c r="D223" s="15"/>
      <c r="E223" s="24"/>
      <c r="F223" s="25"/>
      <c r="G223" s="21"/>
      <c r="H223" s="26" t="str">
        <f t="shared" si="7"/>
        <v/>
      </c>
      <c r="I223" s="15"/>
    </row>
    <row r="224" spans="1:9" x14ac:dyDescent="0.2">
      <c r="A224" s="23" t="str">
        <f t="shared" si="6"/>
        <v/>
      </c>
      <c r="B224" s="22"/>
      <c r="C224" s="15"/>
      <c r="D224" s="15"/>
      <c r="E224" s="24"/>
      <c r="F224" s="25"/>
      <c r="G224" s="21"/>
      <c r="H224" s="26" t="str">
        <f t="shared" si="7"/>
        <v/>
      </c>
      <c r="I224" s="15"/>
    </row>
    <row r="225" spans="1:9" x14ac:dyDescent="0.2">
      <c r="A225" s="23" t="str">
        <f t="shared" si="6"/>
        <v/>
      </c>
      <c r="B225" s="22"/>
      <c r="C225" s="15"/>
      <c r="D225" s="15"/>
      <c r="E225" s="24"/>
      <c r="F225" s="25"/>
      <c r="G225" s="21"/>
      <c r="H225" s="26" t="str">
        <f t="shared" si="7"/>
        <v/>
      </c>
      <c r="I225" s="15"/>
    </row>
    <row r="226" spans="1:9" x14ac:dyDescent="0.2">
      <c r="A226" s="23" t="str">
        <f t="shared" si="6"/>
        <v/>
      </c>
      <c r="B226" s="22"/>
      <c r="C226" s="15"/>
      <c r="D226" s="15"/>
      <c r="E226" s="24"/>
      <c r="F226" s="25"/>
      <c r="G226" s="21"/>
      <c r="H226" s="26" t="str">
        <f t="shared" si="7"/>
        <v/>
      </c>
      <c r="I226" s="15"/>
    </row>
    <row r="227" spans="1:9" x14ac:dyDescent="0.2">
      <c r="A227" s="23" t="str">
        <f t="shared" si="6"/>
        <v/>
      </c>
      <c r="B227" s="22"/>
      <c r="C227" s="15"/>
      <c r="D227" s="15"/>
      <c r="E227" s="24"/>
      <c r="F227" s="25"/>
      <c r="G227" s="21"/>
      <c r="H227" s="26" t="str">
        <f t="shared" si="7"/>
        <v/>
      </c>
      <c r="I227" s="15"/>
    </row>
    <row r="228" spans="1:9" x14ac:dyDescent="0.2">
      <c r="A228" s="23" t="str">
        <f t="shared" si="6"/>
        <v/>
      </c>
      <c r="B228" s="22"/>
      <c r="C228" s="15"/>
      <c r="D228" s="15"/>
      <c r="E228" s="24"/>
      <c r="F228" s="25"/>
      <c r="G228" s="21"/>
      <c r="H228" s="26" t="str">
        <f t="shared" si="7"/>
        <v/>
      </c>
      <c r="I228" s="15"/>
    </row>
    <row r="229" spans="1:9" x14ac:dyDescent="0.2">
      <c r="A229" s="23" t="str">
        <f t="shared" si="6"/>
        <v/>
      </c>
      <c r="B229" s="22"/>
      <c r="C229" s="15"/>
      <c r="D229" s="15"/>
      <c r="E229" s="24"/>
      <c r="F229" s="25"/>
      <c r="G229" s="21"/>
      <c r="H229" s="26" t="str">
        <f t="shared" si="7"/>
        <v/>
      </c>
      <c r="I229" s="15"/>
    </row>
    <row r="230" spans="1:9" x14ac:dyDescent="0.2">
      <c r="A230" s="23" t="str">
        <f t="shared" si="6"/>
        <v/>
      </c>
      <c r="B230" s="22"/>
      <c r="C230" s="15"/>
      <c r="D230" s="15"/>
      <c r="E230" s="24"/>
      <c r="F230" s="25"/>
      <c r="G230" s="21"/>
      <c r="H230" s="26" t="str">
        <f t="shared" si="7"/>
        <v/>
      </c>
      <c r="I230" s="15"/>
    </row>
    <row r="231" spans="1:9" x14ac:dyDescent="0.2">
      <c r="A231" s="23" t="str">
        <f t="shared" si="6"/>
        <v/>
      </c>
      <c r="B231" s="22"/>
      <c r="C231" s="15"/>
      <c r="D231" s="15"/>
      <c r="E231" s="24"/>
      <c r="F231" s="25"/>
      <c r="G231" s="21"/>
      <c r="H231" s="26" t="str">
        <f t="shared" si="7"/>
        <v/>
      </c>
      <c r="I231" s="15"/>
    </row>
    <row r="232" spans="1:9" x14ac:dyDescent="0.2">
      <c r="A232" s="23" t="str">
        <f t="shared" si="6"/>
        <v/>
      </c>
      <c r="B232" s="22"/>
      <c r="C232" s="15"/>
      <c r="D232" s="15"/>
      <c r="E232" s="24"/>
      <c r="F232" s="25"/>
      <c r="G232" s="21"/>
      <c r="H232" s="26" t="str">
        <f t="shared" si="7"/>
        <v/>
      </c>
      <c r="I232" s="15"/>
    </row>
    <row r="233" spans="1:9" x14ac:dyDescent="0.2">
      <c r="A233" s="23" t="str">
        <f t="shared" si="6"/>
        <v/>
      </c>
      <c r="B233" s="22"/>
      <c r="C233" s="15"/>
      <c r="D233" s="15"/>
      <c r="E233" s="24"/>
      <c r="F233" s="25"/>
      <c r="G233" s="21"/>
      <c r="H233" s="26" t="str">
        <f t="shared" si="7"/>
        <v/>
      </c>
      <c r="I233" s="15"/>
    </row>
    <row r="234" spans="1:9" x14ac:dyDescent="0.2">
      <c r="A234" s="23" t="str">
        <f t="shared" si="6"/>
        <v/>
      </c>
      <c r="B234" s="22"/>
      <c r="C234" s="15"/>
      <c r="D234" s="15"/>
      <c r="E234" s="24"/>
      <c r="F234" s="25"/>
      <c r="G234" s="21"/>
      <c r="H234" s="26" t="str">
        <f t="shared" si="7"/>
        <v/>
      </c>
      <c r="I234" s="15"/>
    </row>
    <row r="235" spans="1:9" x14ac:dyDescent="0.2">
      <c r="A235" s="23" t="str">
        <f t="shared" si="6"/>
        <v/>
      </c>
      <c r="B235" s="22"/>
      <c r="C235" s="15"/>
      <c r="D235" s="15"/>
      <c r="E235" s="24"/>
      <c r="F235" s="25"/>
      <c r="G235" s="21"/>
      <c r="H235" s="26" t="str">
        <f t="shared" si="7"/>
        <v/>
      </c>
      <c r="I235" s="15"/>
    </row>
    <row r="236" spans="1:9" x14ac:dyDescent="0.2">
      <c r="A236" s="23" t="str">
        <f t="shared" si="6"/>
        <v/>
      </c>
      <c r="B236" s="22"/>
      <c r="C236" s="15"/>
      <c r="D236" s="15"/>
      <c r="E236" s="24"/>
      <c r="F236" s="25"/>
      <c r="G236" s="21"/>
      <c r="H236" s="26" t="str">
        <f t="shared" si="7"/>
        <v/>
      </c>
      <c r="I236" s="15"/>
    </row>
    <row r="237" spans="1:9" x14ac:dyDescent="0.2">
      <c r="A237" s="23" t="str">
        <f t="shared" si="6"/>
        <v/>
      </c>
      <c r="B237" s="22"/>
      <c r="C237" s="15"/>
      <c r="D237" s="15"/>
      <c r="E237" s="24"/>
      <c r="F237" s="25"/>
      <c r="G237" s="21"/>
      <c r="H237" s="26" t="str">
        <f t="shared" si="7"/>
        <v/>
      </c>
      <c r="I237" s="15"/>
    </row>
    <row r="238" spans="1:9" x14ac:dyDescent="0.2">
      <c r="A238" s="23" t="str">
        <f t="shared" si="6"/>
        <v/>
      </c>
      <c r="B238" s="22"/>
      <c r="C238" s="15"/>
      <c r="D238" s="15"/>
      <c r="E238" s="24"/>
      <c r="F238" s="25"/>
      <c r="G238" s="21"/>
      <c r="H238" s="26" t="str">
        <f t="shared" si="7"/>
        <v/>
      </c>
      <c r="I238" s="15"/>
    </row>
    <row r="239" spans="1:9" x14ac:dyDescent="0.2">
      <c r="A239" s="23" t="str">
        <f t="shared" si="6"/>
        <v/>
      </c>
      <c r="B239" s="22"/>
      <c r="C239" s="15"/>
      <c r="D239" s="15"/>
      <c r="E239" s="24"/>
      <c r="F239" s="25"/>
      <c r="G239" s="21"/>
      <c r="H239" s="26" t="str">
        <f t="shared" si="7"/>
        <v/>
      </c>
      <c r="I239" s="15"/>
    </row>
    <row r="240" spans="1:9" x14ac:dyDescent="0.2">
      <c r="A240" s="23" t="str">
        <f t="shared" si="6"/>
        <v/>
      </c>
      <c r="B240" s="22"/>
      <c r="C240" s="15"/>
      <c r="D240" s="15"/>
      <c r="E240" s="24"/>
      <c r="F240" s="25"/>
      <c r="G240" s="21"/>
      <c r="H240" s="26" t="str">
        <f t="shared" si="7"/>
        <v/>
      </c>
      <c r="I240" s="15"/>
    </row>
    <row r="241" spans="1:9" x14ac:dyDescent="0.2">
      <c r="A241" s="23" t="str">
        <f t="shared" si="6"/>
        <v/>
      </c>
      <c r="B241" s="22"/>
      <c r="C241" s="15"/>
      <c r="D241" s="15"/>
      <c r="E241" s="24"/>
      <c r="F241" s="25"/>
      <c r="G241" s="21"/>
      <c r="H241" s="26" t="str">
        <f t="shared" si="7"/>
        <v/>
      </c>
      <c r="I241" s="15"/>
    </row>
    <row r="242" spans="1:9" x14ac:dyDescent="0.2">
      <c r="A242" s="23" t="str">
        <f t="shared" si="6"/>
        <v/>
      </c>
      <c r="B242" s="22"/>
      <c r="C242" s="15"/>
      <c r="D242" s="15"/>
      <c r="E242" s="24"/>
      <c r="F242" s="25"/>
      <c r="G242" s="21"/>
      <c r="H242" s="26" t="str">
        <f t="shared" si="7"/>
        <v/>
      </c>
      <c r="I242" s="15"/>
    </row>
    <row r="243" spans="1:9" x14ac:dyDescent="0.2">
      <c r="A243" s="23" t="str">
        <f t="shared" si="6"/>
        <v/>
      </c>
      <c r="B243" s="22"/>
      <c r="C243" s="15"/>
      <c r="D243" s="15"/>
      <c r="E243" s="24"/>
      <c r="F243" s="25"/>
      <c r="G243" s="21"/>
      <c r="H243" s="26" t="str">
        <f t="shared" si="7"/>
        <v/>
      </c>
      <c r="I243" s="15"/>
    </row>
    <row r="244" spans="1:9" x14ac:dyDescent="0.2">
      <c r="A244" s="23" t="str">
        <f t="shared" si="6"/>
        <v/>
      </c>
      <c r="B244" s="22"/>
      <c r="C244" s="15"/>
      <c r="D244" s="15"/>
      <c r="E244" s="24"/>
      <c r="F244" s="25"/>
      <c r="G244" s="21"/>
      <c r="H244" s="26" t="str">
        <f t="shared" si="7"/>
        <v/>
      </c>
      <c r="I244" s="15"/>
    </row>
    <row r="245" spans="1:9" x14ac:dyDescent="0.2">
      <c r="A245" s="23" t="str">
        <f t="shared" si="6"/>
        <v/>
      </c>
      <c r="B245" s="22"/>
      <c r="C245" s="15"/>
      <c r="D245" s="15"/>
      <c r="E245" s="24"/>
      <c r="F245" s="25"/>
      <c r="G245" s="21"/>
      <c r="H245" s="26" t="str">
        <f t="shared" si="7"/>
        <v/>
      </c>
      <c r="I245" s="15"/>
    </row>
    <row r="246" spans="1:9" x14ac:dyDescent="0.2">
      <c r="A246" s="23" t="str">
        <f t="shared" si="6"/>
        <v/>
      </c>
      <c r="B246" s="22"/>
      <c r="C246" s="15"/>
      <c r="D246" s="15"/>
      <c r="E246" s="24"/>
      <c r="F246" s="25"/>
      <c r="G246" s="21"/>
      <c r="H246" s="26" t="str">
        <f t="shared" si="7"/>
        <v/>
      </c>
      <c r="I246" s="15"/>
    </row>
    <row r="247" spans="1:9" x14ac:dyDescent="0.2">
      <c r="A247" s="23" t="str">
        <f t="shared" si="6"/>
        <v/>
      </c>
      <c r="B247" s="22"/>
      <c r="C247" s="15"/>
      <c r="D247" s="15"/>
      <c r="E247" s="24"/>
      <c r="F247" s="25"/>
      <c r="G247" s="21"/>
      <c r="H247" s="26" t="str">
        <f t="shared" si="7"/>
        <v/>
      </c>
      <c r="I247" s="15"/>
    </row>
    <row r="248" spans="1:9" x14ac:dyDescent="0.2">
      <c r="A248" s="23" t="str">
        <f t="shared" si="6"/>
        <v/>
      </c>
      <c r="B248" s="22"/>
      <c r="C248" s="15"/>
      <c r="D248" s="15"/>
      <c r="E248" s="24"/>
      <c r="F248" s="25"/>
      <c r="G248" s="21"/>
      <c r="H248" s="26" t="str">
        <f t="shared" si="7"/>
        <v/>
      </c>
      <c r="I248" s="15"/>
    </row>
    <row r="249" spans="1:9" x14ac:dyDescent="0.2">
      <c r="A249" s="23" t="str">
        <f t="shared" si="6"/>
        <v/>
      </c>
      <c r="B249" s="22"/>
      <c r="C249" s="15"/>
      <c r="D249" s="15"/>
      <c r="E249" s="24"/>
      <c r="F249" s="25"/>
      <c r="G249" s="21"/>
      <c r="H249" s="26" t="str">
        <f t="shared" si="7"/>
        <v/>
      </c>
      <c r="I249" s="15"/>
    </row>
    <row r="250" spans="1:9" x14ac:dyDescent="0.2">
      <c r="A250" s="23" t="str">
        <f t="shared" si="6"/>
        <v/>
      </c>
      <c r="B250" s="22"/>
      <c r="C250" s="15"/>
      <c r="D250" s="15"/>
      <c r="E250" s="24"/>
      <c r="F250" s="25"/>
      <c r="G250" s="21"/>
      <c r="H250" s="26" t="str">
        <f t="shared" si="7"/>
        <v/>
      </c>
      <c r="I250" s="15"/>
    </row>
    <row r="251" spans="1:9" x14ac:dyDescent="0.2">
      <c r="A251" s="23" t="str">
        <f t="shared" si="6"/>
        <v/>
      </c>
      <c r="B251" s="22"/>
      <c r="C251" s="15"/>
      <c r="D251" s="15"/>
      <c r="E251" s="24"/>
      <c r="F251" s="25"/>
      <c r="G251" s="21"/>
      <c r="H251" s="26" t="str">
        <f t="shared" si="7"/>
        <v/>
      </c>
      <c r="I251" s="15"/>
    </row>
    <row r="252" spans="1:9" x14ac:dyDescent="0.2">
      <c r="A252" s="23" t="str">
        <f t="shared" si="6"/>
        <v/>
      </c>
      <c r="B252" s="22"/>
      <c r="C252" s="15"/>
      <c r="D252" s="15"/>
      <c r="E252" s="24"/>
      <c r="F252" s="25"/>
      <c r="G252" s="21"/>
      <c r="H252" s="26" t="str">
        <f t="shared" si="7"/>
        <v/>
      </c>
      <c r="I252" s="15"/>
    </row>
    <row r="253" spans="1:9" x14ac:dyDescent="0.2">
      <c r="A253" s="23" t="str">
        <f t="shared" si="6"/>
        <v/>
      </c>
      <c r="B253" s="22"/>
      <c r="C253" s="15"/>
      <c r="D253" s="15"/>
      <c r="E253" s="24"/>
      <c r="F253" s="25"/>
      <c r="G253" s="21"/>
      <c r="H253" s="26" t="str">
        <f t="shared" si="7"/>
        <v/>
      </c>
      <c r="I253" s="15"/>
    </row>
    <row r="254" spans="1:9" x14ac:dyDescent="0.2">
      <c r="A254" s="23" t="str">
        <f t="shared" si="6"/>
        <v/>
      </c>
      <c r="B254" s="22"/>
      <c r="C254" s="15"/>
      <c r="D254" s="15"/>
      <c r="E254" s="24"/>
      <c r="F254" s="25"/>
      <c r="G254" s="21"/>
      <c r="H254" s="26" t="str">
        <f t="shared" si="7"/>
        <v/>
      </c>
      <c r="I254" s="15"/>
    </row>
    <row r="255" spans="1:9" x14ac:dyDescent="0.2">
      <c r="A255" s="23" t="str">
        <f t="shared" si="6"/>
        <v/>
      </c>
      <c r="B255" s="22"/>
      <c r="C255" s="15"/>
      <c r="D255" s="15"/>
      <c r="E255" s="24"/>
      <c r="F255" s="25"/>
      <c r="G255" s="21"/>
      <c r="H255" s="26" t="str">
        <f t="shared" si="7"/>
        <v/>
      </c>
      <c r="I255" s="15"/>
    </row>
    <row r="256" spans="1:9" x14ac:dyDescent="0.2">
      <c r="A256" s="23" t="str">
        <f t="shared" si="6"/>
        <v/>
      </c>
      <c r="B256" s="22"/>
      <c r="C256" s="15"/>
      <c r="D256" s="15"/>
      <c r="E256" s="24"/>
      <c r="F256" s="25"/>
      <c r="G256" s="21"/>
      <c r="H256" s="26" t="str">
        <f t="shared" si="7"/>
        <v/>
      </c>
      <c r="I256" s="15"/>
    </row>
    <row r="257" spans="1:9" x14ac:dyDescent="0.2">
      <c r="A257" s="23" t="str">
        <f t="shared" si="6"/>
        <v/>
      </c>
      <c r="B257" s="22"/>
      <c r="C257" s="15"/>
      <c r="D257" s="15"/>
      <c r="E257" s="24"/>
      <c r="F257" s="25"/>
      <c r="G257" s="21"/>
      <c r="H257" s="26" t="str">
        <f t="shared" si="7"/>
        <v/>
      </c>
      <c r="I257" s="15"/>
    </row>
    <row r="258" spans="1:9" x14ac:dyDescent="0.2">
      <c r="A258" s="23" t="str">
        <f t="shared" si="6"/>
        <v/>
      </c>
      <c r="B258" s="22"/>
      <c r="C258" s="15"/>
      <c r="D258" s="15"/>
      <c r="E258" s="24"/>
      <c r="F258" s="25"/>
      <c r="G258" s="21"/>
      <c r="H258" s="26" t="str">
        <f t="shared" si="7"/>
        <v/>
      </c>
      <c r="I258" s="15"/>
    </row>
    <row r="259" spans="1:9" x14ac:dyDescent="0.2">
      <c r="A259" s="23" t="str">
        <f t="shared" si="6"/>
        <v/>
      </c>
      <c r="B259" s="22"/>
      <c r="C259" s="15"/>
      <c r="D259" s="15"/>
      <c r="E259" s="24"/>
      <c r="F259" s="25"/>
      <c r="G259" s="21"/>
      <c r="H259" s="26" t="str">
        <f t="shared" si="7"/>
        <v/>
      </c>
      <c r="I259" s="15"/>
    </row>
    <row r="260" spans="1:9" x14ac:dyDescent="0.2">
      <c r="A260" s="23" t="str">
        <f t="shared" si="6"/>
        <v/>
      </c>
      <c r="B260" s="22"/>
      <c r="C260" s="15"/>
      <c r="D260" s="15"/>
      <c r="E260" s="24"/>
      <c r="F260" s="25"/>
      <c r="G260" s="21"/>
      <c r="H260" s="26" t="str">
        <f t="shared" si="7"/>
        <v/>
      </c>
      <c r="I260" s="15"/>
    </row>
    <row r="261" spans="1:9" x14ac:dyDescent="0.2">
      <c r="A261" s="23" t="str">
        <f t="shared" ref="A261:A324" si="8">IF(B261="","",ROW()-4)</f>
        <v/>
      </c>
      <c r="B261" s="22"/>
      <c r="C261" s="15"/>
      <c r="D261" s="15"/>
      <c r="E261" s="24"/>
      <c r="F261" s="25"/>
      <c r="G261" s="21"/>
      <c r="H261" s="26" t="str">
        <f t="shared" ref="H261:H324" si="9">IF(OR(F261="",G261=""),"",F261*G261)</f>
        <v/>
      </c>
      <c r="I261" s="15"/>
    </row>
    <row r="262" spans="1:9" x14ac:dyDescent="0.2">
      <c r="A262" s="23" t="str">
        <f t="shared" si="8"/>
        <v/>
      </c>
      <c r="B262" s="22"/>
      <c r="C262" s="15"/>
      <c r="D262" s="15"/>
      <c r="E262" s="24"/>
      <c r="F262" s="25"/>
      <c r="G262" s="21"/>
      <c r="H262" s="26" t="str">
        <f t="shared" si="9"/>
        <v/>
      </c>
      <c r="I262" s="15"/>
    </row>
    <row r="263" spans="1:9" x14ac:dyDescent="0.2">
      <c r="A263" s="23" t="str">
        <f t="shared" si="8"/>
        <v/>
      </c>
      <c r="B263" s="22"/>
      <c r="C263" s="15"/>
      <c r="D263" s="15"/>
      <c r="E263" s="24"/>
      <c r="F263" s="25"/>
      <c r="G263" s="21"/>
      <c r="H263" s="26" t="str">
        <f t="shared" si="9"/>
        <v/>
      </c>
      <c r="I263" s="15"/>
    </row>
    <row r="264" spans="1:9" x14ac:dyDescent="0.2">
      <c r="A264" s="23" t="str">
        <f t="shared" si="8"/>
        <v/>
      </c>
      <c r="B264" s="22"/>
      <c r="C264" s="15"/>
      <c r="D264" s="15"/>
      <c r="E264" s="24"/>
      <c r="F264" s="25"/>
      <c r="G264" s="21"/>
      <c r="H264" s="26" t="str">
        <f t="shared" si="9"/>
        <v/>
      </c>
      <c r="I264" s="15"/>
    </row>
    <row r="265" spans="1:9" x14ac:dyDescent="0.2">
      <c r="A265" s="23" t="str">
        <f t="shared" si="8"/>
        <v/>
      </c>
      <c r="B265" s="22"/>
      <c r="C265" s="15"/>
      <c r="D265" s="15"/>
      <c r="E265" s="24"/>
      <c r="F265" s="25"/>
      <c r="G265" s="21"/>
      <c r="H265" s="26" t="str">
        <f t="shared" si="9"/>
        <v/>
      </c>
      <c r="I265" s="15"/>
    </row>
    <row r="266" spans="1:9" x14ac:dyDescent="0.2">
      <c r="A266" s="23" t="str">
        <f t="shared" si="8"/>
        <v/>
      </c>
      <c r="B266" s="22"/>
      <c r="C266" s="15"/>
      <c r="D266" s="15"/>
      <c r="E266" s="24"/>
      <c r="F266" s="25"/>
      <c r="G266" s="21"/>
      <c r="H266" s="26" t="str">
        <f t="shared" si="9"/>
        <v/>
      </c>
      <c r="I266" s="15"/>
    </row>
    <row r="267" spans="1:9" x14ac:dyDescent="0.2">
      <c r="A267" s="23" t="str">
        <f t="shared" si="8"/>
        <v/>
      </c>
      <c r="B267" s="22"/>
      <c r="C267" s="15"/>
      <c r="D267" s="15"/>
      <c r="E267" s="24"/>
      <c r="F267" s="25"/>
      <c r="G267" s="21"/>
      <c r="H267" s="26" t="str">
        <f t="shared" si="9"/>
        <v/>
      </c>
      <c r="I267" s="15"/>
    </row>
    <row r="268" spans="1:9" x14ac:dyDescent="0.2">
      <c r="A268" s="23" t="str">
        <f t="shared" si="8"/>
        <v/>
      </c>
      <c r="B268" s="22"/>
      <c r="C268" s="15"/>
      <c r="D268" s="15"/>
      <c r="E268" s="24"/>
      <c r="F268" s="25"/>
      <c r="G268" s="21"/>
      <c r="H268" s="26" t="str">
        <f t="shared" si="9"/>
        <v/>
      </c>
      <c r="I268" s="15"/>
    </row>
    <row r="269" spans="1:9" x14ac:dyDescent="0.2">
      <c r="A269" s="23" t="str">
        <f t="shared" si="8"/>
        <v/>
      </c>
      <c r="B269" s="22"/>
      <c r="C269" s="15"/>
      <c r="D269" s="15"/>
      <c r="E269" s="24"/>
      <c r="F269" s="25"/>
      <c r="G269" s="21"/>
      <c r="H269" s="26" t="str">
        <f t="shared" si="9"/>
        <v/>
      </c>
      <c r="I269" s="15"/>
    </row>
    <row r="270" spans="1:9" x14ac:dyDescent="0.2">
      <c r="A270" s="23" t="str">
        <f t="shared" si="8"/>
        <v/>
      </c>
      <c r="B270" s="22"/>
      <c r="C270" s="15"/>
      <c r="D270" s="15"/>
      <c r="E270" s="24"/>
      <c r="F270" s="25"/>
      <c r="G270" s="21"/>
      <c r="H270" s="26" t="str">
        <f t="shared" si="9"/>
        <v/>
      </c>
      <c r="I270" s="15"/>
    </row>
    <row r="271" spans="1:9" x14ac:dyDescent="0.2">
      <c r="A271" s="23" t="str">
        <f t="shared" si="8"/>
        <v/>
      </c>
      <c r="B271" s="22"/>
      <c r="C271" s="15"/>
      <c r="D271" s="15"/>
      <c r="E271" s="24"/>
      <c r="F271" s="25"/>
      <c r="G271" s="21"/>
      <c r="H271" s="26" t="str">
        <f t="shared" si="9"/>
        <v/>
      </c>
      <c r="I271" s="15"/>
    </row>
    <row r="272" spans="1:9" x14ac:dyDescent="0.2">
      <c r="A272" s="23" t="str">
        <f t="shared" si="8"/>
        <v/>
      </c>
      <c r="B272" s="22"/>
      <c r="C272" s="15"/>
      <c r="D272" s="15"/>
      <c r="E272" s="24"/>
      <c r="F272" s="25"/>
      <c r="G272" s="21"/>
      <c r="H272" s="26" t="str">
        <f t="shared" si="9"/>
        <v/>
      </c>
      <c r="I272" s="15"/>
    </row>
    <row r="273" spans="1:9" x14ac:dyDescent="0.2">
      <c r="A273" s="23" t="str">
        <f t="shared" si="8"/>
        <v/>
      </c>
      <c r="B273" s="22"/>
      <c r="C273" s="15"/>
      <c r="D273" s="15"/>
      <c r="E273" s="24"/>
      <c r="F273" s="25"/>
      <c r="G273" s="21"/>
      <c r="H273" s="26" t="str">
        <f t="shared" si="9"/>
        <v/>
      </c>
      <c r="I273" s="15"/>
    </row>
    <row r="274" spans="1:9" x14ac:dyDescent="0.2">
      <c r="A274" s="23" t="str">
        <f t="shared" si="8"/>
        <v/>
      </c>
      <c r="B274" s="22"/>
      <c r="C274" s="15"/>
      <c r="D274" s="15"/>
      <c r="E274" s="24"/>
      <c r="F274" s="25"/>
      <c r="G274" s="21"/>
      <c r="H274" s="26" t="str">
        <f t="shared" si="9"/>
        <v/>
      </c>
      <c r="I274" s="15"/>
    </row>
    <row r="275" spans="1:9" x14ac:dyDescent="0.2">
      <c r="A275" s="23" t="str">
        <f t="shared" si="8"/>
        <v/>
      </c>
      <c r="B275" s="22"/>
      <c r="C275" s="15"/>
      <c r="D275" s="15"/>
      <c r="E275" s="24"/>
      <c r="F275" s="25"/>
      <c r="G275" s="21"/>
      <c r="H275" s="26" t="str">
        <f t="shared" si="9"/>
        <v/>
      </c>
      <c r="I275" s="15"/>
    </row>
    <row r="276" spans="1:9" x14ac:dyDescent="0.2">
      <c r="A276" s="23" t="str">
        <f t="shared" si="8"/>
        <v/>
      </c>
      <c r="B276" s="22"/>
      <c r="C276" s="15"/>
      <c r="D276" s="15"/>
      <c r="E276" s="24"/>
      <c r="F276" s="25"/>
      <c r="G276" s="21"/>
      <c r="H276" s="26" t="str">
        <f t="shared" si="9"/>
        <v/>
      </c>
      <c r="I276" s="15"/>
    </row>
    <row r="277" spans="1:9" x14ac:dyDescent="0.2">
      <c r="A277" s="23" t="str">
        <f t="shared" si="8"/>
        <v/>
      </c>
      <c r="B277" s="22"/>
      <c r="C277" s="15"/>
      <c r="D277" s="15"/>
      <c r="E277" s="24"/>
      <c r="F277" s="25"/>
      <c r="G277" s="21"/>
      <c r="H277" s="26" t="str">
        <f t="shared" si="9"/>
        <v/>
      </c>
      <c r="I277" s="15"/>
    </row>
    <row r="278" spans="1:9" x14ac:dyDescent="0.2">
      <c r="A278" s="23" t="str">
        <f t="shared" si="8"/>
        <v/>
      </c>
      <c r="B278" s="22"/>
      <c r="C278" s="15"/>
      <c r="D278" s="15"/>
      <c r="E278" s="24"/>
      <c r="F278" s="25"/>
      <c r="G278" s="21"/>
      <c r="H278" s="26" t="str">
        <f t="shared" si="9"/>
        <v/>
      </c>
      <c r="I278" s="15"/>
    </row>
    <row r="279" spans="1:9" x14ac:dyDescent="0.2">
      <c r="A279" s="23" t="str">
        <f t="shared" si="8"/>
        <v/>
      </c>
      <c r="B279" s="22"/>
      <c r="C279" s="15"/>
      <c r="D279" s="15"/>
      <c r="E279" s="24"/>
      <c r="F279" s="25"/>
      <c r="G279" s="21"/>
      <c r="H279" s="26" t="str">
        <f t="shared" si="9"/>
        <v/>
      </c>
      <c r="I279" s="15"/>
    </row>
    <row r="280" spans="1:9" x14ac:dyDescent="0.2">
      <c r="A280" s="23" t="str">
        <f t="shared" si="8"/>
        <v/>
      </c>
      <c r="B280" s="22"/>
      <c r="C280" s="15"/>
      <c r="D280" s="15"/>
      <c r="E280" s="24"/>
      <c r="F280" s="25"/>
      <c r="G280" s="21"/>
      <c r="H280" s="26" t="str">
        <f t="shared" si="9"/>
        <v/>
      </c>
      <c r="I280" s="15"/>
    </row>
    <row r="281" spans="1:9" x14ac:dyDescent="0.2">
      <c r="A281" s="23" t="str">
        <f t="shared" si="8"/>
        <v/>
      </c>
      <c r="B281" s="22"/>
      <c r="C281" s="15"/>
      <c r="D281" s="15"/>
      <c r="E281" s="24"/>
      <c r="F281" s="25"/>
      <c r="G281" s="21"/>
      <c r="H281" s="26" t="str">
        <f t="shared" si="9"/>
        <v/>
      </c>
      <c r="I281" s="15"/>
    </row>
    <row r="282" spans="1:9" x14ac:dyDescent="0.2">
      <c r="A282" s="23" t="str">
        <f t="shared" si="8"/>
        <v/>
      </c>
      <c r="B282" s="22"/>
      <c r="C282" s="15"/>
      <c r="D282" s="15"/>
      <c r="E282" s="24"/>
      <c r="F282" s="25"/>
      <c r="G282" s="21"/>
      <c r="H282" s="26" t="str">
        <f t="shared" si="9"/>
        <v/>
      </c>
      <c r="I282" s="15"/>
    </row>
    <row r="283" spans="1:9" x14ac:dyDescent="0.2">
      <c r="A283" s="23" t="str">
        <f t="shared" si="8"/>
        <v/>
      </c>
      <c r="B283" s="22"/>
      <c r="C283" s="15"/>
      <c r="D283" s="15"/>
      <c r="E283" s="24"/>
      <c r="F283" s="25"/>
      <c r="G283" s="21"/>
      <c r="H283" s="26" t="str">
        <f t="shared" si="9"/>
        <v/>
      </c>
      <c r="I283" s="15"/>
    </row>
    <row r="284" spans="1:9" x14ac:dyDescent="0.2">
      <c r="A284" s="23" t="str">
        <f t="shared" si="8"/>
        <v/>
      </c>
      <c r="B284" s="22"/>
      <c r="C284" s="15"/>
      <c r="D284" s="15"/>
      <c r="E284" s="24"/>
      <c r="F284" s="25"/>
      <c r="G284" s="21"/>
      <c r="H284" s="26" t="str">
        <f t="shared" si="9"/>
        <v/>
      </c>
      <c r="I284" s="15"/>
    </row>
    <row r="285" spans="1:9" x14ac:dyDescent="0.2">
      <c r="A285" s="23" t="str">
        <f t="shared" si="8"/>
        <v/>
      </c>
      <c r="B285" s="22"/>
      <c r="C285" s="15"/>
      <c r="D285" s="15"/>
      <c r="E285" s="24"/>
      <c r="F285" s="25"/>
      <c r="G285" s="21"/>
      <c r="H285" s="26" t="str">
        <f t="shared" si="9"/>
        <v/>
      </c>
      <c r="I285" s="15"/>
    </row>
    <row r="286" spans="1:9" x14ac:dyDescent="0.2">
      <c r="A286" s="23" t="str">
        <f t="shared" si="8"/>
        <v/>
      </c>
      <c r="B286" s="22"/>
      <c r="C286" s="15"/>
      <c r="D286" s="15"/>
      <c r="E286" s="24"/>
      <c r="F286" s="25"/>
      <c r="G286" s="21"/>
      <c r="H286" s="26" t="str">
        <f t="shared" si="9"/>
        <v/>
      </c>
      <c r="I286" s="15"/>
    </row>
    <row r="287" spans="1:9" x14ac:dyDescent="0.2">
      <c r="A287" s="23" t="str">
        <f t="shared" si="8"/>
        <v/>
      </c>
      <c r="B287" s="22"/>
      <c r="C287" s="15"/>
      <c r="D287" s="15"/>
      <c r="E287" s="24"/>
      <c r="F287" s="25"/>
      <c r="G287" s="21"/>
      <c r="H287" s="26" t="str">
        <f t="shared" si="9"/>
        <v/>
      </c>
      <c r="I287" s="15"/>
    </row>
    <row r="288" spans="1:9" x14ac:dyDescent="0.2">
      <c r="A288" s="23" t="str">
        <f t="shared" si="8"/>
        <v/>
      </c>
      <c r="B288" s="22"/>
      <c r="C288" s="15"/>
      <c r="D288" s="15"/>
      <c r="E288" s="24"/>
      <c r="F288" s="25"/>
      <c r="G288" s="21"/>
      <c r="H288" s="26" t="str">
        <f t="shared" si="9"/>
        <v/>
      </c>
      <c r="I288" s="15"/>
    </row>
    <row r="289" spans="1:9" x14ac:dyDescent="0.2">
      <c r="A289" s="23" t="str">
        <f t="shared" si="8"/>
        <v/>
      </c>
      <c r="B289" s="22"/>
      <c r="C289" s="15"/>
      <c r="D289" s="15"/>
      <c r="E289" s="24"/>
      <c r="F289" s="25"/>
      <c r="G289" s="21"/>
      <c r="H289" s="26" t="str">
        <f t="shared" si="9"/>
        <v/>
      </c>
      <c r="I289" s="15"/>
    </row>
    <row r="290" spans="1:9" x14ac:dyDescent="0.2">
      <c r="A290" s="23" t="str">
        <f t="shared" si="8"/>
        <v/>
      </c>
      <c r="B290" s="22"/>
      <c r="C290" s="15"/>
      <c r="D290" s="15"/>
      <c r="E290" s="24"/>
      <c r="F290" s="25"/>
      <c r="G290" s="21"/>
      <c r="H290" s="26" t="str">
        <f t="shared" si="9"/>
        <v/>
      </c>
      <c r="I290" s="15"/>
    </row>
    <row r="291" spans="1:9" x14ac:dyDescent="0.2">
      <c r="A291" s="23" t="str">
        <f t="shared" si="8"/>
        <v/>
      </c>
      <c r="B291" s="22"/>
      <c r="C291" s="15"/>
      <c r="D291" s="15"/>
      <c r="E291" s="24"/>
      <c r="F291" s="25"/>
      <c r="G291" s="21"/>
      <c r="H291" s="26" t="str">
        <f t="shared" si="9"/>
        <v/>
      </c>
      <c r="I291" s="15"/>
    </row>
    <row r="292" spans="1:9" x14ac:dyDescent="0.2">
      <c r="A292" s="23" t="str">
        <f t="shared" si="8"/>
        <v/>
      </c>
      <c r="B292" s="22"/>
      <c r="C292" s="15"/>
      <c r="D292" s="15"/>
      <c r="E292" s="24"/>
      <c r="F292" s="25"/>
      <c r="G292" s="21"/>
      <c r="H292" s="26" t="str">
        <f t="shared" si="9"/>
        <v/>
      </c>
      <c r="I292" s="15"/>
    </row>
    <row r="293" spans="1:9" x14ac:dyDescent="0.2">
      <c r="A293" s="23" t="str">
        <f t="shared" si="8"/>
        <v/>
      </c>
      <c r="B293" s="22"/>
      <c r="C293" s="15"/>
      <c r="D293" s="15"/>
      <c r="E293" s="24"/>
      <c r="F293" s="25"/>
      <c r="G293" s="21"/>
      <c r="H293" s="26" t="str">
        <f t="shared" si="9"/>
        <v/>
      </c>
      <c r="I293" s="15"/>
    </row>
    <row r="294" spans="1:9" x14ac:dyDescent="0.2">
      <c r="A294" s="23" t="str">
        <f t="shared" si="8"/>
        <v/>
      </c>
      <c r="B294" s="22"/>
      <c r="C294" s="15"/>
      <c r="D294" s="15"/>
      <c r="E294" s="24"/>
      <c r="F294" s="25"/>
      <c r="G294" s="21"/>
      <c r="H294" s="26" t="str">
        <f t="shared" si="9"/>
        <v/>
      </c>
      <c r="I294" s="15"/>
    </row>
    <row r="295" spans="1:9" x14ac:dyDescent="0.2">
      <c r="A295" s="23" t="str">
        <f t="shared" si="8"/>
        <v/>
      </c>
      <c r="B295" s="22"/>
      <c r="C295" s="15"/>
      <c r="D295" s="15"/>
      <c r="E295" s="24"/>
      <c r="F295" s="25"/>
      <c r="G295" s="21"/>
      <c r="H295" s="26" t="str">
        <f t="shared" si="9"/>
        <v/>
      </c>
      <c r="I295" s="15"/>
    </row>
    <row r="296" spans="1:9" x14ac:dyDescent="0.2">
      <c r="A296" s="23" t="str">
        <f t="shared" si="8"/>
        <v/>
      </c>
      <c r="B296" s="22"/>
      <c r="C296" s="15"/>
      <c r="D296" s="15"/>
      <c r="E296" s="24"/>
      <c r="F296" s="25"/>
      <c r="G296" s="21"/>
      <c r="H296" s="26" t="str">
        <f t="shared" si="9"/>
        <v/>
      </c>
      <c r="I296" s="15"/>
    </row>
    <row r="297" spans="1:9" x14ac:dyDescent="0.2">
      <c r="A297" s="23" t="str">
        <f t="shared" si="8"/>
        <v/>
      </c>
      <c r="B297" s="22"/>
      <c r="C297" s="15"/>
      <c r="D297" s="15"/>
      <c r="E297" s="24"/>
      <c r="F297" s="25"/>
      <c r="G297" s="21"/>
      <c r="H297" s="26" t="str">
        <f t="shared" si="9"/>
        <v/>
      </c>
      <c r="I297" s="15"/>
    </row>
    <row r="298" spans="1:9" x14ac:dyDescent="0.2">
      <c r="A298" s="23" t="str">
        <f t="shared" si="8"/>
        <v/>
      </c>
      <c r="B298" s="22"/>
      <c r="C298" s="15"/>
      <c r="D298" s="15"/>
      <c r="E298" s="24"/>
      <c r="F298" s="25"/>
      <c r="G298" s="21"/>
      <c r="H298" s="26" t="str">
        <f t="shared" si="9"/>
        <v/>
      </c>
      <c r="I298" s="15"/>
    </row>
    <row r="299" spans="1:9" x14ac:dyDescent="0.2">
      <c r="A299" s="23" t="str">
        <f t="shared" si="8"/>
        <v/>
      </c>
      <c r="B299" s="22"/>
      <c r="C299" s="15"/>
      <c r="D299" s="15"/>
      <c r="E299" s="24"/>
      <c r="F299" s="25"/>
      <c r="G299" s="21"/>
      <c r="H299" s="26" t="str">
        <f t="shared" si="9"/>
        <v/>
      </c>
      <c r="I299" s="15"/>
    </row>
    <row r="300" spans="1:9" x14ac:dyDescent="0.2">
      <c r="A300" s="23" t="str">
        <f t="shared" si="8"/>
        <v/>
      </c>
      <c r="B300" s="22"/>
      <c r="C300" s="15"/>
      <c r="D300" s="15"/>
      <c r="E300" s="24"/>
      <c r="F300" s="25"/>
      <c r="G300" s="21"/>
      <c r="H300" s="26" t="str">
        <f t="shared" si="9"/>
        <v/>
      </c>
      <c r="I300" s="15"/>
    </row>
    <row r="301" spans="1:9" x14ac:dyDescent="0.2">
      <c r="A301" s="23" t="str">
        <f t="shared" si="8"/>
        <v/>
      </c>
      <c r="B301" s="22"/>
      <c r="C301" s="15"/>
      <c r="D301" s="15"/>
      <c r="E301" s="24"/>
      <c r="F301" s="25"/>
      <c r="G301" s="21"/>
      <c r="H301" s="26" t="str">
        <f t="shared" si="9"/>
        <v/>
      </c>
      <c r="I301" s="15"/>
    </row>
    <row r="302" spans="1:9" x14ac:dyDescent="0.2">
      <c r="A302" s="23" t="str">
        <f t="shared" si="8"/>
        <v/>
      </c>
      <c r="B302" s="22"/>
      <c r="C302" s="15"/>
      <c r="D302" s="15"/>
      <c r="E302" s="24"/>
      <c r="F302" s="25"/>
      <c r="G302" s="21"/>
      <c r="H302" s="26" t="str">
        <f t="shared" si="9"/>
        <v/>
      </c>
      <c r="I302" s="15"/>
    </row>
    <row r="303" spans="1:9" x14ac:dyDescent="0.2">
      <c r="A303" s="23" t="str">
        <f t="shared" si="8"/>
        <v/>
      </c>
      <c r="B303" s="22"/>
      <c r="C303" s="15"/>
      <c r="D303" s="15"/>
      <c r="E303" s="24"/>
      <c r="F303" s="25"/>
      <c r="G303" s="21"/>
      <c r="H303" s="26" t="str">
        <f t="shared" si="9"/>
        <v/>
      </c>
      <c r="I303" s="15"/>
    </row>
    <row r="304" spans="1:9" x14ac:dyDescent="0.2">
      <c r="A304" s="23" t="str">
        <f t="shared" si="8"/>
        <v/>
      </c>
      <c r="B304" s="22"/>
      <c r="C304" s="15"/>
      <c r="D304" s="15"/>
      <c r="E304" s="24"/>
      <c r="F304" s="25"/>
      <c r="G304" s="21"/>
      <c r="H304" s="26" t="str">
        <f t="shared" si="9"/>
        <v/>
      </c>
      <c r="I304" s="15"/>
    </row>
    <row r="305" spans="1:9" x14ac:dyDescent="0.2">
      <c r="A305" s="23" t="str">
        <f t="shared" si="8"/>
        <v/>
      </c>
      <c r="B305" s="22"/>
      <c r="C305" s="15"/>
      <c r="D305" s="15"/>
      <c r="E305" s="24"/>
      <c r="F305" s="25"/>
      <c r="G305" s="21"/>
      <c r="H305" s="26" t="str">
        <f t="shared" si="9"/>
        <v/>
      </c>
      <c r="I305" s="15"/>
    </row>
    <row r="306" spans="1:9" x14ac:dyDescent="0.2">
      <c r="A306" s="23" t="str">
        <f t="shared" si="8"/>
        <v/>
      </c>
      <c r="B306" s="22"/>
      <c r="C306" s="15"/>
      <c r="D306" s="15"/>
      <c r="E306" s="24"/>
      <c r="F306" s="25"/>
      <c r="G306" s="21"/>
      <c r="H306" s="26" t="str">
        <f t="shared" si="9"/>
        <v/>
      </c>
      <c r="I306" s="15"/>
    </row>
    <row r="307" spans="1:9" x14ac:dyDescent="0.2">
      <c r="A307" s="23" t="str">
        <f t="shared" si="8"/>
        <v/>
      </c>
      <c r="B307" s="22"/>
      <c r="C307" s="15"/>
      <c r="D307" s="15"/>
      <c r="E307" s="24"/>
      <c r="F307" s="25"/>
      <c r="G307" s="21"/>
      <c r="H307" s="26" t="str">
        <f t="shared" si="9"/>
        <v/>
      </c>
      <c r="I307" s="15"/>
    </row>
    <row r="308" spans="1:9" x14ac:dyDescent="0.2">
      <c r="A308" s="23" t="str">
        <f t="shared" si="8"/>
        <v/>
      </c>
      <c r="B308" s="22"/>
      <c r="C308" s="15"/>
      <c r="D308" s="15"/>
      <c r="E308" s="24"/>
      <c r="F308" s="25"/>
      <c r="G308" s="21"/>
      <c r="H308" s="26" t="str">
        <f t="shared" si="9"/>
        <v/>
      </c>
      <c r="I308" s="15"/>
    </row>
    <row r="309" spans="1:9" x14ac:dyDescent="0.2">
      <c r="A309" s="23" t="str">
        <f t="shared" si="8"/>
        <v/>
      </c>
      <c r="B309" s="22"/>
      <c r="C309" s="15"/>
      <c r="D309" s="15"/>
      <c r="E309" s="24"/>
      <c r="F309" s="25"/>
      <c r="G309" s="21"/>
      <c r="H309" s="26" t="str">
        <f t="shared" si="9"/>
        <v/>
      </c>
      <c r="I309" s="15"/>
    </row>
    <row r="310" spans="1:9" x14ac:dyDescent="0.2">
      <c r="A310" s="23" t="str">
        <f t="shared" si="8"/>
        <v/>
      </c>
      <c r="B310" s="22"/>
      <c r="C310" s="15"/>
      <c r="D310" s="15"/>
      <c r="E310" s="24"/>
      <c r="F310" s="25"/>
      <c r="G310" s="21"/>
      <c r="H310" s="26" t="str">
        <f t="shared" si="9"/>
        <v/>
      </c>
      <c r="I310" s="15"/>
    </row>
    <row r="311" spans="1:9" x14ac:dyDescent="0.2">
      <c r="A311" s="23" t="str">
        <f t="shared" si="8"/>
        <v/>
      </c>
      <c r="B311" s="22"/>
      <c r="C311" s="15"/>
      <c r="D311" s="15"/>
      <c r="E311" s="24"/>
      <c r="F311" s="25"/>
      <c r="G311" s="21"/>
      <c r="H311" s="26" t="str">
        <f t="shared" si="9"/>
        <v/>
      </c>
      <c r="I311" s="15"/>
    </row>
    <row r="312" spans="1:9" x14ac:dyDescent="0.2">
      <c r="A312" s="23" t="str">
        <f t="shared" si="8"/>
        <v/>
      </c>
      <c r="B312" s="22"/>
      <c r="C312" s="15"/>
      <c r="D312" s="15"/>
      <c r="E312" s="24"/>
      <c r="F312" s="25"/>
      <c r="G312" s="21"/>
      <c r="H312" s="26" t="str">
        <f t="shared" si="9"/>
        <v/>
      </c>
      <c r="I312" s="15"/>
    </row>
    <row r="313" spans="1:9" x14ac:dyDescent="0.2">
      <c r="A313" s="23" t="str">
        <f t="shared" si="8"/>
        <v/>
      </c>
      <c r="B313" s="22"/>
      <c r="C313" s="15"/>
      <c r="D313" s="15"/>
      <c r="E313" s="24"/>
      <c r="F313" s="25"/>
      <c r="G313" s="21"/>
      <c r="H313" s="26" t="str">
        <f t="shared" si="9"/>
        <v/>
      </c>
      <c r="I313" s="15"/>
    </row>
    <row r="314" spans="1:9" x14ac:dyDescent="0.2">
      <c r="A314" s="23" t="str">
        <f t="shared" si="8"/>
        <v/>
      </c>
      <c r="B314" s="22"/>
      <c r="C314" s="15"/>
      <c r="D314" s="15"/>
      <c r="E314" s="24"/>
      <c r="F314" s="25"/>
      <c r="G314" s="21"/>
      <c r="H314" s="26" t="str">
        <f t="shared" si="9"/>
        <v/>
      </c>
      <c r="I314" s="15"/>
    </row>
    <row r="315" spans="1:9" x14ac:dyDescent="0.2">
      <c r="A315" s="23" t="str">
        <f t="shared" si="8"/>
        <v/>
      </c>
      <c r="B315" s="22"/>
      <c r="C315" s="15"/>
      <c r="D315" s="15"/>
      <c r="E315" s="24"/>
      <c r="F315" s="25"/>
      <c r="G315" s="21"/>
      <c r="H315" s="26" t="str">
        <f t="shared" si="9"/>
        <v/>
      </c>
      <c r="I315" s="15"/>
    </row>
    <row r="316" spans="1:9" x14ac:dyDescent="0.2">
      <c r="A316" s="23" t="str">
        <f t="shared" si="8"/>
        <v/>
      </c>
      <c r="B316" s="22"/>
      <c r="C316" s="15"/>
      <c r="D316" s="15"/>
      <c r="E316" s="24"/>
      <c r="F316" s="25"/>
      <c r="G316" s="21"/>
      <c r="H316" s="26" t="str">
        <f t="shared" si="9"/>
        <v/>
      </c>
      <c r="I316" s="15"/>
    </row>
    <row r="317" spans="1:9" x14ac:dyDescent="0.2">
      <c r="A317" s="23" t="str">
        <f t="shared" si="8"/>
        <v/>
      </c>
      <c r="B317" s="22"/>
      <c r="C317" s="15"/>
      <c r="D317" s="15"/>
      <c r="E317" s="24"/>
      <c r="F317" s="25"/>
      <c r="G317" s="21"/>
      <c r="H317" s="26" t="str">
        <f t="shared" si="9"/>
        <v/>
      </c>
      <c r="I317" s="15"/>
    </row>
    <row r="318" spans="1:9" x14ac:dyDescent="0.2">
      <c r="A318" s="23" t="str">
        <f t="shared" si="8"/>
        <v/>
      </c>
      <c r="B318" s="22"/>
      <c r="C318" s="15"/>
      <c r="D318" s="15"/>
      <c r="E318" s="24"/>
      <c r="F318" s="25"/>
      <c r="G318" s="21"/>
      <c r="H318" s="26" t="str">
        <f t="shared" si="9"/>
        <v/>
      </c>
      <c r="I318" s="15"/>
    </row>
    <row r="319" spans="1:9" x14ac:dyDescent="0.2">
      <c r="A319" s="23" t="str">
        <f t="shared" si="8"/>
        <v/>
      </c>
      <c r="B319" s="22"/>
      <c r="C319" s="15"/>
      <c r="D319" s="15"/>
      <c r="E319" s="24"/>
      <c r="F319" s="25"/>
      <c r="G319" s="21"/>
      <c r="H319" s="26" t="str">
        <f t="shared" si="9"/>
        <v/>
      </c>
      <c r="I319" s="15"/>
    </row>
    <row r="320" spans="1:9" x14ac:dyDescent="0.2">
      <c r="A320" s="23" t="str">
        <f t="shared" si="8"/>
        <v/>
      </c>
      <c r="B320" s="22"/>
      <c r="C320" s="15"/>
      <c r="D320" s="15"/>
      <c r="E320" s="24"/>
      <c r="F320" s="25"/>
      <c r="G320" s="21"/>
      <c r="H320" s="26" t="str">
        <f t="shared" si="9"/>
        <v/>
      </c>
      <c r="I320" s="15"/>
    </row>
    <row r="321" spans="1:9" x14ac:dyDescent="0.2">
      <c r="A321" s="23" t="str">
        <f t="shared" si="8"/>
        <v/>
      </c>
      <c r="B321" s="22"/>
      <c r="C321" s="15"/>
      <c r="D321" s="15"/>
      <c r="E321" s="24"/>
      <c r="F321" s="25"/>
      <c r="G321" s="21"/>
      <c r="H321" s="26" t="str">
        <f t="shared" si="9"/>
        <v/>
      </c>
      <c r="I321" s="15"/>
    </row>
    <row r="322" spans="1:9" x14ac:dyDescent="0.2">
      <c r="A322" s="23" t="str">
        <f t="shared" si="8"/>
        <v/>
      </c>
      <c r="B322" s="22"/>
      <c r="C322" s="15"/>
      <c r="D322" s="15"/>
      <c r="E322" s="24"/>
      <c r="F322" s="25"/>
      <c r="G322" s="21"/>
      <c r="H322" s="26" t="str">
        <f t="shared" si="9"/>
        <v/>
      </c>
      <c r="I322" s="15"/>
    </row>
    <row r="323" spans="1:9" x14ac:dyDescent="0.2">
      <c r="A323" s="23" t="str">
        <f t="shared" si="8"/>
        <v/>
      </c>
      <c r="B323" s="22"/>
      <c r="C323" s="15"/>
      <c r="D323" s="15"/>
      <c r="E323" s="24"/>
      <c r="F323" s="25"/>
      <c r="G323" s="21"/>
      <c r="H323" s="26" t="str">
        <f t="shared" si="9"/>
        <v/>
      </c>
      <c r="I323" s="15"/>
    </row>
    <row r="324" spans="1:9" x14ac:dyDescent="0.2">
      <c r="A324" s="23" t="str">
        <f t="shared" si="8"/>
        <v/>
      </c>
      <c r="B324" s="22"/>
      <c r="C324" s="15"/>
      <c r="D324" s="15"/>
      <c r="E324" s="24"/>
      <c r="F324" s="25"/>
      <c r="G324" s="21"/>
      <c r="H324" s="26" t="str">
        <f t="shared" si="9"/>
        <v/>
      </c>
      <c r="I324" s="15"/>
    </row>
    <row r="325" spans="1:9" x14ac:dyDescent="0.2">
      <c r="A325" s="23" t="str">
        <f t="shared" ref="A325:A388" si="10">IF(B325="","",ROW()-4)</f>
        <v/>
      </c>
      <c r="B325" s="22"/>
      <c r="C325" s="15"/>
      <c r="D325" s="15"/>
      <c r="E325" s="24"/>
      <c r="F325" s="25"/>
      <c r="G325" s="21"/>
      <c r="H325" s="26" t="str">
        <f t="shared" ref="H325:H388" si="11">IF(OR(F325="",G325=""),"",F325*G325)</f>
        <v/>
      </c>
      <c r="I325" s="15"/>
    </row>
    <row r="326" spans="1:9" x14ac:dyDescent="0.2">
      <c r="A326" s="23" t="str">
        <f t="shared" si="10"/>
        <v/>
      </c>
      <c r="B326" s="22"/>
      <c r="C326" s="15"/>
      <c r="D326" s="15"/>
      <c r="E326" s="24"/>
      <c r="F326" s="25"/>
      <c r="G326" s="21"/>
      <c r="H326" s="26" t="str">
        <f t="shared" si="11"/>
        <v/>
      </c>
      <c r="I326" s="15"/>
    </row>
    <row r="327" spans="1:9" x14ac:dyDescent="0.2">
      <c r="A327" s="23" t="str">
        <f t="shared" si="10"/>
        <v/>
      </c>
      <c r="B327" s="22"/>
      <c r="C327" s="15"/>
      <c r="D327" s="15"/>
      <c r="E327" s="24"/>
      <c r="F327" s="25"/>
      <c r="G327" s="21"/>
      <c r="H327" s="26" t="str">
        <f t="shared" si="11"/>
        <v/>
      </c>
      <c r="I327" s="15"/>
    </row>
    <row r="328" spans="1:9" x14ac:dyDescent="0.2">
      <c r="A328" s="23" t="str">
        <f t="shared" si="10"/>
        <v/>
      </c>
      <c r="B328" s="22"/>
      <c r="C328" s="15"/>
      <c r="D328" s="15"/>
      <c r="E328" s="24"/>
      <c r="F328" s="25"/>
      <c r="G328" s="21"/>
      <c r="H328" s="26" t="str">
        <f t="shared" si="11"/>
        <v/>
      </c>
      <c r="I328" s="15"/>
    </row>
    <row r="329" spans="1:9" x14ac:dyDescent="0.2">
      <c r="A329" s="23" t="str">
        <f t="shared" si="10"/>
        <v/>
      </c>
      <c r="B329" s="22"/>
      <c r="C329" s="15"/>
      <c r="D329" s="15"/>
      <c r="E329" s="24"/>
      <c r="F329" s="25"/>
      <c r="G329" s="21"/>
      <c r="H329" s="26" t="str">
        <f t="shared" si="11"/>
        <v/>
      </c>
      <c r="I329" s="15"/>
    </row>
    <row r="330" spans="1:9" x14ac:dyDescent="0.2">
      <c r="A330" s="23" t="str">
        <f t="shared" si="10"/>
        <v/>
      </c>
      <c r="B330" s="22"/>
      <c r="C330" s="15"/>
      <c r="D330" s="15"/>
      <c r="E330" s="24"/>
      <c r="F330" s="25"/>
      <c r="G330" s="21"/>
      <c r="H330" s="26" t="str">
        <f t="shared" si="11"/>
        <v/>
      </c>
      <c r="I330" s="15"/>
    </row>
    <row r="331" spans="1:9" x14ac:dyDescent="0.2">
      <c r="A331" s="23" t="str">
        <f t="shared" si="10"/>
        <v/>
      </c>
      <c r="B331" s="22"/>
      <c r="C331" s="15"/>
      <c r="D331" s="15"/>
      <c r="E331" s="24"/>
      <c r="F331" s="25"/>
      <c r="G331" s="21"/>
      <c r="H331" s="26" t="str">
        <f t="shared" si="11"/>
        <v/>
      </c>
      <c r="I331" s="15"/>
    </row>
    <row r="332" spans="1:9" x14ac:dyDescent="0.2">
      <c r="A332" s="23" t="str">
        <f t="shared" si="10"/>
        <v/>
      </c>
      <c r="B332" s="22"/>
      <c r="C332" s="15"/>
      <c r="D332" s="15"/>
      <c r="E332" s="24"/>
      <c r="F332" s="25"/>
      <c r="G332" s="21"/>
      <c r="H332" s="26" t="str">
        <f t="shared" si="11"/>
        <v/>
      </c>
      <c r="I332" s="15"/>
    </row>
    <row r="333" spans="1:9" x14ac:dyDescent="0.2">
      <c r="A333" s="23" t="str">
        <f t="shared" si="10"/>
        <v/>
      </c>
      <c r="B333" s="22"/>
      <c r="C333" s="15"/>
      <c r="D333" s="15"/>
      <c r="E333" s="24"/>
      <c r="F333" s="25"/>
      <c r="G333" s="21"/>
      <c r="H333" s="26" t="str">
        <f t="shared" si="11"/>
        <v/>
      </c>
      <c r="I333" s="15"/>
    </row>
    <row r="334" spans="1:9" x14ac:dyDescent="0.2">
      <c r="A334" s="23" t="str">
        <f t="shared" si="10"/>
        <v/>
      </c>
      <c r="B334" s="22"/>
      <c r="C334" s="15"/>
      <c r="D334" s="15"/>
      <c r="E334" s="24"/>
      <c r="F334" s="25"/>
      <c r="G334" s="21"/>
      <c r="H334" s="26" t="str">
        <f t="shared" si="11"/>
        <v/>
      </c>
      <c r="I334" s="15"/>
    </row>
    <row r="335" spans="1:9" x14ac:dyDescent="0.2">
      <c r="A335" s="23" t="str">
        <f t="shared" si="10"/>
        <v/>
      </c>
      <c r="B335" s="22"/>
      <c r="C335" s="15"/>
      <c r="D335" s="15"/>
      <c r="E335" s="24"/>
      <c r="F335" s="25"/>
      <c r="G335" s="21"/>
      <c r="H335" s="26" t="str">
        <f t="shared" si="11"/>
        <v/>
      </c>
      <c r="I335" s="15"/>
    </row>
    <row r="336" spans="1:9" x14ac:dyDescent="0.2">
      <c r="A336" s="23" t="str">
        <f t="shared" si="10"/>
        <v/>
      </c>
      <c r="B336" s="22"/>
      <c r="C336" s="15"/>
      <c r="D336" s="15"/>
      <c r="E336" s="24"/>
      <c r="F336" s="25"/>
      <c r="G336" s="21"/>
      <c r="H336" s="26" t="str">
        <f t="shared" si="11"/>
        <v/>
      </c>
      <c r="I336" s="15"/>
    </row>
    <row r="337" spans="1:9" x14ac:dyDescent="0.2">
      <c r="A337" s="23" t="str">
        <f t="shared" si="10"/>
        <v/>
      </c>
      <c r="B337" s="22"/>
      <c r="C337" s="15"/>
      <c r="D337" s="15"/>
      <c r="E337" s="24"/>
      <c r="F337" s="25"/>
      <c r="G337" s="21"/>
      <c r="H337" s="26" t="str">
        <f t="shared" si="11"/>
        <v/>
      </c>
      <c r="I337" s="15"/>
    </row>
    <row r="338" spans="1:9" x14ac:dyDescent="0.2">
      <c r="A338" s="23" t="str">
        <f t="shared" si="10"/>
        <v/>
      </c>
      <c r="B338" s="22"/>
      <c r="C338" s="15"/>
      <c r="D338" s="15"/>
      <c r="E338" s="24"/>
      <c r="F338" s="25"/>
      <c r="G338" s="21"/>
      <c r="H338" s="26" t="str">
        <f t="shared" si="11"/>
        <v/>
      </c>
      <c r="I338" s="15"/>
    </row>
    <row r="339" spans="1:9" x14ac:dyDescent="0.2">
      <c r="A339" s="23" t="str">
        <f t="shared" si="10"/>
        <v/>
      </c>
      <c r="B339" s="22"/>
      <c r="C339" s="15"/>
      <c r="D339" s="15"/>
      <c r="E339" s="24"/>
      <c r="F339" s="25"/>
      <c r="G339" s="21"/>
      <c r="H339" s="26" t="str">
        <f t="shared" si="11"/>
        <v/>
      </c>
      <c r="I339" s="15"/>
    </row>
    <row r="340" spans="1:9" x14ac:dyDescent="0.2">
      <c r="A340" s="23" t="str">
        <f t="shared" si="10"/>
        <v/>
      </c>
      <c r="B340" s="22"/>
      <c r="C340" s="15"/>
      <c r="D340" s="15"/>
      <c r="E340" s="24"/>
      <c r="F340" s="25"/>
      <c r="G340" s="21"/>
      <c r="H340" s="26" t="str">
        <f t="shared" si="11"/>
        <v/>
      </c>
      <c r="I340" s="15"/>
    </row>
    <row r="341" spans="1:9" x14ac:dyDescent="0.2">
      <c r="A341" s="23" t="str">
        <f t="shared" si="10"/>
        <v/>
      </c>
      <c r="B341" s="22"/>
      <c r="C341" s="15"/>
      <c r="D341" s="15"/>
      <c r="E341" s="24"/>
      <c r="F341" s="25"/>
      <c r="G341" s="21"/>
      <c r="H341" s="26" t="str">
        <f t="shared" si="11"/>
        <v/>
      </c>
      <c r="I341" s="15"/>
    </row>
    <row r="342" spans="1:9" x14ac:dyDescent="0.2">
      <c r="A342" s="23" t="str">
        <f t="shared" si="10"/>
        <v/>
      </c>
      <c r="B342" s="22"/>
      <c r="C342" s="15"/>
      <c r="D342" s="15"/>
      <c r="E342" s="24"/>
      <c r="F342" s="25"/>
      <c r="G342" s="21"/>
      <c r="H342" s="26" t="str">
        <f t="shared" si="11"/>
        <v/>
      </c>
      <c r="I342" s="15"/>
    </row>
    <row r="343" spans="1:9" x14ac:dyDescent="0.2">
      <c r="A343" s="23" t="str">
        <f t="shared" si="10"/>
        <v/>
      </c>
      <c r="B343" s="22"/>
      <c r="C343" s="15"/>
      <c r="D343" s="15"/>
      <c r="E343" s="24"/>
      <c r="F343" s="25"/>
      <c r="G343" s="21"/>
      <c r="H343" s="26" t="str">
        <f t="shared" si="11"/>
        <v/>
      </c>
      <c r="I343" s="15"/>
    </row>
    <row r="344" spans="1:9" x14ac:dyDescent="0.2">
      <c r="A344" s="23" t="str">
        <f t="shared" si="10"/>
        <v/>
      </c>
      <c r="B344" s="22"/>
      <c r="C344" s="15"/>
      <c r="D344" s="15"/>
      <c r="E344" s="24"/>
      <c r="F344" s="25"/>
      <c r="G344" s="21"/>
      <c r="H344" s="26" t="str">
        <f t="shared" si="11"/>
        <v/>
      </c>
      <c r="I344" s="15"/>
    </row>
    <row r="345" spans="1:9" x14ac:dyDescent="0.2">
      <c r="A345" s="23" t="str">
        <f t="shared" si="10"/>
        <v/>
      </c>
      <c r="B345" s="22"/>
      <c r="C345" s="15"/>
      <c r="D345" s="15"/>
      <c r="E345" s="24"/>
      <c r="F345" s="25"/>
      <c r="G345" s="21"/>
      <c r="H345" s="26" t="str">
        <f t="shared" si="11"/>
        <v/>
      </c>
      <c r="I345" s="15"/>
    </row>
    <row r="346" spans="1:9" x14ac:dyDescent="0.2">
      <c r="A346" s="23" t="str">
        <f t="shared" si="10"/>
        <v/>
      </c>
      <c r="B346" s="22"/>
      <c r="C346" s="15"/>
      <c r="D346" s="15"/>
      <c r="E346" s="24"/>
      <c r="F346" s="25"/>
      <c r="G346" s="21"/>
      <c r="H346" s="26" t="str">
        <f t="shared" si="11"/>
        <v/>
      </c>
      <c r="I346" s="15"/>
    </row>
    <row r="347" spans="1:9" x14ac:dyDescent="0.2">
      <c r="A347" s="23" t="str">
        <f t="shared" si="10"/>
        <v/>
      </c>
      <c r="B347" s="22"/>
      <c r="C347" s="15"/>
      <c r="D347" s="15"/>
      <c r="E347" s="24"/>
      <c r="F347" s="25"/>
      <c r="G347" s="21"/>
      <c r="H347" s="26" t="str">
        <f t="shared" si="11"/>
        <v/>
      </c>
      <c r="I347" s="15"/>
    </row>
    <row r="348" spans="1:9" x14ac:dyDescent="0.2">
      <c r="A348" s="23" t="str">
        <f t="shared" si="10"/>
        <v/>
      </c>
      <c r="B348" s="22"/>
      <c r="C348" s="15"/>
      <c r="D348" s="15"/>
      <c r="E348" s="24"/>
      <c r="F348" s="25"/>
      <c r="G348" s="21"/>
      <c r="H348" s="26" t="str">
        <f t="shared" si="11"/>
        <v/>
      </c>
      <c r="I348" s="15"/>
    </row>
    <row r="349" spans="1:9" x14ac:dyDescent="0.2">
      <c r="A349" s="23" t="str">
        <f t="shared" si="10"/>
        <v/>
      </c>
      <c r="B349" s="22"/>
      <c r="C349" s="15"/>
      <c r="D349" s="15"/>
      <c r="E349" s="24"/>
      <c r="F349" s="25"/>
      <c r="G349" s="21"/>
      <c r="H349" s="26" t="str">
        <f t="shared" si="11"/>
        <v/>
      </c>
      <c r="I349" s="15"/>
    </row>
    <row r="350" spans="1:9" x14ac:dyDescent="0.2">
      <c r="A350" s="23" t="str">
        <f t="shared" si="10"/>
        <v/>
      </c>
      <c r="B350" s="22"/>
      <c r="C350" s="15"/>
      <c r="D350" s="15"/>
      <c r="E350" s="24"/>
      <c r="F350" s="25"/>
      <c r="G350" s="21"/>
      <c r="H350" s="26" t="str">
        <f t="shared" si="11"/>
        <v/>
      </c>
      <c r="I350" s="15"/>
    </row>
    <row r="351" spans="1:9" x14ac:dyDescent="0.2">
      <c r="A351" s="23" t="str">
        <f t="shared" si="10"/>
        <v/>
      </c>
      <c r="B351" s="22"/>
      <c r="C351" s="15"/>
      <c r="D351" s="15"/>
      <c r="E351" s="24"/>
      <c r="F351" s="25"/>
      <c r="G351" s="21"/>
      <c r="H351" s="26" t="str">
        <f t="shared" si="11"/>
        <v/>
      </c>
      <c r="I351" s="15"/>
    </row>
    <row r="352" spans="1:9" x14ac:dyDescent="0.2">
      <c r="A352" s="23" t="str">
        <f t="shared" si="10"/>
        <v/>
      </c>
      <c r="B352" s="22"/>
      <c r="C352" s="15"/>
      <c r="D352" s="15"/>
      <c r="E352" s="24"/>
      <c r="F352" s="25"/>
      <c r="G352" s="21"/>
      <c r="H352" s="26" t="str">
        <f t="shared" si="11"/>
        <v/>
      </c>
      <c r="I352" s="15"/>
    </row>
    <row r="353" spans="1:9" x14ac:dyDescent="0.2">
      <c r="A353" s="23" t="str">
        <f t="shared" si="10"/>
        <v/>
      </c>
      <c r="B353" s="22"/>
      <c r="C353" s="15"/>
      <c r="D353" s="15"/>
      <c r="E353" s="24"/>
      <c r="F353" s="25"/>
      <c r="G353" s="21"/>
      <c r="H353" s="26" t="str">
        <f t="shared" si="11"/>
        <v/>
      </c>
      <c r="I353" s="15"/>
    </row>
    <row r="354" spans="1:9" x14ac:dyDescent="0.2">
      <c r="A354" s="23" t="str">
        <f t="shared" si="10"/>
        <v/>
      </c>
      <c r="B354" s="22"/>
      <c r="C354" s="15"/>
      <c r="D354" s="15"/>
      <c r="E354" s="24"/>
      <c r="F354" s="25"/>
      <c r="G354" s="21"/>
      <c r="H354" s="26" t="str">
        <f t="shared" si="11"/>
        <v/>
      </c>
      <c r="I354" s="15"/>
    </row>
    <row r="355" spans="1:9" x14ac:dyDescent="0.2">
      <c r="A355" s="23" t="str">
        <f t="shared" si="10"/>
        <v/>
      </c>
      <c r="B355" s="22"/>
      <c r="C355" s="15"/>
      <c r="D355" s="15"/>
      <c r="E355" s="24"/>
      <c r="F355" s="25"/>
      <c r="G355" s="21"/>
      <c r="H355" s="26" t="str">
        <f t="shared" si="11"/>
        <v/>
      </c>
      <c r="I355" s="15"/>
    </row>
    <row r="356" spans="1:9" x14ac:dyDescent="0.2">
      <c r="A356" s="23" t="str">
        <f t="shared" si="10"/>
        <v/>
      </c>
      <c r="B356" s="22"/>
      <c r="C356" s="15"/>
      <c r="D356" s="15"/>
      <c r="E356" s="24"/>
      <c r="F356" s="25"/>
      <c r="G356" s="21"/>
      <c r="H356" s="26" t="str">
        <f t="shared" si="11"/>
        <v/>
      </c>
      <c r="I356" s="15"/>
    </row>
    <row r="357" spans="1:9" x14ac:dyDescent="0.2">
      <c r="A357" s="23" t="str">
        <f t="shared" si="10"/>
        <v/>
      </c>
      <c r="B357" s="22"/>
      <c r="C357" s="15"/>
      <c r="D357" s="15"/>
      <c r="E357" s="24"/>
      <c r="F357" s="25"/>
      <c r="G357" s="21"/>
      <c r="H357" s="26" t="str">
        <f t="shared" si="11"/>
        <v/>
      </c>
      <c r="I357" s="15"/>
    </row>
    <row r="358" spans="1:9" x14ac:dyDescent="0.2">
      <c r="A358" s="23" t="str">
        <f t="shared" si="10"/>
        <v/>
      </c>
      <c r="B358" s="22"/>
      <c r="C358" s="15"/>
      <c r="D358" s="15"/>
      <c r="E358" s="24"/>
      <c r="F358" s="25"/>
      <c r="G358" s="21"/>
      <c r="H358" s="26" t="str">
        <f t="shared" si="11"/>
        <v/>
      </c>
      <c r="I358" s="15"/>
    </row>
    <row r="359" spans="1:9" x14ac:dyDescent="0.2">
      <c r="A359" s="23" t="str">
        <f t="shared" si="10"/>
        <v/>
      </c>
      <c r="B359" s="22"/>
      <c r="C359" s="15"/>
      <c r="D359" s="15"/>
      <c r="E359" s="24"/>
      <c r="F359" s="25"/>
      <c r="G359" s="21"/>
      <c r="H359" s="26" t="str">
        <f t="shared" si="11"/>
        <v/>
      </c>
      <c r="I359" s="15"/>
    </row>
    <row r="360" spans="1:9" x14ac:dyDescent="0.2">
      <c r="A360" s="23" t="str">
        <f t="shared" si="10"/>
        <v/>
      </c>
      <c r="B360" s="22"/>
      <c r="C360" s="15"/>
      <c r="D360" s="15"/>
      <c r="E360" s="24"/>
      <c r="F360" s="25"/>
      <c r="G360" s="21"/>
      <c r="H360" s="26" t="str">
        <f t="shared" si="11"/>
        <v/>
      </c>
      <c r="I360" s="15"/>
    </row>
    <row r="361" spans="1:9" x14ac:dyDescent="0.2">
      <c r="A361" s="23" t="str">
        <f t="shared" si="10"/>
        <v/>
      </c>
      <c r="B361" s="22"/>
      <c r="C361" s="15"/>
      <c r="D361" s="15"/>
      <c r="E361" s="24"/>
      <c r="F361" s="25"/>
      <c r="G361" s="21"/>
      <c r="H361" s="26" t="str">
        <f t="shared" si="11"/>
        <v/>
      </c>
      <c r="I361" s="15"/>
    </row>
    <row r="362" spans="1:9" x14ac:dyDescent="0.2">
      <c r="A362" s="23" t="str">
        <f t="shared" si="10"/>
        <v/>
      </c>
      <c r="B362" s="22"/>
      <c r="C362" s="15"/>
      <c r="D362" s="15"/>
      <c r="E362" s="24"/>
      <c r="F362" s="25"/>
      <c r="G362" s="21"/>
      <c r="H362" s="26" t="str">
        <f t="shared" si="11"/>
        <v/>
      </c>
      <c r="I362" s="15"/>
    </row>
    <row r="363" spans="1:9" x14ac:dyDescent="0.2">
      <c r="A363" s="23" t="str">
        <f t="shared" si="10"/>
        <v/>
      </c>
      <c r="B363" s="22"/>
      <c r="C363" s="15"/>
      <c r="D363" s="15"/>
      <c r="E363" s="24"/>
      <c r="F363" s="25"/>
      <c r="G363" s="21"/>
      <c r="H363" s="26" t="str">
        <f t="shared" si="11"/>
        <v/>
      </c>
      <c r="I363" s="15"/>
    </row>
    <row r="364" spans="1:9" x14ac:dyDescent="0.2">
      <c r="A364" s="23" t="str">
        <f t="shared" si="10"/>
        <v/>
      </c>
      <c r="B364" s="22"/>
      <c r="C364" s="15"/>
      <c r="D364" s="15"/>
      <c r="E364" s="24"/>
      <c r="F364" s="25"/>
      <c r="G364" s="21"/>
      <c r="H364" s="26" t="str">
        <f t="shared" si="11"/>
        <v/>
      </c>
      <c r="I364" s="15"/>
    </row>
    <row r="365" spans="1:9" x14ac:dyDescent="0.2">
      <c r="A365" s="23" t="str">
        <f t="shared" si="10"/>
        <v/>
      </c>
      <c r="B365" s="22"/>
      <c r="C365" s="15"/>
      <c r="D365" s="15"/>
      <c r="E365" s="24"/>
      <c r="F365" s="25"/>
      <c r="G365" s="21"/>
      <c r="H365" s="26" t="str">
        <f t="shared" si="11"/>
        <v/>
      </c>
      <c r="I365" s="15"/>
    </row>
    <row r="366" spans="1:9" x14ac:dyDescent="0.2">
      <c r="A366" s="23" t="str">
        <f t="shared" si="10"/>
        <v/>
      </c>
      <c r="B366" s="22"/>
      <c r="C366" s="15"/>
      <c r="D366" s="15"/>
      <c r="E366" s="24"/>
      <c r="F366" s="25"/>
      <c r="G366" s="21"/>
      <c r="H366" s="26" t="str">
        <f t="shared" si="11"/>
        <v/>
      </c>
      <c r="I366" s="15"/>
    </row>
    <row r="367" spans="1:9" x14ac:dyDescent="0.2">
      <c r="A367" s="23" t="str">
        <f t="shared" si="10"/>
        <v/>
      </c>
      <c r="B367" s="22"/>
      <c r="C367" s="15"/>
      <c r="D367" s="15"/>
      <c r="E367" s="24"/>
      <c r="F367" s="25"/>
      <c r="G367" s="21"/>
      <c r="H367" s="26" t="str">
        <f t="shared" si="11"/>
        <v/>
      </c>
      <c r="I367" s="15"/>
    </row>
    <row r="368" spans="1:9" x14ac:dyDescent="0.2">
      <c r="A368" s="23" t="str">
        <f t="shared" si="10"/>
        <v/>
      </c>
      <c r="B368" s="22"/>
      <c r="C368" s="15"/>
      <c r="D368" s="15"/>
      <c r="E368" s="24"/>
      <c r="F368" s="25"/>
      <c r="G368" s="21"/>
      <c r="H368" s="26" t="str">
        <f t="shared" si="11"/>
        <v/>
      </c>
      <c r="I368" s="15"/>
    </row>
    <row r="369" spans="1:9" x14ac:dyDescent="0.2">
      <c r="A369" s="23" t="str">
        <f t="shared" si="10"/>
        <v/>
      </c>
      <c r="B369" s="22"/>
      <c r="C369" s="15"/>
      <c r="D369" s="15"/>
      <c r="E369" s="24"/>
      <c r="F369" s="25"/>
      <c r="G369" s="21"/>
      <c r="H369" s="26" t="str">
        <f t="shared" si="11"/>
        <v/>
      </c>
      <c r="I369" s="15"/>
    </row>
    <row r="370" spans="1:9" x14ac:dyDescent="0.2">
      <c r="A370" s="23" t="str">
        <f t="shared" si="10"/>
        <v/>
      </c>
      <c r="B370" s="22"/>
      <c r="C370" s="15"/>
      <c r="D370" s="15"/>
      <c r="E370" s="24"/>
      <c r="F370" s="25"/>
      <c r="G370" s="21"/>
      <c r="H370" s="26" t="str">
        <f t="shared" si="11"/>
        <v/>
      </c>
      <c r="I370" s="15"/>
    </row>
    <row r="371" spans="1:9" x14ac:dyDescent="0.2">
      <c r="A371" s="23" t="str">
        <f t="shared" si="10"/>
        <v/>
      </c>
      <c r="B371" s="22"/>
      <c r="C371" s="15"/>
      <c r="D371" s="15"/>
      <c r="E371" s="24"/>
      <c r="F371" s="25"/>
      <c r="G371" s="21"/>
      <c r="H371" s="26" t="str">
        <f t="shared" si="11"/>
        <v/>
      </c>
      <c r="I371" s="15"/>
    </row>
    <row r="372" spans="1:9" x14ac:dyDescent="0.2">
      <c r="A372" s="23" t="str">
        <f t="shared" si="10"/>
        <v/>
      </c>
      <c r="B372" s="22"/>
      <c r="C372" s="15"/>
      <c r="D372" s="15"/>
      <c r="E372" s="24"/>
      <c r="F372" s="25"/>
      <c r="G372" s="21"/>
      <c r="H372" s="26" t="str">
        <f t="shared" si="11"/>
        <v/>
      </c>
      <c r="I372" s="15"/>
    </row>
    <row r="373" spans="1:9" x14ac:dyDescent="0.2">
      <c r="A373" s="23" t="str">
        <f t="shared" si="10"/>
        <v/>
      </c>
      <c r="B373" s="22"/>
      <c r="C373" s="15"/>
      <c r="D373" s="15"/>
      <c r="E373" s="24"/>
      <c r="F373" s="25"/>
      <c r="G373" s="21"/>
      <c r="H373" s="26" t="str">
        <f t="shared" si="11"/>
        <v/>
      </c>
      <c r="I373" s="15"/>
    </row>
    <row r="374" spans="1:9" x14ac:dyDescent="0.2">
      <c r="A374" s="23" t="str">
        <f t="shared" si="10"/>
        <v/>
      </c>
      <c r="B374" s="22"/>
      <c r="C374" s="15"/>
      <c r="D374" s="15"/>
      <c r="E374" s="24"/>
      <c r="F374" s="25"/>
      <c r="G374" s="21"/>
      <c r="H374" s="26" t="str">
        <f t="shared" si="11"/>
        <v/>
      </c>
      <c r="I374" s="15"/>
    </row>
    <row r="375" spans="1:9" x14ac:dyDescent="0.2">
      <c r="A375" s="23" t="str">
        <f t="shared" si="10"/>
        <v/>
      </c>
      <c r="B375" s="22"/>
      <c r="C375" s="15"/>
      <c r="D375" s="15"/>
      <c r="E375" s="24"/>
      <c r="F375" s="25"/>
      <c r="G375" s="21"/>
      <c r="H375" s="26" t="str">
        <f t="shared" si="11"/>
        <v/>
      </c>
      <c r="I375" s="15"/>
    </row>
    <row r="376" spans="1:9" x14ac:dyDescent="0.2">
      <c r="A376" s="23" t="str">
        <f t="shared" si="10"/>
        <v/>
      </c>
      <c r="B376" s="22"/>
      <c r="C376" s="15"/>
      <c r="D376" s="15"/>
      <c r="E376" s="24"/>
      <c r="F376" s="25"/>
      <c r="G376" s="21"/>
      <c r="H376" s="26" t="str">
        <f t="shared" si="11"/>
        <v/>
      </c>
      <c r="I376" s="15"/>
    </row>
    <row r="377" spans="1:9" x14ac:dyDescent="0.2">
      <c r="A377" s="23" t="str">
        <f t="shared" si="10"/>
        <v/>
      </c>
      <c r="B377" s="22"/>
      <c r="C377" s="15"/>
      <c r="D377" s="15"/>
      <c r="E377" s="24"/>
      <c r="F377" s="25"/>
      <c r="G377" s="21"/>
      <c r="H377" s="26" t="str">
        <f t="shared" si="11"/>
        <v/>
      </c>
      <c r="I377" s="15"/>
    </row>
    <row r="378" spans="1:9" x14ac:dyDescent="0.2">
      <c r="A378" s="23" t="str">
        <f t="shared" si="10"/>
        <v/>
      </c>
      <c r="B378" s="22"/>
      <c r="C378" s="15"/>
      <c r="D378" s="15"/>
      <c r="E378" s="24"/>
      <c r="F378" s="25"/>
      <c r="G378" s="21"/>
      <c r="H378" s="26" t="str">
        <f t="shared" si="11"/>
        <v/>
      </c>
      <c r="I378" s="15"/>
    </row>
    <row r="379" spans="1:9" x14ac:dyDescent="0.2">
      <c r="A379" s="23" t="str">
        <f t="shared" si="10"/>
        <v/>
      </c>
      <c r="B379" s="22"/>
      <c r="C379" s="15"/>
      <c r="D379" s="15"/>
      <c r="E379" s="24"/>
      <c r="F379" s="25"/>
      <c r="G379" s="21"/>
      <c r="H379" s="26" t="str">
        <f t="shared" si="11"/>
        <v/>
      </c>
      <c r="I379" s="15"/>
    </row>
    <row r="380" spans="1:9" x14ac:dyDescent="0.2">
      <c r="A380" s="23" t="str">
        <f t="shared" si="10"/>
        <v/>
      </c>
      <c r="B380" s="22"/>
      <c r="C380" s="15"/>
      <c r="D380" s="15"/>
      <c r="E380" s="24"/>
      <c r="F380" s="25"/>
      <c r="G380" s="21"/>
      <c r="H380" s="26" t="str">
        <f t="shared" si="11"/>
        <v/>
      </c>
      <c r="I380" s="15"/>
    </row>
    <row r="381" spans="1:9" x14ac:dyDescent="0.2">
      <c r="A381" s="23" t="str">
        <f t="shared" si="10"/>
        <v/>
      </c>
      <c r="B381" s="22"/>
      <c r="C381" s="15"/>
      <c r="D381" s="15"/>
      <c r="E381" s="24"/>
      <c r="F381" s="25"/>
      <c r="G381" s="21"/>
      <c r="H381" s="26" t="str">
        <f t="shared" si="11"/>
        <v/>
      </c>
      <c r="I381" s="15"/>
    </row>
    <row r="382" spans="1:9" x14ac:dyDescent="0.2">
      <c r="A382" s="23" t="str">
        <f t="shared" si="10"/>
        <v/>
      </c>
      <c r="B382" s="22"/>
      <c r="C382" s="15"/>
      <c r="D382" s="15"/>
      <c r="E382" s="24"/>
      <c r="F382" s="25"/>
      <c r="G382" s="21"/>
      <c r="H382" s="26" t="str">
        <f t="shared" si="11"/>
        <v/>
      </c>
      <c r="I382" s="15"/>
    </row>
    <row r="383" spans="1:9" x14ac:dyDescent="0.2">
      <c r="A383" s="23" t="str">
        <f t="shared" si="10"/>
        <v/>
      </c>
      <c r="B383" s="22"/>
      <c r="C383" s="15"/>
      <c r="D383" s="15"/>
      <c r="E383" s="24"/>
      <c r="F383" s="25"/>
      <c r="G383" s="21"/>
      <c r="H383" s="26" t="str">
        <f t="shared" si="11"/>
        <v/>
      </c>
      <c r="I383" s="15"/>
    </row>
    <row r="384" spans="1:9" x14ac:dyDescent="0.2">
      <c r="A384" s="23" t="str">
        <f t="shared" si="10"/>
        <v/>
      </c>
      <c r="B384" s="22"/>
      <c r="C384" s="15"/>
      <c r="D384" s="15"/>
      <c r="E384" s="24"/>
      <c r="F384" s="25"/>
      <c r="G384" s="21"/>
      <c r="H384" s="26" t="str">
        <f t="shared" si="11"/>
        <v/>
      </c>
      <c r="I384" s="15"/>
    </row>
    <row r="385" spans="1:9" x14ac:dyDescent="0.2">
      <c r="A385" s="23" t="str">
        <f t="shared" si="10"/>
        <v/>
      </c>
      <c r="B385" s="22"/>
      <c r="C385" s="15"/>
      <c r="D385" s="15"/>
      <c r="E385" s="24"/>
      <c r="F385" s="25"/>
      <c r="G385" s="21"/>
      <c r="H385" s="26" t="str">
        <f t="shared" si="11"/>
        <v/>
      </c>
      <c r="I385" s="15"/>
    </row>
    <row r="386" spans="1:9" x14ac:dyDescent="0.2">
      <c r="A386" s="23" t="str">
        <f t="shared" si="10"/>
        <v/>
      </c>
      <c r="B386" s="22"/>
      <c r="C386" s="15"/>
      <c r="D386" s="15"/>
      <c r="E386" s="24"/>
      <c r="F386" s="25"/>
      <c r="G386" s="21"/>
      <c r="H386" s="26" t="str">
        <f t="shared" si="11"/>
        <v/>
      </c>
      <c r="I386" s="15"/>
    </row>
    <row r="387" spans="1:9" x14ac:dyDescent="0.2">
      <c r="A387" s="23" t="str">
        <f t="shared" si="10"/>
        <v/>
      </c>
      <c r="B387" s="22"/>
      <c r="C387" s="15"/>
      <c r="D387" s="15"/>
      <c r="E387" s="24"/>
      <c r="F387" s="25"/>
      <c r="G387" s="21"/>
      <c r="H387" s="26" t="str">
        <f t="shared" si="11"/>
        <v/>
      </c>
      <c r="I387" s="15"/>
    </row>
    <row r="388" spans="1:9" x14ac:dyDescent="0.2">
      <c r="A388" s="23" t="str">
        <f t="shared" si="10"/>
        <v/>
      </c>
      <c r="B388" s="22"/>
      <c r="C388" s="15"/>
      <c r="D388" s="15"/>
      <c r="E388" s="24"/>
      <c r="F388" s="25"/>
      <c r="G388" s="21"/>
      <c r="H388" s="26" t="str">
        <f t="shared" si="11"/>
        <v/>
      </c>
      <c r="I388" s="15"/>
    </row>
    <row r="389" spans="1:9" x14ac:dyDescent="0.2">
      <c r="A389" s="23" t="str">
        <f t="shared" ref="A389:A452" si="12">IF(B389="","",ROW()-4)</f>
        <v/>
      </c>
      <c r="B389" s="22"/>
      <c r="C389" s="15"/>
      <c r="D389" s="15"/>
      <c r="E389" s="24"/>
      <c r="F389" s="25"/>
      <c r="G389" s="21"/>
      <c r="H389" s="26" t="str">
        <f t="shared" ref="H389:H452" si="13">IF(OR(F389="",G389=""),"",F389*G389)</f>
        <v/>
      </c>
      <c r="I389" s="15"/>
    </row>
    <row r="390" spans="1:9" x14ac:dyDescent="0.2">
      <c r="A390" s="23" t="str">
        <f t="shared" si="12"/>
        <v/>
      </c>
      <c r="B390" s="22"/>
      <c r="C390" s="15"/>
      <c r="D390" s="15"/>
      <c r="E390" s="24"/>
      <c r="F390" s="25"/>
      <c r="G390" s="21"/>
      <c r="H390" s="26" t="str">
        <f t="shared" si="13"/>
        <v/>
      </c>
      <c r="I390" s="15"/>
    </row>
    <row r="391" spans="1:9" x14ac:dyDescent="0.2">
      <c r="A391" s="23" t="str">
        <f t="shared" si="12"/>
        <v/>
      </c>
      <c r="B391" s="22"/>
      <c r="C391" s="15"/>
      <c r="D391" s="15"/>
      <c r="E391" s="24"/>
      <c r="F391" s="25"/>
      <c r="G391" s="21"/>
      <c r="H391" s="26" t="str">
        <f t="shared" si="13"/>
        <v/>
      </c>
      <c r="I391" s="15"/>
    </row>
    <row r="392" spans="1:9" x14ac:dyDescent="0.2">
      <c r="A392" s="23" t="str">
        <f t="shared" si="12"/>
        <v/>
      </c>
      <c r="B392" s="22"/>
      <c r="C392" s="15"/>
      <c r="D392" s="15"/>
      <c r="E392" s="24"/>
      <c r="F392" s="25"/>
      <c r="G392" s="21"/>
      <c r="H392" s="26" t="str">
        <f t="shared" si="13"/>
        <v/>
      </c>
      <c r="I392" s="15"/>
    </row>
    <row r="393" spans="1:9" x14ac:dyDescent="0.2">
      <c r="A393" s="23" t="str">
        <f t="shared" si="12"/>
        <v/>
      </c>
      <c r="B393" s="22"/>
      <c r="C393" s="15"/>
      <c r="D393" s="15"/>
      <c r="E393" s="24"/>
      <c r="F393" s="25"/>
      <c r="G393" s="21"/>
      <c r="H393" s="26" t="str">
        <f t="shared" si="13"/>
        <v/>
      </c>
      <c r="I393" s="15"/>
    </row>
    <row r="394" spans="1:9" x14ac:dyDescent="0.2">
      <c r="A394" s="23" t="str">
        <f t="shared" si="12"/>
        <v/>
      </c>
      <c r="B394" s="22"/>
      <c r="C394" s="15"/>
      <c r="D394" s="15"/>
      <c r="E394" s="24"/>
      <c r="F394" s="25"/>
      <c r="G394" s="21"/>
      <c r="H394" s="26" t="str">
        <f t="shared" si="13"/>
        <v/>
      </c>
      <c r="I394" s="15"/>
    </row>
    <row r="395" spans="1:9" x14ac:dyDescent="0.2">
      <c r="A395" s="23" t="str">
        <f t="shared" si="12"/>
        <v/>
      </c>
      <c r="B395" s="22"/>
      <c r="C395" s="15"/>
      <c r="D395" s="15"/>
      <c r="E395" s="24"/>
      <c r="F395" s="25"/>
      <c r="G395" s="21"/>
      <c r="H395" s="26" t="str">
        <f t="shared" si="13"/>
        <v/>
      </c>
      <c r="I395" s="15"/>
    </row>
    <row r="396" spans="1:9" x14ac:dyDescent="0.2">
      <c r="A396" s="23" t="str">
        <f t="shared" si="12"/>
        <v/>
      </c>
      <c r="B396" s="22"/>
      <c r="C396" s="15"/>
      <c r="D396" s="15"/>
      <c r="E396" s="24"/>
      <c r="F396" s="25"/>
      <c r="G396" s="21"/>
      <c r="H396" s="26" t="str">
        <f t="shared" si="13"/>
        <v/>
      </c>
      <c r="I396" s="15"/>
    </row>
    <row r="397" spans="1:9" x14ac:dyDescent="0.2">
      <c r="A397" s="23" t="str">
        <f t="shared" si="12"/>
        <v/>
      </c>
      <c r="B397" s="22"/>
      <c r="C397" s="15"/>
      <c r="D397" s="15"/>
      <c r="E397" s="24"/>
      <c r="F397" s="25"/>
      <c r="G397" s="21"/>
      <c r="H397" s="26" t="str">
        <f t="shared" si="13"/>
        <v/>
      </c>
      <c r="I397" s="15"/>
    </row>
    <row r="398" spans="1:9" x14ac:dyDescent="0.2">
      <c r="A398" s="23" t="str">
        <f t="shared" si="12"/>
        <v/>
      </c>
      <c r="B398" s="22"/>
      <c r="C398" s="15"/>
      <c r="D398" s="15"/>
      <c r="E398" s="24"/>
      <c r="F398" s="25"/>
      <c r="G398" s="21"/>
      <c r="H398" s="26" t="str">
        <f t="shared" si="13"/>
        <v/>
      </c>
      <c r="I398" s="15"/>
    </row>
    <row r="399" spans="1:9" x14ac:dyDescent="0.2">
      <c r="A399" s="23" t="str">
        <f t="shared" si="12"/>
        <v/>
      </c>
      <c r="B399" s="22"/>
      <c r="C399" s="15"/>
      <c r="D399" s="15"/>
      <c r="E399" s="24"/>
      <c r="F399" s="25"/>
      <c r="G399" s="21"/>
      <c r="H399" s="26" t="str">
        <f t="shared" si="13"/>
        <v/>
      </c>
      <c r="I399" s="15"/>
    </row>
    <row r="400" spans="1:9" x14ac:dyDescent="0.2">
      <c r="A400" s="23" t="str">
        <f t="shared" si="12"/>
        <v/>
      </c>
      <c r="B400" s="22"/>
      <c r="C400" s="15"/>
      <c r="D400" s="15"/>
      <c r="E400" s="24"/>
      <c r="F400" s="25"/>
      <c r="G400" s="21"/>
      <c r="H400" s="26" t="str">
        <f t="shared" si="13"/>
        <v/>
      </c>
      <c r="I400" s="15"/>
    </row>
    <row r="401" spans="1:9" x14ac:dyDescent="0.2">
      <c r="A401" s="23" t="str">
        <f t="shared" si="12"/>
        <v/>
      </c>
      <c r="B401" s="22"/>
      <c r="C401" s="15"/>
      <c r="D401" s="15"/>
      <c r="E401" s="24"/>
      <c r="F401" s="25"/>
      <c r="G401" s="21"/>
      <c r="H401" s="26" t="str">
        <f t="shared" si="13"/>
        <v/>
      </c>
      <c r="I401" s="15"/>
    </row>
    <row r="402" spans="1:9" x14ac:dyDescent="0.2">
      <c r="A402" s="23" t="str">
        <f t="shared" si="12"/>
        <v/>
      </c>
      <c r="B402" s="22"/>
      <c r="C402" s="15"/>
      <c r="D402" s="15"/>
      <c r="E402" s="24"/>
      <c r="F402" s="25"/>
      <c r="G402" s="21"/>
      <c r="H402" s="26" t="str">
        <f t="shared" si="13"/>
        <v/>
      </c>
      <c r="I402" s="15"/>
    </row>
    <row r="403" spans="1:9" x14ac:dyDescent="0.2">
      <c r="A403" s="23" t="str">
        <f t="shared" si="12"/>
        <v/>
      </c>
      <c r="B403" s="22"/>
      <c r="C403" s="15"/>
      <c r="D403" s="15"/>
      <c r="E403" s="24"/>
      <c r="F403" s="25"/>
      <c r="G403" s="21"/>
      <c r="H403" s="26" t="str">
        <f t="shared" si="13"/>
        <v/>
      </c>
      <c r="I403" s="15"/>
    </row>
    <row r="404" spans="1:9" x14ac:dyDescent="0.2">
      <c r="A404" s="23" t="str">
        <f t="shared" si="12"/>
        <v/>
      </c>
      <c r="B404" s="22"/>
      <c r="C404" s="15"/>
      <c r="D404" s="15"/>
      <c r="E404" s="24"/>
      <c r="F404" s="25"/>
      <c r="G404" s="21"/>
      <c r="H404" s="26" t="str">
        <f t="shared" si="13"/>
        <v/>
      </c>
      <c r="I404" s="15"/>
    </row>
    <row r="405" spans="1:9" x14ac:dyDescent="0.2">
      <c r="A405" s="23" t="str">
        <f t="shared" si="12"/>
        <v/>
      </c>
      <c r="B405" s="22"/>
      <c r="C405" s="15"/>
      <c r="D405" s="15"/>
      <c r="E405" s="24"/>
      <c r="F405" s="25"/>
      <c r="G405" s="21"/>
      <c r="H405" s="26" t="str">
        <f t="shared" si="13"/>
        <v/>
      </c>
      <c r="I405" s="15"/>
    </row>
    <row r="406" spans="1:9" x14ac:dyDescent="0.2">
      <c r="A406" s="23" t="str">
        <f t="shared" si="12"/>
        <v/>
      </c>
      <c r="B406" s="22"/>
      <c r="C406" s="15"/>
      <c r="D406" s="15"/>
      <c r="E406" s="24"/>
      <c r="F406" s="25"/>
      <c r="G406" s="21"/>
      <c r="H406" s="26" t="str">
        <f t="shared" si="13"/>
        <v/>
      </c>
      <c r="I406" s="15"/>
    </row>
    <row r="407" spans="1:9" x14ac:dyDescent="0.2">
      <c r="A407" s="23" t="str">
        <f t="shared" si="12"/>
        <v/>
      </c>
      <c r="B407" s="22"/>
      <c r="C407" s="15"/>
      <c r="D407" s="15"/>
      <c r="E407" s="24"/>
      <c r="F407" s="25"/>
      <c r="G407" s="21"/>
      <c r="H407" s="26" t="str">
        <f t="shared" si="13"/>
        <v/>
      </c>
      <c r="I407" s="15"/>
    </row>
    <row r="408" spans="1:9" x14ac:dyDescent="0.2">
      <c r="A408" s="23" t="str">
        <f t="shared" si="12"/>
        <v/>
      </c>
      <c r="B408" s="22"/>
      <c r="C408" s="15"/>
      <c r="D408" s="15"/>
      <c r="E408" s="24"/>
      <c r="F408" s="25"/>
      <c r="G408" s="21"/>
      <c r="H408" s="26" t="str">
        <f t="shared" si="13"/>
        <v/>
      </c>
      <c r="I408" s="15"/>
    </row>
    <row r="409" spans="1:9" x14ac:dyDescent="0.2">
      <c r="A409" s="23" t="str">
        <f t="shared" si="12"/>
        <v/>
      </c>
      <c r="B409" s="22"/>
      <c r="C409" s="15"/>
      <c r="D409" s="15"/>
      <c r="E409" s="24"/>
      <c r="F409" s="25"/>
      <c r="G409" s="21"/>
      <c r="H409" s="26" t="str">
        <f t="shared" si="13"/>
        <v/>
      </c>
      <c r="I409" s="15"/>
    </row>
    <row r="410" spans="1:9" x14ac:dyDescent="0.2">
      <c r="A410" s="23" t="str">
        <f t="shared" si="12"/>
        <v/>
      </c>
      <c r="B410" s="22"/>
      <c r="C410" s="15"/>
      <c r="D410" s="15"/>
      <c r="E410" s="24"/>
      <c r="F410" s="25"/>
      <c r="G410" s="21"/>
      <c r="H410" s="26" t="str">
        <f t="shared" si="13"/>
        <v/>
      </c>
      <c r="I410" s="15"/>
    </row>
    <row r="411" spans="1:9" x14ac:dyDescent="0.2">
      <c r="A411" s="23" t="str">
        <f t="shared" si="12"/>
        <v/>
      </c>
      <c r="B411" s="22"/>
      <c r="C411" s="15"/>
      <c r="D411" s="15"/>
      <c r="E411" s="24"/>
      <c r="F411" s="25"/>
      <c r="G411" s="21"/>
      <c r="H411" s="26" t="str">
        <f t="shared" si="13"/>
        <v/>
      </c>
      <c r="I411" s="15"/>
    </row>
    <row r="412" spans="1:9" x14ac:dyDescent="0.2">
      <c r="A412" s="23" t="str">
        <f t="shared" si="12"/>
        <v/>
      </c>
      <c r="B412" s="22"/>
      <c r="C412" s="15"/>
      <c r="D412" s="15"/>
      <c r="E412" s="24"/>
      <c r="F412" s="25"/>
      <c r="G412" s="21"/>
      <c r="H412" s="26" t="str">
        <f t="shared" si="13"/>
        <v/>
      </c>
      <c r="I412" s="15"/>
    </row>
    <row r="413" spans="1:9" x14ac:dyDescent="0.2">
      <c r="A413" s="23" t="str">
        <f t="shared" si="12"/>
        <v/>
      </c>
      <c r="B413" s="22"/>
      <c r="C413" s="15"/>
      <c r="D413" s="15"/>
      <c r="E413" s="24"/>
      <c r="F413" s="25"/>
      <c r="G413" s="21"/>
      <c r="H413" s="26" t="str">
        <f t="shared" si="13"/>
        <v/>
      </c>
      <c r="I413" s="15"/>
    </row>
    <row r="414" spans="1:9" x14ac:dyDescent="0.2">
      <c r="A414" s="23" t="str">
        <f t="shared" si="12"/>
        <v/>
      </c>
      <c r="B414" s="22"/>
      <c r="C414" s="15"/>
      <c r="D414" s="15"/>
      <c r="E414" s="24"/>
      <c r="F414" s="25"/>
      <c r="G414" s="21"/>
      <c r="H414" s="26" t="str">
        <f t="shared" si="13"/>
        <v/>
      </c>
      <c r="I414" s="15"/>
    </row>
    <row r="415" spans="1:9" x14ac:dyDescent="0.2">
      <c r="A415" s="23" t="str">
        <f t="shared" si="12"/>
        <v/>
      </c>
      <c r="B415" s="22"/>
      <c r="C415" s="15"/>
      <c r="D415" s="15"/>
      <c r="E415" s="24"/>
      <c r="F415" s="25"/>
      <c r="G415" s="21"/>
      <c r="H415" s="26" t="str">
        <f t="shared" si="13"/>
        <v/>
      </c>
      <c r="I415" s="15"/>
    </row>
    <row r="416" spans="1:9" x14ac:dyDescent="0.2">
      <c r="A416" s="23" t="str">
        <f t="shared" si="12"/>
        <v/>
      </c>
      <c r="B416" s="22"/>
      <c r="C416" s="15"/>
      <c r="D416" s="15"/>
      <c r="E416" s="24"/>
      <c r="F416" s="25"/>
      <c r="G416" s="21"/>
      <c r="H416" s="26" t="str">
        <f t="shared" si="13"/>
        <v/>
      </c>
      <c r="I416" s="15"/>
    </row>
    <row r="417" spans="1:9" x14ac:dyDescent="0.2">
      <c r="A417" s="23" t="str">
        <f t="shared" si="12"/>
        <v/>
      </c>
      <c r="B417" s="22"/>
      <c r="C417" s="15"/>
      <c r="D417" s="15"/>
      <c r="E417" s="24"/>
      <c r="F417" s="25"/>
      <c r="G417" s="21"/>
      <c r="H417" s="26" t="str">
        <f t="shared" si="13"/>
        <v/>
      </c>
      <c r="I417" s="15"/>
    </row>
    <row r="418" spans="1:9" x14ac:dyDescent="0.2">
      <c r="A418" s="23" t="str">
        <f t="shared" si="12"/>
        <v/>
      </c>
      <c r="B418" s="22"/>
      <c r="C418" s="15"/>
      <c r="D418" s="15"/>
      <c r="E418" s="24"/>
      <c r="F418" s="25"/>
      <c r="G418" s="21"/>
      <c r="H418" s="26" t="str">
        <f t="shared" si="13"/>
        <v/>
      </c>
      <c r="I418" s="15"/>
    </row>
    <row r="419" spans="1:9" x14ac:dyDescent="0.2">
      <c r="A419" s="23" t="str">
        <f t="shared" si="12"/>
        <v/>
      </c>
      <c r="B419" s="22"/>
      <c r="C419" s="15"/>
      <c r="D419" s="15"/>
      <c r="E419" s="24"/>
      <c r="F419" s="25"/>
      <c r="G419" s="21"/>
      <c r="H419" s="26" t="str">
        <f t="shared" si="13"/>
        <v/>
      </c>
      <c r="I419" s="15"/>
    </row>
    <row r="420" spans="1:9" x14ac:dyDescent="0.2">
      <c r="A420" s="23" t="str">
        <f t="shared" si="12"/>
        <v/>
      </c>
      <c r="B420" s="22"/>
      <c r="C420" s="15"/>
      <c r="D420" s="15"/>
      <c r="E420" s="24"/>
      <c r="F420" s="25"/>
      <c r="G420" s="21"/>
      <c r="H420" s="26" t="str">
        <f t="shared" si="13"/>
        <v/>
      </c>
      <c r="I420" s="15"/>
    </row>
    <row r="421" spans="1:9" x14ac:dyDescent="0.2">
      <c r="A421" s="23" t="str">
        <f t="shared" si="12"/>
        <v/>
      </c>
      <c r="B421" s="22"/>
      <c r="C421" s="15"/>
      <c r="D421" s="15"/>
      <c r="E421" s="24"/>
      <c r="F421" s="25"/>
      <c r="G421" s="21"/>
      <c r="H421" s="26" t="str">
        <f t="shared" si="13"/>
        <v/>
      </c>
      <c r="I421" s="15"/>
    </row>
    <row r="422" spans="1:9" x14ac:dyDescent="0.2">
      <c r="A422" s="23" t="str">
        <f t="shared" si="12"/>
        <v/>
      </c>
      <c r="B422" s="22"/>
      <c r="C422" s="15"/>
      <c r="D422" s="15"/>
      <c r="E422" s="24"/>
      <c r="F422" s="25"/>
      <c r="G422" s="21"/>
      <c r="H422" s="26" t="str">
        <f t="shared" si="13"/>
        <v/>
      </c>
      <c r="I422" s="15"/>
    </row>
    <row r="423" spans="1:9" x14ac:dyDescent="0.2">
      <c r="A423" s="23" t="str">
        <f t="shared" si="12"/>
        <v/>
      </c>
      <c r="B423" s="22"/>
      <c r="C423" s="15"/>
      <c r="D423" s="15"/>
      <c r="E423" s="24"/>
      <c r="F423" s="25"/>
      <c r="G423" s="21"/>
      <c r="H423" s="26" t="str">
        <f t="shared" si="13"/>
        <v/>
      </c>
      <c r="I423" s="15"/>
    </row>
    <row r="424" spans="1:9" x14ac:dyDescent="0.2">
      <c r="A424" s="23" t="str">
        <f t="shared" si="12"/>
        <v/>
      </c>
      <c r="B424" s="22"/>
      <c r="C424" s="15"/>
      <c r="D424" s="15"/>
      <c r="E424" s="24"/>
      <c r="F424" s="25"/>
      <c r="G424" s="21"/>
      <c r="H424" s="26" t="str">
        <f t="shared" si="13"/>
        <v/>
      </c>
      <c r="I424" s="15"/>
    </row>
    <row r="425" spans="1:9" x14ac:dyDescent="0.2">
      <c r="A425" s="23" t="str">
        <f t="shared" si="12"/>
        <v/>
      </c>
      <c r="B425" s="22"/>
      <c r="C425" s="15"/>
      <c r="D425" s="15"/>
      <c r="E425" s="24"/>
      <c r="F425" s="25"/>
      <c r="G425" s="21"/>
      <c r="H425" s="26" t="str">
        <f t="shared" si="13"/>
        <v/>
      </c>
      <c r="I425" s="15"/>
    </row>
    <row r="426" spans="1:9" x14ac:dyDescent="0.2">
      <c r="A426" s="23" t="str">
        <f t="shared" si="12"/>
        <v/>
      </c>
      <c r="B426" s="22"/>
      <c r="C426" s="15"/>
      <c r="D426" s="15"/>
      <c r="E426" s="24"/>
      <c r="F426" s="25"/>
      <c r="G426" s="21"/>
      <c r="H426" s="26" t="str">
        <f t="shared" si="13"/>
        <v/>
      </c>
      <c r="I426" s="15"/>
    </row>
    <row r="427" spans="1:9" x14ac:dyDescent="0.2">
      <c r="A427" s="23" t="str">
        <f t="shared" si="12"/>
        <v/>
      </c>
      <c r="B427" s="22"/>
      <c r="C427" s="15"/>
      <c r="D427" s="15"/>
      <c r="E427" s="24"/>
      <c r="F427" s="25"/>
      <c r="G427" s="21"/>
      <c r="H427" s="26" t="str">
        <f t="shared" si="13"/>
        <v/>
      </c>
      <c r="I427" s="15"/>
    </row>
    <row r="428" spans="1:9" x14ac:dyDescent="0.2">
      <c r="A428" s="23" t="str">
        <f t="shared" si="12"/>
        <v/>
      </c>
      <c r="B428" s="22"/>
      <c r="C428" s="15"/>
      <c r="D428" s="15"/>
      <c r="E428" s="24"/>
      <c r="F428" s="25"/>
      <c r="G428" s="21"/>
      <c r="H428" s="26" t="str">
        <f t="shared" si="13"/>
        <v/>
      </c>
      <c r="I428" s="15"/>
    </row>
    <row r="429" spans="1:9" x14ac:dyDescent="0.2">
      <c r="A429" s="23" t="str">
        <f t="shared" si="12"/>
        <v/>
      </c>
      <c r="B429" s="22"/>
      <c r="C429" s="15"/>
      <c r="D429" s="15"/>
      <c r="E429" s="24"/>
      <c r="F429" s="25"/>
      <c r="G429" s="21"/>
      <c r="H429" s="26" t="str">
        <f t="shared" si="13"/>
        <v/>
      </c>
      <c r="I429" s="15"/>
    </row>
    <row r="430" spans="1:9" x14ac:dyDescent="0.2">
      <c r="A430" s="23" t="str">
        <f t="shared" si="12"/>
        <v/>
      </c>
      <c r="B430" s="22"/>
      <c r="C430" s="15"/>
      <c r="D430" s="15"/>
      <c r="E430" s="24"/>
      <c r="F430" s="25"/>
      <c r="G430" s="21"/>
      <c r="H430" s="26" t="str">
        <f t="shared" si="13"/>
        <v/>
      </c>
      <c r="I430" s="15"/>
    </row>
    <row r="431" spans="1:9" x14ac:dyDescent="0.2">
      <c r="A431" s="23" t="str">
        <f t="shared" si="12"/>
        <v/>
      </c>
      <c r="B431" s="22"/>
      <c r="C431" s="15"/>
      <c r="D431" s="15"/>
      <c r="E431" s="24"/>
      <c r="F431" s="25"/>
      <c r="G431" s="21"/>
      <c r="H431" s="26" t="str">
        <f t="shared" si="13"/>
        <v/>
      </c>
      <c r="I431" s="15"/>
    </row>
    <row r="432" spans="1:9" x14ac:dyDescent="0.2">
      <c r="A432" s="23" t="str">
        <f t="shared" si="12"/>
        <v/>
      </c>
      <c r="B432" s="22"/>
      <c r="C432" s="15"/>
      <c r="D432" s="15"/>
      <c r="E432" s="24"/>
      <c r="F432" s="25"/>
      <c r="G432" s="21"/>
      <c r="H432" s="26" t="str">
        <f t="shared" si="13"/>
        <v/>
      </c>
      <c r="I432" s="15"/>
    </row>
    <row r="433" spans="1:9" x14ac:dyDescent="0.2">
      <c r="A433" s="23" t="str">
        <f t="shared" si="12"/>
        <v/>
      </c>
      <c r="B433" s="22"/>
      <c r="C433" s="15"/>
      <c r="D433" s="15"/>
      <c r="E433" s="24"/>
      <c r="F433" s="25"/>
      <c r="G433" s="21"/>
      <c r="H433" s="26" t="str">
        <f t="shared" si="13"/>
        <v/>
      </c>
      <c r="I433" s="15"/>
    </row>
    <row r="434" spans="1:9" x14ac:dyDescent="0.2">
      <c r="A434" s="23" t="str">
        <f t="shared" si="12"/>
        <v/>
      </c>
      <c r="B434" s="22"/>
      <c r="C434" s="15"/>
      <c r="D434" s="15"/>
      <c r="E434" s="24"/>
      <c r="F434" s="25"/>
      <c r="G434" s="21"/>
      <c r="H434" s="26" t="str">
        <f t="shared" si="13"/>
        <v/>
      </c>
      <c r="I434" s="15"/>
    </row>
    <row r="435" spans="1:9" x14ac:dyDescent="0.2">
      <c r="A435" s="23" t="str">
        <f t="shared" si="12"/>
        <v/>
      </c>
      <c r="B435" s="22"/>
      <c r="C435" s="15"/>
      <c r="D435" s="15"/>
      <c r="E435" s="24"/>
      <c r="F435" s="25"/>
      <c r="G435" s="21"/>
      <c r="H435" s="26" t="str">
        <f t="shared" si="13"/>
        <v/>
      </c>
      <c r="I435" s="15"/>
    </row>
    <row r="436" spans="1:9" x14ac:dyDescent="0.2">
      <c r="A436" s="23" t="str">
        <f t="shared" si="12"/>
        <v/>
      </c>
      <c r="B436" s="22"/>
      <c r="C436" s="15"/>
      <c r="D436" s="15"/>
      <c r="E436" s="24"/>
      <c r="F436" s="25"/>
      <c r="G436" s="21"/>
      <c r="H436" s="26" t="str">
        <f t="shared" si="13"/>
        <v/>
      </c>
      <c r="I436" s="15"/>
    </row>
    <row r="437" spans="1:9" x14ac:dyDescent="0.2">
      <c r="A437" s="23" t="str">
        <f t="shared" si="12"/>
        <v/>
      </c>
      <c r="B437" s="22"/>
      <c r="C437" s="15"/>
      <c r="D437" s="15"/>
      <c r="E437" s="24"/>
      <c r="F437" s="25"/>
      <c r="G437" s="21"/>
      <c r="H437" s="26" t="str">
        <f t="shared" si="13"/>
        <v/>
      </c>
      <c r="I437" s="15"/>
    </row>
    <row r="438" spans="1:9" x14ac:dyDescent="0.2">
      <c r="A438" s="23" t="str">
        <f t="shared" si="12"/>
        <v/>
      </c>
      <c r="B438" s="22"/>
      <c r="C438" s="15"/>
      <c r="D438" s="15"/>
      <c r="E438" s="24"/>
      <c r="F438" s="25"/>
      <c r="G438" s="21"/>
      <c r="H438" s="26" t="str">
        <f t="shared" si="13"/>
        <v/>
      </c>
      <c r="I438" s="15"/>
    </row>
    <row r="439" spans="1:9" x14ac:dyDescent="0.2">
      <c r="A439" s="23" t="str">
        <f t="shared" si="12"/>
        <v/>
      </c>
      <c r="B439" s="22"/>
      <c r="C439" s="15"/>
      <c r="D439" s="15"/>
      <c r="E439" s="24"/>
      <c r="F439" s="25"/>
      <c r="G439" s="21"/>
      <c r="H439" s="26" t="str">
        <f t="shared" si="13"/>
        <v/>
      </c>
      <c r="I439" s="15"/>
    </row>
    <row r="440" spans="1:9" x14ac:dyDescent="0.2">
      <c r="A440" s="23" t="str">
        <f t="shared" si="12"/>
        <v/>
      </c>
      <c r="B440" s="22"/>
      <c r="C440" s="15"/>
      <c r="D440" s="15"/>
      <c r="E440" s="24"/>
      <c r="F440" s="25"/>
      <c r="G440" s="21"/>
      <c r="H440" s="26" t="str">
        <f t="shared" si="13"/>
        <v/>
      </c>
      <c r="I440" s="15"/>
    </row>
    <row r="441" spans="1:9" x14ac:dyDescent="0.2">
      <c r="A441" s="23" t="str">
        <f t="shared" si="12"/>
        <v/>
      </c>
      <c r="B441" s="22"/>
      <c r="C441" s="15"/>
      <c r="D441" s="15"/>
      <c r="E441" s="24"/>
      <c r="F441" s="25"/>
      <c r="G441" s="21"/>
      <c r="H441" s="26" t="str">
        <f t="shared" si="13"/>
        <v/>
      </c>
      <c r="I441" s="15"/>
    </row>
    <row r="442" spans="1:9" x14ac:dyDescent="0.2">
      <c r="A442" s="23" t="str">
        <f t="shared" si="12"/>
        <v/>
      </c>
      <c r="B442" s="22"/>
      <c r="C442" s="15"/>
      <c r="D442" s="15"/>
      <c r="E442" s="24"/>
      <c r="F442" s="25"/>
      <c r="G442" s="21"/>
      <c r="H442" s="26" t="str">
        <f t="shared" si="13"/>
        <v/>
      </c>
      <c r="I442" s="15"/>
    </row>
    <row r="443" spans="1:9" x14ac:dyDescent="0.2">
      <c r="A443" s="23" t="str">
        <f t="shared" si="12"/>
        <v/>
      </c>
      <c r="B443" s="22"/>
      <c r="C443" s="15"/>
      <c r="D443" s="15"/>
      <c r="E443" s="24"/>
      <c r="F443" s="25"/>
      <c r="G443" s="21"/>
      <c r="H443" s="26" t="str">
        <f t="shared" si="13"/>
        <v/>
      </c>
      <c r="I443" s="15"/>
    </row>
    <row r="444" spans="1:9" x14ac:dyDescent="0.2">
      <c r="A444" s="23" t="str">
        <f t="shared" si="12"/>
        <v/>
      </c>
      <c r="B444" s="22"/>
      <c r="C444" s="15"/>
      <c r="D444" s="15"/>
      <c r="E444" s="24"/>
      <c r="F444" s="25"/>
      <c r="G444" s="21"/>
      <c r="H444" s="26" t="str">
        <f t="shared" si="13"/>
        <v/>
      </c>
      <c r="I444" s="15"/>
    </row>
    <row r="445" spans="1:9" x14ac:dyDescent="0.2">
      <c r="A445" s="23" t="str">
        <f t="shared" si="12"/>
        <v/>
      </c>
      <c r="B445" s="22"/>
      <c r="C445" s="15"/>
      <c r="D445" s="15"/>
      <c r="E445" s="24"/>
      <c r="F445" s="25"/>
      <c r="G445" s="21"/>
      <c r="H445" s="26" t="str">
        <f t="shared" si="13"/>
        <v/>
      </c>
      <c r="I445" s="15"/>
    </row>
    <row r="446" spans="1:9" x14ac:dyDescent="0.2">
      <c r="A446" s="23" t="str">
        <f t="shared" si="12"/>
        <v/>
      </c>
      <c r="B446" s="22"/>
      <c r="C446" s="15"/>
      <c r="D446" s="15"/>
      <c r="E446" s="24"/>
      <c r="F446" s="25"/>
      <c r="G446" s="21"/>
      <c r="H446" s="26" t="str">
        <f t="shared" si="13"/>
        <v/>
      </c>
      <c r="I446" s="15"/>
    </row>
    <row r="447" spans="1:9" x14ac:dyDescent="0.2">
      <c r="A447" s="23" t="str">
        <f t="shared" si="12"/>
        <v/>
      </c>
      <c r="B447" s="22"/>
      <c r="C447" s="15"/>
      <c r="D447" s="15"/>
      <c r="E447" s="24"/>
      <c r="F447" s="25"/>
      <c r="G447" s="21"/>
      <c r="H447" s="26" t="str">
        <f t="shared" si="13"/>
        <v/>
      </c>
      <c r="I447" s="15"/>
    </row>
    <row r="448" spans="1:9" x14ac:dyDescent="0.2">
      <c r="A448" s="23" t="str">
        <f t="shared" si="12"/>
        <v/>
      </c>
      <c r="B448" s="22"/>
      <c r="C448" s="15"/>
      <c r="D448" s="15"/>
      <c r="E448" s="24"/>
      <c r="F448" s="25"/>
      <c r="G448" s="21"/>
      <c r="H448" s="26" t="str">
        <f t="shared" si="13"/>
        <v/>
      </c>
      <c r="I448" s="15"/>
    </row>
    <row r="449" spans="1:9" x14ac:dyDescent="0.2">
      <c r="A449" s="23" t="str">
        <f t="shared" si="12"/>
        <v/>
      </c>
      <c r="B449" s="22"/>
      <c r="C449" s="15"/>
      <c r="D449" s="15"/>
      <c r="E449" s="24"/>
      <c r="F449" s="25"/>
      <c r="G449" s="21"/>
      <c r="H449" s="26" t="str">
        <f t="shared" si="13"/>
        <v/>
      </c>
      <c r="I449" s="15"/>
    </row>
    <row r="450" spans="1:9" x14ac:dyDescent="0.2">
      <c r="A450" s="23" t="str">
        <f t="shared" si="12"/>
        <v/>
      </c>
      <c r="B450" s="22"/>
      <c r="C450" s="15"/>
      <c r="D450" s="15"/>
      <c r="E450" s="24"/>
      <c r="F450" s="25"/>
      <c r="G450" s="21"/>
      <c r="H450" s="26" t="str">
        <f t="shared" si="13"/>
        <v/>
      </c>
      <c r="I450" s="15"/>
    </row>
    <row r="451" spans="1:9" x14ac:dyDescent="0.2">
      <c r="A451" s="23" t="str">
        <f t="shared" si="12"/>
        <v/>
      </c>
      <c r="B451" s="22"/>
      <c r="C451" s="15"/>
      <c r="D451" s="15"/>
      <c r="E451" s="24"/>
      <c r="F451" s="25"/>
      <c r="G451" s="21"/>
      <c r="H451" s="26" t="str">
        <f t="shared" si="13"/>
        <v/>
      </c>
      <c r="I451" s="15"/>
    </row>
    <row r="452" spans="1:9" x14ac:dyDescent="0.2">
      <c r="A452" s="23" t="str">
        <f t="shared" si="12"/>
        <v/>
      </c>
      <c r="B452" s="22"/>
      <c r="C452" s="15"/>
      <c r="D452" s="15"/>
      <c r="E452" s="24"/>
      <c r="F452" s="25"/>
      <c r="G452" s="21"/>
      <c r="H452" s="26" t="str">
        <f t="shared" si="13"/>
        <v/>
      </c>
      <c r="I452" s="15"/>
    </row>
    <row r="453" spans="1:9" x14ac:dyDescent="0.2">
      <c r="A453" s="23" t="str">
        <f t="shared" ref="A453:A516" si="14">IF(B453="","",ROW()-4)</f>
        <v/>
      </c>
      <c r="B453" s="22"/>
      <c r="C453" s="15"/>
      <c r="D453" s="15"/>
      <c r="E453" s="24"/>
      <c r="F453" s="25"/>
      <c r="G453" s="21"/>
      <c r="H453" s="26" t="str">
        <f t="shared" ref="H453:H516" si="15">IF(OR(F453="",G453=""),"",F453*G453)</f>
        <v/>
      </c>
      <c r="I453" s="15"/>
    </row>
    <row r="454" spans="1:9" x14ac:dyDescent="0.2">
      <c r="A454" s="23" t="str">
        <f t="shared" si="14"/>
        <v/>
      </c>
      <c r="B454" s="22"/>
      <c r="C454" s="15"/>
      <c r="D454" s="15"/>
      <c r="E454" s="24"/>
      <c r="F454" s="25"/>
      <c r="G454" s="21"/>
      <c r="H454" s="26" t="str">
        <f t="shared" si="15"/>
        <v/>
      </c>
      <c r="I454" s="15"/>
    </row>
    <row r="455" spans="1:9" x14ac:dyDescent="0.2">
      <c r="A455" s="23" t="str">
        <f t="shared" si="14"/>
        <v/>
      </c>
      <c r="B455" s="22"/>
      <c r="C455" s="15"/>
      <c r="D455" s="15"/>
      <c r="E455" s="24"/>
      <c r="F455" s="25"/>
      <c r="G455" s="21"/>
      <c r="H455" s="26" t="str">
        <f t="shared" si="15"/>
        <v/>
      </c>
      <c r="I455" s="15"/>
    </row>
    <row r="456" spans="1:9" x14ac:dyDescent="0.2">
      <c r="A456" s="23" t="str">
        <f t="shared" si="14"/>
        <v/>
      </c>
      <c r="B456" s="22"/>
      <c r="C456" s="15"/>
      <c r="D456" s="15"/>
      <c r="E456" s="24"/>
      <c r="F456" s="25"/>
      <c r="G456" s="21"/>
      <c r="H456" s="26" t="str">
        <f t="shared" si="15"/>
        <v/>
      </c>
      <c r="I456" s="15"/>
    </row>
    <row r="457" spans="1:9" x14ac:dyDescent="0.2">
      <c r="A457" s="23" t="str">
        <f t="shared" si="14"/>
        <v/>
      </c>
      <c r="B457" s="22"/>
      <c r="C457" s="15"/>
      <c r="D457" s="15"/>
      <c r="E457" s="24"/>
      <c r="F457" s="25"/>
      <c r="G457" s="21"/>
      <c r="H457" s="26" t="str">
        <f t="shared" si="15"/>
        <v/>
      </c>
      <c r="I457" s="15"/>
    </row>
    <row r="458" spans="1:9" x14ac:dyDescent="0.2">
      <c r="A458" s="23" t="str">
        <f t="shared" si="14"/>
        <v/>
      </c>
      <c r="B458" s="22"/>
      <c r="C458" s="15"/>
      <c r="D458" s="15"/>
      <c r="E458" s="24"/>
      <c r="F458" s="25"/>
      <c r="G458" s="21"/>
      <c r="H458" s="26" t="str">
        <f t="shared" si="15"/>
        <v/>
      </c>
      <c r="I458" s="15"/>
    </row>
    <row r="459" spans="1:9" x14ac:dyDescent="0.2">
      <c r="A459" s="23" t="str">
        <f t="shared" si="14"/>
        <v/>
      </c>
      <c r="B459" s="22"/>
      <c r="C459" s="15"/>
      <c r="D459" s="15"/>
      <c r="E459" s="24"/>
      <c r="F459" s="25"/>
      <c r="G459" s="21"/>
      <c r="H459" s="26" t="str">
        <f t="shared" si="15"/>
        <v/>
      </c>
      <c r="I459" s="15"/>
    </row>
    <row r="460" spans="1:9" x14ac:dyDescent="0.2">
      <c r="A460" s="23" t="str">
        <f t="shared" si="14"/>
        <v/>
      </c>
      <c r="B460" s="22"/>
      <c r="C460" s="15"/>
      <c r="D460" s="15"/>
      <c r="E460" s="24"/>
      <c r="F460" s="25"/>
      <c r="G460" s="21"/>
      <c r="H460" s="26" t="str">
        <f t="shared" si="15"/>
        <v/>
      </c>
      <c r="I460" s="15"/>
    </row>
    <row r="461" spans="1:9" x14ac:dyDescent="0.2">
      <c r="A461" s="23" t="str">
        <f t="shared" si="14"/>
        <v/>
      </c>
      <c r="B461" s="22"/>
      <c r="C461" s="15"/>
      <c r="D461" s="15"/>
      <c r="E461" s="24"/>
      <c r="F461" s="25"/>
      <c r="G461" s="21"/>
      <c r="H461" s="26" t="str">
        <f t="shared" si="15"/>
        <v/>
      </c>
      <c r="I461" s="15"/>
    </row>
    <row r="462" spans="1:9" x14ac:dyDescent="0.2">
      <c r="A462" s="23" t="str">
        <f t="shared" si="14"/>
        <v/>
      </c>
      <c r="B462" s="22"/>
      <c r="C462" s="15"/>
      <c r="D462" s="15"/>
      <c r="E462" s="24"/>
      <c r="F462" s="25"/>
      <c r="G462" s="21"/>
      <c r="H462" s="26" t="str">
        <f t="shared" si="15"/>
        <v/>
      </c>
      <c r="I462" s="15"/>
    </row>
    <row r="463" spans="1:9" x14ac:dyDescent="0.2">
      <c r="A463" s="23" t="str">
        <f t="shared" si="14"/>
        <v/>
      </c>
      <c r="B463" s="22"/>
      <c r="C463" s="15"/>
      <c r="D463" s="15"/>
      <c r="E463" s="24"/>
      <c r="F463" s="25"/>
      <c r="G463" s="21"/>
      <c r="H463" s="26" t="str">
        <f t="shared" si="15"/>
        <v/>
      </c>
      <c r="I463" s="15"/>
    </row>
    <row r="464" spans="1:9" x14ac:dyDescent="0.2">
      <c r="A464" s="23" t="str">
        <f t="shared" si="14"/>
        <v/>
      </c>
      <c r="B464" s="22"/>
      <c r="C464" s="15"/>
      <c r="D464" s="15"/>
      <c r="E464" s="24"/>
      <c r="F464" s="25"/>
      <c r="G464" s="21"/>
      <c r="H464" s="26" t="str">
        <f t="shared" si="15"/>
        <v/>
      </c>
      <c r="I464" s="15"/>
    </row>
    <row r="465" spans="1:9" x14ac:dyDescent="0.2">
      <c r="A465" s="23" t="str">
        <f t="shared" si="14"/>
        <v/>
      </c>
      <c r="B465" s="22"/>
      <c r="C465" s="15"/>
      <c r="D465" s="15"/>
      <c r="E465" s="24"/>
      <c r="F465" s="25"/>
      <c r="G465" s="21"/>
      <c r="H465" s="26" t="str">
        <f t="shared" si="15"/>
        <v/>
      </c>
      <c r="I465" s="15"/>
    </row>
    <row r="466" spans="1:9" x14ac:dyDescent="0.2">
      <c r="A466" s="23" t="str">
        <f t="shared" si="14"/>
        <v/>
      </c>
      <c r="B466" s="22"/>
      <c r="C466" s="15"/>
      <c r="D466" s="15"/>
      <c r="E466" s="24"/>
      <c r="F466" s="25"/>
      <c r="G466" s="21"/>
      <c r="H466" s="26" t="str">
        <f t="shared" si="15"/>
        <v/>
      </c>
      <c r="I466" s="15"/>
    </row>
    <row r="467" spans="1:9" x14ac:dyDescent="0.2">
      <c r="A467" s="23" t="str">
        <f t="shared" si="14"/>
        <v/>
      </c>
      <c r="B467" s="22"/>
      <c r="C467" s="15"/>
      <c r="D467" s="15"/>
      <c r="E467" s="24"/>
      <c r="F467" s="25"/>
      <c r="G467" s="21"/>
      <c r="H467" s="26" t="str">
        <f t="shared" si="15"/>
        <v/>
      </c>
      <c r="I467" s="15"/>
    </row>
    <row r="468" spans="1:9" x14ac:dyDescent="0.2">
      <c r="A468" s="23" t="str">
        <f t="shared" si="14"/>
        <v/>
      </c>
      <c r="B468" s="22"/>
      <c r="C468" s="15"/>
      <c r="D468" s="15"/>
      <c r="E468" s="24"/>
      <c r="F468" s="25"/>
      <c r="G468" s="21"/>
      <c r="H468" s="26" t="str">
        <f t="shared" si="15"/>
        <v/>
      </c>
      <c r="I468" s="15"/>
    </row>
    <row r="469" spans="1:9" x14ac:dyDescent="0.2">
      <c r="A469" s="23" t="str">
        <f t="shared" si="14"/>
        <v/>
      </c>
      <c r="B469" s="22"/>
      <c r="C469" s="15"/>
      <c r="D469" s="15"/>
      <c r="E469" s="24"/>
      <c r="F469" s="25"/>
      <c r="G469" s="21"/>
      <c r="H469" s="26" t="str">
        <f t="shared" si="15"/>
        <v/>
      </c>
      <c r="I469" s="15"/>
    </row>
    <row r="470" spans="1:9" x14ac:dyDescent="0.2">
      <c r="A470" s="23" t="str">
        <f t="shared" si="14"/>
        <v/>
      </c>
      <c r="B470" s="22"/>
      <c r="C470" s="15"/>
      <c r="D470" s="15"/>
      <c r="E470" s="24"/>
      <c r="F470" s="25"/>
      <c r="G470" s="21"/>
      <c r="H470" s="26" t="str">
        <f t="shared" si="15"/>
        <v/>
      </c>
      <c r="I470" s="15"/>
    </row>
    <row r="471" spans="1:9" x14ac:dyDescent="0.2">
      <c r="A471" s="23" t="str">
        <f t="shared" si="14"/>
        <v/>
      </c>
      <c r="B471" s="22"/>
      <c r="C471" s="15"/>
      <c r="D471" s="15"/>
      <c r="E471" s="24"/>
      <c r="F471" s="25"/>
      <c r="G471" s="21"/>
      <c r="H471" s="26" t="str">
        <f t="shared" si="15"/>
        <v/>
      </c>
      <c r="I471" s="15"/>
    </row>
    <row r="472" spans="1:9" x14ac:dyDescent="0.2">
      <c r="A472" s="23" t="str">
        <f t="shared" si="14"/>
        <v/>
      </c>
      <c r="B472" s="22"/>
      <c r="C472" s="15"/>
      <c r="D472" s="15"/>
      <c r="E472" s="24"/>
      <c r="F472" s="25"/>
      <c r="G472" s="21"/>
      <c r="H472" s="26" t="str">
        <f t="shared" si="15"/>
        <v/>
      </c>
      <c r="I472" s="15"/>
    </row>
    <row r="473" spans="1:9" x14ac:dyDescent="0.2">
      <c r="A473" s="23" t="str">
        <f t="shared" si="14"/>
        <v/>
      </c>
      <c r="B473" s="22"/>
      <c r="C473" s="15"/>
      <c r="D473" s="15"/>
      <c r="E473" s="24"/>
      <c r="F473" s="25"/>
      <c r="G473" s="21"/>
      <c r="H473" s="26" t="str">
        <f t="shared" si="15"/>
        <v/>
      </c>
      <c r="I473" s="15"/>
    </row>
    <row r="474" spans="1:9" x14ac:dyDescent="0.2">
      <c r="A474" s="23" t="str">
        <f t="shared" si="14"/>
        <v/>
      </c>
      <c r="B474" s="22"/>
      <c r="C474" s="15"/>
      <c r="D474" s="15"/>
      <c r="E474" s="24"/>
      <c r="F474" s="25"/>
      <c r="G474" s="21"/>
      <c r="H474" s="26" t="str">
        <f t="shared" si="15"/>
        <v/>
      </c>
      <c r="I474" s="15"/>
    </row>
    <row r="475" spans="1:9" x14ac:dyDescent="0.2">
      <c r="A475" s="23" t="str">
        <f t="shared" si="14"/>
        <v/>
      </c>
      <c r="B475" s="22"/>
      <c r="C475" s="15"/>
      <c r="D475" s="15"/>
      <c r="E475" s="24"/>
      <c r="F475" s="25"/>
      <c r="G475" s="21"/>
      <c r="H475" s="26" t="str">
        <f t="shared" si="15"/>
        <v/>
      </c>
      <c r="I475" s="15"/>
    </row>
    <row r="476" spans="1:9" x14ac:dyDescent="0.2">
      <c r="A476" s="23" t="str">
        <f t="shared" si="14"/>
        <v/>
      </c>
      <c r="B476" s="22"/>
      <c r="C476" s="15"/>
      <c r="D476" s="15"/>
      <c r="E476" s="24"/>
      <c r="F476" s="25"/>
      <c r="G476" s="21"/>
      <c r="H476" s="26" t="str">
        <f t="shared" si="15"/>
        <v/>
      </c>
      <c r="I476" s="15"/>
    </row>
    <row r="477" spans="1:9" x14ac:dyDescent="0.2">
      <c r="A477" s="23" t="str">
        <f t="shared" si="14"/>
        <v/>
      </c>
      <c r="B477" s="22"/>
      <c r="C477" s="15"/>
      <c r="D477" s="15"/>
      <c r="E477" s="24"/>
      <c r="F477" s="25"/>
      <c r="G477" s="21"/>
      <c r="H477" s="26" t="str">
        <f t="shared" si="15"/>
        <v/>
      </c>
      <c r="I477" s="15"/>
    </row>
    <row r="478" spans="1:9" x14ac:dyDescent="0.2">
      <c r="A478" s="23" t="str">
        <f t="shared" si="14"/>
        <v/>
      </c>
      <c r="B478" s="22"/>
      <c r="C478" s="15"/>
      <c r="D478" s="15"/>
      <c r="E478" s="24"/>
      <c r="F478" s="25"/>
      <c r="G478" s="21"/>
      <c r="H478" s="26" t="str">
        <f t="shared" si="15"/>
        <v/>
      </c>
      <c r="I478" s="15"/>
    </row>
    <row r="479" spans="1:9" x14ac:dyDescent="0.2">
      <c r="A479" s="23" t="str">
        <f t="shared" si="14"/>
        <v/>
      </c>
      <c r="B479" s="22"/>
      <c r="C479" s="15"/>
      <c r="D479" s="15"/>
      <c r="E479" s="24"/>
      <c r="F479" s="25"/>
      <c r="G479" s="21"/>
      <c r="H479" s="26" t="str">
        <f t="shared" si="15"/>
        <v/>
      </c>
      <c r="I479" s="15"/>
    </row>
    <row r="480" spans="1:9" x14ac:dyDescent="0.2">
      <c r="A480" s="23" t="str">
        <f t="shared" si="14"/>
        <v/>
      </c>
      <c r="B480" s="22"/>
      <c r="C480" s="15"/>
      <c r="D480" s="15"/>
      <c r="E480" s="24"/>
      <c r="F480" s="25"/>
      <c r="G480" s="21"/>
      <c r="H480" s="26" t="str">
        <f t="shared" si="15"/>
        <v/>
      </c>
      <c r="I480" s="15"/>
    </row>
    <row r="481" spans="1:9" x14ac:dyDescent="0.2">
      <c r="A481" s="23" t="str">
        <f t="shared" si="14"/>
        <v/>
      </c>
      <c r="B481" s="22"/>
      <c r="C481" s="15"/>
      <c r="D481" s="15"/>
      <c r="E481" s="24"/>
      <c r="F481" s="25"/>
      <c r="G481" s="21"/>
      <c r="H481" s="26" t="str">
        <f t="shared" si="15"/>
        <v/>
      </c>
      <c r="I481" s="15"/>
    </row>
    <row r="482" spans="1:9" x14ac:dyDescent="0.2">
      <c r="A482" s="23" t="str">
        <f t="shared" si="14"/>
        <v/>
      </c>
      <c r="B482" s="22"/>
      <c r="C482" s="15"/>
      <c r="D482" s="15"/>
      <c r="E482" s="24"/>
      <c r="F482" s="25"/>
      <c r="G482" s="21"/>
      <c r="H482" s="26" t="str">
        <f t="shared" si="15"/>
        <v/>
      </c>
      <c r="I482" s="15"/>
    </row>
    <row r="483" spans="1:9" x14ac:dyDescent="0.2">
      <c r="A483" s="23" t="str">
        <f t="shared" si="14"/>
        <v/>
      </c>
      <c r="B483" s="22"/>
      <c r="C483" s="15"/>
      <c r="D483" s="15"/>
      <c r="E483" s="24"/>
      <c r="F483" s="25"/>
      <c r="G483" s="21"/>
      <c r="H483" s="26" t="str">
        <f t="shared" si="15"/>
        <v/>
      </c>
      <c r="I483" s="15"/>
    </row>
    <row r="484" spans="1:9" x14ac:dyDescent="0.2">
      <c r="A484" s="23" t="str">
        <f t="shared" si="14"/>
        <v/>
      </c>
      <c r="B484" s="22"/>
      <c r="C484" s="15"/>
      <c r="D484" s="15"/>
      <c r="E484" s="24"/>
      <c r="F484" s="25"/>
      <c r="G484" s="21"/>
      <c r="H484" s="26" t="str">
        <f t="shared" si="15"/>
        <v/>
      </c>
      <c r="I484" s="15"/>
    </row>
    <row r="485" spans="1:9" x14ac:dyDescent="0.2">
      <c r="A485" s="23" t="str">
        <f t="shared" si="14"/>
        <v/>
      </c>
      <c r="B485" s="22"/>
      <c r="C485" s="15"/>
      <c r="D485" s="15"/>
      <c r="E485" s="24"/>
      <c r="F485" s="25"/>
      <c r="G485" s="21"/>
      <c r="H485" s="26" t="str">
        <f t="shared" si="15"/>
        <v/>
      </c>
      <c r="I485" s="15"/>
    </row>
    <row r="486" spans="1:9" x14ac:dyDescent="0.2">
      <c r="A486" s="23" t="str">
        <f t="shared" si="14"/>
        <v/>
      </c>
      <c r="B486" s="22"/>
      <c r="C486" s="15"/>
      <c r="D486" s="15"/>
      <c r="E486" s="24"/>
      <c r="F486" s="25"/>
      <c r="G486" s="21"/>
      <c r="H486" s="26" t="str">
        <f t="shared" si="15"/>
        <v/>
      </c>
      <c r="I486" s="15"/>
    </row>
    <row r="487" spans="1:9" x14ac:dyDescent="0.2">
      <c r="A487" s="23" t="str">
        <f t="shared" si="14"/>
        <v/>
      </c>
      <c r="B487" s="22"/>
      <c r="C487" s="15"/>
      <c r="D487" s="15"/>
      <c r="E487" s="24"/>
      <c r="F487" s="25"/>
      <c r="G487" s="21"/>
      <c r="H487" s="26" t="str">
        <f t="shared" si="15"/>
        <v/>
      </c>
      <c r="I487" s="15"/>
    </row>
    <row r="488" spans="1:9" x14ac:dyDescent="0.2">
      <c r="A488" s="23" t="str">
        <f t="shared" si="14"/>
        <v/>
      </c>
      <c r="B488" s="22"/>
      <c r="C488" s="15"/>
      <c r="D488" s="15"/>
      <c r="E488" s="24"/>
      <c r="F488" s="25"/>
      <c r="G488" s="21"/>
      <c r="H488" s="26" t="str">
        <f t="shared" si="15"/>
        <v/>
      </c>
      <c r="I488" s="15"/>
    </row>
    <row r="489" spans="1:9" x14ac:dyDescent="0.2">
      <c r="A489" s="23" t="str">
        <f t="shared" si="14"/>
        <v/>
      </c>
      <c r="B489" s="22"/>
      <c r="C489" s="15"/>
      <c r="D489" s="15"/>
      <c r="E489" s="24"/>
      <c r="F489" s="25"/>
      <c r="G489" s="21"/>
      <c r="H489" s="26" t="str">
        <f t="shared" si="15"/>
        <v/>
      </c>
      <c r="I489" s="15"/>
    </row>
    <row r="490" spans="1:9" x14ac:dyDescent="0.2">
      <c r="A490" s="23" t="str">
        <f t="shared" si="14"/>
        <v/>
      </c>
      <c r="B490" s="22"/>
      <c r="C490" s="15"/>
      <c r="D490" s="15"/>
      <c r="E490" s="24"/>
      <c r="F490" s="25"/>
      <c r="G490" s="21"/>
      <c r="H490" s="26" t="str">
        <f t="shared" si="15"/>
        <v/>
      </c>
      <c r="I490" s="15"/>
    </row>
    <row r="491" spans="1:9" x14ac:dyDescent="0.2">
      <c r="A491" s="23" t="str">
        <f t="shared" si="14"/>
        <v/>
      </c>
      <c r="B491" s="22"/>
      <c r="C491" s="15"/>
      <c r="D491" s="15"/>
      <c r="E491" s="24"/>
      <c r="F491" s="25"/>
      <c r="G491" s="21"/>
      <c r="H491" s="26" t="str">
        <f t="shared" si="15"/>
        <v/>
      </c>
      <c r="I491" s="15"/>
    </row>
    <row r="492" spans="1:9" x14ac:dyDescent="0.2">
      <c r="A492" s="23" t="str">
        <f t="shared" si="14"/>
        <v/>
      </c>
      <c r="B492" s="22"/>
      <c r="C492" s="15"/>
      <c r="D492" s="15"/>
      <c r="E492" s="24"/>
      <c r="F492" s="25"/>
      <c r="G492" s="21"/>
      <c r="H492" s="26" t="str">
        <f t="shared" si="15"/>
        <v/>
      </c>
      <c r="I492" s="15"/>
    </row>
    <row r="493" spans="1:9" x14ac:dyDescent="0.2">
      <c r="A493" s="23" t="str">
        <f t="shared" si="14"/>
        <v/>
      </c>
      <c r="B493" s="22"/>
      <c r="C493" s="15"/>
      <c r="D493" s="15"/>
      <c r="E493" s="24"/>
      <c r="F493" s="25"/>
      <c r="G493" s="21"/>
      <c r="H493" s="26" t="str">
        <f t="shared" si="15"/>
        <v/>
      </c>
      <c r="I493" s="15"/>
    </row>
    <row r="494" spans="1:9" x14ac:dyDescent="0.2">
      <c r="A494" s="23" t="str">
        <f t="shared" si="14"/>
        <v/>
      </c>
      <c r="B494" s="22"/>
      <c r="C494" s="15"/>
      <c r="D494" s="15"/>
      <c r="E494" s="24"/>
      <c r="F494" s="25"/>
      <c r="G494" s="21"/>
      <c r="H494" s="26" t="str">
        <f t="shared" si="15"/>
        <v/>
      </c>
      <c r="I494" s="15"/>
    </row>
    <row r="495" spans="1:9" x14ac:dyDescent="0.2">
      <c r="A495" s="23" t="str">
        <f t="shared" si="14"/>
        <v/>
      </c>
      <c r="B495" s="22"/>
      <c r="C495" s="15"/>
      <c r="D495" s="15"/>
      <c r="E495" s="24"/>
      <c r="F495" s="25"/>
      <c r="G495" s="21"/>
      <c r="H495" s="26" t="str">
        <f t="shared" si="15"/>
        <v/>
      </c>
      <c r="I495" s="15"/>
    </row>
    <row r="496" spans="1:9" x14ac:dyDescent="0.2">
      <c r="A496" s="23" t="str">
        <f t="shared" si="14"/>
        <v/>
      </c>
      <c r="B496" s="22"/>
      <c r="C496" s="15"/>
      <c r="D496" s="15"/>
      <c r="E496" s="24"/>
      <c r="F496" s="25"/>
      <c r="G496" s="21"/>
      <c r="H496" s="26" t="str">
        <f t="shared" si="15"/>
        <v/>
      </c>
      <c r="I496" s="15"/>
    </row>
    <row r="497" spans="1:9" x14ac:dyDescent="0.2">
      <c r="A497" s="23" t="str">
        <f t="shared" si="14"/>
        <v/>
      </c>
      <c r="B497" s="22"/>
      <c r="C497" s="15"/>
      <c r="D497" s="15"/>
      <c r="E497" s="24"/>
      <c r="F497" s="25"/>
      <c r="G497" s="21"/>
      <c r="H497" s="26" t="str">
        <f t="shared" si="15"/>
        <v/>
      </c>
      <c r="I497" s="15"/>
    </row>
    <row r="498" spans="1:9" x14ac:dyDescent="0.2">
      <c r="A498" s="23" t="str">
        <f t="shared" si="14"/>
        <v/>
      </c>
      <c r="B498" s="22"/>
      <c r="C498" s="15"/>
      <c r="D498" s="15"/>
      <c r="E498" s="24"/>
      <c r="F498" s="25"/>
      <c r="G498" s="21"/>
      <c r="H498" s="26" t="str">
        <f t="shared" si="15"/>
        <v/>
      </c>
      <c r="I498" s="15"/>
    </row>
    <row r="499" spans="1:9" x14ac:dyDescent="0.2">
      <c r="A499" s="23" t="str">
        <f t="shared" si="14"/>
        <v/>
      </c>
      <c r="B499" s="22"/>
      <c r="C499" s="15"/>
      <c r="D499" s="15"/>
      <c r="E499" s="24"/>
      <c r="F499" s="25"/>
      <c r="G499" s="21"/>
      <c r="H499" s="26" t="str">
        <f t="shared" si="15"/>
        <v/>
      </c>
      <c r="I499" s="15"/>
    </row>
    <row r="500" spans="1:9" x14ac:dyDescent="0.2">
      <c r="A500" s="23" t="str">
        <f t="shared" si="14"/>
        <v/>
      </c>
      <c r="B500" s="22"/>
      <c r="C500" s="15"/>
      <c r="D500" s="15"/>
      <c r="E500" s="24"/>
      <c r="F500" s="25"/>
      <c r="G500" s="21"/>
      <c r="H500" s="26" t="str">
        <f t="shared" si="15"/>
        <v/>
      </c>
      <c r="I500" s="15"/>
    </row>
    <row r="501" spans="1:9" x14ac:dyDescent="0.2">
      <c r="A501" s="23" t="str">
        <f t="shared" si="14"/>
        <v/>
      </c>
      <c r="B501" s="22"/>
      <c r="C501" s="15"/>
      <c r="D501" s="15"/>
      <c r="E501" s="24"/>
      <c r="F501" s="25"/>
      <c r="G501" s="21"/>
      <c r="H501" s="26" t="str">
        <f t="shared" si="15"/>
        <v/>
      </c>
      <c r="I501" s="15"/>
    </row>
    <row r="502" spans="1:9" x14ac:dyDescent="0.2">
      <c r="A502" s="23" t="str">
        <f t="shared" si="14"/>
        <v/>
      </c>
      <c r="B502" s="22"/>
      <c r="C502" s="15"/>
      <c r="D502" s="15"/>
      <c r="E502" s="24"/>
      <c r="F502" s="25"/>
      <c r="G502" s="21"/>
      <c r="H502" s="26" t="str">
        <f t="shared" si="15"/>
        <v/>
      </c>
      <c r="I502" s="15"/>
    </row>
    <row r="503" spans="1:9" x14ac:dyDescent="0.2">
      <c r="A503" s="23" t="str">
        <f t="shared" si="14"/>
        <v/>
      </c>
      <c r="B503" s="22"/>
      <c r="C503" s="15"/>
      <c r="D503" s="15"/>
      <c r="E503" s="24"/>
      <c r="F503" s="25"/>
      <c r="G503" s="21"/>
      <c r="H503" s="26" t="str">
        <f t="shared" si="15"/>
        <v/>
      </c>
      <c r="I503" s="15"/>
    </row>
  </sheetData>
  <mergeCells count="2">
    <mergeCell ref="A1:I1"/>
    <mergeCell ref="A2:I2"/>
  </mergeCells>
  <dataValidations count="1">
    <dataValidation type="list" allowBlank="1" sqref="E5:E503" xr:uid="{00000000-0002-0000-0800-000000000000}">
      <formula1>"EUR,USD,GBP,CHF,JPY,CNY"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AD47"/>
  </sheetPr>
  <dimension ref="A1:P64"/>
  <sheetViews>
    <sheetView zoomScaleNormal="100" workbookViewId="0">
      <pane xSplit="1" ySplit="4" topLeftCell="B37" activePane="bottomRight" state="frozen"/>
      <selection pane="topRight" activeCell="B1" sqref="B1"/>
      <selection pane="bottomLeft" activeCell="A5" sqref="A5"/>
      <selection pane="bottomRight" activeCell="A60" sqref="A60:XFD60"/>
    </sheetView>
  </sheetViews>
  <sheetFormatPr baseColWidth="10" defaultColWidth="8.6640625" defaultRowHeight="15" x14ac:dyDescent="0.2"/>
  <cols>
    <col min="1" max="1" width="5" customWidth="1"/>
    <col min="2" max="2" width="16" customWidth="1"/>
    <col min="3" max="3" width="30" customWidth="1"/>
    <col min="4" max="4" width="9" customWidth="1"/>
    <col min="5" max="7" width="12" customWidth="1"/>
    <col min="8" max="8" width="14" customWidth="1"/>
    <col min="9" max="9" width="12" customWidth="1"/>
    <col min="10" max="12" width="14" customWidth="1"/>
    <col min="13" max="13" width="16" customWidth="1"/>
    <col min="14" max="14" width="16.6640625" customWidth="1"/>
    <col min="15" max="16" width="18.33203125" customWidth="1"/>
  </cols>
  <sheetData>
    <row r="1" spans="1:16" ht="27.75" customHeight="1" x14ac:dyDescent="0.2">
      <c r="A1" s="85" t="s">
        <v>380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6" ht="15" customHeight="1" x14ac:dyDescent="0.2">
      <c r="A2" s="87" t="s">
        <v>381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4" spans="1:16" ht="31.5" customHeight="1" x14ac:dyDescent="0.2">
      <c r="A4" s="19" t="s">
        <v>2</v>
      </c>
      <c r="B4" s="19" t="s">
        <v>132</v>
      </c>
      <c r="C4" s="19" t="s">
        <v>382</v>
      </c>
      <c r="D4" s="19" t="s">
        <v>383</v>
      </c>
      <c r="E4" s="19" t="s">
        <v>384</v>
      </c>
      <c r="F4" s="19" t="s">
        <v>385</v>
      </c>
      <c r="G4" s="19" t="s">
        <v>386</v>
      </c>
      <c r="H4" s="19" t="s">
        <v>387</v>
      </c>
      <c r="I4" s="19" t="s">
        <v>388</v>
      </c>
      <c r="J4" s="19" t="s">
        <v>389</v>
      </c>
      <c r="K4" s="19" t="s">
        <v>390</v>
      </c>
      <c r="L4" s="19" t="s">
        <v>391</v>
      </c>
      <c r="M4" s="19" t="s">
        <v>392</v>
      </c>
      <c r="N4" s="75" t="str">
        <f ca="1">" Prezzo Spot @"&amp;TEXT(DataOggi-1,"dd/mm/yy")</f>
        <v xml:space="preserve"> Prezzo Spot @17/05/yy</v>
      </c>
      <c r="O4" s="75" t="s">
        <v>393</v>
      </c>
      <c r="P4" s="75" t="s">
        <v>394</v>
      </c>
    </row>
    <row r="5" spans="1:16" x14ac:dyDescent="0.2">
      <c r="A5" s="23">
        <f t="shared" ref="A5:A36" si="0">IF(B5="","",ROW()-4)</f>
        <v>1</v>
      </c>
      <c r="B5" s="56" t="s">
        <v>138</v>
      </c>
      <c r="C5" s="31" t="str">
        <f>IFERROR(LOOKUP(2,1/('04_Trades'!$E$5:$E$1004=B5),'04_Trades'!$D$5:$D$1004),"")</f>
        <v>CELSIUS HOLDINGS</v>
      </c>
      <c r="D5" s="32" t="str">
        <f>IFERROR(LOOKUP(2,1/('04_Trades'!$E$5:$E$1004=B5),'04_Trades'!$F$5:$F$1004),"")</f>
        <v>EUR</v>
      </c>
      <c r="E5" s="33">
        <f>IF(B5="",0,SUMIFS('04_Trades'!$G$5:$G$1004,'04_Trades'!$E$5:$E$1004,B5,'04_Trades'!$C$5:$C$1004,"BUY"))</f>
        <v>369</v>
      </c>
      <c r="F5" s="33">
        <f>IF(B5="",0,SUMIFS('04_Trades'!$G$5:$G$1004,'04_Trades'!$E$5:$E$1004,B5,'04_Trades'!$C$5:$C$1004,"SELL"))</f>
        <v>0</v>
      </c>
      <c r="G5" s="27">
        <f t="shared" ref="G5:G36" si="1">IF(B5="","",E5-F5)</f>
        <v>369</v>
      </c>
      <c r="H5" s="33">
        <f>IFERROR(LOOKUP(2,1/('04_Trades'!$E$5:$E$1004=B5),'04_Trades'!$H$5:$H$1004),"")</f>
        <v>25.4223</v>
      </c>
      <c r="I5" s="34">
        <f>IFERROR(VLOOKUP(D5,'02_FX_Rates'!$A$5:$B$10,2,FALSE),IFERROR(LOOKUP(2,1/('04_Trades'!$E$5:$E$1004=B5),'04_Trades'!$J$5:$J$1004),""))</f>
        <v>1</v>
      </c>
      <c r="J5" s="26">
        <f t="shared" ref="J5:J36" si="2">IF(OR(B5="",G5="",H5=""),"",G5*H5)</f>
        <v>9380.8287</v>
      </c>
      <c r="K5" s="26">
        <f t="shared" ref="K5:K36" si="3">IF(OR(B5="",J5="",I5=""),"",J5*I5)</f>
        <v>9380.8287</v>
      </c>
      <c r="L5" s="10">
        <f>IFERROR(SUMIFS('04_Trades'!$K$5:$K$1004,'04_Trades'!$E$5:$E$1004,B5,'04_Trades'!$C$5:$C$1004,"BUY")/SUMIFS('04_Trades'!$G$5:$G$1004,'04_Trades'!$E$5:$E$1004,B5,'04_Trades'!$C$5:$C$1004,"BUY"),"")</f>
        <v>25.4223</v>
      </c>
      <c r="M5" s="26">
        <f t="shared" ref="M5:M36" si="4">IF(OR(B5="",G5=0,K5="",L5=""),"",K5-G5*L5)</f>
        <v>0</v>
      </c>
      <c r="N5" s="76">
        <v>25.42</v>
      </c>
      <c r="O5" s="77">
        <f t="shared" ref="O5:O36" si="5">IFERROR(IF(N5="","",G5*N5*I5),"")</f>
        <v>9379.9800000000014</v>
      </c>
      <c r="P5" s="52">
        <f t="shared" ref="P5:P36" si="6">IFERROR(IF(OR(N5="",G5=0,L5=""),"",O5-G5*L5),"")</f>
        <v>-0.84869999999864376</v>
      </c>
    </row>
    <row r="6" spans="1:16" x14ac:dyDescent="0.2">
      <c r="A6" s="23">
        <f t="shared" si="0"/>
        <v>2</v>
      </c>
      <c r="B6" s="56" t="s">
        <v>141</v>
      </c>
      <c r="C6" s="31" t="str">
        <f>IFERROR(LOOKUP(2,1/('04_Trades'!$E$5:$E$1004=B6),'04_Trades'!$D$5:$D$1004),"")</f>
        <v>SANLORENZO</v>
      </c>
      <c r="D6" s="32" t="str">
        <f>IFERROR(LOOKUP(2,1/('04_Trades'!$E$5:$E$1004=B6),'04_Trades'!$F$5:$F$1004),"")</f>
        <v>EUR</v>
      </c>
      <c r="E6" s="33">
        <f>IF(B6="",0,SUMIFS('04_Trades'!$G$5:$G$1004,'04_Trades'!$E$5:$E$1004,B6,'04_Trades'!$C$5:$C$1004,"BUY"))</f>
        <v>1100</v>
      </c>
      <c r="F6" s="33">
        <f>IF(B6="",0,SUMIFS('04_Trades'!$G$5:$G$1004,'04_Trades'!$E$5:$E$1004,B6,'04_Trades'!$C$5:$C$1004,"SELL"))</f>
        <v>0</v>
      </c>
      <c r="G6" s="27">
        <f t="shared" si="1"/>
        <v>1100</v>
      </c>
      <c r="H6" s="33">
        <f>IFERROR(LOOKUP(2,1/('04_Trades'!$E$5:$E$1004=B6),'04_Trades'!$H$5:$H$1004),"")</f>
        <v>34.200000000000003</v>
      </c>
      <c r="I6" s="34">
        <f>IFERROR(VLOOKUP(D6,'02_FX_Rates'!$A$5:$B$10,2,FALSE),IFERROR(LOOKUP(2,1/('04_Trades'!$E$5:$E$1004=B6),'04_Trades'!$J$5:$J$1004),""))</f>
        <v>1</v>
      </c>
      <c r="J6" s="26">
        <f t="shared" si="2"/>
        <v>37620</v>
      </c>
      <c r="K6" s="26">
        <f t="shared" si="3"/>
        <v>37620</v>
      </c>
      <c r="L6" s="10">
        <f>IFERROR(SUMIFS('04_Trades'!$K$5:$K$1004,'04_Trades'!$E$5:$E$1004,B6,'04_Trades'!$C$5:$C$1004,"BUY")/SUMIFS('04_Trades'!$G$5:$G$1004,'04_Trades'!$E$5:$E$1004,B6,'04_Trades'!$C$5:$C$1004,"BUY"),"")</f>
        <v>30.881818181818183</v>
      </c>
      <c r="M6" s="26">
        <f t="shared" si="4"/>
        <v>3650</v>
      </c>
      <c r="N6" s="76">
        <v>34.549999999999997</v>
      </c>
      <c r="O6" s="77">
        <f t="shared" si="5"/>
        <v>38005</v>
      </c>
      <c r="P6" s="52">
        <f t="shared" si="6"/>
        <v>4035</v>
      </c>
    </row>
    <row r="7" spans="1:16" x14ac:dyDescent="0.2">
      <c r="A7" s="23">
        <f t="shared" si="0"/>
        <v>3</v>
      </c>
      <c r="B7" s="56" t="s">
        <v>144</v>
      </c>
      <c r="C7" s="31" t="str">
        <f>IFERROR(LOOKUP(2,1/('04_Trades'!$E$5:$E$1004=B7),'04_Trades'!$D$5:$D$1004),"")</f>
        <v>WisdomTree Europe Defence UCITS ETF</v>
      </c>
      <c r="D7" s="32" t="str">
        <f>IFERROR(LOOKUP(2,1/('04_Trades'!$E$5:$E$1004=B7),'04_Trades'!$F$5:$F$1004),"")</f>
        <v>EUR</v>
      </c>
      <c r="E7" s="33">
        <f>IF(B7="",0,SUMIFS('04_Trades'!$G$5:$G$1004,'04_Trades'!$E$5:$E$1004,B7,'04_Trades'!$C$5:$C$1004,"BUY"))</f>
        <v>1266</v>
      </c>
      <c r="F7" s="33">
        <f>IF(B7="",0,SUMIFS('04_Trades'!$G$5:$G$1004,'04_Trades'!$E$5:$E$1004,B7,'04_Trades'!$C$5:$C$1004,"SELL"))</f>
        <v>0</v>
      </c>
      <c r="G7" s="27">
        <f t="shared" si="1"/>
        <v>1266</v>
      </c>
      <c r="H7" s="33">
        <f>IFERROR(LOOKUP(2,1/('04_Trades'!$E$5:$E$1004=B7),'04_Trades'!$H$5:$H$1004),"")</f>
        <v>31.735199999999999</v>
      </c>
      <c r="I7" s="34">
        <f>IFERROR(VLOOKUP(D7,'02_FX_Rates'!$A$5:$B$10,2,FALSE),IFERROR(LOOKUP(2,1/('04_Trades'!$E$5:$E$1004=B7),'04_Trades'!$J$5:$J$1004),""))</f>
        <v>1</v>
      </c>
      <c r="J7" s="26">
        <f t="shared" si="2"/>
        <v>40176.763200000001</v>
      </c>
      <c r="K7" s="26">
        <f t="shared" si="3"/>
        <v>40176.763200000001</v>
      </c>
      <c r="L7" s="10">
        <f>IFERROR(SUMIFS('04_Trades'!$K$5:$K$1004,'04_Trades'!$E$5:$E$1004,B7,'04_Trades'!$C$5:$C$1004,"BUY")/SUMIFS('04_Trades'!$G$5:$G$1004,'04_Trades'!$E$5:$E$1004,B7,'04_Trades'!$C$5:$C$1004,"BUY"),"")</f>
        <v>31.662912322274867</v>
      </c>
      <c r="M7" s="26">
        <f t="shared" si="4"/>
        <v>91.516200000020035</v>
      </c>
      <c r="N7" s="76">
        <v>30.65</v>
      </c>
      <c r="O7" s="77">
        <f t="shared" si="5"/>
        <v>38802.9</v>
      </c>
      <c r="P7" s="52">
        <f t="shared" si="6"/>
        <v>-1282.3469999999797</v>
      </c>
    </row>
    <row r="8" spans="1:16" x14ac:dyDescent="0.2">
      <c r="A8" s="23">
        <f t="shared" si="0"/>
        <v>4</v>
      </c>
      <c r="B8" s="56" t="s">
        <v>149</v>
      </c>
      <c r="C8" s="31" t="str">
        <f>IFERROR(LOOKUP(2,1/('04_Trades'!$E$5:$E$1004=B8),'04_Trades'!$D$5:$D$1004),"")</f>
        <v>CARRARO FINANCE 5.25% Apr30</v>
      </c>
      <c r="D8" s="32" t="str">
        <f>IFERROR(LOOKUP(2,1/('04_Trades'!$E$5:$E$1004=B8),'04_Trades'!$F$5:$F$1004),"")</f>
        <v>EUR</v>
      </c>
      <c r="E8" s="33">
        <f>IF(B8="",0,SUMIFS('04_Trades'!$G$5:$G$1004,'04_Trades'!$E$5:$E$1004,B8,'04_Trades'!$C$5:$C$1004,"BUY"))</f>
        <v>20000</v>
      </c>
      <c r="F8" s="33">
        <f>IF(B8="",0,SUMIFS('04_Trades'!$G$5:$G$1004,'04_Trades'!$E$5:$E$1004,B8,'04_Trades'!$C$5:$C$1004,"SELL"))</f>
        <v>0</v>
      </c>
      <c r="G8" s="27">
        <f t="shared" si="1"/>
        <v>20000</v>
      </c>
      <c r="H8" s="33">
        <f>IFERROR(LOOKUP(2,1/('04_Trades'!$E$5:$E$1004=B8),'04_Trades'!$H$5:$H$1004),"")</f>
        <v>1.0174000000000001</v>
      </c>
      <c r="I8" s="34">
        <f>IFERROR(VLOOKUP(D8,'02_FX_Rates'!$A$5:$B$10,2,FALSE),IFERROR(LOOKUP(2,1/('04_Trades'!$E$5:$E$1004=B8),'04_Trades'!$J$5:$J$1004),""))</f>
        <v>1</v>
      </c>
      <c r="J8" s="26">
        <f t="shared" si="2"/>
        <v>20348</v>
      </c>
      <c r="K8" s="26">
        <f t="shared" si="3"/>
        <v>20348</v>
      </c>
      <c r="L8" s="10">
        <f>IFERROR(SUMIFS('04_Trades'!$K$5:$K$1004,'04_Trades'!$E$5:$E$1004,B8,'04_Trades'!$C$5:$C$1004,"BUY")/SUMIFS('04_Trades'!$G$5:$G$1004,'04_Trades'!$E$5:$E$1004,B8,'04_Trades'!$C$5:$C$1004,"BUY"),"")</f>
        <v>1.0174000000000001</v>
      </c>
      <c r="M8" s="26">
        <f t="shared" si="4"/>
        <v>0</v>
      </c>
      <c r="N8" s="76">
        <v>1.0149999999999999</v>
      </c>
      <c r="O8" s="77">
        <f t="shared" si="5"/>
        <v>20299.999999999996</v>
      </c>
      <c r="P8" s="52">
        <f t="shared" si="6"/>
        <v>-48.000000000003638</v>
      </c>
    </row>
    <row r="9" spans="1:16" x14ac:dyDescent="0.2">
      <c r="A9" s="23">
        <f t="shared" si="0"/>
        <v>5</v>
      </c>
      <c r="B9" s="56" t="s">
        <v>152</v>
      </c>
      <c r="C9" s="31" t="str">
        <f>IFERROR(LOOKUP(2,1/('04_Trades'!$E$5:$E$1004=B9),'04_Trades'!$D$5:$D$1004),"")</f>
        <v>BOT Zero Coupon Dec25</v>
      </c>
      <c r="D9" s="32" t="str">
        <f>IFERROR(LOOKUP(2,1/('04_Trades'!$E$5:$E$1004=B9),'04_Trades'!$F$5:$F$1004),"")</f>
        <v>EUR</v>
      </c>
      <c r="E9" s="33">
        <f>IF(B9="",0,SUMIFS('04_Trades'!$G$5:$G$1004,'04_Trades'!$E$5:$E$1004,B9,'04_Trades'!$C$5:$C$1004,"BUY"))</f>
        <v>150000</v>
      </c>
      <c r="F9" s="33">
        <f>IF(B9="",0,SUMIFS('04_Trades'!$G$5:$G$1004,'04_Trades'!$E$5:$E$1004,B9,'04_Trades'!$C$5:$C$1004,"SELL"))</f>
        <v>150000</v>
      </c>
      <c r="G9" s="27">
        <f t="shared" si="1"/>
        <v>0</v>
      </c>
      <c r="H9" s="33">
        <f>IFERROR(LOOKUP(2,1/('04_Trades'!$E$5:$E$1004=B9),'04_Trades'!$H$5:$H$1004),"")</f>
        <v>1</v>
      </c>
      <c r="I9" s="34">
        <f>IFERROR(VLOOKUP(D9,'02_FX_Rates'!$A$5:$B$10,2,FALSE),IFERROR(LOOKUP(2,1/('04_Trades'!$E$5:$E$1004=B9),'04_Trades'!$J$5:$J$1004),""))</f>
        <v>1</v>
      </c>
      <c r="J9" s="26">
        <f t="shared" si="2"/>
        <v>0</v>
      </c>
      <c r="K9" s="26">
        <f t="shared" si="3"/>
        <v>0</v>
      </c>
      <c r="L9" s="10">
        <f>IFERROR(SUMIFS('04_Trades'!$K$5:$K$1004,'04_Trades'!$E$5:$E$1004,B9,'04_Trades'!$C$5:$C$1004,"BUY")/SUMIFS('04_Trades'!$G$5:$G$1004,'04_Trades'!$E$5:$E$1004,B9,'04_Trades'!$C$5:$C$1004,"BUY"),"")</f>
        <v>0.99385400000000002</v>
      </c>
      <c r="M9" s="26" t="str">
        <f t="shared" si="4"/>
        <v/>
      </c>
      <c r="N9" s="76">
        <v>1</v>
      </c>
      <c r="O9" s="77">
        <f t="shared" si="5"/>
        <v>0</v>
      </c>
      <c r="P9" s="52" t="str">
        <f t="shared" si="6"/>
        <v/>
      </c>
    </row>
    <row r="10" spans="1:16" x14ac:dyDescent="0.2">
      <c r="A10" s="23">
        <f t="shared" si="0"/>
        <v>6</v>
      </c>
      <c r="B10" s="56" t="s">
        <v>155</v>
      </c>
      <c r="C10" s="31" t="str">
        <f>IFERROR(LOOKUP(2,1/('04_Trades'!$E$5:$E$1004=B10),'04_Trades'!$D$5:$D$1004),"")</f>
        <v>iShares EUR High Yield Corp Bond UCITS ETF</v>
      </c>
      <c r="D10" s="32" t="str">
        <f>IFERROR(LOOKUP(2,1/('04_Trades'!$E$5:$E$1004=B10),'04_Trades'!$F$5:$F$1004),"")</f>
        <v>EUR</v>
      </c>
      <c r="E10" s="33">
        <f>IF(B10="",0,SUMIFS('04_Trades'!$G$5:$G$1004,'04_Trades'!$E$5:$E$1004,B10,'04_Trades'!$C$5:$C$1004,"BUY"))</f>
        <v>350</v>
      </c>
      <c r="F10" s="33">
        <f>IF(B10="",0,SUMIFS('04_Trades'!$G$5:$G$1004,'04_Trades'!$E$5:$E$1004,B10,'04_Trades'!$C$5:$C$1004,"SELL"))</f>
        <v>0</v>
      </c>
      <c r="G10" s="27">
        <f t="shared" si="1"/>
        <v>350</v>
      </c>
      <c r="H10" s="33">
        <f>IFERROR(LOOKUP(2,1/('04_Trades'!$E$5:$E$1004=B10),'04_Trades'!$H$5:$H$1004),"")</f>
        <v>92.9</v>
      </c>
      <c r="I10" s="34">
        <f>IFERROR(VLOOKUP(D10,'02_FX_Rates'!$A$5:$B$10,2,FALSE),IFERROR(LOOKUP(2,1/('04_Trades'!$E$5:$E$1004=B10),'04_Trades'!$J$5:$J$1004),""))</f>
        <v>1</v>
      </c>
      <c r="J10" s="26">
        <f t="shared" si="2"/>
        <v>32515.000000000004</v>
      </c>
      <c r="K10" s="26">
        <f t="shared" si="3"/>
        <v>32515.000000000004</v>
      </c>
      <c r="L10" s="10">
        <f>IFERROR(SUMIFS('04_Trades'!$K$5:$K$1004,'04_Trades'!$E$5:$E$1004,B10,'04_Trades'!$C$5:$C$1004,"BUY")/SUMIFS('04_Trades'!$G$5:$G$1004,'04_Trades'!$E$5:$E$1004,B10,'04_Trades'!$C$5:$C$1004,"BUY"),"")</f>
        <v>93.73571428571428</v>
      </c>
      <c r="M10" s="26">
        <f t="shared" si="4"/>
        <v>-292.49999999999636</v>
      </c>
      <c r="N10" s="76">
        <v>91.46</v>
      </c>
      <c r="O10" s="77">
        <f t="shared" si="5"/>
        <v>32010.999999999996</v>
      </c>
      <c r="P10" s="52">
        <f t="shared" si="6"/>
        <v>-796.50000000000364</v>
      </c>
    </row>
    <row r="11" spans="1:16" x14ac:dyDescent="0.2">
      <c r="A11" s="23">
        <f t="shared" si="0"/>
        <v>7</v>
      </c>
      <c r="B11" s="56" t="s">
        <v>158</v>
      </c>
      <c r="C11" s="31" t="str">
        <f>IFERROR(LOOKUP(2,1/('04_Trades'!$E$5:$E$1004=B11),'04_Trades'!$D$5:$D$1004),"")</f>
        <v>iShares FTSE MIB UCITS ETF Acc</v>
      </c>
      <c r="D11" s="32" t="str">
        <f>IFERROR(LOOKUP(2,1/('04_Trades'!$E$5:$E$1004=B11),'04_Trades'!$F$5:$F$1004),"")</f>
        <v>EUR</v>
      </c>
      <c r="E11" s="33">
        <f>IF(B11="",0,SUMIFS('04_Trades'!$G$5:$G$1004,'04_Trades'!$E$5:$E$1004,B11,'04_Trades'!$C$5:$C$1004,"BUY"))</f>
        <v>398</v>
      </c>
      <c r="F11" s="33">
        <f>IF(B11="",0,SUMIFS('04_Trades'!$G$5:$G$1004,'04_Trades'!$E$5:$E$1004,B11,'04_Trades'!$C$5:$C$1004,"SELL"))</f>
        <v>0</v>
      </c>
      <c r="G11" s="27">
        <f t="shared" si="1"/>
        <v>398</v>
      </c>
      <c r="H11" s="33">
        <f>IFERROR(LOOKUP(2,1/('04_Trades'!$E$5:$E$1004=B11),'04_Trades'!$H$5:$H$1004),"")</f>
        <v>233.9</v>
      </c>
      <c r="I11" s="34">
        <f>IFERROR(VLOOKUP(D11,'02_FX_Rates'!$A$5:$B$10,2,FALSE),IFERROR(LOOKUP(2,1/('04_Trades'!$E$5:$E$1004=B11),'04_Trades'!$J$5:$J$1004),""))</f>
        <v>1</v>
      </c>
      <c r="J11" s="26">
        <f t="shared" si="2"/>
        <v>93092.2</v>
      </c>
      <c r="K11" s="26">
        <f t="shared" si="3"/>
        <v>93092.2</v>
      </c>
      <c r="L11" s="10">
        <f>IFERROR(SUMIFS('04_Trades'!$K$5:$K$1004,'04_Trades'!$E$5:$E$1004,B11,'04_Trades'!$C$5:$C$1004,"BUY")/SUMIFS('04_Trades'!$G$5:$G$1004,'04_Trades'!$E$5:$E$1004,B11,'04_Trades'!$C$5:$C$1004,"BUY"),"")</f>
        <v>210.34251256281405</v>
      </c>
      <c r="M11" s="26">
        <f t="shared" si="4"/>
        <v>9375.8800000000047</v>
      </c>
      <c r="N11" s="76">
        <v>242.85</v>
      </c>
      <c r="O11" s="77">
        <f t="shared" si="5"/>
        <v>96654.3</v>
      </c>
      <c r="P11" s="52">
        <f t="shared" si="6"/>
        <v>12937.98000000001</v>
      </c>
    </row>
    <row r="12" spans="1:16" x14ac:dyDescent="0.2">
      <c r="A12" s="23">
        <f t="shared" si="0"/>
        <v>8</v>
      </c>
      <c r="B12" s="56" t="s">
        <v>161</v>
      </c>
      <c r="C12" s="31" t="str">
        <f>IFERROR(LOOKUP(2,1/('04_Trades'!$E$5:$E$1004=B12),'04_Trades'!$D$5:$D$1004),"")</f>
        <v>EXOR NV</v>
      </c>
      <c r="D12" s="32" t="str">
        <f>IFERROR(LOOKUP(2,1/('04_Trades'!$E$5:$E$1004=B12),'04_Trades'!$F$5:$F$1004),"")</f>
        <v>EUR</v>
      </c>
      <c r="E12" s="33">
        <f>IF(B12="",0,SUMIFS('04_Trades'!$G$5:$G$1004,'04_Trades'!$E$5:$E$1004,B12,'04_Trades'!$C$5:$C$1004,"BUY"))</f>
        <v>520</v>
      </c>
      <c r="F12" s="33">
        <f>IF(B12="",0,SUMIFS('04_Trades'!$G$5:$G$1004,'04_Trades'!$E$5:$E$1004,B12,'04_Trades'!$C$5:$C$1004,"SELL"))</f>
        <v>0</v>
      </c>
      <c r="G12" s="27">
        <f t="shared" si="1"/>
        <v>520</v>
      </c>
      <c r="H12" s="33">
        <f>IFERROR(LOOKUP(2,1/('04_Trades'!$E$5:$E$1004=B12),'04_Trades'!$H$5:$H$1004),"")</f>
        <v>75.914749999999998</v>
      </c>
      <c r="I12" s="34">
        <f>IFERROR(VLOOKUP(D12,'02_FX_Rates'!$A$5:$B$10,2,FALSE),IFERROR(LOOKUP(2,1/('04_Trades'!$E$5:$E$1004=B12),'04_Trades'!$J$5:$J$1004),""))</f>
        <v>1</v>
      </c>
      <c r="J12" s="26">
        <f t="shared" si="2"/>
        <v>39475.67</v>
      </c>
      <c r="K12" s="26">
        <f t="shared" si="3"/>
        <v>39475.67</v>
      </c>
      <c r="L12" s="10">
        <f>IFERROR(SUMIFS('04_Trades'!$K$5:$K$1004,'04_Trades'!$E$5:$E$1004,B12,'04_Trades'!$C$5:$C$1004,"BUY")/SUMIFS('04_Trades'!$G$5:$G$1004,'04_Trades'!$E$5:$E$1004,B12,'04_Trades'!$C$5:$C$1004,"BUY"),"")</f>
        <v>81.54221153846153</v>
      </c>
      <c r="M12" s="26">
        <f t="shared" si="4"/>
        <v>-2926.2799999999988</v>
      </c>
      <c r="N12" s="76">
        <v>66.45</v>
      </c>
      <c r="O12" s="77">
        <f t="shared" si="5"/>
        <v>34554</v>
      </c>
      <c r="P12" s="52">
        <f t="shared" si="6"/>
        <v>-7847.9499999999971</v>
      </c>
    </row>
    <row r="13" spans="1:16" x14ac:dyDescent="0.2">
      <c r="A13" s="23">
        <f t="shared" si="0"/>
        <v>9</v>
      </c>
      <c r="B13" s="56" t="s">
        <v>164</v>
      </c>
      <c r="C13" s="31" t="str">
        <f>IFERROR(LOOKUP(2,1/('04_Trades'!$E$5:$E$1004=B13),'04_Trades'!$D$5:$D$1004),"")</f>
        <v>FERRARI NV</v>
      </c>
      <c r="D13" s="32" t="str">
        <f>IFERROR(LOOKUP(2,1/('04_Trades'!$E$5:$E$1004=B13),'04_Trades'!$F$5:$F$1004),"")</f>
        <v>EUR</v>
      </c>
      <c r="E13" s="33">
        <f>IF(B13="",0,SUMIFS('04_Trades'!$G$5:$G$1004,'04_Trades'!$E$5:$E$1004,B13,'04_Trades'!$C$5:$C$1004,"BUY"))</f>
        <v>300</v>
      </c>
      <c r="F13" s="33">
        <f>IF(B13="",0,SUMIFS('04_Trades'!$G$5:$G$1004,'04_Trades'!$E$5:$E$1004,B13,'04_Trades'!$C$5:$C$1004,"SELL"))</f>
        <v>0</v>
      </c>
      <c r="G13" s="27">
        <f t="shared" si="1"/>
        <v>300</v>
      </c>
      <c r="H13" s="33">
        <f>IFERROR(LOOKUP(2,1/('04_Trades'!$E$5:$E$1004=B13),'04_Trades'!$H$5:$H$1004),"")</f>
        <v>360.41800000000001</v>
      </c>
      <c r="I13" s="34">
        <f>IFERROR(VLOOKUP(D13,'02_FX_Rates'!$A$5:$B$10,2,FALSE),IFERROR(LOOKUP(2,1/('04_Trades'!$E$5:$E$1004=B13),'04_Trades'!$J$5:$J$1004),""))</f>
        <v>1</v>
      </c>
      <c r="J13" s="26">
        <f t="shared" si="2"/>
        <v>108125.40000000001</v>
      </c>
      <c r="K13" s="26">
        <f t="shared" si="3"/>
        <v>108125.40000000001</v>
      </c>
      <c r="L13" s="10">
        <f>IFERROR(SUMIFS('04_Trades'!$K$5:$K$1004,'04_Trades'!$E$5:$E$1004,B13,'04_Trades'!$C$5:$C$1004,"BUY")/SUMIFS('04_Trades'!$G$5:$G$1004,'04_Trades'!$E$5:$E$1004,B13,'04_Trades'!$C$5:$C$1004,"BUY"),"")</f>
        <v>389.24099999999999</v>
      </c>
      <c r="M13" s="26">
        <f t="shared" si="4"/>
        <v>-8646.8999999999796</v>
      </c>
      <c r="N13" s="76">
        <v>279.75</v>
      </c>
      <c r="O13" s="77">
        <f t="shared" si="5"/>
        <v>83925</v>
      </c>
      <c r="P13" s="52">
        <f t="shared" si="6"/>
        <v>-32847.299999999988</v>
      </c>
    </row>
    <row r="14" spans="1:16" x14ac:dyDescent="0.2">
      <c r="A14" s="23">
        <f t="shared" si="0"/>
        <v>10</v>
      </c>
      <c r="B14" s="56" t="s">
        <v>167</v>
      </c>
      <c r="C14" s="31" t="str">
        <f>IFERROR(LOOKUP(2,1/('04_Trades'!$E$5:$E$1004=B14),'04_Trades'!$D$5:$D$1004),"")</f>
        <v>Bitwise Physical Bitcoin ETP</v>
      </c>
      <c r="D14" s="32" t="str">
        <f>IFERROR(LOOKUP(2,1/('04_Trades'!$E$5:$E$1004=B14),'04_Trades'!$F$5:$F$1004),"")</f>
        <v>EUR</v>
      </c>
      <c r="E14" s="33">
        <f>IF(B14="",0,SUMIFS('04_Trades'!$G$5:$G$1004,'04_Trades'!$E$5:$E$1004,B14,'04_Trades'!$C$5:$C$1004,"BUY"))</f>
        <v>534</v>
      </c>
      <c r="F14" s="33">
        <f>IF(B14="",0,SUMIFS('04_Trades'!$G$5:$G$1004,'04_Trades'!$E$5:$E$1004,B14,'04_Trades'!$C$5:$C$1004,"SELL"))</f>
        <v>0</v>
      </c>
      <c r="G14" s="27">
        <f t="shared" si="1"/>
        <v>534</v>
      </c>
      <c r="H14" s="33">
        <f>IFERROR(LOOKUP(2,1/('04_Trades'!$E$5:$E$1004=B14),'04_Trades'!$H$5:$H$1004),"")</f>
        <v>50.155200000000001</v>
      </c>
      <c r="I14" s="34">
        <f>IFERROR(VLOOKUP(D14,'02_FX_Rates'!$A$5:$B$10,2,FALSE),IFERROR(LOOKUP(2,1/('04_Trades'!$E$5:$E$1004=B14),'04_Trades'!$J$5:$J$1004),""))</f>
        <v>1</v>
      </c>
      <c r="J14" s="26">
        <f t="shared" si="2"/>
        <v>26782.876800000002</v>
      </c>
      <c r="K14" s="26">
        <f t="shared" si="3"/>
        <v>26782.876800000002</v>
      </c>
      <c r="L14" s="10">
        <f>IFERROR(SUMIFS('04_Trades'!$K$5:$K$1004,'04_Trades'!$E$5:$E$1004,B14,'04_Trades'!$C$5:$C$1004,"BUY")/SUMIFS('04_Trades'!$G$5:$G$1004,'04_Trades'!$E$5:$E$1004,B14,'04_Trades'!$C$5:$C$1004,"BUY"),"")</f>
        <v>62.698133707865161</v>
      </c>
      <c r="M14" s="26">
        <f t="shared" si="4"/>
        <v>-6697.9265999999952</v>
      </c>
      <c r="N14" s="76">
        <v>60.5</v>
      </c>
      <c r="O14" s="77">
        <f t="shared" si="5"/>
        <v>32307</v>
      </c>
      <c r="P14" s="52">
        <f t="shared" si="6"/>
        <v>-1173.8033999999971</v>
      </c>
    </row>
    <row r="15" spans="1:16" x14ac:dyDescent="0.2">
      <c r="A15" s="23">
        <f t="shared" si="0"/>
        <v>11</v>
      </c>
      <c r="B15" s="56" t="s">
        <v>170</v>
      </c>
      <c r="C15" s="31" t="str">
        <f>IFERROR(LOOKUP(2,1/('04_Trades'!$E$5:$E$1004=B15),'04_Trades'!$D$5:$D$1004),"")</f>
        <v>ITALGAS</v>
      </c>
      <c r="D15" s="32" t="str">
        <f>IFERROR(LOOKUP(2,1/('04_Trades'!$E$5:$E$1004=B15),'04_Trades'!$F$5:$F$1004),"")</f>
        <v>EUR</v>
      </c>
      <c r="E15" s="33">
        <f>IF(B15="",0,SUMIFS('04_Trades'!$G$5:$G$1004,'04_Trades'!$E$5:$E$1004,B15,'04_Trades'!$C$5:$C$1004,"BUY"))</f>
        <v>1000</v>
      </c>
      <c r="F15" s="33">
        <f>IF(B15="",0,SUMIFS('04_Trades'!$G$5:$G$1004,'04_Trades'!$E$5:$E$1004,B15,'04_Trades'!$C$5:$C$1004,"SELL"))</f>
        <v>0</v>
      </c>
      <c r="G15" s="27">
        <f t="shared" si="1"/>
        <v>1000</v>
      </c>
      <c r="H15" s="33">
        <f>IFERROR(LOOKUP(2,1/('04_Trades'!$E$5:$E$1004=B15),'04_Trades'!$H$5:$H$1004),"")</f>
        <v>7.2149999999999999</v>
      </c>
      <c r="I15" s="34">
        <f>IFERROR(VLOOKUP(D15,'02_FX_Rates'!$A$5:$B$10,2,FALSE),IFERROR(LOOKUP(2,1/('04_Trades'!$E$5:$E$1004=B15),'04_Trades'!$J$5:$J$1004),""))</f>
        <v>1</v>
      </c>
      <c r="J15" s="26">
        <f t="shared" si="2"/>
        <v>7215</v>
      </c>
      <c r="K15" s="26">
        <f t="shared" si="3"/>
        <v>7215</v>
      </c>
      <c r="L15" s="10">
        <f>IFERROR(SUMIFS('04_Trades'!$K$5:$K$1004,'04_Trades'!$E$5:$E$1004,B15,'04_Trades'!$C$5:$C$1004,"BUY")/SUMIFS('04_Trades'!$G$5:$G$1004,'04_Trades'!$E$5:$E$1004,B15,'04_Trades'!$C$5:$C$1004,"BUY"),"")</f>
        <v>7.2149999999999999</v>
      </c>
      <c r="M15" s="26">
        <f t="shared" si="4"/>
        <v>0</v>
      </c>
      <c r="N15" s="76">
        <v>7.2149999999999999</v>
      </c>
      <c r="O15" s="77">
        <f t="shared" si="5"/>
        <v>7215</v>
      </c>
      <c r="P15" s="52">
        <f t="shared" si="6"/>
        <v>0</v>
      </c>
    </row>
    <row r="16" spans="1:16" x14ac:dyDescent="0.2">
      <c r="A16" s="23">
        <f t="shared" si="0"/>
        <v>12</v>
      </c>
      <c r="B16" s="56" t="s">
        <v>172</v>
      </c>
      <c r="C16" s="31" t="str">
        <f>IFERROR(LOOKUP(2,1/('04_Trades'!$E$5:$E$1004=B16),'04_Trades'!$D$5:$D$1004),"")</f>
        <v>ASML HOLDING NV</v>
      </c>
      <c r="D16" s="32" t="str">
        <f>IFERROR(LOOKUP(2,1/('04_Trades'!$E$5:$E$1004=B16),'04_Trades'!$F$5:$F$1004),"")</f>
        <v>EUR</v>
      </c>
      <c r="E16" s="33">
        <f>IF(B16="",0,SUMIFS('04_Trades'!$G$5:$G$1004,'04_Trades'!$E$5:$E$1004,B16,'04_Trades'!$C$5:$C$1004,"BUY"))</f>
        <v>30</v>
      </c>
      <c r="F16" s="33">
        <f>IF(B16="",0,SUMIFS('04_Trades'!$G$5:$G$1004,'04_Trades'!$E$5:$E$1004,B16,'04_Trades'!$C$5:$C$1004,"SELL"))</f>
        <v>30</v>
      </c>
      <c r="G16" s="27">
        <f t="shared" si="1"/>
        <v>0</v>
      </c>
      <c r="H16" s="33">
        <f>IFERROR(LOOKUP(2,1/('04_Trades'!$E$5:$E$1004=B16),'04_Trades'!$H$5:$H$1004),"")</f>
        <v>1141.2</v>
      </c>
      <c r="I16" s="34">
        <f>IFERROR(VLOOKUP(D16,'02_FX_Rates'!$A$5:$B$10,2,FALSE),IFERROR(LOOKUP(2,1/('04_Trades'!$E$5:$E$1004=B16),'04_Trades'!$J$5:$J$1004),""))</f>
        <v>1</v>
      </c>
      <c r="J16" s="26">
        <f t="shared" si="2"/>
        <v>0</v>
      </c>
      <c r="K16" s="26">
        <f t="shared" si="3"/>
        <v>0</v>
      </c>
      <c r="L16" s="10">
        <f>IFERROR(SUMIFS('04_Trades'!$K$5:$K$1004,'04_Trades'!$E$5:$E$1004,B16,'04_Trades'!$C$5:$C$1004,"BUY")/SUMIFS('04_Trades'!$G$5:$G$1004,'04_Trades'!$E$5:$E$1004,B16,'04_Trades'!$C$5:$C$1004,"BUY"),"")</f>
        <v>615.70000000000005</v>
      </c>
      <c r="M16" s="26" t="str">
        <f t="shared" si="4"/>
        <v/>
      </c>
      <c r="N16" s="76">
        <v>600</v>
      </c>
      <c r="O16" s="77">
        <f t="shared" si="5"/>
        <v>0</v>
      </c>
      <c r="P16" s="52" t="str">
        <f t="shared" si="6"/>
        <v/>
      </c>
    </row>
    <row r="17" spans="1:16" x14ac:dyDescent="0.2">
      <c r="A17" s="23">
        <f t="shared" si="0"/>
        <v>13</v>
      </c>
      <c r="B17" s="56" t="s">
        <v>174</v>
      </c>
      <c r="C17" s="31" t="str">
        <f>IFERROR(LOOKUP(2,1/('04_Trades'!$E$5:$E$1004=B17),'04_Trades'!$D$5:$D$1004),"")</f>
        <v>PIAGGIO</v>
      </c>
      <c r="D17" s="32" t="str">
        <f>IFERROR(LOOKUP(2,1/('04_Trades'!$E$5:$E$1004=B17),'04_Trades'!$F$5:$F$1004),"")</f>
        <v>EUR</v>
      </c>
      <c r="E17" s="33">
        <f>IF(B17="",0,SUMIFS('04_Trades'!$G$5:$G$1004,'04_Trades'!$E$5:$E$1004,B17,'04_Trades'!$C$5:$C$1004,"BUY"))</f>
        <v>5000</v>
      </c>
      <c r="F17" s="33">
        <f>IF(B17="",0,SUMIFS('04_Trades'!$G$5:$G$1004,'04_Trades'!$E$5:$E$1004,B17,'04_Trades'!$C$5:$C$1004,"SELL"))</f>
        <v>0</v>
      </c>
      <c r="G17" s="27">
        <f t="shared" si="1"/>
        <v>5000</v>
      </c>
      <c r="H17" s="33">
        <f>IFERROR(LOOKUP(2,1/('04_Trades'!$E$5:$E$1004=B17),'04_Trades'!$H$5:$H$1004),"")</f>
        <v>1.9348000000000001</v>
      </c>
      <c r="I17" s="34">
        <f>IFERROR(VLOOKUP(D17,'02_FX_Rates'!$A$5:$B$10,2,FALSE),IFERROR(LOOKUP(2,1/('04_Trades'!$E$5:$E$1004=B17),'04_Trades'!$J$5:$J$1004),""))</f>
        <v>1</v>
      </c>
      <c r="J17" s="26">
        <f t="shared" si="2"/>
        <v>9674</v>
      </c>
      <c r="K17" s="26">
        <f t="shared" si="3"/>
        <v>9674</v>
      </c>
      <c r="L17" s="10">
        <f>IFERROR(SUMIFS('04_Trades'!$K$5:$K$1004,'04_Trades'!$E$5:$E$1004,B17,'04_Trades'!$C$5:$C$1004,"BUY")/SUMIFS('04_Trades'!$G$5:$G$1004,'04_Trades'!$E$5:$E$1004,B17,'04_Trades'!$C$5:$C$1004,"BUY"),"")</f>
        <v>1.9348000000000001</v>
      </c>
      <c r="M17" s="26">
        <f t="shared" si="4"/>
        <v>0</v>
      </c>
      <c r="N17" s="76">
        <v>1.93</v>
      </c>
      <c r="O17" s="77">
        <f t="shared" si="5"/>
        <v>9650</v>
      </c>
      <c r="P17" s="52">
        <f t="shared" si="6"/>
        <v>-24</v>
      </c>
    </row>
    <row r="18" spans="1:16" x14ac:dyDescent="0.2">
      <c r="A18" s="23">
        <f t="shared" si="0"/>
        <v>14</v>
      </c>
      <c r="B18" s="56" t="s">
        <v>177</v>
      </c>
      <c r="C18" s="31" t="str">
        <f>IFERROR(LOOKUP(2,1/('04_Trades'!$E$5:$E$1004=B18),'04_Trades'!$D$5:$D$1004),"")</f>
        <v>RAI WAY</v>
      </c>
      <c r="D18" s="32" t="str">
        <f>IFERROR(LOOKUP(2,1/('04_Trades'!$E$5:$E$1004=B18),'04_Trades'!$F$5:$F$1004),"")</f>
        <v>EUR</v>
      </c>
      <c r="E18" s="33">
        <f>IF(B18="",0,SUMIFS('04_Trades'!$G$5:$G$1004,'04_Trades'!$E$5:$E$1004,B18,'04_Trades'!$C$5:$C$1004,"BUY"))</f>
        <v>2000</v>
      </c>
      <c r="F18" s="33">
        <f>IF(B18="",0,SUMIFS('04_Trades'!$G$5:$G$1004,'04_Trades'!$E$5:$E$1004,B18,'04_Trades'!$C$5:$C$1004,"SELL"))</f>
        <v>2000</v>
      </c>
      <c r="G18" s="27">
        <f t="shared" si="1"/>
        <v>0</v>
      </c>
      <c r="H18" s="33">
        <f>IFERROR(LOOKUP(2,1/('04_Trades'!$E$5:$E$1004=B18),'04_Trades'!$H$5:$H$1004),"")</f>
        <v>6.14</v>
      </c>
      <c r="I18" s="34">
        <f>IFERROR(VLOOKUP(D18,'02_FX_Rates'!$A$5:$B$10,2,FALSE),IFERROR(LOOKUP(2,1/('04_Trades'!$E$5:$E$1004=B18),'04_Trades'!$J$5:$J$1004),""))</f>
        <v>1</v>
      </c>
      <c r="J18" s="26">
        <f t="shared" si="2"/>
        <v>0</v>
      </c>
      <c r="K18" s="26">
        <f t="shared" si="3"/>
        <v>0</v>
      </c>
      <c r="L18" s="10">
        <f>IFERROR(SUMIFS('04_Trades'!$K$5:$K$1004,'04_Trades'!$E$5:$E$1004,B18,'04_Trades'!$C$5:$C$1004,"BUY")/SUMIFS('04_Trades'!$G$5:$G$1004,'04_Trades'!$E$5:$E$1004,B18,'04_Trades'!$C$5:$C$1004,"BUY"),"")</f>
        <v>5.9781049999999993</v>
      </c>
      <c r="M18" s="26" t="str">
        <f t="shared" si="4"/>
        <v/>
      </c>
      <c r="N18" s="76">
        <v>5.99</v>
      </c>
      <c r="O18" s="77">
        <f t="shared" si="5"/>
        <v>0</v>
      </c>
      <c r="P18" s="52" t="str">
        <f t="shared" si="6"/>
        <v/>
      </c>
    </row>
    <row r="19" spans="1:16" x14ac:dyDescent="0.2">
      <c r="A19" s="23">
        <f t="shared" si="0"/>
        <v>15</v>
      </c>
      <c r="B19" s="56" t="s">
        <v>180</v>
      </c>
      <c r="C19" s="31" t="str">
        <f>IFERROR(LOOKUP(2,1/('04_Trades'!$E$5:$E$1004=B19),'04_Trades'!$D$5:$D$1004),"")</f>
        <v>NEXI</v>
      </c>
      <c r="D19" s="32" t="str">
        <f>IFERROR(LOOKUP(2,1/('04_Trades'!$E$5:$E$1004=B19),'04_Trades'!$F$5:$F$1004),"")</f>
        <v>EUR</v>
      </c>
      <c r="E19" s="33">
        <f>IF(B19="",0,SUMIFS('04_Trades'!$G$5:$G$1004,'04_Trades'!$E$5:$E$1004,B19,'04_Trades'!$C$5:$C$1004,"BUY"))</f>
        <v>3500</v>
      </c>
      <c r="F19" s="33">
        <f>IF(B19="",0,SUMIFS('04_Trades'!$G$5:$G$1004,'04_Trades'!$E$5:$E$1004,B19,'04_Trades'!$C$5:$C$1004,"SELL"))</f>
        <v>0</v>
      </c>
      <c r="G19" s="27">
        <f t="shared" si="1"/>
        <v>3500</v>
      </c>
      <c r="H19" s="33">
        <f>IFERROR(LOOKUP(2,1/('04_Trades'!$E$5:$E$1004=B19),'04_Trades'!$H$5:$H$1004),"")</f>
        <v>4.6749999999999998</v>
      </c>
      <c r="I19" s="34">
        <f>IFERROR(VLOOKUP(D19,'02_FX_Rates'!$A$5:$B$10,2,FALSE),IFERROR(LOOKUP(2,1/('04_Trades'!$E$5:$E$1004=B19),'04_Trades'!$J$5:$J$1004),""))</f>
        <v>1</v>
      </c>
      <c r="J19" s="26">
        <f t="shared" si="2"/>
        <v>16362.5</v>
      </c>
      <c r="K19" s="26">
        <f t="shared" si="3"/>
        <v>16362.5</v>
      </c>
      <c r="L19" s="10">
        <f>IFERROR(SUMIFS('04_Trades'!$K$5:$K$1004,'04_Trades'!$E$5:$E$1004,B19,'04_Trades'!$C$5:$C$1004,"BUY")/SUMIFS('04_Trades'!$G$5:$G$1004,'04_Trades'!$E$5:$E$1004,B19,'04_Trades'!$C$5:$C$1004,"BUY"),"")</f>
        <v>4.8147142857142855</v>
      </c>
      <c r="M19" s="26">
        <f t="shared" si="4"/>
        <v>-489</v>
      </c>
      <c r="N19" s="76">
        <v>4.66</v>
      </c>
      <c r="O19" s="77">
        <f t="shared" si="5"/>
        <v>16310</v>
      </c>
      <c r="P19" s="52">
        <f t="shared" si="6"/>
        <v>-541.5</v>
      </c>
    </row>
    <row r="20" spans="1:16" x14ac:dyDescent="0.2">
      <c r="A20" s="23">
        <f t="shared" si="0"/>
        <v>16</v>
      </c>
      <c r="B20" s="56" t="s">
        <v>183</v>
      </c>
      <c r="C20" s="31" t="str">
        <f>IFERROR(LOOKUP(2,1/('04_Trades'!$E$5:$E$1004=B20),'04_Trades'!$D$5:$D$1004),"")</f>
        <v>BOT Zero Coupon Jan26</v>
      </c>
      <c r="D20" s="32" t="str">
        <f>IFERROR(LOOKUP(2,1/('04_Trades'!$E$5:$E$1004=B20),'04_Trades'!$F$5:$F$1004),"")</f>
        <v>EUR</v>
      </c>
      <c r="E20" s="33">
        <f>IF(B20="",0,SUMIFS('04_Trades'!$G$5:$G$1004,'04_Trades'!$E$5:$E$1004,B20,'04_Trades'!$C$5:$C$1004,"BUY"))</f>
        <v>70000</v>
      </c>
      <c r="F20" s="33">
        <f>IF(B20="",0,SUMIFS('04_Trades'!$G$5:$G$1004,'04_Trades'!$E$5:$E$1004,B20,'04_Trades'!$C$5:$C$1004,"SELL"))</f>
        <v>70000</v>
      </c>
      <c r="G20" s="27">
        <f t="shared" si="1"/>
        <v>0</v>
      </c>
      <c r="H20" s="33">
        <f>IFERROR(LOOKUP(2,1/('04_Trades'!$E$5:$E$1004=B20),'04_Trades'!$H$5:$H$1004),"")</f>
        <v>1</v>
      </c>
      <c r="I20" s="34">
        <f>IFERROR(VLOOKUP(D20,'02_FX_Rates'!$A$5:$B$10,2,FALSE),IFERROR(LOOKUP(2,1/('04_Trades'!$E$5:$E$1004=B20),'04_Trades'!$J$5:$J$1004),""))</f>
        <v>1</v>
      </c>
      <c r="J20" s="26">
        <f t="shared" si="2"/>
        <v>0</v>
      </c>
      <c r="K20" s="26">
        <f t="shared" si="3"/>
        <v>0</v>
      </c>
      <c r="L20" s="10">
        <f>IFERROR(SUMIFS('04_Trades'!$K$5:$K$1004,'04_Trades'!$E$5:$E$1004,B20,'04_Trades'!$C$5:$C$1004,"BUY")/SUMIFS('04_Trades'!$G$5:$G$1004,'04_Trades'!$E$5:$E$1004,B20,'04_Trades'!$C$5:$C$1004,"BUY"),"")</f>
        <v>0.99363285714285721</v>
      </c>
      <c r="M20" s="26" t="str">
        <f t="shared" si="4"/>
        <v/>
      </c>
      <c r="N20" s="76">
        <v>1</v>
      </c>
      <c r="O20" s="77">
        <f t="shared" si="5"/>
        <v>0</v>
      </c>
      <c r="P20" s="52" t="str">
        <f t="shared" si="6"/>
        <v/>
      </c>
    </row>
    <row r="21" spans="1:16" x14ac:dyDescent="0.2">
      <c r="A21" s="23">
        <f t="shared" si="0"/>
        <v>17</v>
      </c>
      <c r="B21" s="56" t="s">
        <v>186</v>
      </c>
      <c r="C21" s="31" t="str">
        <f>IFERROR(LOOKUP(2,1/('04_Trades'!$E$5:$E$1004=B21),'04_Trades'!$D$5:$D$1004),"")</f>
        <v>Bitwise Ethereum Staking ETP</v>
      </c>
      <c r="D21" s="32" t="str">
        <f>IFERROR(LOOKUP(2,1/('04_Trades'!$E$5:$E$1004=B21),'04_Trades'!$F$5:$F$1004),"")</f>
        <v>EUR</v>
      </c>
      <c r="E21" s="33">
        <f>IF(B21="",0,SUMIFS('04_Trades'!$G$5:$G$1004,'04_Trades'!$E$5:$E$1004,B21,'04_Trades'!$C$5:$C$1004,"BUY"))</f>
        <v>2680</v>
      </c>
      <c r="F21" s="33">
        <f>IF(B21="",0,SUMIFS('04_Trades'!$G$5:$G$1004,'04_Trades'!$E$5:$E$1004,B21,'04_Trades'!$C$5:$C$1004,"SELL"))</f>
        <v>0</v>
      </c>
      <c r="G21" s="27">
        <f t="shared" si="1"/>
        <v>2680</v>
      </c>
      <c r="H21" s="33">
        <f>IFERROR(LOOKUP(2,1/('04_Trades'!$E$5:$E$1004=B21),'04_Trades'!$H$5:$H$1004),"")</f>
        <v>3.4314</v>
      </c>
      <c r="I21" s="34">
        <f>IFERROR(VLOOKUP(D21,'02_FX_Rates'!$A$5:$B$10,2,FALSE),IFERROR(LOOKUP(2,1/('04_Trades'!$E$5:$E$1004=B21),'04_Trades'!$J$5:$J$1004),""))</f>
        <v>1</v>
      </c>
      <c r="J21" s="26">
        <f t="shared" si="2"/>
        <v>9196.152</v>
      </c>
      <c r="K21" s="26">
        <f t="shared" si="3"/>
        <v>9196.152</v>
      </c>
      <c r="L21" s="10">
        <f>IFERROR(SUMIFS('04_Trades'!$K$5:$K$1004,'04_Trades'!$E$5:$E$1004,B21,'04_Trades'!$C$5:$C$1004,"BUY")/SUMIFS('04_Trades'!$G$5:$G$1004,'04_Trades'!$E$5:$E$1004,B21,'04_Trades'!$C$5:$C$1004,"BUY"),"")</f>
        <v>5.3524705223880593</v>
      </c>
      <c r="M21" s="26">
        <f t="shared" si="4"/>
        <v>-5148.4689999999991</v>
      </c>
      <c r="N21" s="76">
        <v>3.5</v>
      </c>
      <c r="O21" s="77">
        <f t="shared" si="5"/>
        <v>9380</v>
      </c>
      <c r="P21" s="52">
        <f t="shared" si="6"/>
        <v>-4964.6209999999992</v>
      </c>
    </row>
    <row r="22" spans="1:16" x14ac:dyDescent="0.2">
      <c r="A22" s="23">
        <f t="shared" si="0"/>
        <v>18</v>
      </c>
      <c r="B22" s="56" t="s">
        <v>189</v>
      </c>
      <c r="C22" s="31" t="str">
        <f>IFERROR(LOOKUP(2,1/('04_Trades'!$E$5:$E$1004=B22),'04_Trades'!$D$5:$D$1004),"")</f>
        <v>Bitwise Physical Ethereum ETP</v>
      </c>
      <c r="D22" s="32" t="str">
        <f>IFERROR(LOOKUP(2,1/('04_Trades'!$E$5:$E$1004=B22),'04_Trades'!$F$5:$F$1004),"")</f>
        <v>EUR</v>
      </c>
      <c r="E22" s="33">
        <f>IF(B22="",0,SUMIFS('04_Trades'!$G$5:$G$1004,'04_Trades'!$E$5:$E$1004,B22,'04_Trades'!$C$5:$C$1004,"BUY"))</f>
        <v>225</v>
      </c>
      <c r="F22" s="33">
        <f>IF(B22="",0,SUMIFS('04_Trades'!$G$5:$G$1004,'04_Trades'!$E$5:$E$1004,B22,'04_Trades'!$C$5:$C$1004,"SELL"))</f>
        <v>0</v>
      </c>
      <c r="G22" s="27">
        <f t="shared" si="1"/>
        <v>225</v>
      </c>
      <c r="H22" s="33">
        <f>IFERROR(LOOKUP(2,1/('04_Trades'!$E$5:$E$1004=B22),'04_Trades'!$H$5:$H$1004),"")</f>
        <v>34.96</v>
      </c>
      <c r="I22" s="34">
        <f>IFERROR(VLOOKUP(D22,'02_FX_Rates'!$A$5:$B$10,2,FALSE),IFERROR(LOOKUP(2,1/('04_Trades'!$E$5:$E$1004=B22),'04_Trades'!$J$5:$J$1004),""))</f>
        <v>1</v>
      </c>
      <c r="J22" s="26">
        <f t="shared" si="2"/>
        <v>7866</v>
      </c>
      <c r="K22" s="26">
        <f t="shared" si="3"/>
        <v>7866</v>
      </c>
      <c r="L22" s="10">
        <f>IFERROR(SUMIFS('04_Trades'!$K$5:$K$1004,'04_Trades'!$E$5:$E$1004,B22,'04_Trades'!$C$5:$C$1004,"BUY")/SUMIFS('04_Trades'!$G$5:$G$1004,'04_Trades'!$E$5:$E$1004,B22,'04_Trades'!$C$5:$C$1004,"BUY"),"")</f>
        <v>34.335564444444444</v>
      </c>
      <c r="M22" s="26">
        <f t="shared" si="4"/>
        <v>140.4980000000005</v>
      </c>
      <c r="N22" s="76">
        <v>30</v>
      </c>
      <c r="O22" s="77">
        <f t="shared" si="5"/>
        <v>6750</v>
      </c>
      <c r="P22" s="52">
        <f t="shared" si="6"/>
        <v>-975.5019999999995</v>
      </c>
    </row>
    <row r="23" spans="1:16" x14ac:dyDescent="0.2">
      <c r="A23" s="23">
        <f t="shared" si="0"/>
        <v>19</v>
      </c>
      <c r="B23" s="56" t="s">
        <v>192</v>
      </c>
      <c r="C23" s="31" t="str">
        <f>IFERROR(LOOKUP(2,1/('04_Trades'!$E$5:$E$1004=B23),'04_Trades'!$D$5:$D$1004),"")</f>
        <v>WisdomTree Core Physical Gold</v>
      </c>
      <c r="D23" s="32" t="str">
        <f>IFERROR(LOOKUP(2,1/('04_Trades'!$E$5:$E$1004=B23),'04_Trades'!$F$5:$F$1004),"")</f>
        <v>EUR</v>
      </c>
      <c r="E23" s="33">
        <f>IF(B23="",0,SUMIFS('04_Trades'!$G$5:$G$1004,'04_Trades'!$E$5:$E$1004,B23,'04_Trades'!$C$5:$C$1004,"BUY"))</f>
        <v>58</v>
      </c>
      <c r="F23" s="33">
        <f>IF(B23="",0,SUMIFS('04_Trades'!$G$5:$G$1004,'04_Trades'!$E$5:$E$1004,B23,'04_Trades'!$C$5:$C$1004,"SELL"))</f>
        <v>58</v>
      </c>
      <c r="G23" s="27">
        <f t="shared" si="1"/>
        <v>0</v>
      </c>
      <c r="H23" s="33">
        <f>IFERROR(LOOKUP(2,1/('04_Trades'!$E$5:$E$1004=B23),'04_Trades'!$H$5:$H$1004),"")</f>
        <v>383.63</v>
      </c>
      <c r="I23" s="34">
        <f>IFERROR(VLOOKUP(D23,'02_FX_Rates'!$A$5:$B$10,2,FALSE),IFERROR(LOOKUP(2,1/('04_Trades'!$E$5:$E$1004=B23),'04_Trades'!$J$5:$J$1004),""))</f>
        <v>1</v>
      </c>
      <c r="J23" s="26">
        <f t="shared" si="2"/>
        <v>0</v>
      </c>
      <c r="K23" s="26">
        <f t="shared" si="3"/>
        <v>0</v>
      </c>
      <c r="L23" s="10">
        <f>IFERROR(SUMIFS('04_Trades'!$K$5:$K$1004,'04_Trades'!$E$5:$E$1004,B23,'04_Trades'!$C$5:$C$1004,"BUY")/SUMIFS('04_Trades'!$G$5:$G$1004,'04_Trades'!$E$5:$E$1004,B23,'04_Trades'!$C$5:$C$1004,"BUY"),"")</f>
        <v>316.38637931034475</v>
      </c>
      <c r="M23" s="26" t="str">
        <f t="shared" si="4"/>
        <v/>
      </c>
      <c r="N23" s="76">
        <v>437.88</v>
      </c>
      <c r="O23" s="77">
        <f t="shared" si="5"/>
        <v>0</v>
      </c>
      <c r="P23" s="52" t="str">
        <f t="shared" si="6"/>
        <v/>
      </c>
    </row>
    <row r="24" spans="1:16" x14ac:dyDescent="0.2">
      <c r="A24" s="23">
        <f t="shared" si="0"/>
        <v>20</v>
      </c>
      <c r="B24" s="56" t="s">
        <v>195</v>
      </c>
      <c r="C24" s="31" t="str">
        <f>IFERROR(LOOKUP(2,1/('04_Trades'!$E$5:$E$1004=B24),'04_Trades'!$D$5:$D$1004),"")</f>
        <v>WisdomTree Physical Silver</v>
      </c>
      <c r="D24" s="32" t="str">
        <f>IFERROR(LOOKUP(2,1/('04_Trades'!$E$5:$E$1004=B24),'04_Trades'!$F$5:$F$1004),"")</f>
        <v>EUR</v>
      </c>
      <c r="E24" s="33">
        <f>IF(B24="",0,SUMIFS('04_Trades'!$G$5:$G$1004,'04_Trades'!$E$5:$E$1004,B24,'04_Trades'!$C$5:$C$1004,"BUY"))</f>
        <v>386</v>
      </c>
      <c r="F24" s="33">
        <f>IF(B24="",0,SUMIFS('04_Trades'!$G$5:$G$1004,'04_Trades'!$E$5:$E$1004,B24,'04_Trades'!$C$5:$C$1004,"SELL"))</f>
        <v>386</v>
      </c>
      <c r="G24" s="27">
        <f t="shared" si="1"/>
        <v>0</v>
      </c>
      <c r="H24" s="33">
        <f>IFERROR(LOOKUP(2,1/('04_Trades'!$E$5:$E$1004=B24),'04_Trades'!$H$5:$H$1004),"")</f>
        <v>38.695</v>
      </c>
      <c r="I24" s="34">
        <f>IFERROR(VLOOKUP(D24,'02_FX_Rates'!$A$5:$B$10,2,FALSE),IFERROR(LOOKUP(2,1/('04_Trades'!$E$5:$E$1004=B24),'04_Trades'!$J$5:$J$1004),""))</f>
        <v>1</v>
      </c>
      <c r="J24" s="26">
        <f t="shared" si="2"/>
        <v>0</v>
      </c>
      <c r="K24" s="26">
        <f t="shared" si="3"/>
        <v>0</v>
      </c>
      <c r="L24" s="10">
        <f>IFERROR(SUMIFS('04_Trades'!$K$5:$K$1004,'04_Trades'!$E$5:$E$1004,B24,'04_Trades'!$C$5:$C$1004,"BUY")/SUMIFS('04_Trades'!$G$5:$G$1004,'04_Trades'!$E$5:$E$1004,B24,'04_Trades'!$C$5:$C$1004,"BUY"),"")</f>
        <v>34.767797409326427</v>
      </c>
      <c r="M24" s="26" t="str">
        <f t="shared" si="4"/>
        <v/>
      </c>
      <c r="N24" s="76">
        <v>38.700000000000003</v>
      </c>
      <c r="O24" s="77">
        <f t="shared" si="5"/>
        <v>0</v>
      </c>
      <c r="P24" s="52" t="str">
        <f t="shared" si="6"/>
        <v/>
      </c>
    </row>
    <row r="25" spans="1:16" x14ac:dyDescent="0.2">
      <c r="A25" s="23">
        <f t="shared" si="0"/>
        <v>21</v>
      </c>
      <c r="B25" s="56" t="s">
        <v>201</v>
      </c>
      <c r="C25" s="31" t="str">
        <f>IFERROR(LOOKUP(2,1/('04_Trades'!$E$5:$E$1004=B25),'04_Trades'!$D$5:$D$1004),"")</f>
        <v>Bitwise Solana Staking ETP</v>
      </c>
      <c r="D25" s="32" t="str">
        <f>IFERROR(LOOKUP(2,1/('04_Trades'!$E$5:$E$1004=B25),'04_Trades'!$F$5:$F$1004),"")</f>
        <v>EUR</v>
      </c>
      <c r="E25" s="33">
        <f>IF(B25="",0,SUMIFS('04_Trades'!$G$5:$G$1004,'04_Trades'!$E$5:$E$1004,B25,'04_Trades'!$C$5:$C$1004,"BUY"))</f>
        <v>1600</v>
      </c>
      <c r="F25" s="33">
        <f>IF(B25="",0,SUMIFS('04_Trades'!$G$5:$G$1004,'04_Trades'!$E$5:$E$1004,B25,'04_Trades'!$C$5:$C$1004,"SELL"))</f>
        <v>0</v>
      </c>
      <c r="G25" s="27">
        <f t="shared" si="1"/>
        <v>1600</v>
      </c>
      <c r="H25" s="33">
        <f>IFERROR(LOOKUP(2,1/('04_Trades'!$E$5:$E$1004=B25),'04_Trades'!$H$5:$H$1004),"")</f>
        <v>3.7219000000000002</v>
      </c>
      <c r="I25" s="34">
        <f>IFERROR(VLOOKUP(D25,'02_FX_Rates'!$A$5:$B$10,2,FALSE),IFERROR(LOOKUP(2,1/('04_Trades'!$E$5:$E$1004=B25),'04_Trades'!$J$5:$J$1004),""))</f>
        <v>1</v>
      </c>
      <c r="J25" s="26">
        <f t="shared" si="2"/>
        <v>5955.04</v>
      </c>
      <c r="K25" s="26">
        <f t="shared" si="3"/>
        <v>5955.04</v>
      </c>
      <c r="L25" s="10">
        <f>IFERROR(SUMIFS('04_Trades'!$K$5:$K$1004,'04_Trades'!$E$5:$E$1004,B25,'04_Trades'!$C$5:$C$1004,"BUY")/SUMIFS('04_Trades'!$G$5:$G$1004,'04_Trades'!$E$5:$E$1004,B25,'04_Trades'!$C$5:$C$1004,"BUY"),"")</f>
        <v>4.7798625000000001</v>
      </c>
      <c r="M25" s="26">
        <f t="shared" si="4"/>
        <v>-1692.7400000000007</v>
      </c>
      <c r="N25" s="76">
        <v>3.8</v>
      </c>
      <c r="O25" s="77">
        <f t="shared" si="5"/>
        <v>6080</v>
      </c>
      <c r="P25" s="52">
        <f t="shared" si="6"/>
        <v>-1567.7800000000007</v>
      </c>
    </row>
    <row r="26" spans="1:16" x14ac:dyDescent="0.2">
      <c r="A26" s="23">
        <f t="shared" si="0"/>
        <v>22</v>
      </c>
      <c r="B26" s="56" t="s">
        <v>206</v>
      </c>
      <c r="C26" s="31" t="str">
        <f>IFERROR(LOOKUP(2,1/('04_Trades'!$E$5:$E$1004=B26),'04_Trades'!$D$5:$D$1004),"")</f>
        <v>Tamburi Investment Partners</v>
      </c>
      <c r="D26" s="32" t="str">
        <f>IFERROR(LOOKUP(2,1/('04_Trades'!$E$5:$E$1004=B26),'04_Trades'!$F$5:$F$1004),"")</f>
        <v>EUR</v>
      </c>
      <c r="E26" s="33">
        <f>IF(B26="",0,SUMIFS('04_Trades'!$G$5:$G$1004,'04_Trades'!$E$5:$E$1004,B26,'04_Trades'!$C$5:$C$1004,"BUY"))</f>
        <v>3500</v>
      </c>
      <c r="F26" s="33">
        <f>IF(B26="",0,SUMIFS('04_Trades'!$G$5:$G$1004,'04_Trades'!$E$5:$E$1004,B26,'04_Trades'!$C$5:$C$1004,"SELL"))</f>
        <v>0</v>
      </c>
      <c r="G26" s="27">
        <f t="shared" si="1"/>
        <v>3500</v>
      </c>
      <c r="H26" s="33">
        <f>IFERROR(LOOKUP(2,1/('04_Trades'!$E$5:$E$1004=B26),'04_Trades'!$H$5:$H$1004),"")</f>
        <v>8.36</v>
      </c>
      <c r="I26" s="34">
        <f>IFERROR(VLOOKUP(D26,'02_FX_Rates'!$A$5:$B$10,2,FALSE),IFERROR(LOOKUP(2,1/('04_Trades'!$E$5:$E$1004=B26),'04_Trades'!$J$5:$J$1004),""))</f>
        <v>1</v>
      </c>
      <c r="J26" s="26">
        <f t="shared" si="2"/>
        <v>29259.999999999996</v>
      </c>
      <c r="K26" s="26">
        <f t="shared" si="3"/>
        <v>29259.999999999996</v>
      </c>
      <c r="L26" s="10">
        <f>IFERROR(SUMIFS('04_Trades'!$K$5:$K$1004,'04_Trades'!$E$5:$E$1004,B26,'04_Trades'!$C$5:$C$1004,"BUY")/SUMIFS('04_Trades'!$G$5:$G$1004,'04_Trades'!$E$5:$E$1004,B26,'04_Trades'!$C$5:$C$1004,"BUY"),"")</f>
        <v>8.2830371428571432</v>
      </c>
      <c r="M26" s="26">
        <f t="shared" si="4"/>
        <v>269.36999999999534</v>
      </c>
      <c r="N26" s="76">
        <v>8.7200000000000006</v>
      </c>
      <c r="O26" s="77">
        <f t="shared" si="5"/>
        <v>30520.000000000004</v>
      </c>
      <c r="P26" s="52">
        <f t="shared" si="6"/>
        <v>1529.3700000000026</v>
      </c>
    </row>
    <row r="27" spans="1:16" x14ac:dyDescent="0.2">
      <c r="A27" s="23">
        <f t="shared" si="0"/>
        <v>23</v>
      </c>
      <c r="B27" s="56" t="s">
        <v>209</v>
      </c>
      <c r="C27" s="31" t="str">
        <f>IFERROR(LOOKUP(2,1/('04_Trades'!$E$5:$E$1004=B27),'04_Trades'!$D$5:$D$1004),"")</f>
        <v>ORACLE CORP</v>
      </c>
      <c r="D27" s="32" t="str">
        <f>IFERROR(LOOKUP(2,1/('04_Trades'!$E$5:$E$1004=B27),'04_Trades'!$F$5:$F$1004),"")</f>
        <v>USD</v>
      </c>
      <c r="E27" s="33">
        <f>IF(B27="",0,SUMIFS('04_Trades'!$G$5:$G$1004,'04_Trades'!$E$5:$E$1004,B27,'04_Trades'!$C$5:$C$1004,"BUY"))</f>
        <v>55</v>
      </c>
      <c r="F27" s="33">
        <f>IF(B27="",0,SUMIFS('04_Trades'!$G$5:$G$1004,'04_Trades'!$E$5:$E$1004,B27,'04_Trades'!$C$5:$C$1004,"SELL"))</f>
        <v>0</v>
      </c>
      <c r="G27" s="27">
        <f t="shared" si="1"/>
        <v>55</v>
      </c>
      <c r="H27" s="33">
        <f>IFERROR(LOOKUP(2,1/('04_Trades'!$E$5:$E$1004=B27),'04_Trades'!$H$5:$H$1004),"")</f>
        <v>290.7</v>
      </c>
      <c r="I27" s="34">
        <f>IFERROR(VLOOKUP(D27,'02_FX_Rates'!$A$5:$B$10,2,FALSE),IFERROR(LOOKUP(2,1/('04_Trades'!$E$5:$E$1004=B27),'04_Trades'!$J$5:$J$1004),""))</f>
        <v>0.92</v>
      </c>
      <c r="J27" s="26">
        <f t="shared" si="2"/>
        <v>15988.5</v>
      </c>
      <c r="K27" s="26">
        <f t="shared" si="3"/>
        <v>14709.42</v>
      </c>
      <c r="L27" s="10">
        <f>IFERROR(SUMIFS('04_Trades'!$K$5:$K$1004,'04_Trades'!$E$5:$E$1004,B27,'04_Trades'!$C$5:$C$1004,"BUY")/SUMIFS('04_Trades'!$G$5:$G$1004,'04_Trades'!$E$5:$E$1004,B27,'04_Trades'!$C$5:$C$1004,"BUY"),"")</f>
        <v>257.26603368472803</v>
      </c>
      <c r="M27" s="26">
        <f t="shared" si="4"/>
        <v>559.78814733995932</v>
      </c>
      <c r="N27" s="76">
        <v>194.59</v>
      </c>
      <c r="O27" s="77">
        <f t="shared" si="5"/>
        <v>9846.2540000000008</v>
      </c>
      <c r="P27" s="52">
        <f t="shared" si="6"/>
        <v>-4303.3778526600399</v>
      </c>
    </row>
    <row r="28" spans="1:16" x14ac:dyDescent="0.2">
      <c r="A28" s="23">
        <f t="shared" si="0"/>
        <v>24</v>
      </c>
      <c r="B28" s="56" t="s">
        <v>216</v>
      </c>
      <c r="C28" s="31" t="str">
        <f>IFERROR(LOOKUP(2,1/('04_Trades'!$E$5:$E$1004=B28),'04_Trades'!$D$5:$D$1004),"")</f>
        <v>IGD - Immobiliare Grande Distribuzione SIIQ</v>
      </c>
      <c r="D28" s="32" t="str">
        <f>IFERROR(LOOKUP(2,1/('04_Trades'!$E$5:$E$1004=B28),'04_Trades'!$F$5:$F$1004),"")</f>
        <v>EUR</v>
      </c>
      <c r="E28" s="33">
        <f>IF(B28="",0,SUMIFS('04_Trades'!$G$5:$G$1004,'04_Trades'!$E$5:$E$1004,B28,'04_Trades'!$C$5:$C$1004,"BUY"))</f>
        <v>3000</v>
      </c>
      <c r="F28" s="33">
        <f>IF(B28="",0,SUMIFS('04_Trades'!$G$5:$G$1004,'04_Trades'!$E$5:$E$1004,B28,'04_Trades'!$C$5:$C$1004,"SELL"))</f>
        <v>0</v>
      </c>
      <c r="G28" s="27">
        <f t="shared" si="1"/>
        <v>3000</v>
      </c>
      <c r="H28" s="33">
        <f>IFERROR(LOOKUP(2,1/('04_Trades'!$E$5:$E$1004=B28),'04_Trades'!$H$5:$H$1004),"")</f>
        <v>3.3345950000000002</v>
      </c>
      <c r="I28" s="34">
        <f>IFERROR(VLOOKUP(D28,'02_FX_Rates'!$A$5:$B$10,2,FALSE),IFERROR(LOOKUP(2,1/('04_Trades'!$E$5:$E$1004=B28),'04_Trades'!$J$5:$J$1004),""))</f>
        <v>1</v>
      </c>
      <c r="J28" s="26">
        <f t="shared" si="2"/>
        <v>10003.785</v>
      </c>
      <c r="K28" s="26">
        <f t="shared" si="3"/>
        <v>10003.785</v>
      </c>
      <c r="L28" s="10">
        <f>IFERROR(SUMIFS('04_Trades'!$K$5:$K$1004,'04_Trades'!$E$5:$E$1004,B28,'04_Trades'!$C$5:$C$1004,"BUY")/SUMIFS('04_Trades'!$G$5:$G$1004,'04_Trades'!$E$5:$E$1004,B28,'04_Trades'!$C$5:$C$1004,"BUY"),"")</f>
        <v>3.3363966666666669</v>
      </c>
      <c r="M28" s="26">
        <f t="shared" si="4"/>
        <v>-5.4050000000006548</v>
      </c>
      <c r="N28" s="76">
        <v>3.34</v>
      </c>
      <c r="O28" s="77">
        <f t="shared" si="5"/>
        <v>10020</v>
      </c>
      <c r="P28" s="52">
        <f t="shared" si="6"/>
        <v>10.809999999999491</v>
      </c>
    </row>
    <row r="29" spans="1:16" x14ac:dyDescent="0.2">
      <c r="A29" s="23">
        <f t="shared" si="0"/>
        <v>25</v>
      </c>
      <c r="B29" s="56" t="s">
        <v>219</v>
      </c>
      <c r="C29" s="31" t="str">
        <f>IFERROR(LOOKUP(2,1/('04_Trades'!$E$5:$E$1004=B29),'04_Trades'!$D$5:$D$1004),"")</f>
        <v>WisdomTree New Economy Real Estate UCITS ETF</v>
      </c>
      <c r="D29" s="32" t="str">
        <f>IFERROR(LOOKUP(2,1/('04_Trades'!$E$5:$E$1004=B29),'04_Trades'!$F$5:$F$1004),"")</f>
        <v>EUR</v>
      </c>
      <c r="E29" s="33">
        <f>IF(B29="",0,SUMIFS('04_Trades'!$G$5:$G$1004,'04_Trades'!$E$5:$E$1004,B29,'04_Trades'!$C$5:$C$1004,"BUY"))</f>
        <v>1000</v>
      </c>
      <c r="F29" s="33">
        <f>IF(B29="",0,SUMIFS('04_Trades'!$G$5:$G$1004,'04_Trades'!$E$5:$E$1004,B29,'04_Trades'!$C$5:$C$1004,"SELL"))</f>
        <v>0</v>
      </c>
      <c r="G29" s="27">
        <f t="shared" si="1"/>
        <v>1000</v>
      </c>
      <c r="H29" s="33">
        <f>IFERROR(LOOKUP(2,1/('04_Trades'!$E$5:$E$1004=B29),'04_Trades'!$H$5:$H$1004),"")</f>
        <v>23.45</v>
      </c>
      <c r="I29" s="34">
        <f>IFERROR(VLOOKUP(D29,'02_FX_Rates'!$A$5:$B$10,2,FALSE),IFERROR(LOOKUP(2,1/('04_Trades'!$E$5:$E$1004=B29),'04_Trades'!$J$5:$J$1004),""))</f>
        <v>1</v>
      </c>
      <c r="J29" s="26">
        <f t="shared" si="2"/>
        <v>23450</v>
      </c>
      <c r="K29" s="26">
        <f t="shared" si="3"/>
        <v>23450</v>
      </c>
      <c r="L29" s="10">
        <f>IFERROR(SUMIFS('04_Trades'!$K$5:$K$1004,'04_Trades'!$E$5:$E$1004,B29,'04_Trades'!$C$5:$C$1004,"BUY")/SUMIFS('04_Trades'!$G$5:$G$1004,'04_Trades'!$E$5:$E$1004,B29,'04_Trades'!$C$5:$C$1004,"BUY"),"")</f>
        <v>23.45</v>
      </c>
      <c r="M29" s="26">
        <f t="shared" si="4"/>
        <v>0</v>
      </c>
      <c r="N29" s="76">
        <v>23.45</v>
      </c>
      <c r="O29" s="77">
        <f t="shared" si="5"/>
        <v>23450</v>
      </c>
      <c r="P29" s="52">
        <f t="shared" si="6"/>
        <v>0</v>
      </c>
    </row>
    <row r="30" spans="1:16" x14ac:dyDescent="0.2">
      <c r="A30" s="23">
        <f t="shared" si="0"/>
        <v>26</v>
      </c>
      <c r="B30" s="56" t="s">
        <v>223</v>
      </c>
      <c r="C30" s="31" t="str">
        <f>IFERROR(LOOKUP(2,1/('04_Trades'!$E$5:$E$1004=B30),'04_Trades'!$D$5:$D$1004),"")</f>
        <v>B&amp;C Speakers</v>
      </c>
      <c r="D30" s="32" t="str">
        <f>IFERROR(LOOKUP(2,1/('04_Trades'!$E$5:$E$1004=B30),'04_Trades'!$F$5:$F$1004),"")</f>
        <v>EUR</v>
      </c>
      <c r="E30" s="33">
        <f>IF(B30="",0,SUMIFS('04_Trades'!$G$5:$G$1004,'04_Trades'!$E$5:$E$1004,B30,'04_Trades'!$C$5:$C$1004,"BUY"))</f>
        <v>936</v>
      </c>
      <c r="F30" s="33">
        <f>IF(B30="",0,SUMIFS('04_Trades'!$G$5:$G$1004,'04_Trades'!$E$5:$E$1004,B30,'04_Trades'!$C$5:$C$1004,"SELL"))</f>
        <v>0</v>
      </c>
      <c r="G30" s="27">
        <f t="shared" si="1"/>
        <v>936</v>
      </c>
      <c r="H30" s="33">
        <f>IFERROR(LOOKUP(2,1/('04_Trades'!$E$5:$E$1004=B30),'04_Trades'!$H$5:$H$1004),"")</f>
        <v>15.7</v>
      </c>
      <c r="I30" s="34">
        <f>IFERROR(VLOOKUP(D30,'02_FX_Rates'!$A$5:$B$10,2,FALSE),IFERROR(LOOKUP(2,1/('04_Trades'!$E$5:$E$1004=B30),'04_Trades'!$J$5:$J$1004),""))</f>
        <v>1</v>
      </c>
      <c r="J30" s="26">
        <f t="shared" si="2"/>
        <v>14695.199999999999</v>
      </c>
      <c r="K30" s="26">
        <f t="shared" si="3"/>
        <v>14695.199999999999</v>
      </c>
      <c r="L30" s="10">
        <f>IFERROR(SUMIFS('04_Trades'!$K$5:$K$1004,'04_Trades'!$E$5:$E$1004,B30,'04_Trades'!$C$5:$C$1004,"BUY")/SUMIFS('04_Trades'!$G$5:$G$1004,'04_Trades'!$E$5:$E$1004,B30,'04_Trades'!$C$5:$C$1004,"BUY"),"")</f>
        <v>16.002777777777776</v>
      </c>
      <c r="M30" s="26">
        <f t="shared" si="4"/>
        <v>-283.39999999999964</v>
      </c>
      <c r="N30" s="76">
        <v>13.75</v>
      </c>
      <c r="O30" s="77">
        <f t="shared" si="5"/>
        <v>12870</v>
      </c>
      <c r="P30" s="52">
        <f t="shared" si="6"/>
        <v>-2108.5999999999985</v>
      </c>
    </row>
    <row r="31" spans="1:16" x14ac:dyDescent="0.2">
      <c r="A31" s="23">
        <f t="shared" si="0"/>
        <v>27</v>
      </c>
      <c r="B31" s="56" t="s">
        <v>226</v>
      </c>
      <c r="C31" s="31" t="str">
        <f>IFERROR(LOOKUP(2,1/('04_Trades'!$E$5:$E$1004=B31),'04_Trades'!$D$5:$D$1004),"")</f>
        <v>CY4GATE</v>
      </c>
      <c r="D31" s="32" t="str">
        <f>IFERROR(LOOKUP(2,1/('04_Trades'!$E$5:$E$1004=B31),'04_Trades'!$F$5:$F$1004),"")</f>
        <v>EUR</v>
      </c>
      <c r="E31" s="33">
        <f>IF(B31="",0,SUMIFS('04_Trades'!$G$5:$G$1004,'04_Trades'!$E$5:$E$1004,B31,'04_Trades'!$C$5:$C$1004,"BUY"))</f>
        <v>1500</v>
      </c>
      <c r="F31" s="33">
        <f>IF(B31="",0,SUMIFS('04_Trades'!$G$5:$G$1004,'04_Trades'!$E$5:$E$1004,B31,'04_Trades'!$C$5:$C$1004,"SELL"))</f>
        <v>0</v>
      </c>
      <c r="G31" s="27">
        <f t="shared" si="1"/>
        <v>1500</v>
      </c>
      <c r="H31" s="33">
        <f>IFERROR(LOOKUP(2,1/('04_Trades'!$E$5:$E$1004=B31),'04_Trades'!$H$5:$H$1004),"")</f>
        <v>5.47</v>
      </c>
      <c r="I31" s="34">
        <f>IFERROR(VLOOKUP(D31,'02_FX_Rates'!$A$5:$B$10,2,FALSE),IFERROR(LOOKUP(2,1/('04_Trades'!$E$5:$E$1004=B31),'04_Trades'!$J$5:$J$1004),""))</f>
        <v>1</v>
      </c>
      <c r="J31" s="26">
        <f t="shared" si="2"/>
        <v>8205</v>
      </c>
      <c r="K31" s="26">
        <f t="shared" si="3"/>
        <v>8205</v>
      </c>
      <c r="L31" s="10">
        <f>IFERROR(SUMIFS('04_Trades'!$K$5:$K$1004,'04_Trades'!$E$5:$E$1004,B31,'04_Trades'!$C$5:$C$1004,"BUY")/SUMIFS('04_Trades'!$G$5:$G$1004,'04_Trades'!$E$5:$E$1004,B31,'04_Trades'!$C$5:$C$1004,"BUY"),"")</f>
        <v>5.47</v>
      </c>
      <c r="M31" s="26">
        <f t="shared" si="4"/>
        <v>0</v>
      </c>
      <c r="N31" s="76">
        <v>7.36</v>
      </c>
      <c r="O31" s="77">
        <f t="shared" si="5"/>
        <v>11040</v>
      </c>
      <c r="P31" s="52">
        <f t="shared" si="6"/>
        <v>2835</v>
      </c>
    </row>
    <row r="32" spans="1:16" x14ac:dyDescent="0.2">
      <c r="A32" s="23">
        <f t="shared" si="0"/>
        <v>28</v>
      </c>
      <c r="B32" s="56" t="s">
        <v>229</v>
      </c>
      <c r="C32" s="31" t="str">
        <f>IFERROR(LOOKUP(2,1/('04_Trades'!$E$5:$E$1004=B32),'04_Trades'!$D$5:$D$1004),"")</f>
        <v>d'Amico International Shipping</v>
      </c>
      <c r="D32" s="32" t="str">
        <f>IFERROR(LOOKUP(2,1/('04_Trades'!$E$5:$E$1004=B32),'04_Trades'!$F$5:$F$1004),"")</f>
        <v>EUR</v>
      </c>
      <c r="E32" s="33">
        <f>IF(B32="",0,SUMIFS('04_Trades'!$G$5:$G$1004,'04_Trades'!$E$5:$E$1004,B32,'04_Trades'!$C$5:$C$1004,"BUY"))</f>
        <v>3000</v>
      </c>
      <c r="F32" s="33">
        <f>IF(B32="",0,SUMIFS('04_Trades'!$G$5:$G$1004,'04_Trades'!$E$5:$E$1004,B32,'04_Trades'!$C$5:$C$1004,"SELL"))</f>
        <v>0</v>
      </c>
      <c r="G32" s="27">
        <f t="shared" si="1"/>
        <v>3000</v>
      </c>
      <c r="H32" s="33">
        <f>IFERROR(LOOKUP(2,1/('04_Trades'!$E$5:$E$1004=B32),'04_Trades'!$H$5:$H$1004),"")</f>
        <v>4.1883900000000001</v>
      </c>
      <c r="I32" s="34">
        <f>IFERROR(VLOOKUP(D32,'02_FX_Rates'!$A$5:$B$10,2,FALSE),IFERROR(LOOKUP(2,1/('04_Trades'!$E$5:$E$1004=B32),'04_Trades'!$J$5:$J$1004),""))</f>
        <v>1</v>
      </c>
      <c r="J32" s="26">
        <f t="shared" si="2"/>
        <v>12565.17</v>
      </c>
      <c r="K32" s="26">
        <f t="shared" si="3"/>
        <v>12565.17</v>
      </c>
      <c r="L32" s="10">
        <f>IFERROR(SUMIFS('04_Trades'!$K$5:$K$1004,'04_Trades'!$E$5:$E$1004,B32,'04_Trades'!$C$5:$C$1004,"BUY")/SUMIFS('04_Trades'!$G$5:$G$1004,'04_Trades'!$E$5:$E$1004,B32,'04_Trades'!$C$5:$C$1004,"BUY"),"")</f>
        <v>4.3216599999999996</v>
      </c>
      <c r="M32" s="26">
        <f t="shared" si="4"/>
        <v>-399.80999999999949</v>
      </c>
      <c r="N32" s="76">
        <v>4.3899999999999997</v>
      </c>
      <c r="O32" s="77">
        <f t="shared" si="5"/>
        <v>13169.999999999998</v>
      </c>
      <c r="P32" s="52">
        <f t="shared" si="6"/>
        <v>205.01999999999862</v>
      </c>
    </row>
    <row r="33" spans="1:16" x14ac:dyDescent="0.2">
      <c r="A33" s="23">
        <f t="shared" si="0"/>
        <v>29</v>
      </c>
      <c r="B33" s="56" t="s">
        <v>232</v>
      </c>
      <c r="C33" s="31" t="str">
        <f>IFERROR(LOOKUP(2,1/('04_Trades'!$E$5:$E$1004=B33),'04_Trades'!$D$5:$D$1004),"")</f>
        <v>Azimut Holding</v>
      </c>
      <c r="D33" s="32" t="str">
        <f>IFERROR(LOOKUP(2,1/('04_Trades'!$E$5:$E$1004=B33),'04_Trades'!$F$5:$F$1004),"")</f>
        <v>EUR</v>
      </c>
      <c r="E33" s="33">
        <f>IF(B33="",0,SUMIFS('04_Trades'!$G$5:$G$1004,'04_Trades'!$E$5:$E$1004,B33,'04_Trades'!$C$5:$C$1004,"BUY"))</f>
        <v>500</v>
      </c>
      <c r="F33" s="33">
        <f>IF(B33="",0,SUMIFS('04_Trades'!$G$5:$G$1004,'04_Trades'!$E$5:$E$1004,B33,'04_Trades'!$C$5:$C$1004,"SELL"))</f>
        <v>0</v>
      </c>
      <c r="G33" s="27">
        <f t="shared" si="1"/>
        <v>500</v>
      </c>
      <c r="H33" s="33">
        <f>IFERROR(LOOKUP(2,1/('04_Trades'!$E$5:$E$1004=B33),'04_Trades'!$H$5:$H$1004),"")</f>
        <v>31.52</v>
      </c>
      <c r="I33" s="34">
        <f>IFERROR(VLOOKUP(D33,'02_FX_Rates'!$A$5:$B$10,2,FALSE),IFERROR(LOOKUP(2,1/('04_Trades'!$E$5:$E$1004=B33),'04_Trades'!$J$5:$J$1004),""))</f>
        <v>1</v>
      </c>
      <c r="J33" s="26">
        <f t="shared" si="2"/>
        <v>15760</v>
      </c>
      <c r="K33" s="26">
        <f t="shared" si="3"/>
        <v>15760</v>
      </c>
      <c r="L33" s="10">
        <f>IFERROR(SUMIFS('04_Trades'!$K$5:$K$1004,'04_Trades'!$E$5:$E$1004,B33,'04_Trades'!$C$5:$C$1004,"BUY")/SUMIFS('04_Trades'!$G$5:$G$1004,'04_Trades'!$E$5:$E$1004,B33,'04_Trades'!$C$5:$C$1004,"BUY"),"")</f>
        <v>31.52</v>
      </c>
      <c r="M33" s="26">
        <f t="shared" si="4"/>
        <v>0</v>
      </c>
      <c r="N33" s="76">
        <v>31.52</v>
      </c>
      <c r="O33" s="77">
        <f t="shared" si="5"/>
        <v>15760</v>
      </c>
      <c r="P33" s="52">
        <f t="shared" si="6"/>
        <v>0</v>
      </c>
    </row>
    <row r="34" spans="1:16" x14ac:dyDescent="0.2">
      <c r="A34" s="23">
        <f t="shared" si="0"/>
        <v>30</v>
      </c>
      <c r="B34" s="56" t="s">
        <v>235</v>
      </c>
      <c r="C34" s="31" t="str">
        <f>IFERROR(LOOKUP(2,1/('04_Trades'!$E$5:$E$1004=B34),'04_Trades'!$D$5:$D$1004),"")</f>
        <v>Brunello Cucinelli</v>
      </c>
      <c r="D34" s="32" t="str">
        <f>IFERROR(LOOKUP(2,1/('04_Trades'!$E$5:$E$1004=B34),'04_Trades'!$F$5:$F$1004),"")</f>
        <v>EUR</v>
      </c>
      <c r="E34" s="33">
        <f>IF(B34="",0,SUMIFS('04_Trades'!$G$5:$G$1004,'04_Trades'!$E$5:$E$1004,B34,'04_Trades'!$C$5:$C$1004,"BUY"))</f>
        <v>200</v>
      </c>
      <c r="F34" s="33">
        <f>IF(B34="",0,SUMIFS('04_Trades'!$G$5:$G$1004,'04_Trades'!$E$5:$E$1004,B34,'04_Trades'!$C$5:$C$1004,"SELL"))</f>
        <v>0</v>
      </c>
      <c r="G34" s="27">
        <f t="shared" si="1"/>
        <v>200</v>
      </c>
      <c r="H34" s="33">
        <f>IFERROR(LOOKUP(2,1/('04_Trades'!$E$5:$E$1004=B34),'04_Trades'!$H$5:$H$1004),"")</f>
        <v>91.183599999999998</v>
      </c>
      <c r="I34" s="34">
        <f>IFERROR(VLOOKUP(D34,'02_FX_Rates'!$A$5:$B$10,2,FALSE),IFERROR(LOOKUP(2,1/('04_Trades'!$E$5:$E$1004=B34),'04_Trades'!$J$5:$J$1004),""))</f>
        <v>1</v>
      </c>
      <c r="J34" s="26">
        <f t="shared" si="2"/>
        <v>18236.72</v>
      </c>
      <c r="K34" s="26">
        <f t="shared" si="3"/>
        <v>18236.72</v>
      </c>
      <c r="L34" s="10">
        <f>IFERROR(SUMIFS('04_Trades'!$K$5:$K$1004,'04_Trades'!$E$5:$E$1004,B34,'04_Trades'!$C$5:$C$1004,"BUY")/SUMIFS('04_Trades'!$G$5:$G$1004,'04_Trades'!$E$5:$E$1004,B34,'04_Trades'!$C$5:$C$1004,"BUY"),"")</f>
        <v>91.183600000000013</v>
      </c>
      <c r="M34" s="26">
        <f t="shared" si="4"/>
        <v>0</v>
      </c>
      <c r="N34" s="76">
        <v>91.18</v>
      </c>
      <c r="O34" s="77">
        <f t="shared" si="5"/>
        <v>18236</v>
      </c>
      <c r="P34" s="52">
        <f t="shared" si="6"/>
        <v>-0.72000000000116415</v>
      </c>
    </row>
    <row r="35" spans="1:16" x14ac:dyDescent="0.2">
      <c r="A35" s="23">
        <f t="shared" si="0"/>
        <v>31</v>
      </c>
      <c r="B35" s="56" t="s">
        <v>238</v>
      </c>
      <c r="C35" s="31" t="str">
        <f>IFERROR(LOOKUP(2,1/('04_Trades'!$E$5:$E$1004=B35),'04_Trades'!$D$5:$D$1004),"")</f>
        <v>INTERPUMP GROUP</v>
      </c>
      <c r="D35" s="32" t="str">
        <f>IFERROR(LOOKUP(2,1/('04_Trades'!$E$5:$E$1004=B35),'04_Trades'!$F$5:$F$1004),"")</f>
        <v>EUR</v>
      </c>
      <c r="E35" s="33">
        <f>IF(B35="",0,SUMIFS('04_Trades'!$G$5:$G$1004,'04_Trades'!$E$5:$E$1004,B35,'04_Trades'!$C$5:$C$1004,"BUY"))</f>
        <v>1300</v>
      </c>
      <c r="F35" s="33">
        <f>IF(B35="",0,SUMIFS('04_Trades'!$G$5:$G$1004,'04_Trades'!$E$5:$E$1004,B35,'04_Trades'!$C$5:$C$1004,"SELL"))</f>
        <v>0</v>
      </c>
      <c r="G35" s="27">
        <f t="shared" si="1"/>
        <v>1300</v>
      </c>
      <c r="H35" s="33">
        <f>IFERROR(LOOKUP(2,1/('04_Trades'!$E$5:$E$1004=B35),'04_Trades'!$H$5:$H$1004),"")</f>
        <v>39.04</v>
      </c>
      <c r="I35" s="34">
        <f>IFERROR(VLOOKUP(D35,'02_FX_Rates'!$A$5:$B$10,2,FALSE),IFERROR(LOOKUP(2,1/('04_Trades'!$E$5:$E$1004=B35),'04_Trades'!$J$5:$J$1004),""))</f>
        <v>1</v>
      </c>
      <c r="J35" s="26">
        <f t="shared" si="2"/>
        <v>50752</v>
      </c>
      <c r="K35" s="26">
        <f t="shared" si="3"/>
        <v>50752</v>
      </c>
      <c r="L35" s="10">
        <f>IFERROR(SUMIFS('04_Trades'!$K$5:$K$1004,'04_Trades'!$E$5:$E$1004,B35,'04_Trades'!$C$5:$C$1004,"BUY")/SUMIFS('04_Trades'!$G$5:$G$1004,'04_Trades'!$E$5:$E$1004,B35,'04_Trades'!$C$5:$C$1004,"BUY"),"")</f>
        <v>39.003076923076925</v>
      </c>
      <c r="M35" s="26">
        <f t="shared" si="4"/>
        <v>48</v>
      </c>
      <c r="N35" s="76">
        <v>39.04</v>
      </c>
      <c r="O35" s="77">
        <f t="shared" si="5"/>
        <v>50752</v>
      </c>
      <c r="P35" s="52">
        <f t="shared" si="6"/>
        <v>48</v>
      </c>
    </row>
    <row r="36" spans="1:16" x14ac:dyDescent="0.2">
      <c r="A36" s="23">
        <f t="shared" si="0"/>
        <v>32</v>
      </c>
      <c r="B36" s="56" t="s">
        <v>241</v>
      </c>
      <c r="C36" s="31" t="str">
        <f>IFERROR(LOOKUP(2,1/('04_Trades'!$E$5:$E$1004=B36),'04_Trades'!$D$5:$D$1004),"")</f>
        <v>BOT Zero Coupon Oct25</v>
      </c>
      <c r="D36" s="32" t="str">
        <f>IFERROR(LOOKUP(2,1/('04_Trades'!$E$5:$E$1004=B36),'04_Trades'!$F$5:$F$1004),"")</f>
        <v>EUR</v>
      </c>
      <c r="E36" s="33">
        <f>IF(B36="",0,SUMIFS('04_Trades'!$G$5:$G$1004,'04_Trades'!$E$5:$E$1004,B36,'04_Trades'!$C$5:$C$1004,"BUY"))</f>
        <v>50000</v>
      </c>
      <c r="F36" s="33">
        <f>IF(B36="",0,SUMIFS('04_Trades'!$G$5:$G$1004,'04_Trades'!$E$5:$E$1004,B36,'04_Trades'!$C$5:$C$1004,"SELL"))</f>
        <v>50000</v>
      </c>
      <c r="G36" s="27">
        <f t="shared" si="1"/>
        <v>0</v>
      </c>
      <c r="H36" s="33">
        <f>IFERROR(LOOKUP(2,1/('04_Trades'!$E$5:$E$1004=B36),'04_Trades'!$H$5:$H$1004),"")</f>
        <v>1</v>
      </c>
      <c r="I36" s="34">
        <f>IFERROR(VLOOKUP(D36,'02_FX_Rates'!$A$5:$B$10,2,FALSE),IFERROR(LOOKUP(2,1/('04_Trades'!$E$5:$E$1004=B36),'04_Trades'!$J$5:$J$1004),""))</f>
        <v>1</v>
      </c>
      <c r="J36" s="26">
        <f t="shared" si="2"/>
        <v>0</v>
      </c>
      <c r="K36" s="26">
        <f t="shared" si="3"/>
        <v>0</v>
      </c>
      <c r="L36" s="10">
        <f>IFERROR(SUMIFS('04_Trades'!$K$5:$K$1004,'04_Trades'!$E$5:$E$1004,B36,'04_Trades'!$C$5:$C$1004,"BUY")/SUMIFS('04_Trades'!$G$5:$G$1004,'04_Trades'!$E$5:$E$1004,B36,'04_Trades'!$C$5:$C$1004,"BUY"),"")</f>
        <v>0.99973999999999996</v>
      </c>
      <c r="M36" s="26" t="str">
        <f t="shared" si="4"/>
        <v/>
      </c>
      <c r="N36" s="76">
        <v>1</v>
      </c>
      <c r="O36" s="77">
        <f t="shared" si="5"/>
        <v>0</v>
      </c>
      <c r="P36" s="52" t="str">
        <f t="shared" si="6"/>
        <v/>
      </c>
    </row>
    <row r="37" spans="1:16" x14ac:dyDescent="0.2">
      <c r="A37" s="23">
        <f t="shared" ref="A37:A68" si="7">IF(B37="","",ROW()-4)</f>
        <v>33</v>
      </c>
      <c r="B37" s="56" t="s">
        <v>244</v>
      </c>
      <c r="C37" s="31" t="str">
        <f>IFERROR(LOOKUP(2,1/('04_Trades'!$E$5:$E$1004=B37),'04_Trades'!$D$5:$D$1004),"")</f>
        <v>BOT Zero Coupon Nov25</v>
      </c>
      <c r="D37" s="32" t="str">
        <f>IFERROR(LOOKUP(2,1/('04_Trades'!$E$5:$E$1004=B37),'04_Trades'!$F$5:$F$1004),"")</f>
        <v>EUR</v>
      </c>
      <c r="E37" s="33">
        <f>IF(B37="",0,SUMIFS('04_Trades'!$G$5:$G$1004,'04_Trades'!$E$5:$E$1004,B37,'04_Trades'!$C$5:$C$1004,"BUY"))</f>
        <v>50000</v>
      </c>
      <c r="F37" s="33">
        <f>IF(B37="",0,SUMIFS('04_Trades'!$G$5:$G$1004,'04_Trades'!$E$5:$E$1004,B37,'04_Trades'!$C$5:$C$1004,"SELL"))</f>
        <v>50000</v>
      </c>
      <c r="G37" s="27">
        <f t="shared" ref="G37:G68" si="8">IF(B37="","",E37-F37)</f>
        <v>0</v>
      </c>
      <c r="H37" s="33">
        <f>IFERROR(LOOKUP(2,1/('04_Trades'!$E$5:$E$1004=B37),'04_Trades'!$H$5:$H$1004),"")</f>
        <v>1</v>
      </c>
      <c r="I37" s="34">
        <f>IFERROR(VLOOKUP(D37,'02_FX_Rates'!$A$5:$B$10,2,FALSE),IFERROR(LOOKUP(2,1/('04_Trades'!$E$5:$E$1004=B37),'04_Trades'!$J$5:$J$1004),""))</f>
        <v>1</v>
      </c>
      <c r="J37" s="26">
        <f t="shared" ref="J37:J59" si="9">IF(OR(B37="",G37="",H37=""),"",G37*H37)</f>
        <v>0</v>
      </c>
      <c r="K37" s="26">
        <f t="shared" ref="K37:K68" si="10">IF(OR(B37="",J37="",I37=""),"",J37*I37)</f>
        <v>0</v>
      </c>
      <c r="L37" s="10">
        <f>IFERROR(SUMIFS('04_Trades'!$K$5:$K$1004,'04_Trades'!$E$5:$E$1004,B37,'04_Trades'!$C$5:$C$1004,"BUY")/SUMIFS('04_Trades'!$G$5:$G$1004,'04_Trades'!$E$5:$E$1004,B37,'04_Trades'!$C$5:$C$1004,"BUY"),"")</f>
        <v>0.99719999999999998</v>
      </c>
      <c r="M37" s="26" t="str">
        <f t="shared" ref="M37:M68" si="11">IF(OR(B37="",G37=0,K37="",L37=""),"",K37-G37*L37)</f>
        <v/>
      </c>
      <c r="N37" s="76">
        <v>1</v>
      </c>
      <c r="O37" s="77">
        <f t="shared" ref="O37:O68" si="12">IFERROR(IF(N37="","",G37*N37*I37),"")</f>
        <v>0</v>
      </c>
      <c r="P37" s="52" t="str">
        <f t="shared" ref="P37:P68" si="13">IFERROR(IF(OR(N37="",G37=0,L37=""),"",O37-G37*L37),"")</f>
        <v/>
      </c>
    </row>
    <row r="38" spans="1:16" x14ac:dyDescent="0.2">
      <c r="A38" s="23">
        <f t="shared" si="7"/>
        <v>34</v>
      </c>
      <c r="B38" s="56" t="s">
        <v>249</v>
      </c>
      <c r="C38" s="31" t="str">
        <f>IFERROR(LOOKUP(2,1/('04_Trades'!$E$5:$E$1004=B38),'04_Trades'!$D$5:$D$1004),"")</f>
        <v>BTP 3.2% Jan26</v>
      </c>
      <c r="D38" s="32" t="str">
        <f>IFERROR(LOOKUP(2,1/('04_Trades'!$E$5:$E$1004=B38),'04_Trades'!$F$5:$F$1004),"")</f>
        <v>EUR</v>
      </c>
      <c r="E38" s="33">
        <f>IF(B38="",0,SUMIFS('04_Trades'!$G$5:$G$1004,'04_Trades'!$E$5:$E$1004,B38,'04_Trades'!$C$5:$C$1004,"BUY"))</f>
        <v>40000</v>
      </c>
      <c r="F38" s="33">
        <f>IF(B38="",0,SUMIFS('04_Trades'!$G$5:$G$1004,'04_Trades'!$E$5:$E$1004,B38,'04_Trades'!$C$5:$C$1004,"SELL"))</f>
        <v>40000</v>
      </c>
      <c r="G38" s="27">
        <f t="shared" si="8"/>
        <v>0</v>
      </c>
      <c r="H38" s="33">
        <f>IFERROR(LOOKUP(2,1/('04_Trades'!$E$5:$E$1004=B38),'04_Trades'!$H$5:$H$1004),"")</f>
        <v>1</v>
      </c>
      <c r="I38" s="34">
        <f>IFERROR(VLOOKUP(D38,'02_FX_Rates'!$A$5:$B$10,2,FALSE),IFERROR(LOOKUP(2,1/('04_Trades'!$E$5:$E$1004=B38),'04_Trades'!$J$5:$J$1004),""))</f>
        <v>1</v>
      </c>
      <c r="J38" s="26">
        <f t="shared" si="9"/>
        <v>0</v>
      </c>
      <c r="K38" s="26">
        <f t="shared" si="10"/>
        <v>0</v>
      </c>
      <c r="L38" s="10">
        <f>IFERROR(SUMIFS('04_Trades'!$K$5:$K$1004,'04_Trades'!$E$5:$E$1004,B38,'04_Trades'!$C$5:$C$1004,"BUY")/SUMIFS('04_Trades'!$G$5:$G$1004,'04_Trades'!$E$5:$E$1004,B38,'04_Trades'!$C$5:$C$1004,"BUY"),"")</f>
        <v>1.00359</v>
      </c>
      <c r="M38" s="26" t="str">
        <f t="shared" si="11"/>
        <v/>
      </c>
      <c r="N38" s="76">
        <v>1</v>
      </c>
      <c r="O38" s="77">
        <f t="shared" si="12"/>
        <v>0</v>
      </c>
      <c r="P38" s="52" t="str">
        <f t="shared" si="13"/>
        <v/>
      </c>
    </row>
    <row r="39" spans="1:16" x14ac:dyDescent="0.2">
      <c r="A39" s="23">
        <f t="shared" si="7"/>
        <v>35</v>
      </c>
      <c r="B39" s="56" t="s">
        <v>264</v>
      </c>
      <c r="C39" s="31" t="str">
        <f>IFERROR(LOOKUP(2,1/('04_Trades'!$E$5:$E$1004=B39),'04_Trades'!$D$5:$D$1004),"")</f>
        <v>INTESA SANPAOLO</v>
      </c>
      <c r="D39" s="32" t="str">
        <f>IFERROR(LOOKUP(2,1/('04_Trades'!$E$5:$E$1004=B39),'04_Trades'!$F$5:$F$1004),"")</f>
        <v>EUR</v>
      </c>
      <c r="E39" s="33">
        <f>IF(B39="",0,SUMIFS('04_Trades'!$G$5:$G$1004,'04_Trades'!$E$5:$E$1004,B39,'04_Trades'!$C$5:$C$1004,"BUY"))</f>
        <v>10000</v>
      </c>
      <c r="F39" s="33">
        <f>IF(B39="",0,SUMIFS('04_Trades'!$G$5:$G$1004,'04_Trades'!$E$5:$E$1004,B39,'04_Trades'!$C$5:$C$1004,"SELL"))</f>
        <v>0</v>
      </c>
      <c r="G39" s="27">
        <f t="shared" si="8"/>
        <v>10000</v>
      </c>
      <c r="H39" s="33">
        <f>IFERROR(LOOKUP(2,1/('04_Trades'!$E$5:$E$1004=B39),'04_Trades'!$H$5:$H$1004),"")</f>
        <v>5.609</v>
      </c>
      <c r="I39" s="34">
        <f>IFERROR(VLOOKUP(D39,'02_FX_Rates'!$A$5:$B$10,2,FALSE),IFERROR(LOOKUP(2,1/('04_Trades'!$E$5:$E$1004=B39),'04_Trades'!$J$5:$J$1004),""))</f>
        <v>1</v>
      </c>
      <c r="J39" s="26">
        <f t="shared" si="9"/>
        <v>56090</v>
      </c>
      <c r="K39" s="26">
        <f t="shared" si="10"/>
        <v>56090</v>
      </c>
      <c r="L39" s="10">
        <f>IFERROR(SUMIFS('04_Trades'!$K$5:$K$1004,'04_Trades'!$E$5:$E$1004,B39,'04_Trades'!$C$5:$C$1004,"BUY")/SUMIFS('04_Trades'!$G$5:$G$1004,'04_Trades'!$E$5:$E$1004,B39,'04_Trades'!$C$5:$C$1004,"BUY"),"")</f>
        <v>5.609</v>
      </c>
      <c r="M39" s="26">
        <f t="shared" si="11"/>
        <v>0</v>
      </c>
      <c r="N39" s="76">
        <v>5.61</v>
      </c>
      <c r="O39" s="77">
        <f t="shared" si="12"/>
        <v>56100</v>
      </c>
      <c r="P39" s="52">
        <f t="shared" si="13"/>
        <v>10</v>
      </c>
    </row>
    <row r="40" spans="1:16" x14ac:dyDescent="0.2">
      <c r="A40" s="23">
        <f t="shared" si="7"/>
        <v>36</v>
      </c>
      <c r="B40" s="56" t="s">
        <v>266</v>
      </c>
      <c r="C40" s="31" t="str">
        <f>IFERROR(LOOKUP(2,1/('04_Trades'!$E$5:$E$1004=B40),'04_Trades'!$D$5:$D$1004),"")</f>
        <v>MEDIOBANCA</v>
      </c>
      <c r="D40" s="32" t="str">
        <f>IFERROR(LOOKUP(2,1/('04_Trades'!$E$5:$E$1004=B40),'04_Trades'!$F$5:$F$1004),"")</f>
        <v>EUR</v>
      </c>
      <c r="E40" s="33">
        <f>IF(B40="",0,SUMIFS('04_Trades'!$G$5:$G$1004,'04_Trades'!$E$5:$E$1004,B40,'04_Trades'!$C$5:$C$1004,"BUY"))</f>
        <v>1000</v>
      </c>
      <c r="F40" s="33">
        <f>IF(B40="",0,SUMIFS('04_Trades'!$G$5:$G$1004,'04_Trades'!$E$5:$E$1004,B40,'04_Trades'!$C$5:$C$1004,"SELL"))</f>
        <v>1000</v>
      </c>
      <c r="G40" s="27">
        <f t="shared" si="8"/>
        <v>0</v>
      </c>
      <c r="H40" s="33">
        <f>IFERROR(LOOKUP(2,1/('04_Trades'!$E$5:$E$1004=B40),'04_Trades'!$H$5:$H$1004),"")</f>
        <v>19.156300000000002</v>
      </c>
      <c r="I40" s="34">
        <f>IFERROR(VLOOKUP(D40,'02_FX_Rates'!$A$5:$B$10,2,FALSE),IFERROR(LOOKUP(2,1/('04_Trades'!$E$5:$E$1004=B40),'04_Trades'!$J$5:$J$1004),""))</f>
        <v>1</v>
      </c>
      <c r="J40" s="26">
        <f t="shared" si="9"/>
        <v>0</v>
      </c>
      <c r="K40" s="26">
        <f t="shared" si="10"/>
        <v>0</v>
      </c>
      <c r="L40" s="10">
        <f>IFERROR(SUMIFS('04_Trades'!$K$5:$K$1004,'04_Trades'!$E$5:$E$1004,B40,'04_Trades'!$C$5:$C$1004,"BUY")/SUMIFS('04_Trades'!$G$5:$G$1004,'04_Trades'!$E$5:$E$1004,B40,'04_Trades'!$C$5:$C$1004,"BUY"),"")</f>
        <v>16.875</v>
      </c>
      <c r="M40" s="26" t="str">
        <f t="shared" si="11"/>
        <v/>
      </c>
      <c r="N40" s="76">
        <v>19.16</v>
      </c>
      <c r="O40" s="77">
        <f t="shared" si="12"/>
        <v>0</v>
      </c>
      <c r="P40" s="52" t="str">
        <f t="shared" si="13"/>
        <v/>
      </c>
    </row>
    <row r="41" spans="1:16" x14ac:dyDescent="0.2">
      <c r="A41" s="23">
        <f t="shared" si="7"/>
        <v>37</v>
      </c>
      <c r="B41" s="56" t="s">
        <v>268</v>
      </c>
      <c r="C41" s="31" t="str">
        <f>IFERROR(LOOKUP(2,1/('04_Trades'!$E$5:$E$1004=B41),'04_Trades'!$D$5:$D$1004),"")</f>
        <v>ENEL</v>
      </c>
      <c r="D41" s="32" t="str">
        <f>IFERROR(LOOKUP(2,1/('04_Trades'!$E$5:$E$1004=B41),'04_Trades'!$F$5:$F$1004),"")</f>
        <v>EUR</v>
      </c>
      <c r="E41" s="33">
        <f>IF(B41="",0,SUMIFS('04_Trades'!$G$5:$G$1004,'04_Trades'!$E$5:$E$1004,B41,'04_Trades'!$C$5:$C$1004,"BUY"))</f>
        <v>1000</v>
      </c>
      <c r="F41" s="33">
        <f>IF(B41="",0,SUMIFS('04_Trades'!$G$5:$G$1004,'04_Trades'!$E$5:$E$1004,B41,'04_Trades'!$C$5:$C$1004,"SELL"))</f>
        <v>0</v>
      </c>
      <c r="G41" s="27">
        <f t="shared" si="8"/>
        <v>1000</v>
      </c>
      <c r="H41" s="33">
        <f>IFERROR(LOOKUP(2,1/('04_Trades'!$E$5:$E$1004=B41),'04_Trades'!$H$5:$H$1004),"")</f>
        <v>8.843</v>
      </c>
      <c r="I41" s="34">
        <f>IFERROR(VLOOKUP(D41,'02_FX_Rates'!$A$5:$B$10,2,FALSE),IFERROR(LOOKUP(2,1/('04_Trades'!$E$5:$E$1004=B41),'04_Trades'!$J$5:$J$1004),""))</f>
        <v>1</v>
      </c>
      <c r="J41" s="26">
        <f t="shared" si="9"/>
        <v>8843</v>
      </c>
      <c r="K41" s="26">
        <f t="shared" si="10"/>
        <v>8843</v>
      </c>
      <c r="L41" s="10">
        <f>IFERROR(SUMIFS('04_Trades'!$K$5:$K$1004,'04_Trades'!$E$5:$E$1004,B41,'04_Trades'!$C$5:$C$1004,"BUY")/SUMIFS('04_Trades'!$G$5:$G$1004,'04_Trades'!$E$5:$E$1004,B41,'04_Trades'!$C$5:$C$1004,"BUY"),"")</f>
        <v>8.843</v>
      </c>
      <c r="M41" s="26">
        <f t="shared" si="11"/>
        <v>0</v>
      </c>
      <c r="N41" s="76">
        <v>8.84</v>
      </c>
      <c r="O41" s="77">
        <f t="shared" si="12"/>
        <v>8840</v>
      </c>
      <c r="P41" s="52">
        <f t="shared" si="13"/>
        <v>-3</v>
      </c>
    </row>
    <row r="42" spans="1:16" x14ac:dyDescent="0.2">
      <c r="A42" s="23">
        <f t="shared" si="7"/>
        <v>38</v>
      </c>
      <c r="B42" s="56" t="s">
        <v>273</v>
      </c>
      <c r="C42" s="31" t="str">
        <f>IFERROR(LOOKUP(2,1/('04_Trades'!$E$5:$E$1004=B42),'04_Trades'!$D$5:$D$1004),"")</f>
        <v>DE LONGHI</v>
      </c>
      <c r="D42" s="32" t="str">
        <f>IFERROR(LOOKUP(2,1/('04_Trades'!$E$5:$E$1004=B42),'04_Trades'!$F$5:$F$1004),"")</f>
        <v>EUR</v>
      </c>
      <c r="E42" s="33">
        <f>IF(B42="",0,SUMIFS('04_Trades'!$G$5:$G$1004,'04_Trades'!$E$5:$E$1004,B42,'04_Trades'!$C$5:$C$1004,"BUY"))</f>
        <v>1000</v>
      </c>
      <c r="F42" s="33">
        <f>IF(B42="",0,SUMIFS('04_Trades'!$G$5:$G$1004,'04_Trades'!$E$5:$E$1004,B42,'04_Trades'!$C$5:$C$1004,"SELL"))</f>
        <v>0</v>
      </c>
      <c r="G42" s="27">
        <f t="shared" si="8"/>
        <v>1000</v>
      </c>
      <c r="H42" s="33">
        <f>IFERROR(LOOKUP(2,1/('04_Trades'!$E$5:$E$1004=B42),'04_Trades'!$H$5:$H$1004),"")</f>
        <v>36.06</v>
      </c>
      <c r="I42" s="34">
        <f>IFERROR(VLOOKUP(D42,'02_FX_Rates'!$A$5:$B$10,2,FALSE),IFERROR(LOOKUP(2,1/('04_Trades'!$E$5:$E$1004=B42),'04_Trades'!$J$5:$J$1004),""))</f>
        <v>1</v>
      </c>
      <c r="J42" s="26">
        <f t="shared" si="9"/>
        <v>36060</v>
      </c>
      <c r="K42" s="26">
        <f t="shared" si="10"/>
        <v>36060</v>
      </c>
      <c r="L42" s="10">
        <f>IFERROR(SUMIFS('04_Trades'!$K$5:$K$1004,'04_Trades'!$E$5:$E$1004,B42,'04_Trades'!$C$5:$C$1004,"BUY")/SUMIFS('04_Trades'!$G$5:$G$1004,'04_Trades'!$E$5:$E$1004,B42,'04_Trades'!$C$5:$C$1004,"BUY"),"")</f>
        <v>36.06</v>
      </c>
      <c r="M42" s="26">
        <f t="shared" si="11"/>
        <v>0</v>
      </c>
      <c r="N42" s="76">
        <v>36.06</v>
      </c>
      <c r="O42" s="77">
        <f t="shared" si="12"/>
        <v>36060</v>
      </c>
      <c r="P42" s="52">
        <f t="shared" si="13"/>
        <v>0</v>
      </c>
    </row>
    <row r="43" spans="1:16" x14ac:dyDescent="0.2">
      <c r="A43" s="23">
        <f t="shared" si="7"/>
        <v>39</v>
      </c>
      <c r="B43" s="56" t="s">
        <v>275</v>
      </c>
      <c r="C43" s="31" t="str">
        <f>IFERROR(LOOKUP(2,1/('04_Trades'!$E$5:$E$1004=B43),'04_Trades'!$D$5:$D$1004),"")</f>
        <v>Brembo NV</v>
      </c>
      <c r="D43" s="32" t="str">
        <f>IFERROR(LOOKUP(2,1/('04_Trades'!$E$5:$E$1004=B43),'04_Trades'!$F$5:$F$1004),"")</f>
        <v>EUR</v>
      </c>
      <c r="E43" s="33">
        <f>IF(B43="",0,SUMIFS('04_Trades'!$G$5:$G$1004,'04_Trades'!$E$5:$E$1004,B43,'04_Trades'!$C$5:$C$1004,"BUY"))</f>
        <v>1000</v>
      </c>
      <c r="F43" s="33">
        <f>IF(B43="",0,SUMIFS('04_Trades'!$G$5:$G$1004,'04_Trades'!$E$5:$E$1004,B43,'04_Trades'!$C$5:$C$1004,"SELL"))</f>
        <v>0</v>
      </c>
      <c r="G43" s="27">
        <f t="shared" si="8"/>
        <v>1000</v>
      </c>
      <c r="H43" s="33">
        <f>IFERROR(LOOKUP(2,1/('04_Trades'!$E$5:$E$1004=B43),'04_Trades'!$H$5:$H$1004),"")</f>
        <v>9.35</v>
      </c>
      <c r="I43" s="34">
        <f>IFERROR(VLOOKUP(D43,'02_FX_Rates'!$A$5:$B$10,2,FALSE),IFERROR(LOOKUP(2,1/('04_Trades'!$E$5:$E$1004=B43),'04_Trades'!$J$5:$J$1004),""))</f>
        <v>1</v>
      </c>
      <c r="J43" s="26">
        <f t="shared" si="9"/>
        <v>9350</v>
      </c>
      <c r="K43" s="26">
        <f t="shared" si="10"/>
        <v>9350</v>
      </c>
      <c r="L43" s="10">
        <f>IFERROR(SUMIFS('04_Trades'!$K$5:$K$1004,'04_Trades'!$E$5:$E$1004,B43,'04_Trades'!$C$5:$C$1004,"BUY")/SUMIFS('04_Trades'!$G$5:$G$1004,'04_Trades'!$E$5:$E$1004,B43,'04_Trades'!$C$5:$C$1004,"BUY"),"")</f>
        <v>9.35</v>
      </c>
      <c r="M43" s="26">
        <f t="shared" si="11"/>
        <v>0</v>
      </c>
      <c r="N43" s="76">
        <v>10.65</v>
      </c>
      <c r="O43" s="77">
        <f t="shared" si="12"/>
        <v>10650</v>
      </c>
      <c r="P43" s="52">
        <f t="shared" si="13"/>
        <v>1300</v>
      </c>
    </row>
    <row r="44" spans="1:16" x14ac:dyDescent="0.2">
      <c r="A44" s="23">
        <f t="shared" si="7"/>
        <v>40</v>
      </c>
      <c r="B44" s="56" t="s">
        <v>277</v>
      </c>
      <c r="C44" s="31" t="str">
        <f>IFERROR(LOOKUP(2,1/('04_Trades'!$E$5:$E$1004=B44),'04_Trades'!$D$5:$D$1004),"")</f>
        <v>MONCLER</v>
      </c>
      <c r="D44" s="32" t="str">
        <f>IFERROR(LOOKUP(2,1/('04_Trades'!$E$5:$E$1004=B44),'04_Trades'!$F$5:$F$1004),"")</f>
        <v>EUR</v>
      </c>
      <c r="E44" s="33">
        <f>IF(B44="",0,SUMIFS('04_Trades'!$G$5:$G$1004,'04_Trades'!$E$5:$E$1004,B44,'04_Trades'!$C$5:$C$1004,"BUY"))</f>
        <v>3000</v>
      </c>
      <c r="F44" s="33">
        <f>IF(B44="",0,SUMIFS('04_Trades'!$G$5:$G$1004,'04_Trades'!$E$5:$E$1004,B44,'04_Trades'!$C$5:$C$1004,"SELL"))</f>
        <v>0</v>
      </c>
      <c r="G44" s="27">
        <f t="shared" si="8"/>
        <v>3000</v>
      </c>
      <c r="H44" s="33">
        <f>IFERROR(LOOKUP(2,1/('04_Trades'!$E$5:$E$1004=B44),'04_Trades'!$H$5:$H$1004),"")</f>
        <v>47.76</v>
      </c>
      <c r="I44" s="34">
        <f>IFERROR(VLOOKUP(D44,'02_FX_Rates'!$A$5:$B$10,2,FALSE),IFERROR(LOOKUP(2,1/('04_Trades'!$E$5:$E$1004=B44),'04_Trades'!$J$5:$J$1004),""))</f>
        <v>1</v>
      </c>
      <c r="J44" s="26">
        <f t="shared" si="9"/>
        <v>143280</v>
      </c>
      <c r="K44" s="26">
        <f t="shared" si="10"/>
        <v>143280</v>
      </c>
      <c r="L44" s="10">
        <f>IFERROR(SUMIFS('04_Trades'!$K$5:$K$1004,'04_Trades'!$E$5:$E$1004,B44,'04_Trades'!$C$5:$C$1004,"BUY")/SUMIFS('04_Trades'!$G$5:$G$1004,'04_Trades'!$E$5:$E$1004,B44,'04_Trades'!$C$5:$C$1004,"BUY"),"")</f>
        <v>49.215599999999995</v>
      </c>
      <c r="M44" s="26">
        <f t="shared" si="11"/>
        <v>-4366.7999999999884</v>
      </c>
      <c r="N44" s="76">
        <v>50.6</v>
      </c>
      <c r="O44" s="77">
        <f t="shared" si="12"/>
        <v>151800</v>
      </c>
      <c r="P44" s="52">
        <f t="shared" si="13"/>
        <v>4153.2000000000116</v>
      </c>
    </row>
    <row r="45" spans="1:16" x14ac:dyDescent="0.2">
      <c r="A45" s="23">
        <f t="shared" si="7"/>
        <v>41</v>
      </c>
      <c r="B45" s="56" t="s">
        <v>308</v>
      </c>
      <c r="C45" s="31" t="str">
        <f>IFERROR(LOOKUP(2,1/('04_Trades'!$E$5:$E$1004=B45),'04_Trades'!$D$5:$D$1004),"")</f>
        <v>iShares Global Corp Bond UCITS ETF</v>
      </c>
      <c r="D45" s="32" t="str">
        <f>IFERROR(LOOKUP(2,1/('04_Trades'!$E$5:$E$1004=B45),'04_Trades'!$F$5:$F$1004),"")</f>
        <v>EUR</v>
      </c>
      <c r="E45" s="33">
        <f>IF(B45="",0,SUMIFS('04_Trades'!$G$5:$G$1004,'04_Trades'!$E$5:$E$1004,B45,'04_Trades'!$C$5:$C$1004,"BUY"))</f>
        <v>64</v>
      </c>
      <c r="F45" s="33">
        <f>IF(B45="",0,SUMIFS('04_Trades'!$G$5:$G$1004,'04_Trades'!$E$5:$E$1004,B45,'04_Trades'!$C$5:$C$1004,"SELL"))</f>
        <v>0</v>
      </c>
      <c r="G45" s="27">
        <f t="shared" si="8"/>
        <v>64</v>
      </c>
      <c r="H45" s="33">
        <f>IFERROR(LOOKUP(2,1/('04_Trades'!$E$5:$E$1004=B45),'04_Trades'!$H$5:$H$1004),"")</f>
        <v>76.84</v>
      </c>
      <c r="I45" s="34">
        <f>IFERROR(VLOOKUP(D45,'02_FX_Rates'!$A$5:$B$10,2,FALSE),IFERROR(LOOKUP(2,1/('04_Trades'!$E$5:$E$1004=B45),'04_Trades'!$J$5:$J$1004),""))</f>
        <v>1</v>
      </c>
      <c r="J45" s="26">
        <f t="shared" si="9"/>
        <v>4917.76</v>
      </c>
      <c r="K45" s="26">
        <f t="shared" si="10"/>
        <v>4917.76</v>
      </c>
      <c r="L45" s="10">
        <f>IFERROR(SUMIFS('04_Trades'!$K$5:$K$1004,'04_Trades'!$E$5:$E$1004,B45,'04_Trades'!$C$5:$C$1004,"BUY")/SUMIFS('04_Trades'!$G$5:$G$1004,'04_Trades'!$E$5:$E$1004,B45,'04_Trades'!$C$5:$C$1004,"BUY"),"")</f>
        <v>76.539375000000007</v>
      </c>
      <c r="M45" s="26">
        <f t="shared" si="11"/>
        <v>19.239999999999782</v>
      </c>
      <c r="N45" s="76">
        <v>76.3</v>
      </c>
      <c r="O45" s="77">
        <f t="shared" si="12"/>
        <v>4883.2</v>
      </c>
      <c r="P45" s="52">
        <f t="shared" si="13"/>
        <v>-15.320000000000618</v>
      </c>
    </row>
    <row r="46" spans="1:16" x14ac:dyDescent="0.2">
      <c r="A46" s="23">
        <f t="shared" si="7"/>
        <v>42</v>
      </c>
      <c r="B46" s="56" t="s">
        <v>279</v>
      </c>
      <c r="C46" s="31" t="str">
        <f>IFERROR(LOOKUP(2,1/('04_Trades'!$E$5:$E$1004=B46),'04_Trades'!$D$5:$D$1004),"")</f>
        <v>BTP 3.1% Aug26</v>
      </c>
      <c r="D46" s="32" t="str">
        <f>IFERROR(LOOKUP(2,1/('04_Trades'!$E$5:$E$1004=B46),'04_Trades'!$F$5:$F$1004),"")</f>
        <v>EUR</v>
      </c>
      <c r="E46" s="33">
        <f>IF(B46="",0,SUMIFS('04_Trades'!$G$5:$G$1004,'04_Trades'!$E$5:$E$1004,B46,'04_Trades'!$C$5:$C$1004,"BUY"))</f>
        <v>100000</v>
      </c>
      <c r="F46" s="33">
        <f>IF(B46="",0,SUMIFS('04_Trades'!$G$5:$G$1004,'04_Trades'!$E$5:$E$1004,B46,'04_Trades'!$C$5:$C$1004,"SELL"))</f>
        <v>0</v>
      </c>
      <c r="G46" s="27">
        <f t="shared" si="8"/>
        <v>100000</v>
      </c>
      <c r="H46" s="33">
        <f>IFERROR(LOOKUP(2,1/('04_Trades'!$E$5:$E$1004=B46),'04_Trades'!$H$5:$H$1004),"")</f>
        <v>1.00589</v>
      </c>
      <c r="I46" s="34">
        <f>IFERROR(VLOOKUP(D46,'02_FX_Rates'!$A$5:$B$10,2,FALSE),IFERROR(LOOKUP(2,1/('04_Trades'!$E$5:$E$1004=B46),'04_Trades'!$J$5:$J$1004),""))</f>
        <v>1</v>
      </c>
      <c r="J46" s="26">
        <f t="shared" si="9"/>
        <v>100589</v>
      </c>
      <c r="K46" s="26">
        <f t="shared" si="10"/>
        <v>100589</v>
      </c>
      <c r="L46" s="10">
        <f>IFERROR(SUMIFS('04_Trades'!$K$5:$K$1004,'04_Trades'!$E$5:$E$1004,B46,'04_Trades'!$C$5:$C$1004,"BUY")/SUMIFS('04_Trades'!$G$5:$G$1004,'04_Trades'!$E$5:$E$1004,B46,'04_Trades'!$C$5:$C$1004,"BUY"),"")</f>
        <v>1.00589</v>
      </c>
      <c r="M46" s="26">
        <f t="shared" si="11"/>
        <v>0</v>
      </c>
      <c r="N46" s="76">
        <v>1.0027999999999999</v>
      </c>
      <c r="O46" s="77">
        <f t="shared" si="12"/>
        <v>100279.99999999999</v>
      </c>
      <c r="P46" s="52">
        <f t="shared" si="13"/>
        <v>-309.00000000001455</v>
      </c>
    </row>
    <row r="47" spans="1:16" x14ac:dyDescent="0.2">
      <c r="A47" s="23">
        <f t="shared" si="7"/>
        <v>43</v>
      </c>
      <c r="B47" s="56" t="s">
        <v>290</v>
      </c>
      <c r="C47" s="31" t="str">
        <f>IFERROR(LOOKUP(2,1/('04_Trades'!$E$5:$E$1004=B47),'04_Trades'!$D$5:$D$1004),"")</f>
        <v>ENI SpA</v>
      </c>
      <c r="D47" s="32" t="str">
        <f>IFERROR(LOOKUP(2,1/('04_Trades'!$E$5:$E$1004=B47),'04_Trades'!$F$5:$F$1004),"")</f>
        <v>EUR</v>
      </c>
      <c r="E47" s="33">
        <f>IF(B47="",0,SUMIFS('04_Trades'!$G$5:$G$1004,'04_Trades'!$E$5:$E$1004,B47,'04_Trades'!$C$5:$C$1004,"BUY"))</f>
        <v>300</v>
      </c>
      <c r="F47" s="33">
        <f>IF(B47="",0,SUMIFS('04_Trades'!$G$5:$G$1004,'04_Trades'!$E$5:$E$1004,B47,'04_Trades'!$C$5:$C$1004,"SELL"))</f>
        <v>0</v>
      </c>
      <c r="G47" s="27">
        <f t="shared" si="8"/>
        <v>300</v>
      </c>
      <c r="H47" s="33">
        <f>IFERROR(LOOKUP(2,1/('04_Trades'!$E$5:$E$1004=B47),'04_Trades'!$H$5:$H$1004),"")</f>
        <v>20.6</v>
      </c>
      <c r="I47" s="34">
        <f>IFERROR(VLOOKUP(D47,'02_FX_Rates'!$A$5:$B$10,2,FALSE),IFERROR(LOOKUP(2,1/('04_Trades'!$E$5:$E$1004=B47),'04_Trades'!$J$5:$J$1004),""))</f>
        <v>1</v>
      </c>
      <c r="J47" s="26">
        <f t="shared" si="9"/>
        <v>6180</v>
      </c>
      <c r="K47" s="26">
        <f t="shared" si="10"/>
        <v>6180</v>
      </c>
      <c r="L47" s="10">
        <f>IFERROR(SUMIFS('04_Trades'!$K$5:$K$1004,'04_Trades'!$E$5:$E$1004,B47,'04_Trades'!$C$5:$C$1004,"BUY")/SUMIFS('04_Trades'!$G$5:$G$1004,'04_Trades'!$E$5:$E$1004,B47,'04_Trades'!$C$5:$C$1004,"BUY"),"")</f>
        <v>20.6</v>
      </c>
      <c r="M47" s="26">
        <f t="shared" si="11"/>
        <v>0</v>
      </c>
      <c r="N47" s="76">
        <v>20.6</v>
      </c>
      <c r="O47" s="77">
        <f t="shared" si="12"/>
        <v>6180</v>
      </c>
      <c r="P47" s="52">
        <f t="shared" si="13"/>
        <v>0</v>
      </c>
    </row>
    <row r="48" spans="1:16" x14ac:dyDescent="0.2">
      <c r="A48" s="23">
        <f t="shared" si="7"/>
        <v>44</v>
      </c>
      <c r="B48" s="56" t="s">
        <v>283</v>
      </c>
      <c r="C48" s="31" t="str">
        <f>IFERROR(LOOKUP(2,1/('04_Trades'!$E$5:$E$1004=B48),'04_Trades'!$D$5:$D$1004),"")</f>
        <v>BOT Zero Coupon Mar26</v>
      </c>
      <c r="D48" s="32" t="str">
        <f>IFERROR(LOOKUP(2,1/('04_Trades'!$E$5:$E$1004=B48),'04_Trades'!$F$5:$F$1004),"")</f>
        <v>EUR</v>
      </c>
      <c r="E48" s="33">
        <f>IF(B48="",0,SUMIFS('04_Trades'!$G$5:$G$1004,'04_Trades'!$E$5:$E$1004,B48,'04_Trades'!$C$5:$C$1004,"BUY"))</f>
        <v>100000</v>
      </c>
      <c r="F48" s="33">
        <f>IF(B48="",0,SUMIFS('04_Trades'!$G$5:$G$1004,'04_Trades'!$E$5:$E$1004,B48,'04_Trades'!$C$5:$C$1004,"SELL"))</f>
        <v>100000</v>
      </c>
      <c r="G48" s="27">
        <f t="shared" si="8"/>
        <v>0</v>
      </c>
      <c r="H48" s="33">
        <f>IFERROR(LOOKUP(2,1/('04_Trades'!$E$5:$E$1004=B48),'04_Trades'!$H$5:$H$1004),"")</f>
        <v>1</v>
      </c>
      <c r="I48" s="34">
        <f>IFERROR(VLOOKUP(D48,'02_FX_Rates'!$A$5:$B$10,2,FALSE),IFERROR(LOOKUP(2,1/('04_Trades'!$E$5:$E$1004=B48),'04_Trades'!$J$5:$J$1004),""))</f>
        <v>1</v>
      </c>
      <c r="J48" s="26">
        <f t="shared" si="9"/>
        <v>0</v>
      </c>
      <c r="K48" s="26">
        <f t="shared" si="10"/>
        <v>0</v>
      </c>
      <c r="L48" s="10">
        <f>IFERROR(SUMIFS('04_Trades'!$K$5:$K$1004,'04_Trades'!$E$5:$E$1004,B48,'04_Trades'!$C$5:$C$1004,"BUY")/SUMIFS('04_Trades'!$G$5:$G$1004,'04_Trades'!$E$5:$E$1004,B48,'04_Trades'!$C$5:$C$1004,"BUY"),"")</f>
        <v>0.99829000000000001</v>
      </c>
      <c r="M48" s="26" t="str">
        <f t="shared" si="11"/>
        <v/>
      </c>
      <c r="N48" s="76">
        <v>1</v>
      </c>
      <c r="O48" s="77">
        <f t="shared" si="12"/>
        <v>0</v>
      </c>
      <c r="P48" s="52" t="str">
        <f t="shared" si="13"/>
        <v/>
      </c>
    </row>
    <row r="49" spans="1:16" x14ac:dyDescent="0.2">
      <c r="A49" s="23">
        <f t="shared" si="7"/>
        <v>45</v>
      </c>
      <c r="B49" s="56" t="s">
        <v>281</v>
      </c>
      <c r="C49" s="31" t="str">
        <f>IFERROR(LOOKUP(2,1/('04_Trades'!$E$5:$E$1004=B49),'04_Trades'!$D$5:$D$1004),"")</f>
        <v>BOT Zero Coupon Apr26</v>
      </c>
      <c r="D49" s="32" t="str">
        <f>IFERROR(LOOKUP(2,1/('04_Trades'!$E$5:$E$1004=B49),'04_Trades'!$F$5:$F$1004),"")</f>
        <v>EUR</v>
      </c>
      <c r="E49" s="33">
        <f>IF(B49="",0,SUMIFS('04_Trades'!$G$5:$G$1004,'04_Trades'!$E$5:$E$1004,B49,'04_Trades'!$C$5:$C$1004,"BUY"))</f>
        <v>100000</v>
      </c>
      <c r="F49" s="33">
        <f>IF(B49="",0,SUMIFS('04_Trades'!$G$5:$G$1004,'04_Trades'!$E$5:$E$1004,B49,'04_Trades'!$C$5:$C$1004,"SELL"))</f>
        <v>100000</v>
      </c>
      <c r="G49" s="27">
        <f t="shared" si="8"/>
        <v>0</v>
      </c>
      <c r="H49" s="33">
        <f>IFERROR(LOOKUP(2,1/('04_Trades'!$E$5:$E$1004=B49),'04_Trades'!$H$5:$H$1004),"")</f>
        <v>1</v>
      </c>
      <c r="I49" s="34">
        <f>IFERROR(VLOOKUP(D49,'02_FX_Rates'!$A$5:$B$10,2,FALSE),IFERROR(LOOKUP(2,1/('04_Trades'!$E$5:$E$1004=B49),'04_Trades'!$J$5:$J$1004),""))</f>
        <v>1</v>
      </c>
      <c r="J49" s="26">
        <f t="shared" si="9"/>
        <v>0</v>
      </c>
      <c r="K49" s="26">
        <f t="shared" si="10"/>
        <v>0</v>
      </c>
      <c r="L49" s="10">
        <f>IFERROR(SUMIFS('04_Trades'!$K$5:$K$1004,'04_Trades'!$E$5:$E$1004,B49,'04_Trades'!$C$5:$C$1004,"BUY")/SUMIFS('04_Trades'!$G$5:$G$1004,'04_Trades'!$E$5:$E$1004,B49,'04_Trades'!$C$5:$C$1004,"BUY"),"")</f>
        <v>0.99656999999999996</v>
      </c>
      <c r="M49" s="26" t="str">
        <f t="shared" si="11"/>
        <v/>
      </c>
      <c r="N49" s="76">
        <v>1</v>
      </c>
      <c r="O49" s="77">
        <f t="shared" si="12"/>
        <v>0</v>
      </c>
      <c r="P49" s="52" t="str">
        <f t="shared" si="13"/>
        <v/>
      </c>
    </row>
    <row r="50" spans="1:16" x14ac:dyDescent="0.2">
      <c r="A50" s="23">
        <f t="shared" si="7"/>
        <v>46</v>
      </c>
      <c r="B50" s="56" t="s">
        <v>285</v>
      </c>
      <c r="C50" s="31" t="str">
        <f>IFERROR(LOOKUP(2,1/('04_Trades'!$E$5:$E$1004=B50),'04_Trades'!$D$5:$D$1004),"")</f>
        <v>TRIGANO SA</v>
      </c>
      <c r="D50" s="32" t="str">
        <f>IFERROR(LOOKUP(2,1/('04_Trades'!$E$5:$E$1004=B50),'04_Trades'!$F$5:$F$1004),"")</f>
        <v>EUR</v>
      </c>
      <c r="E50" s="33">
        <f>IF(B50="",0,SUMIFS('04_Trades'!$G$5:$G$1004,'04_Trades'!$E$5:$E$1004,B50,'04_Trades'!$C$5:$C$1004,"BUY"))</f>
        <v>100</v>
      </c>
      <c r="F50" s="33">
        <f>IF(B50="",0,SUMIFS('04_Trades'!$G$5:$G$1004,'04_Trades'!$E$5:$E$1004,B50,'04_Trades'!$C$5:$C$1004,"SELL"))</f>
        <v>0</v>
      </c>
      <c r="G50" s="27">
        <f t="shared" si="8"/>
        <v>100</v>
      </c>
      <c r="H50" s="33">
        <f>IFERROR(LOOKUP(2,1/('04_Trades'!$E$5:$E$1004=B50),'04_Trades'!$H$5:$H$1004),"")</f>
        <v>170.6</v>
      </c>
      <c r="I50" s="34">
        <f>IFERROR(VLOOKUP(D50,'02_FX_Rates'!$A$5:$B$10,2,FALSE),IFERROR(LOOKUP(2,1/('04_Trades'!$E$5:$E$1004=B50),'04_Trades'!$J$5:$J$1004),""))</f>
        <v>1</v>
      </c>
      <c r="J50" s="26">
        <f t="shared" si="9"/>
        <v>17060</v>
      </c>
      <c r="K50" s="26">
        <f t="shared" si="10"/>
        <v>17060</v>
      </c>
      <c r="L50" s="10">
        <f>IFERROR(SUMIFS('04_Trades'!$K$5:$K$1004,'04_Trades'!$E$5:$E$1004,B50,'04_Trades'!$C$5:$C$1004,"BUY")/SUMIFS('04_Trades'!$G$5:$G$1004,'04_Trades'!$E$5:$E$1004,B50,'04_Trades'!$C$5:$C$1004,"BUY"),"")</f>
        <v>170.6</v>
      </c>
      <c r="M50" s="26">
        <f t="shared" si="11"/>
        <v>0</v>
      </c>
      <c r="N50" s="76">
        <v>170.6</v>
      </c>
      <c r="O50" s="77">
        <f t="shared" si="12"/>
        <v>17060</v>
      </c>
      <c r="P50" s="52">
        <f t="shared" si="13"/>
        <v>0</v>
      </c>
    </row>
    <row r="51" spans="1:16" x14ac:dyDescent="0.2">
      <c r="A51" s="23">
        <f t="shared" si="7"/>
        <v>47</v>
      </c>
      <c r="B51" s="56" t="s">
        <v>288</v>
      </c>
      <c r="C51" s="31" t="str">
        <f>IFERROR(LOOKUP(2,1/('04_Trades'!$E$5:$E$1004=B51),'04_Trades'!$D$5:$D$1004),"")</f>
        <v>iShares Global Aerospace &amp; Defence UCITS ETF</v>
      </c>
      <c r="D51" s="32" t="str">
        <f>IFERROR(LOOKUP(2,1/('04_Trades'!$E$5:$E$1004=B51),'04_Trades'!$F$5:$F$1004),"")</f>
        <v>EUR</v>
      </c>
      <c r="E51" s="33">
        <f>IF(B51="",0,SUMIFS('04_Trades'!$G$5:$G$1004,'04_Trades'!$E$5:$E$1004,B51,'04_Trades'!$C$5:$C$1004,"BUY"))</f>
        <v>500</v>
      </c>
      <c r="F51" s="33">
        <f>IF(B51="",0,SUMIFS('04_Trades'!$G$5:$G$1004,'04_Trades'!$E$5:$E$1004,B51,'04_Trades'!$C$5:$C$1004,"SELL"))</f>
        <v>0</v>
      </c>
      <c r="G51" s="27">
        <f t="shared" si="8"/>
        <v>500</v>
      </c>
      <c r="H51" s="33">
        <f>IFERROR(LOOKUP(2,1/('04_Trades'!$E$5:$E$1004=B51),'04_Trades'!$H$5:$H$1004),"")</f>
        <v>9.0370000000000008</v>
      </c>
      <c r="I51" s="34">
        <f>IFERROR(VLOOKUP(D51,'02_FX_Rates'!$A$5:$B$10,2,FALSE),IFERROR(LOOKUP(2,1/('04_Trades'!$E$5:$E$1004=B51),'04_Trades'!$J$5:$J$1004),""))</f>
        <v>1</v>
      </c>
      <c r="J51" s="26">
        <f t="shared" si="9"/>
        <v>4518.5</v>
      </c>
      <c r="K51" s="26">
        <f t="shared" si="10"/>
        <v>4518.5</v>
      </c>
      <c r="L51" s="10">
        <f>IFERROR(SUMIFS('04_Trades'!$K$5:$K$1004,'04_Trades'!$E$5:$E$1004,B51,'04_Trades'!$C$5:$C$1004,"BUY")/SUMIFS('04_Trades'!$G$5:$G$1004,'04_Trades'!$E$5:$E$1004,B51,'04_Trades'!$C$5:$C$1004,"BUY"),"")</f>
        <v>9.0370000000000008</v>
      </c>
      <c r="M51" s="26">
        <f t="shared" si="11"/>
        <v>0</v>
      </c>
      <c r="N51" s="76">
        <v>9.33</v>
      </c>
      <c r="O51" s="77">
        <f t="shared" si="12"/>
        <v>4665</v>
      </c>
      <c r="P51" s="52">
        <f t="shared" si="13"/>
        <v>146.5</v>
      </c>
    </row>
    <row r="52" spans="1:16" x14ac:dyDescent="0.2">
      <c r="A52" s="23">
        <f t="shared" si="7"/>
        <v>48</v>
      </c>
      <c r="B52" s="56" t="s">
        <v>292</v>
      </c>
      <c r="C52" s="31" t="str">
        <f>IFERROR(LOOKUP(2,1/('04_Trades'!$E$5:$E$1004=B52),'04_Trades'!$D$5:$D$1004),"")</f>
        <v>iShares Global High Yield Corp Bond UCITS ETF</v>
      </c>
      <c r="D52" s="32" t="str">
        <f>IFERROR(LOOKUP(2,1/('04_Trades'!$E$5:$E$1004=B52),'04_Trades'!$F$5:$F$1004),"")</f>
        <v>EUR</v>
      </c>
      <c r="E52" s="33">
        <f>IF(B52="",0,SUMIFS('04_Trades'!$G$5:$G$1004,'04_Trades'!$E$5:$E$1004,B52,'04_Trades'!$C$5:$C$1004,"BUY"))</f>
        <v>38</v>
      </c>
      <c r="F52" s="33">
        <f>IF(B52="",0,SUMIFS('04_Trades'!$G$5:$G$1004,'04_Trades'!$E$5:$E$1004,B52,'04_Trades'!$C$5:$C$1004,"SELL"))</f>
        <v>0</v>
      </c>
      <c r="G52" s="27">
        <f t="shared" si="8"/>
        <v>38</v>
      </c>
      <c r="H52" s="33">
        <f>IFERROR(LOOKUP(2,1/('04_Trades'!$E$5:$E$1004=B52),'04_Trades'!$H$5:$H$1004),"")</f>
        <v>76.95</v>
      </c>
      <c r="I52" s="34">
        <f>IFERROR(VLOOKUP(D52,'02_FX_Rates'!$A$5:$B$10,2,FALSE),IFERROR(LOOKUP(2,1/('04_Trades'!$E$5:$E$1004=B52),'04_Trades'!$J$5:$J$1004),""))</f>
        <v>1</v>
      </c>
      <c r="J52" s="26">
        <f t="shared" si="9"/>
        <v>2924.1</v>
      </c>
      <c r="K52" s="26">
        <f t="shared" si="10"/>
        <v>2924.1</v>
      </c>
      <c r="L52" s="10">
        <f>IFERROR(SUMIFS('04_Trades'!$K$5:$K$1004,'04_Trades'!$E$5:$E$1004,B52,'04_Trades'!$C$5:$C$1004,"BUY")/SUMIFS('04_Trades'!$G$5:$G$1004,'04_Trades'!$E$5:$E$1004,B52,'04_Trades'!$C$5:$C$1004,"BUY"),"")</f>
        <v>76.204210526315791</v>
      </c>
      <c r="M52" s="26">
        <f t="shared" si="11"/>
        <v>28.339999999999691</v>
      </c>
      <c r="N52" s="76">
        <v>76.95</v>
      </c>
      <c r="O52" s="77">
        <f t="shared" si="12"/>
        <v>2924.1</v>
      </c>
      <c r="P52" s="52">
        <f t="shared" si="13"/>
        <v>28.339999999999691</v>
      </c>
    </row>
    <row r="53" spans="1:16" x14ac:dyDescent="0.2">
      <c r="A53" s="23">
        <f t="shared" si="7"/>
        <v>49</v>
      </c>
      <c r="B53" s="56" t="s">
        <v>294</v>
      </c>
      <c r="C53" s="31" t="str">
        <f>IFERROR(LOOKUP(2,1/('04_Trades'!$E$5:$E$1004=B53),'04_Trades'!$D$5:$D$1004),"")</f>
        <v>iShares MSCI Japan Small Cap UCITS ETF</v>
      </c>
      <c r="D53" s="32" t="str">
        <f>IFERROR(LOOKUP(2,1/('04_Trades'!$E$5:$E$1004=B53),'04_Trades'!$F$5:$F$1004),"")</f>
        <v>EUR</v>
      </c>
      <c r="E53" s="33">
        <f>IF(B53="",0,SUMIFS('04_Trades'!$G$5:$G$1004,'04_Trades'!$E$5:$E$1004,B53,'04_Trades'!$C$5:$C$1004,"BUY"))</f>
        <v>100</v>
      </c>
      <c r="F53" s="33">
        <f>IF(B53="",0,SUMIFS('04_Trades'!$G$5:$G$1004,'04_Trades'!$E$5:$E$1004,B53,'04_Trades'!$C$5:$C$1004,"SELL"))</f>
        <v>0</v>
      </c>
      <c r="G53" s="27">
        <f t="shared" si="8"/>
        <v>100</v>
      </c>
      <c r="H53" s="33">
        <f>IFERROR(LOOKUP(2,1/('04_Trades'!$E$5:$E$1004=B53),'04_Trades'!$H$5:$H$1004),"")</f>
        <v>47.854999999999997</v>
      </c>
      <c r="I53" s="34">
        <f>IFERROR(VLOOKUP(D53,'02_FX_Rates'!$A$5:$B$10,2,FALSE),IFERROR(LOOKUP(2,1/('04_Trades'!$E$5:$E$1004=B53),'04_Trades'!$J$5:$J$1004),""))</f>
        <v>1</v>
      </c>
      <c r="J53" s="26">
        <f t="shared" si="9"/>
        <v>4785.5</v>
      </c>
      <c r="K53" s="26">
        <f t="shared" si="10"/>
        <v>4785.5</v>
      </c>
      <c r="L53" s="10">
        <f>IFERROR(SUMIFS('04_Trades'!$K$5:$K$1004,'04_Trades'!$E$5:$E$1004,B53,'04_Trades'!$C$5:$C$1004,"BUY")/SUMIFS('04_Trades'!$G$5:$G$1004,'04_Trades'!$E$5:$E$1004,B53,'04_Trades'!$C$5:$C$1004,"BUY"),"")</f>
        <v>48.274492000000002</v>
      </c>
      <c r="M53" s="26">
        <f t="shared" si="11"/>
        <v>-41.949200000000019</v>
      </c>
      <c r="N53" s="76">
        <v>47.85</v>
      </c>
      <c r="O53" s="77">
        <f t="shared" si="12"/>
        <v>4785</v>
      </c>
      <c r="P53" s="52">
        <f t="shared" si="13"/>
        <v>-42.449200000000019</v>
      </c>
    </row>
    <row r="54" spans="1:16" x14ac:dyDescent="0.2">
      <c r="A54" s="23">
        <f t="shared" si="7"/>
        <v>50</v>
      </c>
      <c r="B54" s="56" t="s">
        <v>296</v>
      </c>
      <c r="C54" s="31" t="str">
        <f>IFERROR(LOOKUP(2,1/('04_Trades'!$E$5:$E$1004=B54),'04_Trades'!$D$5:$D$1004),"")</f>
        <v>iShares STOXX Europe Select Dividend 30</v>
      </c>
      <c r="D54" s="32" t="str">
        <f>IFERROR(LOOKUP(2,1/('04_Trades'!$E$5:$E$1004=B54),'04_Trades'!$F$5:$F$1004),"")</f>
        <v>EUR</v>
      </c>
      <c r="E54" s="33">
        <f>IF(B54="",0,SUMIFS('04_Trades'!$G$5:$G$1004,'04_Trades'!$E$5:$E$1004,B54,'04_Trades'!$C$5:$C$1004,"BUY"))</f>
        <v>204</v>
      </c>
      <c r="F54" s="33">
        <f>IF(B54="",0,SUMIFS('04_Trades'!$G$5:$G$1004,'04_Trades'!$E$5:$E$1004,B54,'04_Trades'!$C$5:$C$1004,"SELL"))</f>
        <v>0</v>
      </c>
      <c r="G54" s="27">
        <f t="shared" si="8"/>
        <v>204</v>
      </c>
      <c r="H54" s="33">
        <f>IFERROR(LOOKUP(2,1/('04_Trades'!$E$5:$E$1004=B54),'04_Trades'!$H$5:$H$1004),"")</f>
        <v>24.77</v>
      </c>
      <c r="I54" s="34">
        <f>IFERROR(VLOOKUP(D54,'02_FX_Rates'!$A$5:$B$10,2,FALSE),IFERROR(LOOKUP(2,1/('04_Trades'!$E$5:$E$1004=B54),'04_Trades'!$J$5:$J$1004),""))</f>
        <v>1</v>
      </c>
      <c r="J54" s="26">
        <f t="shared" si="9"/>
        <v>5053.08</v>
      </c>
      <c r="K54" s="26">
        <f t="shared" si="10"/>
        <v>5053.08</v>
      </c>
      <c r="L54" s="10">
        <f>IFERROR(SUMIFS('04_Trades'!$K$5:$K$1004,'04_Trades'!$E$5:$E$1004,B54,'04_Trades'!$C$5:$C$1004,"BUY")/SUMIFS('04_Trades'!$G$5:$G$1004,'04_Trades'!$E$5:$E$1004,B54,'04_Trades'!$C$5:$C$1004,"BUY"),"")</f>
        <v>24.24578431372549</v>
      </c>
      <c r="M54" s="26">
        <f t="shared" si="11"/>
        <v>106.9399999999996</v>
      </c>
      <c r="N54" s="76">
        <v>25.35</v>
      </c>
      <c r="O54" s="77">
        <f t="shared" si="12"/>
        <v>5171.4000000000005</v>
      </c>
      <c r="P54" s="52">
        <f t="shared" si="13"/>
        <v>225.26000000000022</v>
      </c>
    </row>
    <row r="55" spans="1:16" x14ac:dyDescent="0.2">
      <c r="A55" s="66">
        <f t="shared" si="7"/>
        <v>51</v>
      </c>
      <c r="B55" s="65" t="s">
        <v>298</v>
      </c>
      <c r="C55" s="67" t="str">
        <f>IFERROR(LOOKUP(2,1/('04_Trades'!$E$5:$E$1004=B55),'04_Trades'!$D$5:$D$1004),"")</f>
        <v>iShares EURO STOXX Small UCITS ETF</v>
      </c>
      <c r="D55" s="68" t="str">
        <f>IFERROR(LOOKUP(2,1/('04_Trades'!$E$5:$E$1004=B55),'04_Trades'!$F$5:$F$1004),"")</f>
        <v>EUR</v>
      </c>
      <c r="E55" s="69">
        <f>IF(B55="",0,SUMIFS('04_Trades'!$G$5:$G$1004,'04_Trades'!$E$5:$E$1004,B55,'04_Trades'!$C$5:$C$1004,"BUY"))</f>
        <v>98</v>
      </c>
      <c r="F55" s="69">
        <f>IF(B55="",0,SUMIFS('04_Trades'!$G$5:$G$1004,'04_Trades'!$E$5:$E$1004,B55,'04_Trades'!$C$5:$C$1004,"SELL"))</f>
        <v>0</v>
      </c>
      <c r="G55" s="70">
        <f t="shared" si="8"/>
        <v>98</v>
      </c>
      <c r="H55" s="69">
        <f>IFERROR(LOOKUP(2,1/('04_Trades'!$E$5:$E$1004=B55),'04_Trades'!$H$5:$H$1004),"")</f>
        <v>51.1</v>
      </c>
      <c r="I55" s="71">
        <f>IFERROR(VLOOKUP(D55,'02_FX_Rates'!$A$5:$B$10,2,FALSE),IFERROR(LOOKUP(2,1/('04_Trades'!$E$5:$E$1004=B55),'04_Trades'!$J$5:$J$1004),""))</f>
        <v>1</v>
      </c>
      <c r="J55" s="72">
        <f t="shared" si="9"/>
        <v>5007.8</v>
      </c>
      <c r="K55" s="72">
        <f t="shared" si="10"/>
        <v>5007.8</v>
      </c>
      <c r="L55" s="73">
        <f>IFERROR(SUMIFS('04_Trades'!$K$5:$K$1004,'04_Trades'!$E$5:$E$1004,B55,'04_Trades'!$C$5:$C$1004,"BUY")/SUMIFS('04_Trades'!$G$5:$G$1004,'04_Trades'!$E$5:$E$1004,B55,'04_Trades'!$C$5:$C$1004,"BUY"),"")</f>
        <v>49.563461224489792</v>
      </c>
      <c r="M55" s="72">
        <f t="shared" si="11"/>
        <v>150.58080000000064</v>
      </c>
      <c r="N55" s="76">
        <v>50.79</v>
      </c>
      <c r="O55" s="77">
        <f t="shared" si="12"/>
        <v>4977.42</v>
      </c>
      <c r="P55" s="52">
        <f t="shared" si="13"/>
        <v>120.20080000000053</v>
      </c>
    </row>
    <row r="56" spans="1:16" x14ac:dyDescent="0.2">
      <c r="A56" s="66">
        <f t="shared" si="7"/>
        <v>52</v>
      </c>
      <c r="B56" s="65" t="s">
        <v>300</v>
      </c>
      <c r="C56" s="67" t="str">
        <f>IFERROR(LOOKUP(2,1/('04_Trades'!$E$5:$E$1004=B56),'04_Trades'!$D$5:$D$1004),"")</f>
        <v>iShares Digital Security UCITS ETF</v>
      </c>
      <c r="D56" s="68" t="str">
        <f>IFERROR(LOOKUP(2,1/('04_Trades'!$E$5:$E$1004=B56),'04_Trades'!$F$5:$F$1004),"")</f>
        <v>EUR</v>
      </c>
      <c r="E56" s="69">
        <f>IF(B56="",0,SUMIFS('04_Trades'!$G$5:$G$1004,'04_Trades'!$E$5:$E$1004,B56,'04_Trades'!$C$5:$C$1004,"BUY"))</f>
        <v>569</v>
      </c>
      <c r="F56" s="69">
        <f>IF(B56="",0,SUMIFS('04_Trades'!$G$5:$G$1004,'04_Trades'!$E$5:$E$1004,B56,'04_Trades'!$C$5:$C$1004,"SELL"))</f>
        <v>0</v>
      </c>
      <c r="G56" s="70">
        <f t="shared" si="8"/>
        <v>569</v>
      </c>
      <c r="H56" s="69">
        <f>IFERROR(LOOKUP(2,1/('04_Trades'!$E$5:$E$1004=B56),'04_Trades'!$H$5:$H$1004),"")</f>
        <v>9.0719999999999992</v>
      </c>
      <c r="I56" s="71">
        <f>IFERROR(VLOOKUP(D56,'02_FX_Rates'!$A$5:$B$10,2,FALSE),IFERROR(LOOKUP(2,1/('04_Trades'!$E$5:$E$1004=B56),'04_Trades'!$J$5:$J$1004),""))</f>
        <v>1</v>
      </c>
      <c r="J56" s="72">
        <f t="shared" si="9"/>
        <v>5161.9679999999998</v>
      </c>
      <c r="K56" s="72">
        <f t="shared" si="10"/>
        <v>5161.9679999999998</v>
      </c>
      <c r="L56" s="73">
        <f>IFERROR(SUMIFS('04_Trades'!$K$5:$K$1004,'04_Trades'!$E$5:$E$1004,B56,'04_Trades'!$C$5:$C$1004,"BUY")/SUMIFS('04_Trades'!$G$5:$G$1004,'04_Trades'!$E$5:$E$1004,B56,'04_Trades'!$C$5:$C$1004,"BUY"),"")</f>
        <v>8.6852882249560626</v>
      </c>
      <c r="M56" s="72">
        <f t="shared" si="11"/>
        <v>220.03900000000067</v>
      </c>
      <c r="N56" s="76">
        <v>9.39</v>
      </c>
      <c r="O56" s="77">
        <f t="shared" si="12"/>
        <v>5342.9100000000008</v>
      </c>
      <c r="P56" s="52">
        <f t="shared" si="13"/>
        <v>400.98100000000159</v>
      </c>
    </row>
    <row r="57" spans="1:16" x14ac:dyDescent="0.2">
      <c r="A57" s="66">
        <f t="shared" si="7"/>
        <v>53</v>
      </c>
      <c r="B57" s="65" t="s">
        <v>302</v>
      </c>
      <c r="C57" s="67" t="str">
        <f>IFERROR(LOOKUP(2,1/('04_Trades'!$E$5:$E$1004=B57),'04_Trades'!$D$5:$D$1004),"")</f>
        <v>iShares Digitalisation UCITS ETF</v>
      </c>
      <c r="D57" s="68" t="str">
        <f>IFERROR(LOOKUP(2,1/('04_Trades'!$E$5:$E$1004=B57),'04_Trades'!$F$5:$F$1004),"")</f>
        <v>EUR</v>
      </c>
      <c r="E57" s="69">
        <f>IF(B57="",0,SUMIFS('04_Trades'!$G$5:$G$1004,'04_Trades'!$E$5:$E$1004,B57,'04_Trades'!$C$5:$C$1004,"BUY"))</f>
        <v>588</v>
      </c>
      <c r="F57" s="69">
        <f>IF(B57="",0,SUMIFS('04_Trades'!$G$5:$G$1004,'04_Trades'!$E$5:$E$1004,B57,'04_Trades'!$C$5:$C$1004,"SELL"))</f>
        <v>0</v>
      </c>
      <c r="G57" s="70">
        <f t="shared" si="8"/>
        <v>588</v>
      </c>
      <c r="H57" s="69">
        <f>IFERROR(LOOKUP(2,1/('04_Trades'!$E$5:$E$1004=B57),'04_Trades'!$H$5:$H$1004),"")</f>
        <v>8.7539999999999996</v>
      </c>
      <c r="I57" s="71">
        <f>IFERROR(VLOOKUP(D57,'02_FX_Rates'!$A$5:$B$10,2,FALSE),IFERROR(LOOKUP(2,1/('04_Trades'!$E$5:$E$1004=B57),'04_Trades'!$J$5:$J$1004),""))</f>
        <v>1</v>
      </c>
      <c r="J57" s="72">
        <f t="shared" si="9"/>
        <v>5147.3519999999999</v>
      </c>
      <c r="K57" s="72">
        <f t="shared" si="10"/>
        <v>5147.3519999999999</v>
      </c>
      <c r="L57" s="73">
        <f>IFERROR(SUMIFS('04_Trades'!$K$5:$K$1004,'04_Trades'!$E$5:$E$1004,B57,'04_Trades'!$C$5:$C$1004,"BUY")/SUMIFS('04_Trades'!$G$5:$G$1004,'04_Trades'!$E$5:$E$1004,B57,'04_Trades'!$C$5:$C$1004,"BUY"),"")</f>
        <v>8.4146207482993205</v>
      </c>
      <c r="M57" s="72">
        <f t="shared" si="11"/>
        <v>199.55499999999938</v>
      </c>
      <c r="N57" s="76">
        <v>8.5</v>
      </c>
      <c r="O57" s="77">
        <f t="shared" si="12"/>
        <v>4998</v>
      </c>
      <c r="P57" s="52">
        <f t="shared" si="13"/>
        <v>50.20299999999952</v>
      </c>
    </row>
    <row r="58" spans="1:16" x14ac:dyDescent="0.2">
      <c r="A58" s="66">
        <f t="shared" si="7"/>
        <v>54</v>
      </c>
      <c r="B58" s="65" t="s">
        <v>304</v>
      </c>
      <c r="C58" s="67" t="str">
        <f>IFERROR(LOOKUP(2,1/('04_Trades'!$E$5:$E$1004=B58),'04_Trades'!$D$5:$D$1004),"")</f>
        <v>Amundi FTSE EPRA Europe Real Estate</v>
      </c>
      <c r="D58" s="68" t="str">
        <f>IFERROR(LOOKUP(2,1/('04_Trades'!$E$5:$E$1004=B58),'04_Trades'!$F$5:$F$1004),"")</f>
        <v>EUR</v>
      </c>
      <c r="E58" s="69">
        <f>IF(B58="",0,SUMIFS('04_Trades'!$G$5:$G$1004,'04_Trades'!$E$5:$E$1004,B58,'04_Trades'!$C$5:$C$1004,"BUY"))</f>
        <v>9</v>
      </c>
      <c r="F58" s="69">
        <f>IF(B58="",0,SUMIFS('04_Trades'!$G$5:$G$1004,'04_Trades'!$E$5:$E$1004,B58,'04_Trades'!$C$5:$C$1004,"SELL"))</f>
        <v>0</v>
      </c>
      <c r="G58" s="70">
        <f t="shared" si="8"/>
        <v>9</v>
      </c>
      <c r="H58" s="69">
        <f>IFERROR(LOOKUP(2,1/('04_Trades'!$E$5:$E$1004=B58),'04_Trades'!$H$5:$H$1004),"")</f>
        <v>339.25</v>
      </c>
      <c r="I58" s="71">
        <f>IFERROR(VLOOKUP(D58,'02_FX_Rates'!$A$5:$B$10,2,FALSE),IFERROR(LOOKUP(2,1/('04_Trades'!$E$5:$E$1004=B58),'04_Trades'!$J$5:$J$1004),""))</f>
        <v>1</v>
      </c>
      <c r="J58" s="72">
        <f t="shared" si="9"/>
        <v>3053.25</v>
      </c>
      <c r="K58" s="72">
        <f t="shared" si="10"/>
        <v>3053.25</v>
      </c>
      <c r="L58" s="73">
        <f>IFERROR(SUMIFS('04_Trades'!$K$5:$K$1004,'04_Trades'!$E$5:$E$1004,B58,'04_Trades'!$C$5:$C$1004,"BUY")/SUMIFS('04_Trades'!$G$5:$G$1004,'04_Trades'!$E$5:$E$1004,B58,'04_Trades'!$C$5:$C$1004,"BUY"),"")</f>
        <v>330.27777777777777</v>
      </c>
      <c r="M58" s="72">
        <f t="shared" si="11"/>
        <v>80.75</v>
      </c>
      <c r="N58" s="76">
        <v>340</v>
      </c>
      <c r="O58" s="77">
        <f t="shared" si="12"/>
        <v>3060</v>
      </c>
      <c r="P58" s="52">
        <f t="shared" si="13"/>
        <v>87.5</v>
      </c>
    </row>
    <row r="59" spans="1:16" x14ac:dyDescent="0.2">
      <c r="A59" s="66">
        <f t="shared" si="7"/>
        <v>55</v>
      </c>
      <c r="B59" s="65" t="s">
        <v>306</v>
      </c>
      <c r="C59" t="str">
        <f>IFERROR(LOOKUP(2,1/('04_Trades'!$E$5:$E$1004=B59),'04_Trades'!$D$5:$D$1004),"")</f>
        <v>VanEck Global Real Estate UCITS ETF</v>
      </c>
      <c r="D59" t="str">
        <f>IFERROR(LOOKUP(2,1/('04_Trades'!$E$5:$E$1004=B59),'04_Trades'!$F$5:$F$1004),"")</f>
        <v>EUR</v>
      </c>
      <c r="E59">
        <f>IF(B59="",0,SUMIFS('04_Trades'!$G$5:$G$1004,'04_Trades'!$E$5:$E$1004,B59,'04_Trades'!$C$5:$C$1004,"BUY"))</f>
        <v>124</v>
      </c>
      <c r="F59">
        <f>IF(B59="",0,SUMIFS('04_Trades'!$G$5:$G$1004,'04_Trades'!$E$5:$E$1004,B59,'04_Trades'!$C$5:$C$1004,"SELL"))</f>
        <v>0</v>
      </c>
      <c r="G59">
        <f t="shared" si="8"/>
        <v>124</v>
      </c>
      <c r="H59">
        <f>IFERROR(LOOKUP(2,1/('04_Trades'!$E$5:$E$1004=B59),'04_Trades'!$H$5:$H$1004),"")</f>
        <v>40.22</v>
      </c>
      <c r="I59">
        <f>IFERROR(VLOOKUP(D59,'02_FX_Rates'!$A$5:$B$10,2,FALSE),IFERROR(LOOKUP(2,1/('04_Trades'!$E$5:$E$1004=B59),'04_Trades'!$J$5:$J$1004),""))</f>
        <v>1</v>
      </c>
      <c r="J59">
        <f t="shared" si="9"/>
        <v>4987.28</v>
      </c>
      <c r="K59">
        <f t="shared" si="10"/>
        <v>4987.28</v>
      </c>
      <c r="L59">
        <f>IFERROR(SUMIFS('04_Trades'!$K$5:$K$1004,'04_Trades'!$E$5:$E$1004,B59,'04_Trades'!$C$5:$C$1004,"BUY")/SUMIFS('04_Trades'!$G$5:$G$1004,'04_Trades'!$E$5:$E$1004,B59,'04_Trades'!$C$5:$C$1004,"BUY"),"")</f>
        <v>39.27548387096774</v>
      </c>
      <c r="M59">
        <f t="shared" si="11"/>
        <v>117.11999999999989</v>
      </c>
      <c r="N59" s="76">
        <v>40.22</v>
      </c>
      <c r="O59" s="77">
        <f t="shared" si="12"/>
        <v>4987.28</v>
      </c>
      <c r="P59" s="52">
        <f t="shared" si="13"/>
        <v>117.11999999999989</v>
      </c>
    </row>
    <row r="60" spans="1:16" x14ac:dyDescent="0.2">
      <c r="A60" s="28" t="s">
        <v>127</v>
      </c>
      <c r="B60" s="65"/>
      <c r="K60" s="13">
        <f>SUM(K5:K59)</f>
        <v>1084431.3157000002</v>
      </c>
      <c r="M60" s="13">
        <f>SUM(M5:M59)</f>
        <v>-15933.562652659981</v>
      </c>
      <c r="N60" s="78" t="s">
        <v>127</v>
      </c>
      <c r="O60" s="79">
        <f>SUM(O5:O59)</f>
        <v>1069752.7439999999</v>
      </c>
      <c r="P60" s="79">
        <f>SUM(P5:P59)</f>
        <v>-30612.134352659999</v>
      </c>
    </row>
    <row r="61" spans="1:16" x14ac:dyDescent="0.2">
      <c r="B61" s="65"/>
    </row>
    <row r="62" spans="1:16" x14ac:dyDescent="0.2">
      <c r="B62" s="65"/>
    </row>
    <row r="63" spans="1:16" x14ac:dyDescent="0.2">
      <c r="B63" s="65"/>
    </row>
    <row r="64" spans="1:16" x14ac:dyDescent="0.2">
      <c r="B64" s="65"/>
    </row>
  </sheetData>
  <mergeCells count="2">
    <mergeCell ref="A2:M2"/>
    <mergeCell ref="A1:M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AD47"/>
  </sheetPr>
  <dimension ref="A1:P124"/>
  <sheetViews>
    <sheetView zoomScaleNormal="100" workbookViewId="0">
      <pane xSplit="2" ySplit="4" topLeftCell="I5" activePane="bottomRight" state="frozen"/>
      <selection pane="topRight" activeCell="C1" sqref="C1"/>
      <selection pane="bottomLeft" activeCell="A5" sqref="A5"/>
      <selection pane="bottomRight" activeCell="C7" sqref="C7"/>
    </sheetView>
  </sheetViews>
  <sheetFormatPr baseColWidth="10" defaultColWidth="8.6640625" defaultRowHeight="15" x14ac:dyDescent="0.2"/>
  <cols>
    <col min="1" max="1" width="5" customWidth="1"/>
    <col min="2" max="9" width="14" customWidth="1"/>
    <col min="10" max="12" width="16" customWidth="1"/>
    <col min="13" max="13" width="14" customWidth="1"/>
    <col min="14" max="14" width="13.6640625" bestFit="1" customWidth="1"/>
    <col min="15" max="15" width="13" customWidth="1"/>
    <col min="16" max="16" width="14" customWidth="1"/>
  </cols>
  <sheetData>
    <row r="1" spans="1:16" ht="27.75" customHeight="1" x14ac:dyDescent="0.2">
      <c r="A1" s="85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</row>
    <row r="2" spans="1:16" ht="15" customHeight="1" x14ac:dyDescent="0.2">
      <c r="A2" s="87" t="s">
        <v>1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</row>
    <row r="4" spans="1:16" ht="31.5" customHeight="1" x14ac:dyDescent="0.2">
      <c r="A4" s="19" t="s">
        <v>2</v>
      </c>
      <c r="B4" s="19" t="s">
        <v>3</v>
      </c>
      <c r="C4" s="19" t="s">
        <v>4</v>
      </c>
      <c r="D4" s="19" t="s">
        <v>5</v>
      </c>
      <c r="E4" s="19" t="s">
        <v>6</v>
      </c>
      <c r="F4" s="19" t="s">
        <v>7</v>
      </c>
      <c r="G4" s="19" t="s">
        <v>8</v>
      </c>
      <c r="H4" s="19" t="s">
        <v>9</v>
      </c>
      <c r="I4" s="19" t="s">
        <v>10</v>
      </c>
      <c r="J4" s="19" t="s">
        <v>11</v>
      </c>
      <c r="K4" s="19" t="s">
        <v>12</v>
      </c>
      <c r="L4" s="19" t="s">
        <v>13</v>
      </c>
      <c r="M4" s="19" t="s">
        <v>14</v>
      </c>
      <c r="N4" s="19" t="s">
        <v>15</v>
      </c>
      <c r="O4" s="19" t="s">
        <v>16</v>
      </c>
      <c r="P4" s="19" t="s">
        <v>17</v>
      </c>
    </row>
    <row r="5" spans="1:16" x14ac:dyDescent="0.2">
      <c r="A5" s="23">
        <f t="shared" ref="A5:A36" si="0">IF(B5="","",ROW()-4)</f>
        <v>1</v>
      </c>
      <c r="B5" s="54">
        <v>45688</v>
      </c>
      <c r="C5" s="10">
        <f>IF(B5="","",SUMIFS('03_Investitori'!$H$5:$H$104,'03_Investitori'!$C$5:$C$104,"&lt;="&amp;B5))</f>
        <v>0</v>
      </c>
      <c r="D5" s="10">
        <f>IF(B5="","",SUMIFS('04_Trades'!$K$5:$K$1004,'04_Trades'!$C$5:$C$1004,"BUY",'04_Trades'!$B$5:$B$1004,"&lt;="&amp;B5)-SUMIFS('04_Trades'!$K$5:$K$1004,'04_Trades'!$C$5:$C$1004,"SELL",'04_Trades'!$B$5:$B$1004,"&lt;="&amp;B5))</f>
        <v>9380.8287</v>
      </c>
      <c r="E5" s="10">
        <f>IF(B5="","",SUMIFS('05_Dividendi_Interessi'!$I$5:$I$504,'05_Dividendi_Interessi'!$B$5:$B$504,"&lt;="&amp;B5))</f>
        <v>0</v>
      </c>
      <c r="F5" s="10">
        <f>IF(B5="","",SUMIFS('06_Partecipazioni'!$I$5:$I$204,'06_Partecipazioni'!$C$5:$C$204,"BUY",'06_Partecipazioni'!$B$5:$B$204,"&lt;="&amp;B5)-SUMIFS('06_Partecipazioni'!$I$5:$I$204,'06_Partecipazioni'!$C$5:$C$204,"SELL",'06_Partecipazioni'!$B$5:$B$204,"&lt;="&amp;B5))</f>
        <v>0</v>
      </c>
      <c r="G5" s="10">
        <f>IF(B5="","",SUMIFS('07_Prestiti'!$H$5:$H$204,'07_Prestiti'!$C$5:$C$204,"DISBURSEMENT",'07_Prestiti'!$B$5:$B$204,"&lt;="&amp;B5)-SUMIFS('07_Prestiti'!$H$5:$H$204,'07_Prestiti'!$C$5:$C$204,"REPAYMENT",'07_Prestiti'!$B$5:$B$204,"&lt;="&amp;B5))</f>
        <v>0</v>
      </c>
      <c r="H5" s="10">
        <f>IF(B5="","",SUMIFS('08_PL_Operativa'!$H$5:$H$503,'08_PL_Operativa'!$B$5:$B$503,"&lt;="&amp;B5))</f>
        <v>-4.7</v>
      </c>
      <c r="I5" s="26">
        <f t="shared" ref="I5:I36" si="1">IF(B5="","",C5-D5+E5-F5-G5+H5)</f>
        <v>-9385.5287000000008</v>
      </c>
      <c r="J5" s="25"/>
      <c r="K5" s="25"/>
      <c r="L5" s="25"/>
      <c r="M5" s="26">
        <f t="shared" ref="M5:M36" ca="1" si="2">IF(B5="","",I5+IF(AND(MONTH(B5)=MONTH(DataOggi),YEAR(B5)=YEAR(DataOggi)),MV_Listed_Tot,IF(J5="",D5,J5))+IF(K5="",F5,K5)+IF(L5="",G5,L5))</f>
        <v>-4.7000000000007276</v>
      </c>
      <c r="N5" s="33">
        <f>IF(B5="","",SUMIFS('03_Investitori'!$J$5:$J$104,'03_Investitori'!$C$5:$C$104,"&lt;="&amp;B5))</f>
        <v>0</v>
      </c>
      <c r="O5" s="35" t="str">
        <f t="shared" ref="O5:O36" si="3">IF(OR(B5="",N5=0,N5=""),"",M5/N5)</f>
        <v/>
      </c>
      <c r="P5" s="11"/>
    </row>
    <row r="6" spans="1:16" x14ac:dyDescent="0.2">
      <c r="A6" s="23">
        <f t="shared" si="0"/>
        <v>2</v>
      </c>
      <c r="B6" s="54">
        <v>45716</v>
      </c>
      <c r="C6" s="10">
        <f>IF(B6="","",SUMIFS('03_Investitori'!$H$5:$H$104,'03_Investitori'!$C$5:$C$104,"&lt;="&amp;B6))</f>
        <v>0</v>
      </c>
      <c r="D6" s="10">
        <f>IF(B6="","",SUMIFS('04_Trades'!$K$5:$K$1004,'04_Trades'!$C$5:$C$1004,"BUY",'04_Trades'!$B$5:$B$1004,"&lt;="&amp;B6)-SUMIFS('04_Trades'!$K$5:$K$1004,'04_Trades'!$C$5:$C$1004,"SELL",'04_Trades'!$B$5:$B$1004,"&lt;="&amp;B6))</f>
        <v>9380.8287</v>
      </c>
      <c r="E6" s="10">
        <f>IF(B6="","",SUMIFS('05_Dividendi_Interessi'!$I$5:$I$504,'05_Dividendi_Interessi'!$B$5:$B$504,"&lt;="&amp;B6))</f>
        <v>0</v>
      </c>
      <c r="F6" s="10">
        <f>IF(B6="","",SUMIFS('06_Partecipazioni'!$I$5:$I$204,'06_Partecipazioni'!$C$5:$C$204,"BUY",'06_Partecipazioni'!$B$5:$B$204,"&lt;="&amp;B6)-SUMIFS('06_Partecipazioni'!$I$5:$I$204,'06_Partecipazioni'!$C$5:$C$204,"SELL",'06_Partecipazioni'!$B$5:$B$204,"&lt;="&amp;B6))</f>
        <v>0</v>
      </c>
      <c r="G6" s="10">
        <f>IF(B6="","",SUMIFS('07_Prestiti'!$H$5:$H$204,'07_Prestiti'!$C$5:$C$204,"DISBURSEMENT",'07_Prestiti'!$B$5:$B$204,"&lt;="&amp;B6)-SUMIFS('07_Prestiti'!$H$5:$H$204,'07_Prestiti'!$C$5:$C$204,"REPAYMENT",'07_Prestiti'!$B$5:$B$204,"&lt;="&amp;B6))</f>
        <v>0</v>
      </c>
      <c r="H6" s="10">
        <f>IF(B6="","",SUMIFS('08_PL_Operativa'!$H$5:$H$503,'08_PL_Operativa'!$B$5:$B$503,"&lt;="&amp;B6))</f>
        <v>-4.7</v>
      </c>
      <c r="I6" s="26">
        <f t="shared" si="1"/>
        <v>-9385.5287000000008</v>
      </c>
      <c r="J6" s="25"/>
      <c r="K6" s="25"/>
      <c r="L6" s="25"/>
      <c r="M6" s="26">
        <f t="shared" ca="1" si="2"/>
        <v>-4.7000000000007276</v>
      </c>
      <c r="N6" s="33">
        <f>IF(B6="","",SUMIFS('03_Investitori'!$J$5:$J$104,'03_Investitori'!$C$5:$C$104,"&lt;="&amp;B6))</f>
        <v>0</v>
      </c>
      <c r="O6" s="35" t="str">
        <f t="shared" si="3"/>
        <v/>
      </c>
      <c r="P6" s="11" t="str">
        <f t="shared" ref="P6:P37" si="4">IFERROR(IF(OR(B6="",O5=""),"",O6/O5-1),"")</f>
        <v/>
      </c>
    </row>
    <row r="7" spans="1:16" x14ac:dyDescent="0.2">
      <c r="A7" s="23">
        <f t="shared" si="0"/>
        <v>3</v>
      </c>
      <c r="B7" s="54">
        <v>45747</v>
      </c>
      <c r="C7" s="10">
        <f>IF(B7="","",SUMIFS('03_Investitori'!$H$5:$H$104,'03_Investitori'!$C$5:$C$104,"&lt;="&amp;B7))</f>
        <v>500000</v>
      </c>
      <c r="D7" s="10">
        <f>IF(B7="","",SUMIFS('04_Trades'!$K$5:$K$1004,'04_Trades'!$C$5:$C$1004,"BUY",'04_Trades'!$B$5:$B$1004,"&lt;="&amp;B7)-SUMIFS('04_Trades'!$K$5:$K$1004,'04_Trades'!$C$5:$C$1004,"SELL",'04_Trades'!$B$5:$B$1004,"&lt;="&amp;B7))</f>
        <v>9380.8287</v>
      </c>
      <c r="E7" s="10">
        <f>IF(B7="","",SUMIFS('05_Dividendi_Interessi'!$I$5:$I$504,'05_Dividendi_Interessi'!$B$5:$B$504,"&lt;="&amp;B7))</f>
        <v>0</v>
      </c>
      <c r="F7" s="10">
        <f>IF(B7="","",SUMIFS('06_Partecipazioni'!$I$5:$I$204,'06_Partecipazioni'!$C$5:$C$204,"BUY",'06_Partecipazioni'!$B$5:$B$204,"&lt;="&amp;B7)-SUMIFS('06_Partecipazioni'!$I$5:$I$204,'06_Partecipazioni'!$C$5:$C$204,"SELL",'06_Partecipazioni'!$B$5:$B$204,"&lt;="&amp;B7))</f>
        <v>0</v>
      </c>
      <c r="G7" s="10">
        <f>IF(B7="","",SUMIFS('07_Prestiti'!$H$5:$H$204,'07_Prestiti'!$C$5:$C$204,"DISBURSEMENT",'07_Prestiti'!$B$5:$B$204,"&lt;="&amp;B7)-SUMIFS('07_Prestiti'!$H$5:$H$204,'07_Prestiti'!$C$5:$C$204,"REPAYMENT",'07_Prestiti'!$B$5:$B$204,"&lt;="&amp;B7))</f>
        <v>0</v>
      </c>
      <c r="H7" s="10">
        <f>IF(B7="","",SUMIFS('08_PL_Operativa'!$H$5:$H$503,'08_PL_Operativa'!$B$5:$B$503,"&lt;="&amp;B7))</f>
        <v>-4.7</v>
      </c>
      <c r="I7" s="26">
        <f t="shared" si="1"/>
        <v>490614.47129999998</v>
      </c>
      <c r="J7" s="25"/>
      <c r="K7" s="25"/>
      <c r="L7" s="25"/>
      <c r="M7" s="26">
        <f t="shared" ca="1" si="2"/>
        <v>499995.3</v>
      </c>
      <c r="N7" s="33">
        <f>IF(B7="","",SUMIFS('03_Investitori'!$J$5:$J$104,'03_Investitori'!$C$5:$C$104,"&lt;="&amp;B7))</f>
        <v>500000</v>
      </c>
      <c r="O7" s="35">
        <f t="shared" ca="1" si="3"/>
        <v>0.99999059999999995</v>
      </c>
      <c r="P7" s="11" t="str">
        <f t="shared" si="4"/>
        <v/>
      </c>
    </row>
    <row r="8" spans="1:16" x14ac:dyDescent="0.2">
      <c r="A8" s="23">
        <f t="shared" si="0"/>
        <v>4</v>
      </c>
      <c r="B8" s="54">
        <v>45777</v>
      </c>
      <c r="C8" s="10">
        <f>IF(B8="","",SUMIFS('03_Investitori'!$H$5:$H$104,'03_Investitori'!$C$5:$C$104,"&lt;="&amp;B8))</f>
        <v>500000</v>
      </c>
      <c r="D8" s="10">
        <f>IF(B8="","",SUMIFS('04_Trades'!$K$5:$K$1004,'04_Trades'!$C$5:$C$1004,"BUY",'04_Trades'!$B$5:$B$1004,"&lt;="&amp;B8)-SUMIFS('04_Trades'!$K$5:$K$1004,'04_Trades'!$C$5:$C$1004,"SELL",'04_Trades'!$B$5:$B$1004,"&lt;="&amp;B8))</f>
        <v>9380.8287</v>
      </c>
      <c r="E8" s="10">
        <f>IF(B8="","",SUMIFS('05_Dividendi_Interessi'!$I$5:$I$504,'05_Dividendi_Interessi'!$B$5:$B$504,"&lt;="&amp;B8))</f>
        <v>0</v>
      </c>
      <c r="F8" s="10">
        <f>IF(B8="","",SUMIFS('06_Partecipazioni'!$I$5:$I$204,'06_Partecipazioni'!$C$5:$C$204,"BUY",'06_Partecipazioni'!$B$5:$B$204,"&lt;="&amp;B8)-SUMIFS('06_Partecipazioni'!$I$5:$I$204,'06_Partecipazioni'!$C$5:$C$204,"SELL",'06_Partecipazioni'!$B$5:$B$204,"&lt;="&amp;B8))</f>
        <v>0</v>
      </c>
      <c r="G8" s="10">
        <f>IF(B8="","",SUMIFS('07_Prestiti'!$H$5:$H$204,'07_Prestiti'!$C$5:$C$204,"DISBURSEMENT",'07_Prestiti'!$B$5:$B$204,"&lt;="&amp;B8)-SUMIFS('07_Prestiti'!$H$5:$H$204,'07_Prestiti'!$C$5:$C$204,"REPAYMENT",'07_Prestiti'!$B$5:$B$204,"&lt;="&amp;B8))</f>
        <v>0</v>
      </c>
      <c r="H8" s="10">
        <f>IF(B8="","",SUMIFS('08_PL_Operativa'!$H$5:$H$503,'08_PL_Operativa'!$B$5:$B$503,"&lt;="&amp;B8))</f>
        <v>-4.7</v>
      </c>
      <c r="I8" s="26">
        <f t="shared" si="1"/>
        <v>490614.47129999998</v>
      </c>
      <c r="J8" s="25"/>
      <c r="K8" s="25"/>
      <c r="L8" s="25"/>
      <c r="M8" s="26">
        <f t="shared" ca="1" si="2"/>
        <v>499995.3</v>
      </c>
      <c r="N8" s="33">
        <f>IF(B8="","",SUMIFS('03_Investitori'!$J$5:$J$104,'03_Investitori'!$C$5:$C$104,"&lt;="&amp;B8))</f>
        <v>500000</v>
      </c>
      <c r="O8" s="35">
        <f t="shared" ca="1" si="3"/>
        <v>0.99999059999999995</v>
      </c>
      <c r="P8" s="11">
        <f t="shared" ca="1" si="4"/>
        <v>0</v>
      </c>
    </row>
    <row r="9" spans="1:16" x14ac:dyDescent="0.2">
      <c r="A9" s="23">
        <f t="shared" si="0"/>
        <v>5</v>
      </c>
      <c r="B9" s="54">
        <v>45808</v>
      </c>
      <c r="C9" s="10">
        <f>IF(B9="","",SUMIFS('03_Investitori'!$H$5:$H$104,'03_Investitori'!$C$5:$C$104,"&lt;="&amp;B9))</f>
        <v>500000</v>
      </c>
      <c r="D9" s="10">
        <f>IF(B9="","",SUMIFS('04_Trades'!$K$5:$K$1004,'04_Trades'!$C$5:$C$1004,"BUY",'04_Trades'!$B$5:$B$1004,"&lt;="&amp;B9)-SUMIFS('04_Trades'!$K$5:$K$1004,'04_Trades'!$C$5:$C$1004,"SELL",'04_Trades'!$B$5:$B$1004,"&lt;="&amp;B9))</f>
        <v>39930.828699999998</v>
      </c>
      <c r="E9" s="10">
        <f>IF(B9="","",SUMIFS('05_Dividendi_Interessi'!$I$5:$I$504,'05_Dividendi_Interessi'!$B$5:$B$504,"&lt;="&amp;B9))</f>
        <v>0</v>
      </c>
      <c r="F9" s="10">
        <f>IF(B9="","",SUMIFS('06_Partecipazioni'!$I$5:$I$204,'06_Partecipazioni'!$C$5:$C$204,"BUY",'06_Partecipazioni'!$B$5:$B$204,"&lt;="&amp;B9)-SUMIFS('06_Partecipazioni'!$I$5:$I$204,'06_Partecipazioni'!$C$5:$C$204,"SELL",'06_Partecipazioni'!$B$5:$B$204,"&lt;="&amp;B9))</f>
        <v>0</v>
      </c>
      <c r="G9" s="10">
        <f>IF(B9="","",SUMIFS('07_Prestiti'!$H$5:$H$204,'07_Prestiti'!$C$5:$C$204,"DISBURSEMENT",'07_Prestiti'!$B$5:$B$204,"&lt;="&amp;B9)-SUMIFS('07_Prestiti'!$H$5:$H$204,'07_Prestiti'!$C$5:$C$204,"REPAYMENT",'07_Prestiti'!$B$5:$B$204,"&lt;="&amp;B9))</f>
        <v>0</v>
      </c>
      <c r="H9" s="10">
        <f>IF(B9="","",SUMIFS('08_PL_Operativa'!$H$5:$H$503,'08_PL_Operativa'!$B$5:$B$503,"&lt;="&amp;B9))</f>
        <v>-4.7</v>
      </c>
      <c r="I9" s="26">
        <f t="shared" si="1"/>
        <v>460064.47129999998</v>
      </c>
      <c r="J9" s="25"/>
      <c r="K9" s="25"/>
      <c r="L9" s="25"/>
      <c r="M9" s="26">
        <f t="shared" ca="1" si="2"/>
        <v>499995.3</v>
      </c>
      <c r="N9" s="33">
        <f>IF(B9="","",SUMIFS('03_Investitori'!$J$5:$J$104,'03_Investitori'!$C$5:$C$104,"&lt;="&amp;B9))</f>
        <v>500000</v>
      </c>
      <c r="O9" s="35">
        <f t="shared" ca="1" si="3"/>
        <v>0.99999059999999995</v>
      </c>
      <c r="P9" s="11">
        <f t="shared" ca="1" si="4"/>
        <v>0</v>
      </c>
    </row>
    <row r="10" spans="1:16" x14ac:dyDescent="0.2">
      <c r="A10" s="23">
        <f t="shared" si="0"/>
        <v>6</v>
      </c>
      <c r="B10" s="54">
        <v>45838</v>
      </c>
      <c r="C10" s="10">
        <f>IF(B10="","",SUMIFS('03_Investitori'!$H$5:$H$104,'03_Investitori'!$C$5:$C$104,"&lt;="&amp;B10))</f>
        <v>500000</v>
      </c>
      <c r="D10" s="10">
        <f>IF(B10="","",SUMIFS('04_Trades'!$K$5:$K$1004,'04_Trades'!$C$5:$C$1004,"BUY",'04_Trades'!$B$5:$B$1004,"&lt;="&amp;B10)-SUMIFS('04_Trades'!$K$5:$K$1004,'04_Trades'!$C$5:$C$1004,"SELL",'04_Trades'!$B$5:$B$1004,"&lt;="&amp;B10))</f>
        <v>40911.5887</v>
      </c>
      <c r="E10" s="10">
        <f>IF(B10="","",SUMIFS('05_Dividendi_Interessi'!$I$5:$I$504,'05_Dividendi_Interessi'!$B$5:$B$504,"&lt;="&amp;B10))</f>
        <v>0</v>
      </c>
      <c r="F10" s="10">
        <f>IF(B10="","",SUMIFS('06_Partecipazioni'!$I$5:$I$204,'06_Partecipazioni'!$C$5:$C$204,"BUY",'06_Partecipazioni'!$B$5:$B$204,"&lt;="&amp;B10)-SUMIFS('06_Partecipazioni'!$I$5:$I$204,'06_Partecipazioni'!$C$5:$C$204,"SELL",'06_Partecipazioni'!$B$5:$B$204,"&lt;="&amp;B10))</f>
        <v>0</v>
      </c>
      <c r="G10" s="10">
        <f>IF(B10="","",SUMIFS('07_Prestiti'!$H$5:$H$204,'07_Prestiti'!$C$5:$C$204,"DISBURSEMENT",'07_Prestiti'!$B$5:$B$204,"&lt;="&amp;B10)-SUMIFS('07_Prestiti'!$H$5:$H$204,'07_Prestiti'!$C$5:$C$204,"REPAYMENT",'07_Prestiti'!$B$5:$B$204,"&lt;="&amp;B10))</f>
        <v>0</v>
      </c>
      <c r="H10" s="10">
        <f>IF(B10="","",SUMIFS('08_PL_Operativa'!$H$5:$H$503,'08_PL_Operativa'!$B$5:$B$503,"&lt;="&amp;B10))</f>
        <v>-4.7</v>
      </c>
      <c r="I10" s="26">
        <f t="shared" si="1"/>
        <v>459083.71129999997</v>
      </c>
      <c r="J10" s="25"/>
      <c r="K10" s="25"/>
      <c r="L10" s="25"/>
      <c r="M10" s="26">
        <f t="shared" ca="1" si="2"/>
        <v>499995.3</v>
      </c>
      <c r="N10" s="33">
        <f>IF(B10="","",SUMIFS('03_Investitori'!$J$5:$J$104,'03_Investitori'!$C$5:$C$104,"&lt;="&amp;B10))</f>
        <v>500000</v>
      </c>
      <c r="O10" s="35">
        <f t="shared" ca="1" si="3"/>
        <v>0.99999059999999995</v>
      </c>
      <c r="P10" s="11">
        <f t="shared" ca="1" si="4"/>
        <v>0</v>
      </c>
    </row>
    <row r="11" spans="1:16" x14ac:dyDescent="0.2">
      <c r="A11" s="23">
        <f t="shared" si="0"/>
        <v>7</v>
      </c>
      <c r="B11" s="54">
        <v>45869</v>
      </c>
      <c r="C11" s="10">
        <f>IF(B11="","",SUMIFS('03_Investitori'!$H$5:$H$104,'03_Investitori'!$C$5:$C$104,"&lt;="&amp;B11))</f>
        <v>500000</v>
      </c>
      <c r="D11" s="10">
        <f>IF(B11="","",SUMIFS('04_Trades'!$K$5:$K$1004,'04_Trades'!$C$5:$C$1004,"BUY",'04_Trades'!$B$5:$B$1004,"&lt;="&amp;B11)-SUMIFS('04_Trades'!$K$5:$K$1004,'04_Trades'!$C$5:$C$1004,"SELL",'04_Trades'!$B$5:$B$1004,"&lt;="&amp;B11))</f>
        <v>311135.69069999998</v>
      </c>
      <c r="E11" s="10">
        <f>IF(B11="","",SUMIFS('05_Dividendi_Interessi'!$I$5:$I$504,'05_Dividendi_Interessi'!$B$5:$B$504,"&lt;="&amp;B11))</f>
        <v>8.5500000000000007</v>
      </c>
      <c r="F11" s="10">
        <f>IF(B11="","",SUMIFS('06_Partecipazioni'!$I$5:$I$204,'06_Partecipazioni'!$C$5:$C$204,"BUY",'06_Partecipazioni'!$B$5:$B$204,"&lt;="&amp;B11)-SUMIFS('06_Partecipazioni'!$I$5:$I$204,'06_Partecipazioni'!$C$5:$C$204,"SELL",'06_Partecipazioni'!$B$5:$B$204,"&lt;="&amp;B11))</f>
        <v>0</v>
      </c>
      <c r="G11" s="10">
        <f>IF(B11="","",SUMIFS('07_Prestiti'!$H$5:$H$204,'07_Prestiti'!$C$5:$C$204,"DISBURSEMENT",'07_Prestiti'!$B$5:$B$204,"&lt;="&amp;B11)-SUMIFS('07_Prestiti'!$H$5:$H$204,'07_Prestiti'!$C$5:$C$204,"REPAYMENT",'07_Prestiti'!$B$5:$B$204,"&lt;="&amp;B11))</f>
        <v>0</v>
      </c>
      <c r="H11" s="10">
        <f>IF(B11="","",SUMIFS('08_PL_Operativa'!$H$5:$H$503,'08_PL_Operativa'!$B$5:$B$503,"&lt;="&amp;B11))</f>
        <v>-338.76</v>
      </c>
      <c r="I11" s="26">
        <f t="shared" si="1"/>
        <v>188534.0993</v>
      </c>
      <c r="J11" s="25"/>
      <c r="K11" s="25"/>
      <c r="L11" s="25"/>
      <c r="M11" s="26">
        <f t="shared" ca="1" si="2"/>
        <v>499669.79</v>
      </c>
      <c r="N11" s="33">
        <f>IF(B11="","",SUMIFS('03_Investitori'!$J$5:$J$104,'03_Investitori'!$C$5:$C$104,"&lt;="&amp;B11))</f>
        <v>500000</v>
      </c>
      <c r="O11" s="35">
        <f t="shared" ca="1" si="3"/>
        <v>0.99933958000000001</v>
      </c>
      <c r="P11" s="11">
        <f t="shared" ca="1" si="4"/>
        <v>-6.5102611964551471E-4</v>
      </c>
    </row>
    <row r="12" spans="1:16" x14ac:dyDescent="0.2">
      <c r="A12" s="23">
        <f t="shared" si="0"/>
        <v>8</v>
      </c>
      <c r="B12" s="54">
        <v>45900</v>
      </c>
      <c r="C12" s="10">
        <f>IF(B12="","",SUMIFS('03_Investitori'!$H$5:$H$104,'03_Investitori'!$C$5:$C$104,"&lt;="&amp;B12))</f>
        <v>500000</v>
      </c>
      <c r="D12" s="10">
        <f>IF(B12="","",SUMIFS('04_Trades'!$K$5:$K$1004,'04_Trades'!$C$5:$C$1004,"BUY",'04_Trades'!$B$5:$B$1004,"&lt;="&amp;B12)-SUMIFS('04_Trades'!$K$5:$K$1004,'04_Trades'!$C$5:$C$1004,"SELL",'04_Trades'!$B$5:$B$1004,"&lt;="&amp;B12))</f>
        <v>432125.45080000005</v>
      </c>
      <c r="E12" s="10">
        <f>IF(B12="","",SUMIFS('05_Dividendi_Interessi'!$I$5:$I$504,'05_Dividendi_Interessi'!$B$5:$B$504,"&lt;="&amp;B12))</f>
        <v>43.67</v>
      </c>
      <c r="F12" s="10">
        <f>IF(B12="","",SUMIFS('06_Partecipazioni'!$I$5:$I$204,'06_Partecipazioni'!$C$5:$C$204,"BUY",'06_Partecipazioni'!$B$5:$B$204,"&lt;="&amp;B12)-SUMIFS('06_Partecipazioni'!$I$5:$I$204,'06_Partecipazioni'!$C$5:$C$204,"SELL",'06_Partecipazioni'!$B$5:$B$204,"&lt;="&amp;B12))</f>
        <v>0</v>
      </c>
      <c r="G12" s="10">
        <f>IF(B12="","",SUMIFS('07_Prestiti'!$H$5:$H$204,'07_Prestiti'!$C$5:$C$204,"DISBURSEMENT",'07_Prestiti'!$B$5:$B$204,"&lt;="&amp;B12)-SUMIFS('07_Prestiti'!$H$5:$H$204,'07_Prestiti'!$C$5:$C$204,"REPAYMENT",'07_Prestiti'!$B$5:$B$204,"&lt;="&amp;B12))</f>
        <v>0</v>
      </c>
      <c r="H12" s="10">
        <f>IF(B12="","",SUMIFS('08_PL_Operativa'!$H$5:$H$503,'08_PL_Operativa'!$B$5:$B$503,"&lt;="&amp;B12))</f>
        <v>-359.39</v>
      </c>
      <c r="I12" s="26">
        <f t="shared" si="1"/>
        <v>67558.829199999949</v>
      </c>
      <c r="J12" s="25"/>
      <c r="K12" s="25"/>
      <c r="L12" s="25"/>
      <c r="M12" s="26">
        <f t="shared" ca="1" si="2"/>
        <v>499684.28</v>
      </c>
      <c r="N12" s="33">
        <f>IF(B12="","",SUMIFS('03_Investitori'!$J$5:$J$104,'03_Investitori'!$C$5:$C$104,"&lt;="&amp;B12))</f>
        <v>500000</v>
      </c>
      <c r="O12" s="35">
        <f t="shared" ca="1" si="3"/>
        <v>0.99936856000000007</v>
      </c>
      <c r="P12" s="11">
        <f t="shared" ca="1" si="4"/>
        <v>2.8999151619801822E-5</v>
      </c>
    </row>
    <row r="13" spans="1:16" x14ac:dyDescent="0.2">
      <c r="A13" s="23">
        <f t="shared" si="0"/>
        <v>9</v>
      </c>
      <c r="B13" s="54">
        <v>45930</v>
      </c>
      <c r="C13" s="10">
        <f>IF(B13="","",SUMIFS('03_Investitori'!$H$5:$H$104,'03_Investitori'!$C$5:$C$104,"&lt;="&amp;B13))</f>
        <v>1500000</v>
      </c>
      <c r="D13" s="10">
        <f>IF(B13="","",SUMIFS('04_Trades'!$K$5:$K$1004,'04_Trades'!$C$5:$C$1004,"BUY",'04_Trades'!$B$5:$B$1004,"&lt;="&amp;B13)-SUMIFS('04_Trades'!$K$5:$K$1004,'04_Trades'!$C$5:$C$1004,"SELL",'04_Trades'!$B$5:$B$1004,"&lt;="&amp;B13))</f>
        <v>605733.76382066007</v>
      </c>
      <c r="E13" s="10">
        <f>IF(B13="","",SUMIFS('05_Dividendi_Interessi'!$I$5:$I$504,'05_Dividendi_Interessi'!$B$5:$B$504,"&lt;="&amp;B13))</f>
        <v>1698</v>
      </c>
      <c r="F13" s="10">
        <f>IF(B13="","",SUMIFS('06_Partecipazioni'!$I$5:$I$204,'06_Partecipazioni'!$C$5:$C$204,"BUY",'06_Partecipazioni'!$B$5:$B$204,"&lt;="&amp;B13)-SUMIFS('06_Partecipazioni'!$I$5:$I$204,'06_Partecipazioni'!$C$5:$C$204,"SELL",'06_Partecipazioni'!$B$5:$B$204,"&lt;="&amp;B13))</f>
        <v>0</v>
      </c>
      <c r="G13" s="10">
        <f>IF(B13="","",SUMIFS('07_Prestiti'!$H$5:$H$204,'07_Prestiti'!$C$5:$C$204,"DISBURSEMENT",'07_Prestiti'!$B$5:$B$204,"&lt;="&amp;B13)-SUMIFS('07_Prestiti'!$H$5:$H$204,'07_Prestiti'!$C$5:$C$204,"REPAYMENT",'07_Prestiti'!$B$5:$B$204,"&lt;="&amp;B13))</f>
        <v>0</v>
      </c>
      <c r="H13" s="10">
        <f>IF(B13="","",SUMIFS('08_PL_Operativa'!$H$5:$H$503,'08_PL_Operativa'!$B$5:$B$503,"&lt;="&amp;B13))</f>
        <v>-577.18000000000006</v>
      </c>
      <c r="I13" s="26">
        <f t="shared" si="1"/>
        <v>895387.05617933988</v>
      </c>
      <c r="J13" s="25"/>
      <c r="K13" s="25"/>
      <c r="L13" s="25"/>
      <c r="M13" s="26">
        <f t="shared" ca="1" si="2"/>
        <v>1501120.8199999998</v>
      </c>
      <c r="N13" s="33">
        <f>IF(B13="","",SUMIFS('03_Investitori'!$J$5:$J$104,'03_Investitori'!$C$5:$C$104,"&lt;="&amp;B13))</f>
        <v>1500000</v>
      </c>
      <c r="O13" s="35">
        <f t="shared" ca="1" si="3"/>
        <v>1.0007472133333333</v>
      </c>
      <c r="P13" s="11">
        <f t="shared" ca="1" si="4"/>
        <v>1.3795244202330359E-3</v>
      </c>
    </row>
    <row r="14" spans="1:16" x14ac:dyDescent="0.2">
      <c r="A14" s="23">
        <f t="shared" si="0"/>
        <v>10</v>
      </c>
      <c r="B14" s="54">
        <v>45961</v>
      </c>
      <c r="C14" s="10">
        <f>IF(B14="","",SUMIFS('03_Investitori'!$H$5:$H$104,'03_Investitori'!$C$5:$C$104,"&lt;="&amp;B14))</f>
        <v>1500000</v>
      </c>
      <c r="D14" s="10">
        <f>IF(B14="","",SUMIFS('04_Trades'!$K$5:$K$1004,'04_Trades'!$C$5:$C$1004,"BUY",'04_Trades'!$B$5:$B$1004,"&lt;="&amp;B14)-SUMIFS('04_Trades'!$K$5:$K$1004,'04_Trades'!$C$5:$C$1004,"SELL",'04_Trades'!$B$5:$B$1004,"&lt;="&amp;B14))</f>
        <v>860981.96735266002</v>
      </c>
      <c r="E14" s="10">
        <f>IF(B14="","",SUMIFS('05_Dividendi_Interessi'!$I$5:$I$504,'05_Dividendi_Interessi'!$B$5:$B$504,"&lt;="&amp;B14))</f>
        <v>2243.12</v>
      </c>
      <c r="F14" s="10">
        <f>IF(B14="","",SUMIFS('06_Partecipazioni'!$I$5:$I$204,'06_Partecipazioni'!$C$5:$C$204,"BUY",'06_Partecipazioni'!$B$5:$B$204,"&lt;="&amp;B14)-SUMIFS('06_Partecipazioni'!$I$5:$I$204,'06_Partecipazioni'!$C$5:$C$204,"SELL",'06_Partecipazioni'!$B$5:$B$204,"&lt;="&amp;B14))</f>
        <v>135000</v>
      </c>
      <c r="G14" s="10">
        <f>IF(B14="","",SUMIFS('07_Prestiti'!$H$5:$H$204,'07_Prestiti'!$C$5:$C$204,"DISBURSEMENT",'07_Prestiti'!$B$5:$B$204,"&lt;="&amp;B14)-SUMIFS('07_Prestiti'!$H$5:$H$204,'07_Prestiti'!$C$5:$C$204,"REPAYMENT",'07_Prestiti'!$B$5:$B$204,"&lt;="&amp;B14))</f>
        <v>15000</v>
      </c>
      <c r="H14" s="10">
        <f>IF(B14="","",SUMIFS('08_PL_Operativa'!$H$5:$H$503,'08_PL_Operativa'!$B$5:$B$503,"&lt;="&amp;B14))</f>
        <v>-1106.9500000000003</v>
      </c>
      <c r="I14" s="26">
        <f t="shared" si="1"/>
        <v>490154.20264733996</v>
      </c>
      <c r="J14" s="25"/>
      <c r="K14" s="25"/>
      <c r="L14" s="25"/>
      <c r="M14" s="26">
        <f t="shared" ca="1" si="2"/>
        <v>1501136.17</v>
      </c>
      <c r="N14" s="33">
        <f>IF(B14="","",SUMIFS('03_Investitori'!$J$5:$J$104,'03_Investitori'!$C$5:$C$104,"&lt;="&amp;B14))</f>
        <v>1500000</v>
      </c>
      <c r="O14" s="35">
        <f t="shared" ca="1" si="3"/>
        <v>1.0007574466666667</v>
      </c>
      <c r="P14" s="11">
        <f t="shared" ca="1" si="4"/>
        <v>1.0225692559595601E-5</v>
      </c>
    </row>
    <row r="15" spans="1:16" x14ac:dyDescent="0.2">
      <c r="A15" s="23">
        <f t="shared" si="0"/>
        <v>11</v>
      </c>
      <c r="B15" s="54">
        <v>45991</v>
      </c>
      <c r="C15" s="10">
        <f>IF(B15="","",SUMIFS('03_Investitori'!$H$5:$H$104,'03_Investitori'!$C$5:$C$104,"&lt;="&amp;B15))</f>
        <v>1500000</v>
      </c>
      <c r="D15" s="10">
        <f>IF(B15="","",SUMIFS('04_Trades'!$K$5:$K$1004,'04_Trades'!$C$5:$C$1004,"BUY",'04_Trades'!$B$5:$B$1004,"&lt;="&amp;B15)-SUMIFS('04_Trades'!$K$5:$K$1004,'04_Trades'!$C$5:$C$1004,"SELL",'04_Trades'!$B$5:$B$1004,"&lt;="&amp;B15))</f>
        <v>824469.41735265998</v>
      </c>
      <c r="E15" s="10">
        <f>IF(B15="","",SUMIFS('05_Dividendi_Interessi'!$I$5:$I$504,'05_Dividendi_Interessi'!$B$5:$B$504,"&lt;="&amp;B15))</f>
        <v>2580.3000000000002</v>
      </c>
      <c r="F15" s="10">
        <f>IF(B15="","",SUMIFS('06_Partecipazioni'!$I$5:$I$204,'06_Partecipazioni'!$C$5:$C$204,"BUY",'06_Partecipazioni'!$B$5:$B$204,"&lt;="&amp;B15)-SUMIFS('06_Partecipazioni'!$I$5:$I$204,'06_Partecipazioni'!$C$5:$C$204,"SELL",'06_Partecipazioni'!$B$5:$B$204,"&lt;="&amp;B15))</f>
        <v>135000</v>
      </c>
      <c r="G15" s="10">
        <f>IF(B15="","",SUMIFS('07_Prestiti'!$H$5:$H$204,'07_Prestiti'!$C$5:$C$204,"DISBURSEMENT",'07_Prestiti'!$B$5:$B$204,"&lt;="&amp;B15)-SUMIFS('07_Prestiti'!$H$5:$H$204,'07_Prestiti'!$C$5:$C$204,"REPAYMENT",'07_Prestiti'!$B$5:$B$204,"&lt;="&amp;B15))</f>
        <v>15000</v>
      </c>
      <c r="H15" s="10">
        <f>IF(B15="","",SUMIFS('08_PL_Operativa'!$H$5:$H$503,'08_PL_Operativa'!$B$5:$B$503,"&lt;="&amp;B15))</f>
        <v>-1106.9500000000003</v>
      </c>
      <c r="I15" s="26">
        <f t="shared" si="1"/>
        <v>527003.93264734012</v>
      </c>
      <c r="J15" s="25"/>
      <c r="K15" s="25"/>
      <c r="L15" s="25"/>
      <c r="M15" s="26">
        <f t="shared" ca="1" si="2"/>
        <v>1501473.35</v>
      </c>
      <c r="N15" s="33">
        <f>IF(B15="","",SUMIFS('03_Investitori'!$J$5:$J$104,'03_Investitori'!$C$5:$C$104,"&lt;="&amp;B15))</f>
        <v>1500000</v>
      </c>
      <c r="O15" s="35">
        <f t="shared" ca="1" si="3"/>
        <v>1.0009822333333334</v>
      </c>
      <c r="P15" s="11">
        <f t="shared" ca="1" si="4"/>
        <v>2.2461653162353379E-4</v>
      </c>
    </row>
    <row r="16" spans="1:16" x14ac:dyDescent="0.2">
      <c r="A16" s="23">
        <f t="shared" si="0"/>
        <v>12</v>
      </c>
      <c r="B16" s="54">
        <v>46022</v>
      </c>
      <c r="C16" s="10">
        <f>IF(B16="","",SUMIFS('03_Investitori'!$H$5:$H$104,'03_Investitori'!$C$5:$C$104,"&lt;="&amp;B16))</f>
        <v>1500000</v>
      </c>
      <c r="D16" s="10">
        <f>IF(B16="","",SUMIFS('04_Trades'!$K$5:$K$1004,'04_Trades'!$C$5:$C$1004,"BUY",'04_Trades'!$B$5:$B$1004,"&lt;="&amp;B16)-SUMIFS('04_Trades'!$K$5:$K$1004,'04_Trades'!$C$5:$C$1004,"SELL",'04_Trades'!$B$5:$B$1004,"&lt;="&amp;B16))</f>
        <v>830035.89235265984</v>
      </c>
      <c r="E16" s="10">
        <f>IF(B16="","",SUMIFS('05_Dividendi_Interessi'!$I$5:$I$504,'05_Dividendi_Interessi'!$B$5:$B$504,"&lt;="&amp;B16))</f>
        <v>2580.3000000000002</v>
      </c>
      <c r="F16" s="10">
        <f>IF(B16="","",SUMIFS('06_Partecipazioni'!$I$5:$I$204,'06_Partecipazioni'!$C$5:$C$204,"BUY",'06_Partecipazioni'!$B$5:$B$204,"&lt;="&amp;B16)-SUMIFS('06_Partecipazioni'!$I$5:$I$204,'06_Partecipazioni'!$C$5:$C$204,"SELL",'06_Partecipazioni'!$B$5:$B$204,"&lt;="&amp;B16))</f>
        <v>165000</v>
      </c>
      <c r="G16" s="10">
        <f>IF(B16="","",SUMIFS('07_Prestiti'!$H$5:$H$204,'07_Prestiti'!$C$5:$C$204,"DISBURSEMENT",'07_Prestiti'!$B$5:$B$204,"&lt;="&amp;B16)-SUMIFS('07_Prestiti'!$H$5:$H$204,'07_Prestiti'!$C$5:$C$204,"REPAYMENT",'07_Prestiti'!$B$5:$B$204,"&lt;="&amp;B16))</f>
        <v>60000</v>
      </c>
      <c r="H16" s="10">
        <f>IF(B16="","",SUMIFS('08_PL_Operativa'!$H$5:$H$503,'08_PL_Operativa'!$B$5:$B$503,"&lt;="&amp;B16))</f>
        <v>-76224.820000000007</v>
      </c>
      <c r="I16" s="26">
        <f t="shared" si="1"/>
        <v>371319.5876473402</v>
      </c>
      <c r="J16" s="25"/>
      <c r="K16" s="25"/>
      <c r="L16" s="25"/>
      <c r="M16" s="26">
        <f t="shared" ca="1" si="2"/>
        <v>1426355.48</v>
      </c>
      <c r="N16" s="33">
        <f>IF(B16="","",SUMIFS('03_Investitori'!$J$5:$J$104,'03_Investitori'!$C$5:$C$104,"&lt;="&amp;B16))</f>
        <v>1500000</v>
      </c>
      <c r="O16" s="35">
        <f t="shared" ca="1" si="3"/>
        <v>0.95090365333333338</v>
      </c>
      <c r="P16" s="11">
        <f t="shared" ca="1" si="4"/>
        <v>-5.00294394169567E-2</v>
      </c>
    </row>
    <row r="17" spans="1:16" x14ac:dyDescent="0.2">
      <c r="A17" s="23">
        <f t="shared" si="0"/>
        <v>13</v>
      </c>
      <c r="B17" s="54">
        <v>46053</v>
      </c>
      <c r="C17" s="10">
        <f>IF(B17="","",SUMIFS('03_Investitori'!$H$5:$H$104,'03_Investitori'!$C$5:$C$104,"&lt;="&amp;B17))</f>
        <v>1500000</v>
      </c>
      <c r="D17" s="10">
        <f>IF(B17="","",SUMIFS('04_Trades'!$K$5:$K$1004,'04_Trades'!$C$5:$C$1004,"BUY",'04_Trades'!$B$5:$B$1004,"&lt;="&amp;B17)-SUMIFS('04_Trades'!$K$5:$K$1004,'04_Trades'!$C$5:$C$1004,"SELL",'04_Trades'!$B$5:$B$1004,"&lt;="&amp;B17))</f>
        <v>833535.10735265992</v>
      </c>
      <c r="E17" s="10">
        <f>IF(B17="","",SUMIFS('05_Dividendi_Interessi'!$I$5:$I$504,'05_Dividendi_Interessi'!$B$5:$B$504,"&lt;="&amp;B17))</f>
        <v>3470.07</v>
      </c>
      <c r="F17" s="10">
        <f>IF(B17="","",SUMIFS('06_Partecipazioni'!$I$5:$I$204,'06_Partecipazioni'!$C$5:$C$204,"BUY",'06_Partecipazioni'!$B$5:$B$204,"&lt;="&amp;B17)-SUMIFS('06_Partecipazioni'!$I$5:$I$204,'06_Partecipazioni'!$C$5:$C$204,"SELL",'06_Partecipazioni'!$B$5:$B$204,"&lt;="&amp;B17))</f>
        <v>165000</v>
      </c>
      <c r="G17" s="10">
        <f>IF(B17="","",SUMIFS('07_Prestiti'!$H$5:$H$204,'07_Prestiti'!$C$5:$C$204,"DISBURSEMENT",'07_Prestiti'!$B$5:$B$204,"&lt;="&amp;B17)-SUMIFS('07_Prestiti'!$H$5:$H$204,'07_Prestiti'!$C$5:$C$204,"REPAYMENT",'07_Prestiti'!$B$5:$B$204,"&lt;="&amp;B17))</f>
        <v>70000</v>
      </c>
      <c r="H17" s="10">
        <f>IF(B17="","",SUMIFS('08_PL_Operativa'!$H$5:$H$503,'08_PL_Operativa'!$B$5:$B$503,"&lt;="&amp;B17))</f>
        <v>-76842.590000000011</v>
      </c>
      <c r="I17" s="26">
        <f t="shared" si="1"/>
        <v>358092.37264734</v>
      </c>
      <c r="J17" s="25"/>
      <c r="K17" s="25"/>
      <c r="L17" s="25"/>
      <c r="M17" s="26">
        <f t="shared" ca="1" si="2"/>
        <v>1426627.48</v>
      </c>
      <c r="N17" s="33">
        <f>IF(B17="","",SUMIFS('03_Investitori'!$J$5:$J$104,'03_Investitori'!$C$5:$C$104,"&lt;="&amp;B17))</f>
        <v>1500000</v>
      </c>
      <c r="O17" s="35">
        <f t="shared" ca="1" si="3"/>
        <v>0.95108498666666663</v>
      </c>
      <c r="P17" s="11">
        <f t="shared" ca="1" si="4"/>
        <v>1.9069580046049417E-4</v>
      </c>
    </row>
    <row r="18" spans="1:16" x14ac:dyDescent="0.2">
      <c r="A18" s="23">
        <f t="shared" si="0"/>
        <v>14</v>
      </c>
      <c r="B18" s="54">
        <v>46081</v>
      </c>
      <c r="C18" s="10">
        <f>IF(B18="","",SUMIFS('03_Investitori'!$H$5:$H$104,'03_Investitori'!$C$5:$C$104,"&lt;="&amp;B18))</f>
        <v>1500000</v>
      </c>
      <c r="D18" s="10">
        <f>IF(B18="","",SUMIFS('04_Trades'!$K$5:$K$1004,'04_Trades'!$C$5:$C$1004,"BUY",'04_Trades'!$B$5:$B$1004,"&lt;="&amp;B18)-SUMIFS('04_Trades'!$K$5:$K$1004,'04_Trades'!$C$5:$C$1004,"SELL",'04_Trades'!$B$5:$B$1004,"&lt;="&amp;B18))</f>
        <v>1224108.2567526596</v>
      </c>
      <c r="E18" s="10">
        <f>IF(B18="","",SUMIFS('05_Dividendi_Interessi'!$I$5:$I$504,'05_Dividendi_Interessi'!$B$5:$B$504,"&lt;="&amp;B18))</f>
        <v>5077.3499999999995</v>
      </c>
      <c r="F18" s="10">
        <f>IF(B18="","",SUMIFS('06_Partecipazioni'!$I$5:$I$204,'06_Partecipazioni'!$C$5:$C$204,"BUY",'06_Partecipazioni'!$B$5:$B$204,"&lt;="&amp;B18)-SUMIFS('06_Partecipazioni'!$I$5:$I$204,'06_Partecipazioni'!$C$5:$C$204,"SELL",'06_Partecipazioni'!$B$5:$B$204,"&lt;="&amp;B18))</f>
        <v>165000</v>
      </c>
      <c r="G18" s="10">
        <f>IF(B18="","",SUMIFS('07_Prestiti'!$H$5:$H$204,'07_Prestiti'!$C$5:$C$204,"DISBURSEMENT",'07_Prestiti'!$B$5:$B$204,"&lt;="&amp;B18)-SUMIFS('07_Prestiti'!$H$5:$H$204,'07_Prestiti'!$C$5:$C$204,"REPAYMENT",'07_Prestiti'!$B$5:$B$204,"&lt;="&amp;B18))</f>
        <v>80000</v>
      </c>
      <c r="H18" s="10">
        <f>IF(B18="","",SUMIFS('08_PL_Operativa'!$H$5:$H$503,'08_PL_Operativa'!$B$5:$B$503,"&lt;="&amp;B18))</f>
        <v>-78432.260000000024</v>
      </c>
      <c r="I18" s="26">
        <f t="shared" si="1"/>
        <v>-42463.166752659614</v>
      </c>
      <c r="J18" s="25"/>
      <c r="K18" s="25"/>
      <c r="L18" s="25"/>
      <c r="M18" s="26">
        <f t="shared" ca="1" si="2"/>
        <v>1426645.0899999999</v>
      </c>
      <c r="N18" s="33">
        <f>IF(B18="","",SUMIFS('03_Investitori'!$J$5:$J$104,'03_Investitori'!$C$5:$C$104,"&lt;="&amp;B18))</f>
        <v>1500000</v>
      </c>
      <c r="O18" s="35">
        <f t="shared" ca="1" si="3"/>
        <v>0.95109672666666656</v>
      </c>
      <c r="P18" s="11">
        <f t="shared" ca="1" si="4"/>
        <v>1.2343796994551681E-5</v>
      </c>
    </row>
    <row r="19" spans="1:16" x14ac:dyDescent="0.2">
      <c r="A19" s="23">
        <f t="shared" si="0"/>
        <v>15</v>
      </c>
      <c r="B19" s="54">
        <v>46112</v>
      </c>
      <c r="C19" s="10">
        <f>IF(B19="","",SUMIFS('03_Investitori'!$H$5:$H$104,'03_Investitori'!$C$5:$C$104,"&lt;="&amp;B19))</f>
        <v>2000000</v>
      </c>
      <c r="D19" s="10">
        <f>IF(B19="","",SUMIFS('04_Trades'!$K$5:$K$1004,'04_Trades'!$C$5:$C$1004,"BUY",'04_Trades'!$B$5:$B$1004,"&lt;="&amp;B19)-SUMIFS('04_Trades'!$K$5:$K$1004,'04_Trades'!$C$5:$C$1004,"SELL",'04_Trades'!$B$5:$B$1004,"&lt;="&amp;B19))</f>
        <v>1143257.8401526595</v>
      </c>
      <c r="E19" s="10">
        <f>IF(B19="","",SUMIFS('05_Dividendi_Interessi'!$I$5:$I$504,'05_Dividendi_Interessi'!$B$5:$B$504,"&lt;="&amp;B19))</f>
        <v>5977.7699999999995</v>
      </c>
      <c r="F19" s="10">
        <f>IF(B19="","",SUMIFS('06_Partecipazioni'!$I$5:$I$204,'06_Partecipazioni'!$C$5:$C$204,"BUY",'06_Partecipazioni'!$B$5:$B$204,"&lt;="&amp;B19)-SUMIFS('06_Partecipazioni'!$I$5:$I$204,'06_Partecipazioni'!$C$5:$C$204,"SELL",'06_Partecipazioni'!$B$5:$B$204,"&lt;="&amp;B19))</f>
        <v>165000</v>
      </c>
      <c r="G19" s="10">
        <f>IF(B19="","",SUMIFS('07_Prestiti'!$H$5:$H$204,'07_Prestiti'!$C$5:$C$204,"DISBURSEMENT",'07_Prestiti'!$B$5:$B$204,"&lt;="&amp;B19)-SUMIFS('07_Prestiti'!$H$5:$H$204,'07_Prestiti'!$C$5:$C$204,"REPAYMENT",'07_Prestiti'!$B$5:$B$204,"&lt;="&amp;B19))</f>
        <v>105000</v>
      </c>
      <c r="H19" s="10">
        <f>IF(B19="","",SUMIFS('08_PL_Operativa'!$H$5:$H$503,'08_PL_Operativa'!$B$5:$B$503,"&lt;="&amp;B19))</f>
        <v>-13697.140000000029</v>
      </c>
      <c r="I19" s="26">
        <f t="shared" si="1"/>
        <v>579022.78984734055</v>
      </c>
      <c r="J19" s="25"/>
      <c r="K19" s="25"/>
      <c r="L19" s="25"/>
      <c r="M19" s="26">
        <f t="shared" ca="1" si="2"/>
        <v>1992280.63</v>
      </c>
      <c r="N19" s="33">
        <f>IF(B19="","",SUMIFS('03_Investitori'!$J$5:$J$104,'03_Investitori'!$C$5:$C$104,"&lt;="&amp;B19))</f>
        <v>2000000</v>
      </c>
      <c r="O19" s="35">
        <f t="shared" ca="1" si="3"/>
        <v>0.996140315</v>
      </c>
      <c r="P19" s="11">
        <f t="shared" ca="1" si="4"/>
        <v>4.7359629226355171E-2</v>
      </c>
    </row>
    <row r="20" spans="1:16" x14ac:dyDescent="0.2">
      <c r="A20" s="23">
        <f t="shared" si="0"/>
        <v>16</v>
      </c>
      <c r="B20" s="54">
        <v>46142</v>
      </c>
      <c r="C20" s="10">
        <f>IF(B20="","",SUMIFS('03_Investitori'!$H$5:$H$104,'03_Investitori'!$C$5:$C$104,"&lt;="&amp;B20))</f>
        <v>2000000</v>
      </c>
      <c r="D20" s="10">
        <f>IF(B20="","",SUMIFS('04_Trades'!$K$5:$K$1004,'04_Trades'!$C$5:$C$1004,"BUY",'04_Trades'!$B$5:$B$1004,"&lt;="&amp;B20)-SUMIFS('04_Trades'!$K$5:$K$1004,'04_Trades'!$C$5:$C$1004,"SELL",'04_Trades'!$B$5:$B$1004,"&lt;="&amp;B20))</f>
        <v>1082225.7181526595</v>
      </c>
      <c r="E20" s="10">
        <f>IF(B20="","",SUMIFS('05_Dividendi_Interessi'!$I$5:$I$504,'05_Dividendi_Interessi'!$B$5:$B$504,"&lt;="&amp;B20))</f>
        <v>8226.1999999999989</v>
      </c>
      <c r="F20" s="10">
        <f>IF(B20="","",SUMIFS('06_Partecipazioni'!$I$5:$I$204,'06_Partecipazioni'!$C$5:$C$204,"BUY",'06_Partecipazioni'!$B$5:$B$204,"&lt;="&amp;B20)-SUMIFS('06_Partecipazioni'!$I$5:$I$204,'06_Partecipazioni'!$C$5:$C$204,"SELL",'06_Partecipazioni'!$B$5:$B$204,"&lt;="&amp;B20))</f>
        <v>165000</v>
      </c>
      <c r="G20" s="10">
        <f>IF(B20="","",SUMIFS('07_Prestiti'!$H$5:$H$204,'07_Prestiti'!$C$5:$C$204,"DISBURSEMENT",'07_Prestiti'!$B$5:$B$204,"&lt;="&amp;B20)-SUMIFS('07_Prestiti'!$H$5:$H$204,'07_Prestiti'!$C$5:$C$204,"REPAYMENT",'07_Prestiti'!$B$5:$B$204,"&lt;="&amp;B20))</f>
        <v>135000</v>
      </c>
      <c r="H20" s="10">
        <f>IF(B20="","",SUMIFS('08_PL_Operativa'!$H$5:$H$503,'08_PL_Operativa'!$B$5:$B$503,"&lt;="&amp;B20))</f>
        <v>-14238.73000000004</v>
      </c>
      <c r="I20" s="26">
        <f t="shared" si="1"/>
        <v>611761.75184734049</v>
      </c>
      <c r="J20" s="25"/>
      <c r="K20" s="25"/>
      <c r="L20" s="25"/>
      <c r="M20" s="26">
        <f t="shared" ca="1" si="2"/>
        <v>1993987.47</v>
      </c>
      <c r="N20" s="33">
        <f>IF(B20="","",SUMIFS('03_Investitori'!$J$5:$J$104,'03_Investitori'!$C$5:$C$104,"&lt;="&amp;B20))</f>
        <v>2000000</v>
      </c>
      <c r="O20" s="35">
        <f t="shared" ca="1" si="3"/>
        <v>0.99699373499999999</v>
      </c>
      <c r="P20" s="11">
        <f t="shared" ca="1" si="4"/>
        <v>8.5672669517444788E-4</v>
      </c>
    </row>
    <row r="21" spans="1:16" x14ac:dyDescent="0.2">
      <c r="A21" s="23" t="str">
        <f t="shared" si="0"/>
        <v/>
      </c>
      <c r="B21" s="22"/>
      <c r="C21" s="10" t="str">
        <f>IF(B21="","",SUMIFS('03_Investitori'!$H$5:$H$104,'03_Investitori'!$C$5:$C$104,"&lt;="&amp;B21))</f>
        <v/>
      </c>
      <c r="D21" s="10" t="str">
        <f>IF(B21="","",SUMIFS('04_Trades'!$K$5:$K$1004,'04_Trades'!$C$5:$C$1004,"BUY",'04_Trades'!$B$5:$B$1004,"&lt;="&amp;B21)-SUMIFS('04_Trades'!$K$5:$K$1004,'04_Trades'!$C$5:$C$1004,"SELL",'04_Trades'!$B$5:$B$1004,"&lt;="&amp;B21))</f>
        <v/>
      </c>
      <c r="E21" s="10" t="str">
        <f>IF(B21="","",SUMIFS('05_Dividendi_Interessi'!$I$5:$I$504,'05_Dividendi_Interessi'!$B$5:$B$504,"&lt;="&amp;B21))</f>
        <v/>
      </c>
      <c r="F21" s="10" t="str">
        <f>IF(B21="","",SUMIFS('06_Partecipazioni'!$I$5:$I$204,'06_Partecipazioni'!$C$5:$C$204,"BUY",'06_Partecipazioni'!$B$5:$B$204,"&lt;="&amp;B21)-SUMIFS('06_Partecipazioni'!$I$5:$I$204,'06_Partecipazioni'!$C$5:$C$204,"SELL",'06_Partecipazioni'!$B$5:$B$204,"&lt;="&amp;B21))</f>
        <v/>
      </c>
      <c r="G21" s="10" t="str">
        <f>IF(B21="","",SUMIFS('07_Prestiti'!$H$5:$H$204,'07_Prestiti'!$C$5:$C$204,"DISBURSEMENT",'07_Prestiti'!$B$5:$B$204,"&lt;="&amp;B21)-SUMIFS('07_Prestiti'!$H$5:$H$204,'07_Prestiti'!$C$5:$C$204,"REPAYMENT",'07_Prestiti'!$B$5:$B$204,"&lt;="&amp;B21))</f>
        <v/>
      </c>
      <c r="H21" s="10" t="str">
        <f>IF(B21="","",SUMIFS('08_PL_Operativa'!$H$5:$H$503,'08_PL_Operativa'!$B$5:$B$503,"&lt;="&amp;B21))</f>
        <v/>
      </c>
      <c r="I21" s="26" t="str">
        <f t="shared" si="1"/>
        <v/>
      </c>
      <c r="J21" s="25"/>
      <c r="K21" s="25"/>
      <c r="L21" s="25"/>
      <c r="M21" s="26" t="str">
        <f t="shared" si="2"/>
        <v/>
      </c>
      <c r="N21" s="33" t="str">
        <f>IF(B21="","",SUMIFS('03_Investitori'!$J$5:$J$104,'03_Investitori'!$C$5:$C$104,"&lt;="&amp;B21))</f>
        <v/>
      </c>
      <c r="O21" s="35" t="str">
        <f t="shared" si="3"/>
        <v/>
      </c>
      <c r="P21" s="11" t="str">
        <f t="shared" ca="1" si="4"/>
        <v/>
      </c>
    </row>
    <row r="22" spans="1:16" x14ac:dyDescent="0.2">
      <c r="A22" s="23" t="str">
        <f t="shared" si="0"/>
        <v/>
      </c>
      <c r="B22" s="22"/>
      <c r="C22" s="10" t="str">
        <f>IF(B22="","",SUMIFS('03_Investitori'!$H$5:$H$104,'03_Investitori'!$C$5:$C$104,"&lt;="&amp;B22))</f>
        <v/>
      </c>
      <c r="D22" s="10" t="str">
        <f>IF(B22="","",SUMIFS('04_Trades'!$K$5:$K$1004,'04_Trades'!$C$5:$C$1004,"BUY",'04_Trades'!$B$5:$B$1004,"&lt;="&amp;B22)-SUMIFS('04_Trades'!$K$5:$K$1004,'04_Trades'!$C$5:$C$1004,"SELL",'04_Trades'!$B$5:$B$1004,"&lt;="&amp;B22))</f>
        <v/>
      </c>
      <c r="E22" s="10" t="str">
        <f>IF(B22="","",SUMIFS('05_Dividendi_Interessi'!$I$5:$I$504,'05_Dividendi_Interessi'!$B$5:$B$504,"&lt;="&amp;B22))</f>
        <v/>
      </c>
      <c r="F22" s="10" t="str">
        <f>IF(B22="","",SUMIFS('06_Partecipazioni'!$I$5:$I$204,'06_Partecipazioni'!$C$5:$C$204,"BUY",'06_Partecipazioni'!$B$5:$B$204,"&lt;="&amp;B22)-SUMIFS('06_Partecipazioni'!$I$5:$I$204,'06_Partecipazioni'!$C$5:$C$204,"SELL",'06_Partecipazioni'!$B$5:$B$204,"&lt;="&amp;B22))</f>
        <v/>
      </c>
      <c r="G22" s="10" t="str">
        <f>IF(B22="","",SUMIFS('07_Prestiti'!$H$5:$H$204,'07_Prestiti'!$C$5:$C$204,"DISBURSEMENT",'07_Prestiti'!$B$5:$B$204,"&lt;="&amp;B22)-SUMIFS('07_Prestiti'!$H$5:$H$204,'07_Prestiti'!$C$5:$C$204,"REPAYMENT",'07_Prestiti'!$B$5:$B$204,"&lt;="&amp;B22))</f>
        <v/>
      </c>
      <c r="H22" s="10" t="str">
        <f>IF(B22="","",SUMIFS('08_PL_Operativa'!$H$5:$H$503,'08_PL_Operativa'!$B$5:$B$503,"&lt;="&amp;B22))</f>
        <v/>
      </c>
      <c r="I22" s="26" t="str">
        <f t="shared" si="1"/>
        <v/>
      </c>
      <c r="J22" s="25"/>
      <c r="K22" s="25"/>
      <c r="L22" s="25"/>
      <c r="M22" s="26" t="str">
        <f t="shared" si="2"/>
        <v/>
      </c>
      <c r="N22" s="33" t="str">
        <f>IF(B22="","",SUMIFS('03_Investitori'!$J$5:$J$104,'03_Investitori'!$C$5:$C$104,"&lt;="&amp;B22))</f>
        <v/>
      </c>
      <c r="O22" s="35" t="str">
        <f t="shared" si="3"/>
        <v/>
      </c>
      <c r="P22" s="11" t="str">
        <f t="shared" si="4"/>
        <v/>
      </c>
    </row>
    <row r="23" spans="1:16" x14ac:dyDescent="0.2">
      <c r="A23" s="23" t="str">
        <f t="shared" si="0"/>
        <v/>
      </c>
      <c r="B23" s="22"/>
      <c r="C23" s="10" t="str">
        <f>IF(B23="","",SUMIFS('03_Investitori'!$H$5:$H$104,'03_Investitori'!$C$5:$C$104,"&lt;="&amp;B23))</f>
        <v/>
      </c>
      <c r="D23" s="10" t="str">
        <f>IF(B23="","",SUMIFS('04_Trades'!$K$5:$K$1004,'04_Trades'!$C$5:$C$1004,"BUY",'04_Trades'!$B$5:$B$1004,"&lt;="&amp;B23)-SUMIFS('04_Trades'!$K$5:$K$1004,'04_Trades'!$C$5:$C$1004,"SELL",'04_Trades'!$B$5:$B$1004,"&lt;="&amp;B23))</f>
        <v/>
      </c>
      <c r="E23" s="10" t="str">
        <f>IF(B23="","",SUMIFS('05_Dividendi_Interessi'!$I$5:$I$504,'05_Dividendi_Interessi'!$B$5:$B$504,"&lt;="&amp;B23))</f>
        <v/>
      </c>
      <c r="F23" s="10" t="str">
        <f>IF(B23="","",SUMIFS('06_Partecipazioni'!$I$5:$I$204,'06_Partecipazioni'!$C$5:$C$204,"BUY",'06_Partecipazioni'!$B$5:$B$204,"&lt;="&amp;B23)-SUMIFS('06_Partecipazioni'!$I$5:$I$204,'06_Partecipazioni'!$C$5:$C$204,"SELL",'06_Partecipazioni'!$B$5:$B$204,"&lt;="&amp;B23))</f>
        <v/>
      </c>
      <c r="G23" s="10" t="str">
        <f>IF(B23="","",SUMIFS('07_Prestiti'!$H$5:$H$204,'07_Prestiti'!$C$5:$C$204,"DISBURSEMENT",'07_Prestiti'!$B$5:$B$204,"&lt;="&amp;B23)-SUMIFS('07_Prestiti'!$H$5:$H$204,'07_Prestiti'!$C$5:$C$204,"REPAYMENT",'07_Prestiti'!$B$5:$B$204,"&lt;="&amp;B23))</f>
        <v/>
      </c>
      <c r="H23" s="10" t="str">
        <f>IF(B23="","",SUMIFS('08_PL_Operativa'!$H$5:$H$503,'08_PL_Operativa'!$B$5:$B$503,"&lt;="&amp;B23))</f>
        <v/>
      </c>
      <c r="I23" s="26" t="str">
        <f t="shared" si="1"/>
        <v/>
      </c>
      <c r="J23" s="25"/>
      <c r="K23" s="25"/>
      <c r="L23" s="25"/>
      <c r="M23" s="26" t="str">
        <f t="shared" si="2"/>
        <v/>
      </c>
      <c r="N23" s="33" t="str">
        <f>IF(B23="","",SUMIFS('03_Investitori'!$J$5:$J$104,'03_Investitori'!$C$5:$C$104,"&lt;="&amp;B23))</f>
        <v/>
      </c>
      <c r="O23" s="35" t="str">
        <f t="shared" si="3"/>
        <v/>
      </c>
      <c r="P23" s="11" t="str">
        <f t="shared" si="4"/>
        <v/>
      </c>
    </row>
    <row r="24" spans="1:16" x14ac:dyDescent="0.2">
      <c r="A24" s="23" t="str">
        <f t="shared" si="0"/>
        <v/>
      </c>
      <c r="B24" s="22"/>
      <c r="C24" s="10" t="str">
        <f>IF(B24="","",SUMIFS('03_Investitori'!$H$5:$H$104,'03_Investitori'!$C$5:$C$104,"&lt;="&amp;B24))</f>
        <v/>
      </c>
      <c r="D24" s="10" t="str">
        <f>IF(B24="","",SUMIFS('04_Trades'!$K$5:$K$1004,'04_Trades'!$C$5:$C$1004,"BUY",'04_Trades'!$B$5:$B$1004,"&lt;="&amp;B24)-SUMIFS('04_Trades'!$K$5:$K$1004,'04_Trades'!$C$5:$C$1004,"SELL",'04_Trades'!$B$5:$B$1004,"&lt;="&amp;B24))</f>
        <v/>
      </c>
      <c r="E24" s="10" t="str">
        <f>IF(B24="","",SUMIFS('05_Dividendi_Interessi'!$I$5:$I$504,'05_Dividendi_Interessi'!$B$5:$B$504,"&lt;="&amp;B24))</f>
        <v/>
      </c>
      <c r="F24" s="10" t="str">
        <f>IF(B24="","",SUMIFS('06_Partecipazioni'!$I$5:$I$204,'06_Partecipazioni'!$C$5:$C$204,"BUY",'06_Partecipazioni'!$B$5:$B$204,"&lt;="&amp;B24)-SUMIFS('06_Partecipazioni'!$I$5:$I$204,'06_Partecipazioni'!$C$5:$C$204,"SELL",'06_Partecipazioni'!$B$5:$B$204,"&lt;="&amp;B24))</f>
        <v/>
      </c>
      <c r="G24" s="10" t="str">
        <f>IF(B24="","",SUMIFS('07_Prestiti'!$H$5:$H$204,'07_Prestiti'!$C$5:$C$204,"DISBURSEMENT",'07_Prestiti'!$B$5:$B$204,"&lt;="&amp;B24)-SUMIFS('07_Prestiti'!$H$5:$H$204,'07_Prestiti'!$C$5:$C$204,"REPAYMENT",'07_Prestiti'!$B$5:$B$204,"&lt;="&amp;B24))</f>
        <v/>
      </c>
      <c r="H24" s="10" t="str">
        <f>IF(B24="","",SUMIFS('08_PL_Operativa'!$H$5:$H$503,'08_PL_Operativa'!$B$5:$B$503,"&lt;="&amp;B24))</f>
        <v/>
      </c>
      <c r="I24" s="26" t="str">
        <f t="shared" si="1"/>
        <v/>
      </c>
      <c r="J24" s="25"/>
      <c r="K24" s="25"/>
      <c r="L24" s="25"/>
      <c r="M24" s="26" t="str">
        <f t="shared" si="2"/>
        <v/>
      </c>
      <c r="N24" s="33" t="str">
        <f>IF(B24="","",SUMIFS('03_Investitori'!$J$5:$J$104,'03_Investitori'!$C$5:$C$104,"&lt;="&amp;B24))</f>
        <v/>
      </c>
      <c r="O24" s="35" t="str">
        <f t="shared" si="3"/>
        <v/>
      </c>
      <c r="P24" s="11" t="str">
        <f t="shared" si="4"/>
        <v/>
      </c>
    </row>
    <row r="25" spans="1:16" x14ac:dyDescent="0.2">
      <c r="A25" s="23" t="str">
        <f t="shared" si="0"/>
        <v/>
      </c>
      <c r="B25" s="22"/>
      <c r="C25" s="10" t="str">
        <f>IF(B25="","",SUMIFS('03_Investitori'!$H$5:$H$104,'03_Investitori'!$C$5:$C$104,"&lt;="&amp;B25))</f>
        <v/>
      </c>
      <c r="D25" s="10" t="str">
        <f>IF(B25="","",SUMIFS('04_Trades'!$K$5:$K$1004,'04_Trades'!$C$5:$C$1004,"BUY",'04_Trades'!$B$5:$B$1004,"&lt;="&amp;B25)-SUMIFS('04_Trades'!$K$5:$K$1004,'04_Trades'!$C$5:$C$1004,"SELL",'04_Trades'!$B$5:$B$1004,"&lt;="&amp;B25))</f>
        <v/>
      </c>
      <c r="E25" s="10" t="str">
        <f>IF(B25="","",SUMIFS('05_Dividendi_Interessi'!$I$5:$I$504,'05_Dividendi_Interessi'!$B$5:$B$504,"&lt;="&amp;B25))</f>
        <v/>
      </c>
      <c r="F25" s="10" t="str">
        <f>IF(B25="","",SUMIFS('06_Partecipazioni'!$I$5:$I$204,'06_Partecipazioni'!$C$5:$C$204,"BUY",'06_Partecipazioni'!$B$5:$B$204,"&lt;="&amp;B25)-SUMIFS('06_Partecipazioni'!$I$5:$I$204,'06_Partecipazioni'!$C$5:$C$204,"SELL",'06_Partecipazioni'!$B$5:$B$204,"&lt;="&amp;B25))</f>
        <v/>
      </c>
      <c r="G25" s="10" t="str">
        <f>IF(B25="","",SUMIFS('07_Prestiti'!$H$5:$H$204,'07_Prestiti'!$C$5:$C$204,"DISBURSEMENT",'07_Prestiti'!$B$5:$B$204,"&lt;="&amp;B25)-SUMIFS('07_Prestiti'!$H$5:$H$204,'07_Prestiti'!$C$5:$C$204,"REPAYMENT",'07_Prestiti'!$B$5:$B$204,"&lt;="&amp;B25))</f>
        <v/>
      </c>
      <c r="H25" s="10" t="str">
        <f>IF(B25="","",SUMIFS('08_PL_Operativa'!$H$5:$H$503,'08_PL_Operativa'!$B$5:$B$503,"&lt;="&amp;B25))</f>
        <v/>
      </c>
      <c r="I25" s="26" t="str">
        <f t="shared" si="1"/>
        <v/>
      </c>
      <c r="J25" s="25"/>
      <c r="K25" s="25"/>
      <c r="L25" s="25"/>
      <c r="M25" s="26" t="str">
        <f t="shared" si="2"/>
        <v/>
      </c>
      <c r="N25" s="33" t="str">
        <f>IF(B25="","",SUMIFS('03_Investitori'!$J$5:$J$104,'03_Investitori'!$C$5:$C$104,"&lt;="&amp;B25))</f>
        <v/>
      </c>
      <c r="O25" s="35" t="str">
        <f t="shared" si="3"/>
        <v/>
      </c>
      <c r="P25" s="11" t="str">
        <f t="shared" si="4"/>
        <v/>
      </c>
    </row>
    <row r="26" spans="1:16" x14ac:dyDescent="0.2">
      <c r="A26" s="23" t="str">
        <f t="shared" si="0"/>
        <v/>
      </c>
      <c r="B26" s="22"/>
      <c r="C26" s="10" t="str">
        <f>IF(B26="","",SUMIFS('03_Investitori'!$H$5:$H$104,'03_Investitori'!$C$5:$C$104,"&lt;="&amp;B26))</f>
        <v/>
      </c>
      <c r="D26" s="10" t="str">
        <f>IF(B26="","",SUMIFS('04_Trades'!$K$5:$K$1004,'04_Trades'!$C$5:$C$1004,"BUY",'04_Trades'!$B$5:$B$1004,"&lt;="&amp;B26)-SUMIFS('04_Trades'!$K$5:$K$1004,'04_Trades'!$C$5:$C$1004,"SELL",'04_Trades'!$B$5:$B$1004,"&lt;="&amp;B26))</f>
        <v/>
      </c>
      <c r="E26" s="10" t="str">
        <f>IF(B26="","",SUMIFS('05_Dividendi_Interessi'!$I$5:$I$504,'05_Dividendi_Interessi'!$B$5:$B$504,"&lt;="&amp;B26))</f>
        <v/>
      </c>
      <c r="F26" s="10" t="str">
        <f>IF(B26="","",SUMIFS('06_Partecipazioni'!$I$5:$I$204,'06_Partecipazioni'!$C$5:$C$204,"BUY",'06_Partecipazioni'!$B$5:$B$204,"&lt;="&amp;B26)-SUMIFS('06_Partecipazioni'!$I$5:$I$204,'06_Partecipazioni'!$C$5:$C$204,"SELL",'06_Partecipazioni'!$B$5:$B$204,"&lt;="&amp;B26))</f>
        <v/>
      </c>
      <c r="G26" s="10" t="str">
        <f>IF(B26="","",SUMIFS('07_Prestiti'!$H$5:$H$204,'07_Prestiti'!$C$5:$C$204,"DISBURSEMENT",'07_Prestiti'!$B$5:$B$204,"&lt;="&amp;B26)-SUMIFS('07_Prestiti'!$H$5:$H$204,'07_Prestiti'!$C$5:$C$204,"REPAYMENT",'07_Prestiti'!$B$5:$B$204,"&lt;="&amp;B26))</f>
        <v/>
      </c>
      <c r="H26" s="10" t="str">
        <f>IF(B26="","",SUMIFS('08_PL_Operativa'!$H$5:$H$503,'08_PL_Operativa'!$B$5:$B$503,"&lt;="&amp;B26))</f>
        <v/>
      </c>
      <c r="I26" s="26" t="str">
        <f t="shared" si="1"/>
        <v/>
      </c>
      <c r="J26" s="25"/>
      <c r="K26" s="25"/>
      <c r="L26" s="25"/>
      <c r="M26" s="26" t="str">
        <f t="shared" si="2"/>
        <v/>
      </c>
      <c r="N26" s="33" t="str">
        <f>IF(B26="","",SUMIFS('03_Investitori'!$J$5:$J$104,'03_Investitori'!$C$5:$C$104,"&lt;="&amp;B26))</f>
        <v/>
      </c>
      <c r="O26" s="35" t="str">
        <f t="shared" si="3"/>
        <v/>
      </c>
      <c r="P26" s="11" t="str">
        <f t="shared" si="4"/>
        <v/>
      </c>
    </row>
    <row r="27" spans="1:16" x14ac:dyDescent="0.2">
      <c r="A27" s="23" t="str">
        <f t="shared" si="0"/>
        <v/>
      </c>
      <c r="B27" s="22"/>
      <c r="C27" s="10" t="str">
        <f>IF(B27="","",SUMIFS('03_Investitori'!$H$5:$H$104,'03_Investitori'!$C$5:$C$104,"&lt;="&amp;B27))</f>
        <v/>
      </c>
      <c r="D27" s="10" t="str">
        <f>IF(B27="","",SUMIFS('04_Trades'!$K$5:$K$1004,'04_Trades'!$C$5:$C$1004,"BUY",'04_Trades'!$B$5:$B$1004,"&lt;="&amp;B27)-SUMIFS('04_Trades'!$K$5:$K$1004,'04_Trades'!$C$5:$C$1004,"SELL",'04_Trades'!$B$5:$B$1004,"&lt;="&amp;B27))</f>
        <v/>
      </c>
      <c r="E27" s="10" t="str">
        <f>IF(B27="","",SUMIFS('05_Dividendi_Interessi'!$I$5:$I$504,'05_Dividendi_Interessi'!$B$5:$B$504,"&lt;="&amp;B27))</f>
        <v/>
      </c>
      <c r="F27" s="10" t="str">
        <f>IF(B27="","",SUMIFS('06_Partecipazioni'!$I$5:$I$204,'06_Partecipazioni'!$C$5:$C$204,"BUY",'06_Partecipazioni'!$B$5:$B$204,"&lt;="&amp;B27)-SUMIFS('06_Partecipazioni'!$I$5:$I$204,'06_Partecipazioni'!$C$5:$C$204,"SELL",'06_Partecipazioni'!$B$5:$B$204,"&lt;="&amp;B27))</f>
        <v/>
      </c>
      <c r="G27" s="10" t="str">
        <f>IF(B27="","",SUMIFS('07_Prestiti'!$H$5:$H$204,'07_Prestiti'!$C$5:$C$204,"DISBURSEMENT",'07_Prestiti'!$B$5:$B$204,"&lt;="&amp;B27)-SUMIFS('07_Prestiti'!$H$5:$H$204,'07_Prestiti'!$C$5:$C$204,"REPAYMENT",'07_Prestiti'!$B$5:$B$204,"&lt;="&amp;B27))</f>
        <v/>
      </c>
      <c r="H27" s="10" t="str">
        <f>IF(B27="","",SUMIFS('08_PL_Operativa'!$H$5:$H$503,'08_PL_Operativa'!$B$5:$B$503,"&lt;="&amp;B27))</f>
        <v/>
      </c>
      <c r="I27" s="26" t="str">
        <f t="shared" si="1"/>
        <v/>
      </c>
      <c r="J27" s="25"/>
      <c r="K27" s="25"/>
      <c r="L27" s="25"/>
      <c r="M27" s="26" t="str">
        <f t="shared" si="2"/>
        <v/>
      </c>
      <c r="N27" s="33" t="str">
        <f>IF(B27="","",SUMIFS('03_Investitori'!$J$5:$J$104,'03_Investitori'!$C$5:$C$104,"&lt;="&amp;B27))</f>
        <v/>
      </c>
      <c r="O27" s="35" t="str">
        <f t="shared" si="3"/>
        <v/>
      </c>
      <c r="P27" s="11" t="str">
        <f t="shared" si="4"/>
        <v/>
      </c>
    </row>
    <row r="28" spans="1:16" x14ac:dyDescent="0.2">
      <c r="A28" s="23" t="str">
        <f t="shared" si="0"/>
        <v/>
      </c>
      <c r="B28" s="22"/>
      <c r="C28" s="10" t="str">
        <f>IF(B28="","",SUMIFS('03_Investitori'!$H$5:$H$104,'03_Investitori'!$C$5:$C$104,"&lt;="&amp;B28))</f>
        <v/>
      </c>
      <c r="D28" s="10" t="str">
        <f>IF(B28="","",SUMIFS('04_Trades'!$K$5:$K$1004,'04_Trades'!$C$5:$C$1004,"BUY",'04_Trades'!$B$5:$B$1004,"&lt;="&amp;B28)-SUMIFS('04_Trades'!$K$5:$K$1004,'04_Trades'!$C$5:$C$1004,"SELL",'04_Trades'!$B$5:$B$1004,"&lt;="&amp;B28))</f>
        <v/>
      </c>
      <c r="E28" s="10" t="str">
        <f>IF(B28="","",SUMIFS('05_Dividendi_Interessi'!$I$5:$I$504,'05_Dividendi_Interessi'!$B$5:$B$504,"&lt;="&amp;B28))</f>
        <v/>
      </c>
      <c r="F28" s="10" t="str">
        <f>IF(B28="","",SUMIFS('06_Partecipazioni'!$I$5:$I$204,'06_Partecipazioni'!$C$5:$C$204,"BUY",'06_Partecipazioni'!$B$5:$B$204,"&lt;="&amp;B28)-SUMIFS('06_Partecipazioni'!$I$5:$I$204,'06_Partecipazioni'!$C$5:$C$204,"SELL",'06_Partecipazioni'!$B$5:$B$204,"&lt;="&amp;B28))</f>
        <v/>
      </c>
      <c r="G28" s="10" t="str">
        <f>IF(B28="","",SUMIFS('07_Prestiti'!$H$5:$H$204,'07_Prestiti'!$C$5:$C$204,"DISBURSEMENT",'07_Prestiti'!$B$5:$B$204,"&lt;="&amp;B28)-SUMIFS('07_Prestiti'!$H$5:$H$204,'07_Prestiti'!$C$5:$C$204,"REPAYMENT",'07_Prestiti'!$B$5:$B$204,"&lt;="&amp;B28))</f>
        <v/>
      </c>
      <c r="H28" s="10" t="str">
        <f>IF(B28="","",SUMIFS('08_PL_Operativa'!$H$5:$H$503,'08_PL_Operativa'!$B$5:$B$503,"&lt;="&amp;B28))</f>
        <v/>
      </c>
      <c r="I28" s="26" t="str">
        <f t="shared" si="1"/>
        <v/>
      </c>
      <c r="J28" s="25"/>
      <c r="K28" s="25"/>
      <c r="L28" s="25"/>
      <c r="M28" s="26" t="str">
        <f t="shared" si="2"/>
        <v/>
      </c>
      <c r="N28" s="33" t="str">
        <f>IF(B28="","",SUMIFS('03_Investitori'!$J$5:$J$104,'03_Investitori'!$C$5:$C$104,"&lt;="&amp;B28))</f>
        <v/>
      </c>
      <c r="O28" s="35" t="str">
        <f t="shared" si="3"/>
        <v/>
      </c>
      <c r="P28" s="11" t="str">
        <f t="shared" si="4"/>
        <v/>
      </c>
    </row>
    <row r="29" spans="1:16" x14ac:dyDescent="0.2">
      <c r="A29" s="23" t="str">
        <f t="shared" si="0"/>
        <v/>
      </c>
      <c r="B29" s="22"/>
      <c r="C29" s="10" t="str">
        <f>IF(B29="","",SUMIFS('03_Investitori'!$H$5:$H$104,'03_Investitori'!$C$5:$C$104,"&lt;="&amp;B29))</f>
        <v/>
      </c>
      <c r="D29" s="10" t="str">
        <f>IF(B29="","",SUMIFS('04_Trades'!$K$5:$K$1004,'04_Trades'!$C$5:$C$1004,"BUY",'04_Trades'!$B$5:$B$1004,"&lt;="&amp;B29)-SUMIFS('04_Trades'!$K$5:$K$1004,'04_Trades'!$C$5:$C$1004,"SELL",'04_Trades'!$B$5:$B$1004,"&lt;="&amp;B29))</f>
        <v/>
      </c>
      <c r="E29" s="10" t="str">
        <f>IF(B29="","",SUMIFS('05_Dividendi_Interessi'!$I$5:$I$504,'05_Dividendi_Interessi'!$B$5:$B$504,"&lt;="&amp;B29))</f>
        <v/>
      </c>
      <c r="F29" s="10" t="str">
        <f>IF(B29="","",SUMIFS('06_Partecipazioni'!$I$5:$I$204,'06_Partecipazioni'!$C$5:$C$204,"BUY",'06_Partecipazioni'!$B$5:$B$204,"&lt;="&amp;B29)-SUMIFS('06_Partecipazioni'!$I$5:$I$204,'06_Partecipazioni'!$C$5:$C$204,"SELL",'06_Partecipazioni'!$B$5:$B$204,"&lt;="&amp;B29))</f>
        <v/>
      </c>
      <c r="G29" s="10" t="str">
        <f>IF(B29="","",SUMIFS('07_Prestiti'!$H$5:$H$204,'07_Prestiti'!$C$5:$C$204,"DISBURSEMENT",'07_Prestiti'!$B$5:$B$204,"&lt;="&amp;B29)-SUMIFS('07_Prestiti'!$H$5:$H$204,'07_Prestiti'!$C$5:$C$204,"REPAYMENT",'07_Prestiti'!$B$5:$B$204,"&lt;="&amp;B29))</f>
        <v/>
      </c>
      <c r="H29" s="10" t="str">
        <f>IF(B29="","",SUMIFS('08_PL_Operativa'!$H$5:$H$503,'08_PL_Operativa'!$B$5:$B$503,"&lt;="&amp;B29))</f>
        <v/>
      </c>
      <c r="I29" s="26" t="str">
        <f t="shared" si="1"/>
        <v/>
      </c>
      <c r="J29" s="25"/>
      <c r="K29" s="25"/>
      <c r="L29" s="25"/>
      <c r="M29" s="26" t="str">
        <f t="shared" si="2"/>
        <v/>
      </c>
      <c r="N29" s="33" t="str">
        <f>IF(B29="","",SUMIFS('03_Investitori'!$J$5:$J$104,'03_Investitori'!$C$5:$C$104,"&lt;="&amp;B29))</f>
        <v/>
      </c>
      <c r="O29" s="35" t="str">
        <f t="shared" si="3"/>
        <v/>
      </c>
      <c r="P29" s="11" t="str">
        <f t="shared" si="4"/>
        <v/>
      </c>
    </row>
    <row r="30" spans="1:16" x14ac:dyDescent="0.2">
      <c r="A30" s="23" t="str">
        <f t="shared" si="0"/>
        <v/>
      </c>
      <c r="B30" s="22"/>
      <c r="C30" s="10" t="str">
        <f>IF(B30="","",SUMIFS('03_Investitori'!$H$5:$H$104,'03_Investitori'!$C$5:$C$104,"&lt;="&amp;B30))</f>
        <v/>
      </c>
      <c r="D30" s="10" t="str">
        <f>IF(B30="","",SUMIFS('04_Trades'!$K$5:$K$1004,'04_Trades'!$C$5:$C$1004,"BUY",'04_Trades'!$B$5:$B$1004,"&lt;="&amp;B30)-SUMIFS('04_Trades'!$K$5:$K$1004,'04_Trades'!$C$5:$C$1004,"SELL",'04_Trades'!$B$5:$B$1004,"&lt;="&amp;B30))</f>
        <v/>
      </c>
      <c r="E30" s="10" t="str">
        <f>IF(B30="","",SUMIFS('05_Dividendi_Interessi'!$I$5:$I$504,'05_Dividendi_Interessi'!$B$5:$B$504,"&lt;="&amp;B30))</f>
        <v/>
      </c>
      <c r="F30" s="10" t="str">
        <f>IF(B30="","",SUMIFS('06_Partecipazioni'!$I$5:$I$204,'06_Partecipazioni'!$C$5:$C$204,"BUY",'06_Partecipazioni'!$B$5:$B$204,"&lt;="&amp;B30)-SUMIFS('06_Partecipazioni'!$I$5:$I$204,'06_Partecipazioni'!$C$5:$C$204,"SELL",'06_Partecipazioni'!$B$5:$B$204,"&lt;="&amp;B30))</f>
        <v/>
      </c>
      <c r="G30" s="10" t="str">
        <f>IF(B30="","",SUMIFS('07_Prestiti'!$H$5:$H$204,'07_Prestiti'!$C$5:$C$204,"DISBURSEMENT",'07_Prestiti'!$B$5:$B$204,"&lt;="&amp;B30)-SUMIFS('07_Prestiti'!$H$5:$H$204,'07_Prestiti'!$C$5:$C$204,"REPAYMENT",'07_Prestiti'!$B$5:$B$204,"&lt;="&amp;B30))</f>
        <v/>
      </c>
      <c r="H30" s="10" t="str">
        <f>IF(B30="","",SUMIFS('08_PL_Operativa'!$H$5:$H$503,'08_PL_Operativa'!$B$5:$B$503,"&lt;="&amp;B30))</f>
        <v/>
      </c>
      <c r="I30" s="26" t="str">
        <f t="shared" si="1"/>
        <v/>
      </c>
      <c r="J30" s="25"/>
      <c r="K30" s="25"/>
      <c r="L30" s="25"/>
      <c r="M30" s="26" t="str">
        <f t="shared" si="2"/>
        <v/>
      </c>
      <c r="N30" s="33" t="str">
        <f>IF(B30="","",SUMIFS('03_Investitori'!$J$5:$J$104,'03_Investitori'!$C$5:$C$104,"&lt;="&amp;B30))</f>
        <v/>
      </c>
      <c r="O30" s="35" t="str">
        <f t="shared" si="3"/>
        <v/>
      </c>
      <c r="P30" s="11" t="str">
        <f t="shared" si="4"/>
        <v/>
      </c>
    </row>
    <row r="31" spans="1:16" x14ac:dyDescent="0.2">
      <c r="A31" s="23" t="str">
        <f t="shared" si="0"/>
        <v/>
      </c>
      <c r="B31" s="22"/>
      <c r="C31" s="10" t="str">
        <f>IF(B31="","",SUMIFS('03_Investitori'!$H$5:$H$104,'03_Investitori'!$C$5:$C$104,"&lt;="&amp;B31))</f>
        <v/>
      </c>
      <c r="D31" s="10" t="str">
        <f>IF(B31="","",SUMIFS('04_Trades'!$K$5:$K$1004,'04_Trades'!$C$5:$C$1004,"BUY",'04_Trades'!$B$5:$B$1004,"&lt;="&amp;B31)-SUMIFS('04_Trades'!$K$5:$K$1004,'04_Trades'!$C$5:$C$1004,"SELL",'04_Trades'!$B$5:$B$1004,"&lt;="&amp;B31))</f>
        <v/>
      </c>
      <c r="E31" s="10" t="str">
        <f>IF(B31="","",SUMIFS('05_Dividendi_Interessi'!$I$5:$I$504,'05_Dividendi_Interessi'!$B$5:$B$504,"&lt;="&amp;B31))</f>
        <v/>
      </c>
      <c r="F31" s="10" t="str">
        <f>IF(B31="","",SUMIFS('06_Partecipazioni'!$I$5:$I$204,'06_Partecipazioni'!$C$5:$C$204,"BUY",'06_Partecipazioni'!$B$5:$B$204,"&lt;="&amp;B31)-SUMIFS('06_Partecipazioni'!$I$5:$I$204,'06_Partecipazioni'!$C$5:$C$204,"SELL",'06_Partecipazioni'!$B$5:$B$204,"&lt;="&amp;B31))</f>
        <v/>
      </c>
      <c r="G31" s="10" t="str">
        <f>IF(B31="","",SUMIFS('07_Prestiti'!$H$5:$H$204,'07_Prestiti'!$C$5:$C$204,"DISBURSEMENT",'07_Prestiti'!$B$5:$B$204,"&lt;="&amp;B31)-SUMIFS('07_Prestiti'!$H$5:$H$204,'07_Prestiti'!$C$5:$C$204,"REPAYMENT",'07_Prestiti'!$B$5:$B$204,"&lt;="&amp;B31))</f>
        <v/>
      </c>
      <c r="H31" s="10" t="str">
        <f>IF(B31="","",SUMIFS('08_PL_Operativa'!$H$5:$H$503,'08_PL_Operativa'!$B$5:$B$503,"&lt;="&amp;B31))</f>
        <v/>
      </c>
      <c r="I31" s="26" t="str">
        <f t="shared" si="1"/>
        <v/>
      </c>
      <c r="J31" s="25"/>
      <c r="K31" s="25"/>
      <c r="L31" s="25"/>
      <c r="M31" s="26" t="str">
        <f t="shared" si="2"/>
        <v/>
      </c>
      <c r="N31" s="33" t="str">
        <f>IF(B31="","",SUMIFS('03_Investitori'!$J$5:$J$104,'03_Investitori'!$C$5:$C$104,"&lt;="&amp;B31))</f>
        <v/>
      </c>
      <c r="O31" s="35" t="str">
        <f t="shared" si="3"/>
        <v/>
      </c>
      <c r="P31" s="11" t="str">
        <f t="shared" si="4"/>
        <v/>
      </c>
    </row>
    <row r="32" spans="1:16" x14ac:dyDescent="0.2">
      <c r="A32" s="23" t="str">
        <f t="shared" si="0"/>
        <v/>
      </c>
      <c r="B32" s="22"/>
      <c r="C32" s="10" t="str">
        <f>IF(B32="","",SUMIFS('03_Investitori'!$H$5:$H$104,'03_Investitori'!$C$5:$C$104,"&lt;="&amp;B32))</f>
        <v/>
      </c>
      <c r="D32" s="10" t="str">
        <f>IF(B32="","",SUMIFS('04_Trades'!$K$5:$K$1004,'04_Trades'!$C$5:$C$1004,"BUY",'04_Trades'!$B$5:$B$1004,"&lt;="&amp;B32)-SUMIFS('04_Trades'!$K$5:$K$1004,'04_Trades'!$C$5:$C$1004,"SELL",'04_Trades'!$B$5:$B$1004,"&lt;="&amp;B32))</f>
        <v/>
      </c>
      <c r="E32" s="10" t="str">
        <f>IF(B32="","",SUMIFS('05_Dividendi_Interessi'!$I$5:$I$504,'05_Dividendi_Interessi'!$B$5:$B$504,"&lt;="&amp;B32))</f>
        <v/>
      </c>
      <c r="F32" s="10" t="str">
        <f>IF(B32="","",SUMIFS('06_Partecipazioni'!$I$5:$I$204,'06_Partecipazioni'!$C$5:$C$204,"BUY",'06_Partecipazioni'!$B$5:$B$204,"&lt;="&amp;B32)-SUMIFS('06_Partecipazioni'!$I$5:$I$204,'06_Partecipazioni'!$C$5:$C$204,"SELL",'06_Partecipazioni'!$B$5:$B$204,"&lt;="&amp;B32))</f>
        <v/>
      </c>
      <c r="G32" s="10" t="str">
        <f>IF(B32="","",SUMIFS('07_Prestiti'!$H$5:$H$204,'07_Prestiti'!$C$5:$C$204,"DISBURSEMENT",'07_Prestiti'!$B$5:$B$204,"&lt;="&amp;B32)-SUMIFS('07_Prestiti'!$H$5:$H$204,'07_Prestiti'!$C$5:$C$204,"REPAYMENT",'07_Prestiti'!$B$5:$B$204,"&lt;="&amp;B32))</f>
        <v/>
      </c>
      <c r="H32" s="10" t="str">
        <f>IF(B32="","",SUMIFS('08_PL_Operativa'!$H$5:$H$503,'08_PL_Operativa'!$B$5:$B$503,"&lt;="&amp;B32))</f>
        <v/>
      </c>
      <c r="I32" s="26" t="str">
        <f t="shared" si="1"/>
        <v/>
      </c>
      <c r="J32" s="25"/>
      <c r="K32" s="25"/>
      <c r="L32" s="25"/>
      <c r="M32" s="26" t="str">
        <f t="shared" si="2"/>
        <v/>
      </c>
      <c r="N32" s="33" t="str">
        <f>IF(B32="","",SUMIFS('03_Investitori'!$J$5:$J$104,'03_Investitori'!$C$5:$C$104,"&lt;="&amp;B32))</f>
        <v/>
      </c>
      <c r="O32" s="35" t="str">
        <f t="shared" si="3"/>
        <v/>
      </c>
      <c r="P32" s="11" t="str">
        <f t="shared" si="4"/>
        <v/>
      </c>
    </row>
    <row r="33" spans="1:16" x14ac:dyDescent="0.2">
      <c r="A33" s="23" t="str">
        <f t="shared" si="0"/>
        <v/>
      </c>
      <c r="B33" s="22"/>
      <c r="C33" s="10" t="str">
        <f>IF(B33="","",SUMIFS('03_Investitori'!$H$5:$H$104,'03_Investitori'!$C$5:$C$104,"&lt;="&amp;B33))</f>
        <v/>
      </c>
      <c r="D33" s="10" t="str">
        <f>IF(B33="","",SUMIFS('04_Trades'!$K$5:$K$1004,'04_Trades'!$C$5:$C$1004,"BUY",'04_Trades'!$B$5:$B$1004,"&lt;="&amp;B33)-SUMIFS('04_Trades'!$K$5:$K$1004,'04_Trades'!$C$5:$C$1004,"SELL",'04_Trades'!$B$5:$B$1004,"&lt;="&amp;B33))</f>
        <v/>
      </c>
      <c r="E33" s="10" t="str">
        <f>IF(B33="","",SUMIFS('05_Dividendi_Interessi'!$I$5:$I$504,'05_Dividendi_Interessi'!$B$5:$B$504,"&lt;="&amp;B33))</f>
        <v/>
      </c>
      <c r="F33" s="10" t="str">
        <f>IF(B33="","",SUMIFS('06_Partecipazioni'!$I$5:$I$204,'06_Partecipazioni'!$C$5:$C$204,"BUY",'06_Partecipazioni'!$B$5:$B$204,"&lt;="&amp;B33)-SUMIFS('06_Partecipazioni'!$I$5:$I$204,'06_Partecipazioni'!$C$5:$C$204,"SELL",'06_Partecipazioni'!$B$5:$B$204,"&lt;="&amp;B33))</f>
        <v/>
      </c>
      <c r="G33" s="10" t="str">
        <f>IF(B33="","",SUMIFS('07_Prestiti'!$H$5:$H$204,'07_Prestiti'!$C$5:$C$204,"DISBURSEMENT",'07_Prestiti'!$B$5:$B$204,"&lt;="&amp;B33)-SUMIFS('07_Prestiti'!$H$5:$H$204,'07_Prestiti'!$C$5:$C$204,"REPAYMENT",'07_Prestiti'!$B$5:$B$204,"&lt;="&amp;B33))</f>
        <v/>
      </c>
      <c r="H33" s="10" t="str">
        <f>IF(B33="","",SUMIFS('08_PL_Operativa'!$H$5:$H$503,'08_PL_Operativa'!$B$5:$B$503,"&lt;="&amp;B33))</f>
        <v/>
      </c>
      <c r="I33" s="26" t="str">
        <f t="shared" si="1"/>
        <v/>
      </c>
      <c r="J33" s="25"/>
      <c r="K33" s="25"/>
      <c r="L33" s="25"/>
      <c r="M33" s="26" t="str">
        <f t="shared" si="2"/>
        <v/>
      </c>
      <c r="N33" s="33" t="str">
        <f>IF(B33="","",SUMIFS('03_Investitori'!$J$5:$J$104,'03_Investitori'!$C$5:$C$104,"&lt;="&amp;B33))</f>
        <v/>
      </c>
      <c r="O33" s="35" t="str">
        <f t="shared" si="3"/>
        <v/>
      </c>
      <c r="P33" s="11" t="str">
        <f t="shared" si="4"/>
        <v/>
      </c>
    </row>
    <row r="34" spans="1:16" x14ac:dyDescent="0.2">
      <c r="A34" s="23" t="str">
        <f t="shared" si="0"/>
        <v/>
      </c>
      <c r="B34" s="22"/>
      <c r="C34" s="10" t="str">
        <f>IF(B34="","",SUMIFS('03_Investitori'!$H$5:$H$104,'03_Investitori'!$C$5:$C$104,"&lt;="&amp;B34))</f>
        <v/>
      </c>
      <c r="D34" s="10" t="str">
        <f>IF(B34="","",SUMIFS('04_Trades'!$K$5:$K$1004,'04_Trades'!$C$5:$C$1004,"BUY",'04_Trades'!$B$5:$B$1004,"&lt;="&amp;B34)-SUMIFS('04_Trades'!$K$5:$K$1004,'04_Trades'!$C$5:$C$1004,"SELL",'04_Trades'!$B$5:$B$1004,"&lt;="&amp;B34))</f>
        <v/>
      </c>
      <c r="E34" s="10" t="str">
        <f>IF(B34="","",SUMIFS('05_Dividendi_Interessi'!$I$5:$I$504,'05_Dividendi_Interessi'!$B$5:$B$504,"&lt;="&amp;B34))</f>
        <v/>
      </c>
      <c r="F34" s="10" t="str">
        <f>IF(B34="","",SUMIFS('06_Partecipazioni'!$I$5:$I$204,'06_Partecipazioni'!$C$5:$C$204,"BUY",'06_Partecipazioni'!$B$5:$B$204,"&lt;="&amp;B34)-SUMIFS('06_Partecipazioni'!$I$5:$I$204,'06_Partecipazioni'!$C$5:$C$204,"SELL",'06_Partecipazioni'!$B$5:$B$204,"&lt;="&amp;B34))</f>
        <v/>
      </c>
      <c r="G34" s="10" t="str">
        <f>IF(B34="","",SUMIFS('07_Prestiti'!$H$5:$H$204,'07_Prestiti'!$C$5:$C$204,"DISBURSEMENT",'07_Prestiti'!$B$5:$B$204,"&lt;="&amp;B34)-SUMIFS('07_Prestiti'!$H$5:$H$204,'07_Prestiti'!$C$5:$C$204,"REPAYMENT",'07_Prestiti'!$B$5:$B$204,"&lt;="&amp;B34))</f>
        <v/>
      </c>
      <c r="H34" s="10" t="str">
        <f>IF(B34="","",SUMIFS('08_PL_Operativa'!$H$5:$H$503,'08_PL_Operativa'!$B$5:$B$503,"&lt;="&amp;B34))</f>
        <v/>
      </c>
      <c r="I34" s="26" t="str">
        <f t="shared" si="1"/>
        <v/>
      </c>
      <c r="J34" s="25"/>
      <c r="K34" s="25"/>
      <c r="L34" s="25"/>
      <c r="M34" s="26" t="str">
        <f t="shared" si="2"/>
        <v/>
      </c>
      <c r="N34" s="33" t="str">
        <f>IF(B34="","",SUMIFS('03_Investitori'!$J$5:$J$104,'03_Investitori'!$C$5:$C$104,"&lt;="&amp;B34))</f>
        <v/>
      </c>
      <c r="O34" s="35" t="str">
        <f t="shared" si="3"/>
        <v/>
      </c>
      <c r="P34" s="11" t="str">
        <f t="shared" si="4"/>
        <v/>
      </c>
    </row>
    <row r="35" spans="1:16" x14ac:dyDescent="0.2">
      <c r="A35" s="23" t="str">
        <f t="shared" si="0"/>
        <v/>
      </c>
      <c r="B35" s="22"/>
      <c r="C35" s="10" t="str">
        <f>IF(B35="","",SUMIFS('03_Investitori'!$H$5:$H$104,'03_Investitori'!$C$5:$C$104,"&lt;="&amp;B35))</f>
        <v/>
      </c>
      <c r="D35" s="10" t="str">
        <f>IF(B35="","",SUMIFS('04_Trades'!$K$5:$K$1004,'04_Trades'!$C$5:$C$1004,"BUY",'04_Trades'!$B$5:$B$1004,"&lt;="&amp;B35)-SUMIFS('04_Trades'!$K$5:$K$1004,'04_Trades'!$C$5:$C$1004,"SELL",'04_Trades'!$B$5:$B$1004,"&lt;="&amp;B35))</f>
        <v/>
      </c>
      <c r="E35" s="10" t="str">
        <f>IF(B35="","",SUMIFS('05_Dividendi_Interessi'!$I$5:$I$504,'05_Dividendi_Interessi'!$B$5:$B$504,"&lt;="&amp;B35))</f>
        <v/>
      </c>
      <c r="F35" s="10" t="str">
        <f>IF(B35="","",SUMIFS('06_Partecipazioni'!$I$5:$I$204,'06_Partecipazioni'!$C$5:$C$204,"BUY",'06_Partecipazioni'!$B$5:$B$204,"&lt;="&amp;B35)-SUMIFS('06_Partecipazioni'!$I$5:$I$204,'06_Partecipazioni'!$C$5:$C$204,"SELL",'06_Partecipazioni'!$B$5:$B$204,"&lt;="&amp;B35))</f>
        <v/>
      </c>
      <c r="G35" s="10" t="str">
        <f>IF(B35="","",SUMIFS('07_Prestiti'!$H$5:$H$204,'07_Prestiti'!$C$5:$C$204,"DISBURSEMENT",'07_Prestiti'!$B$5:$B$204,"&lt;="&amp;B35)-SUMIFS('07_Prestiti'!$H$5:$H$204,'07_Prestiti'!$C$5:$C$204,"REPAYMENT",'07_Prestiti'!$B$5:$B$204,"&lt;="&amp;B35))</f>
        <v/>
      </c>
      <c r="H35" s="10" t="str">
        <f>IF(B35="","",SUMIFS('08_PL_Operativa'!$H$5:$H$503,'08_PL_Operativa'!$B$5:$B$503,"&lt;="&amp;B35))</f>
        <v/>
      </c>
      <c r="I35" s="26" t="str">
        <f t="shared" si="1"/>
        <v/>
      </c>
      <c r="J35" s="25"/>
      <c r="K35" s="25"/>
      <c r="L35" s="25"/>
      <c r="M35" s="26" t="str">
        <f t="shared" si="2"/>
        <v/>
      </c>
      <c r="N35" s="33" t="str">
        <f>IF(B35="","",SUMIFS('03_Investitori'!$J$5:$J$104,'03_Investitori'!$C$5:$C$104,"&lt;="&amp;B35))</f>
        <v/>
      </c>
      <c r="O35" s="35" t="str">
        <f t="shared" si="3"/>
        <v/>
      </c>
      <c r="P35" s="11" t="str">
        <f t="shared" si="4"/>
        <v/>
      </c>
    </row>
    <row r="36" spans="1:16" x14ac:dyDescent="0.2">
      <c r="A36" s="23" t="str">
        <f t="shared" si="0"/>
        <v/>
      </c>
      <c r="B36" s="22"/>
      <c r="C36" s="10" t="str">
        <f>IF(B36="","",SUMIFS('03_Investitori'!$H$5:$H$104,'03_Investitori'!$C$5:$C$104,"&lt;="&amp;B36))</f>
        <v/>
      </c>
      <c r="D36" s="10" t="str">
        <f>IF(B36="","",SUMIFS('04_Trades'!$K$5:$K$1004,'04_Trades'!$C$5:$C$1004,"BUY",'04_Trades'!$B$5:$B$1004,"&lt;="&amp;B36)-SUMIFS('04_Trades'!$K$5:$K$1004,'04_Trades'!$C$5:$C$1004,"SELL",'04_Trades'!$B$5:$B$1004,"&lt;="&amp;B36))</f>
        <v/>
      </c>
      <c r="E36" s="10" t="str">
        <f>IF(B36="","",SUMIFS('05_Dividendi_Interessi'!$I$5:$I$504,'05_Dividendi_Interessi'!$B$5:$B$504,"&lt;="&amp;B36))</f>
        <v/>
      </c>
      <c r="F36" s="10" t="str">
        <f>IF(B36="","",SUMIFS('06_Partecipazioni'!$I$5:$I$204,'06_Partecipazioni'!$C$5:$C$204,"BUY",'06_Partecipazioni'!$B$5:$B$204,"&lt;="&amp;B36)-SUMIFS('06_Partecipazioni'!$I$5:$I$204,'06_Partecipazioni'!$C$5:$C$204,"SELL",'06_Partecipazioni'!$B$5:$B$204,"&lt;="&amp;B36))</f>
        <v/>
      </c>
      <c r="G36" s="10" t="str">
        <f>IF(B36="","",SUMIFS('07_Prestiti'!$H$5:$H$204,'07_Prestiti'!$C$5:$C$204,"DISBURSEMENT",'07_Prestiti'!$B$5:$B$204,"&lt;="&amp;B36)-SUMIFS('07_Prestiti'!$H$5:$H$204,'07_Prestiti'!$C$5:$C$204,"REPAYMENT",'07_Prestiti'!$B$5:$B$204,"&lt;="&amp;B36))</f>
        <v/>
      </c>
      <c r="H36" s="10" t="str">
        <f>IF(B36="","",SUMIFS('08_PL_Operativa'!$H$5:$H$503,'08_PL_Operativa'!$B$5:$B$503,"&lt;="&amp;B36))</f>
        <v/>
      </c>
      <c r="I36" s="26" t="str">
        <f t="shared" si="1"/>
        <v/>
      </c>
      <c r="J36" s="25"/>
      <c r="K36" s="25"/>
      <c r="L36" s="25"/>
      <c r="M36" s="26" t="str">
        <f t="shared" si="2"/>
        <v/>
      </c>
      <c r="N36" s="33" t="str">
        <f>IF(B36="","",SUMIFS('03_Investitori'!$J$5:$J$104,'03_Investitori'!$C$5:$C$104,"&lt;="&amp;B36))</f>
        <v/>
      </c>
      <c r="O36" s="35" t="str">
        <f t="shared" si="3"/>
        <v/>
      </c>
      <c r="P36" s="11" t="str">
        <f t="shared" si="4"/>
        <v/>
      </c>
    </row>
    <row r="37" spans="1:16" x14ac:dyDescent="0.2">
      <c r="A37" s="23" t="str">
        <f t="shared" ref="A37:A68" si="5">IF(B37="","",ROW()-4)</f>
        <v/>
      </c>
      <c r="B37" s="22"/>
      <c r="C37" s="10" t="str">
        <f>IF(B37="","",SUMIFS('03_Investitori'!$H$5:$H$104,'03_Investitori'!$C$5:$C$104,"&lt;="&amp;B37))</f>
        <v/>
      </c>
      <c r="D37" s="10" t="str">
        <f>IF(B37="","",SUMIFS('04_Trades'!$K$5:$K$1004,'04_Trades'!$C$5:$C$1004,"BUY",'04_Trades'!$B$5:$B$1004,"&lt;="&amp;B37)-SUMIFS('04_Trades'!$K$5:$K$1004,'04_Trades'!$C$5:$C$1004,"SELL",'04_Trades'!$B$5:$B$1004,"&lt;="&amp;B37))</f>
        <v/>
      </c>
      <c r="E37" s="10" t="str">
        <f>IF(B37="","",SUMIFS('05_Dividendi_Interessi'!$I$5:$I$504,'05_Dividendi_Interessi'!$B$5:$B$504,"&lt;="&amp;B37))</f>
        <v/>
      </c>
      <c r="F37" s="10" t="str">
        <f>IF(B37="","",SUMIFS('06_Partecipazioni'!$I$5:$I$204,'06_Partecipazioni'!$C$5:$C$204,"BUY",'06_Partecipazioni'!$B$5:$B$204,"&lt;="&amp;B37)-SUMIFS('06_Partecipazioni'!$I$5:$I$204,'06_Partecipazioni'!$C$5:$C$204,"SELL",'06_Partecipazioni'!$B$5:$B$204,"&lt;="&amp;B37))</f>
        <v/>
      </c>
      <c r="G37" s="10" t="str">
        <f>IF(B37="","",SUMIFS('07_Prestiti'!$H$5:$H$204,'07_Prestiti'!$C$5:$C$204,"DISBURSEMENT",'07_Prestiti'!$B$5:$B$204,"&lt;="&amp;B37)-SUMIFS('07_Prestiti'!$H$5:$H$204,'07_Prestiti'!$C$5:$C$204,"REPAYMENT",'07_Prestiti'!$B$5:$B$204,"&lt;="&amp;B37))</f>
        <v/>
      </c>
      <c r="H37" s="10" t="str">
        <f>IF(B37="","",SUMIFS('08_PL_Operativa'!$H$5:$H$503,'08_PL_Operativa'!$B$5:$B$503,"&lt;="&amp;B37))</f>
        <v/>
      </c>
      <c r="I37" s="26" t="str">
        <f t="shared" ref="I37:I68" si="6">IF(B37="","",C37-D37+E37-F37-G37+H37)</f>
        <v/>
      </c>
      <c r="J37" s="25"/>
      <c r="K37" s="25"/>
      <c r="L37" s="25"/>
      <c r="M37" s="26" t="str">
        <f t="shared" ref="M37:M68" si="7">IF(B37="","",I37+IF(AND(MONTH(B37)=MONTH(DataOggi),YEAR(B37)=YEAR(DataOggi)),MV_Listed_Tot,IF(J37="",D37,J37))+IF(K37="",F37,K37)+IF(L37="",G37,L37))</f>
        <v/>
      </c>
      <c r="N37" s="33" t="str">
        <f>IF(B37="","",SUMIFS('03_Investitori'!$J$5:$J$104,'03_Investitori'!$C$5:$C$104,"&lt;="&amp;B37))</f>
        <v/>
      </c>
      <c r="O37" s="35" t="str">
        <f t="shared" ref="O37:O68" si="8">IF(OR(B37="",N37=0,N37=""),"",M37/N37)</f>
        <v/>
      </c>
      <c r="P37" s="11" t="str">
        <f t="shared" si="4"/>
        <v/>
      </c>
    </row>
    <row r="38" spans="1:16" x14ac:dyDescent="0.2">
      <c r="A38" s="23" t="str">
        <f t="shared" si="5"/>
        <v/>
      </c>
      <c r="B38" s="22"/>
      <c r="C38" s="10" t="str">
        <f>IF(B38="","",SUMIFS('03_Investitori'!$H$5:$H$104,'03_Investitori'!$C$5:$C$104,"&lt;="&amp;B38))</f>
        <v/>
      </c>
      <c r="D38" s="10" t="str">
        <f>IF(B38="","",SUMIFS('04_Trades'!$K$5:$K$1004,'04_Trades'!$C$5:$C$1004,"BUY",'04_Trades'!$B$5:$B$1004,"&lt;="&amp;B38)-SUMIFS('04_Trades'!$K$5:$K$1004,'04_Trades'!$C$5:$C$1004,"SELL",'04_Trades'!$B$5:$B$1004,"&lt;="&amp;B38))</f>
        <v/>
      </c>
      <c r="E38" s="10" t="str">
        <f>IF(B38="","",SUMIFS('05_Dividendi_Interessi'!$I$5:$I$504,'05_Dividendi_Interessi'!$B$5:$B$504,"&lt;="&amp;B38))</f>
        <v/>
      </c>
      <c r="F38" s="10" t="str">
        <f>IF(B38="","",SUMIFS('06_Partecipazioni'!$I$5:$I$204,'06_Partecipazioni'!$C$5:$C$204,"BUY",'06_Partecipazioni'!$B$5:$B$204,"&lt;="&amp;B38)-SUMIFS('06_Partecipazioni'!$I$5:$I$204,'06_Partecipazioni'!$C$5:$C$204,"SELL",'06_Partecipazioni'!$B$5:$B$204,"&lt;="&amp;B38))</f>
        <v/>
      </c>
      <c r="G38" s="10" t="str">
        <f>IF(B38="","",SUMIFS('07_Prestiti'!$H$5:$H$204,'07_Prestiti'!$C$5:$C$204,"DISBURSEMENT",'07_Prestiti'!$B$5:$B$204,"&lt;="&amp;B38)-SUMIFS('07_Prestiti'!$H$5:$H$204,'07_Prestiti'!$C$5:$C$204,"REPAYMENT",'07_Prestiti'!$B$5:$B$204,"&lt;="&amp;B38))</f>
        <v/>
      </c>
      <c r="H38" s="10" t="str">
        <f>IF(B38="","",SUMIFS('08_PL_Operativa'!$H$5:$H$503,'08_PL_Operativa'!$B$5:$B$503,"&lt;="&amp;B38))</f>
        <v/>
      </c>
      <c r="I38" s="26" t="str">
        <f t="shared" si="6"/>
        <v/>
      </c>
      <c r="J38" s="25"/>
      <c r="K38" s="25"/>
      <c r="L38" s="25"/>
      <c r="M38" s="26" t="str">
        <f t="shared" si="7"/>
        <v/>
      </c>
      <c r="N38" s="33" t="str">
        <f>IF(B38="","",SUMIFS('03_Investitori'!$J$5:$J$104,'03_Investitori'!$C$5:$C$104,"&lt;="&amp;B38))</f>
        <v/>
      </c>
      <c r="O38" s="35" t="str">
        <f t="shared" si="8"/>
        <v/>
      </c>
      <c r="P38" s="11" t="str">
        <f t="shared" ref="P38:P69" si="9">IFERROR(IF(OR(B38="",O37=""),"",O38/O37-1),"")</f>
        <v/>
      </c>
    </row>
    <row r="39" spans="1:16" x14ac:dyDescent="0.2">
      <c r="A39" s="23" t="str">
        <f t="shared" si="5"/>
        <v/>
      </c>
      <c r="B39" s="22"/>
      <c r="C39" s="10" t="str">
        <f>IF(B39="","",SUMIFS('03_Investitori'!$H$5:$H$104,'03_Investitori'!$C$5:$C$104,"&lt;="&amp;B39))</f>
        <v/>
      </c>
      <c r="D39" s="10" t="str">
        <f>IF(B39="","",SUMIFS('04_Trades'!$K$5:$K$1004,'04_Trades'!$C$5:$C$1004,"BUY",'04_Trades'!$B$5:$B$1004,"&lt;="&amp;B39)-SUMIFS('04_Trades'!$K$5:$K$1004,'04_Trades'!$C$5:$C$1004,"SELL",'04_Trades'!$B$5:$B$1004,"&lt;="&amp;B39))</f>
        <v/>
      </c>
      <c r="E39" s="10" t="str">
        <f>IF(B39="","",SUMIFS('05_Dividendi_Interessi'!$I$5:$I$504,'05_Dividendi_Interessi'!$B$5:$B$504,"&lt;="&amp;B39))</f>
        <v/>
      </c>
      <c r="F39" s="10" t="str">
        <f>IF(B39="","",SUMIFS('06_Partecipazioni'!$I$5:$I$204,'06_Partecipazioni'!$C$5:$C$204,"BUY",'06_Partecipazioni'!$B$5:$B$204,"&lt;="&amp;B39)-SUMIFS('06_Partecipazioni'!$I$5:$I$204,'06_Partecipazioni'!$C$5:$C$204,"SELL",'06_Partecipazioni'!$B$5:$B$204,"&lt;="&amp;B39))</f>
        <v/>
      </c>
      <c r="G39" s="10" t="str">
        <f>IF(B39="","",SUMIFS('07_Prestiti'!$H$5:$H$204,'07_Prestiti'!$C$5:$C$204,"DISBURSEMENT",'07_Prestiti'!$B$5:$B$204,"&lt;="&amp;B39)-SUMIFS('07_Prestiti'!$H$5:$H$204,'07_Prestiti'!$C$5:$C$204,"REPAYMENT",'07_Prestiti'!$B$5:$B$204,"&lt;="&amp;B39))</f>
        <v/>
      </c>
      <c r="H39" s="10" t="str">
        <f>IF(B39="","",SUMIFS('08_PL_Operativa'!$H$5:$H$503,'08_PL_Operativa'!$B$5:$B$503,"&lt;="&amp;B39))</f>
        <v/>
      </c>
      <c r="I39" s="26" t="str">
        <f t="shared" si="6"/>
        <v/>
      </c>
      <c r="J39" s="25"/>
      <c r="K39" s="25"/>
      <c r="L39" s="25"/>
      <c r="M39" s="26" t="str">
        <f t="shared" si="7"/>
        <v/>
      </c>
      <c r="N39" s="33" t="str">
        <f>IF(B39="","",SUMIFS('03_Investitori'!$J$5:$J$104,'03_Investitori'!$C$5:$C$104,"&lt;="&amp;B39))</f>
        <v/>
      </c>
      <c r="O39" s="35" t="str">
        <f t="shared" si="8"/>
        <v/>
      </c>
      <c r="P39" s="11" t="str">
        <f t="shared" si="9"/>
        <v/>
      </c>
    </row>
    <row r="40" spans="1:16" x14ac:dyDescent="0.2">
      <c r="A40" s="23" t="str">
        <f t="shared" si="5"/>
        <v/>
      </c>
      <c r="B40" s="22"/>
      <c r="C40" s="10" t="str">
        <f>IF(B40="","",SUMIFS('03_Investitori'!$H$5:$H$104,'03_Investitori'!$C$5:$C$104,"&lt;="&amp;B40))</f>
        <v/>
      </c>
      <c r="D40" s="10" t="str">
        <f>IF(B40="","",SUMIFS('04_Trades'!$K$5:$K$1004,'04_Trades'!$C$5:$C$1004,"BUY",'04_Trades'!$B$5:$B$1004,"&lt;="&amp;B40)-SUMIFS('04_Trades'!$K$5:$K$1004,'04_Trades'!$C$5:$C$1004,"SELL",'04_Trades'!$B$5:$B$1004,"&lt;="&amp;B40))</f>
        <v/>
      </c>
      <c r="E40" s="10" t="str">
        <f>IF(B40="","",SUMIFS('05_Dividendi_Interessi'!$I$5:$I$504,'05_Dividendi_Interessi'!$B$5:$B$504,"&lt;="&amp;B40))</f>
        <v/>
      </c>
      <c r="F40" s="10" t="str">
        <f>IF(B40="","",SUMIFS('06_Partecipazioni'!$I$5:$I$204,'06_Partecipazioni'!$C$5:$C$204,"BUY",'06_Partecipazioni'!$B$5:$B$204,"&lt;="&amp;B40)-SUMIFS('06_Partecipazioni'!$I$5:$I$204,'06_Partecipazioni'!$C$5:$C$204,"SELL",'06_Partecipazioni'!$B$5:$B$204,"&lt;="&amp;B40))</f>
        <v/>
      </c>
      <c r="G40" s="10" t="str">
        <f>IF(B40="","",SUMIFS('07_Prestiti'!$H$5:$H$204,'07_Prestiti'!$C$5:$C$204,"DISBURSEMENT",'07_Prestiti'!$B$5:$B$204,"&lt;="&amp;B40)-SUMIFS('07_Prestiti'!$H$5:$H$204,'07_Prestiti'!$C$5:$C$204,"REPAYMENT",'07_Prestiti'!$B$5:$B$204,"&lt;="&amp;B40))</f>
        <v/>
      </c>
      <c r="H40" s="10" t="str">
        <f>IF(B40="","",SUMIFS('08_PL_Operativa'!$H$5:$H$503,'08_PL_Operativa'!$B$5:$B$503,"&lt;="&amp;B40))</f>
        <v/>
      </c>
      <c r="I40" s="26" t="str">
        <f t="shared" si="6"/>
        <v/>
      </c>
      <c r="J40" s="25"/>
      <c r="K40" s="25"/>
      <c r="L40" s="25"/>
      <c r="M40" s="26" t="str">
        <f t="shared" si="7"/>
        <v/>
      </c>
      <c r="N40" s="33" t="str">
        <f>IF(B40="","",SUMIFS('03_Investitori'!$J$5:$J$104,'03_Investitori'!$C$5:$C$104,"&lt;="&amp;B40))</f>
        <v/>
      </c>
      <c r="O40" s="35" t="str">
        <f t="shared" si="8"/>
        <v/>
      </c>
      <c r="P40" s="11" t="str">
        <f t="shared" si="9"/>
        <v/>
      </c>
    </row>
    <row r="41" spans="1:16" x14ac:dyDescent="0.2">
      <c r="A41" s="23" t="str">
        <f t="shared" si="5"/>
        <v/>
      </c>
      <c r="B41" s="22"/>
      <c r="C41" s="10" t="str">
        <f>IF(B41="","",SUMIFS('03_Investitori'!$H$5:$H$104,'03_Investitori'!$C$5:$C$104,"&lt;="&amp;B41))</f>
        <v/>
      </c>
      <c r="D41" s="10" t="str">
        <f>IF(B41="","",SUMIFS('04_Trades'!$K$5:$K$1004,'04_Trades'!$C$5:$C$1004,"BUY",'04_Trades'!$B$5:$B$1004,"&lt;="&amp;B41)-SUMIFS('04_Trades'!$K$5:$K$1004,'04_Trades'!$C$5:$C$1004,"SELL",'04_Trades'!$B$5:$B$1004,"&lt;="&amp;B41))</f>
        <v/>
      </c>
      <c r="E41" s="10" t="str">
        <f>IF(B41="","",SUMIFS('05_Dividendi_Interessi'!$I$5:$I$504,'05_Dividendi_Interessi'!$B$5:$B$504,"&lt;="&amp;B41))</f>
        <v/>
      </c>
      <c r="F41" s="10" t="str">
        <f>IF(B41="","",SUMIFS('06_Partecipazioni'!$I$5:$I$204,'06_Partecipazioni'!$C$5:$C$204,"BUY",'06_Partecipazioni'!$B$5:$B$204,"&lt;="&amp;B41)-SUMIFS('06_Partecipazioni'!$I$5:$I$204,'06_Partecipazioni'!$C$5:$C$204,"SELL",'06_Partecipazioni'!$B$5:$B$204,"&lt;="&amp;B41))</f>
        <v/>
      </c>
      <c r="G41" s="10" t="str">
        <f>IF(B41="","",SUMIFS('07_Prestiti'!$H$5:$H$204,'07_Prestiti'!$C$5:$C$204,"DISBURSEMENT",'07_Prestiti'!$B$5:$B$204,"&lt;="&amp;B41)-SUMIFS('07_Prestiti'!$H$5:$H$204,'07_Prestiti'!$C$5:$C$204,"REPAYMENT",'07_Prestiti'!$B$5:$B$204,"&lt;="&amp;B41))</f>
        <v/>
      </c>
      <c r="H41" s="10" t="str">
        <f>IF(B41="","",SUMIFS('08_PL_Operativa'!$H$5:$H$503,'08_PL_Operativa'!$B$5:$B$503,"&lt;="&amp;B41))</f>
        <v/>
      </c>
      <c r="I41" s="26" t="str">
        <f t="shared" si="6"/>
        <v/>
      </c>
      <c r="J41" s="25"/>
      <c r="K41" s="25"/>
      <c r="L41" s="25"/>
      <c r="M41" s="26" t="str">
        <f t="shared" si="7"/>
        <v/>
      </c>
      <c r="N41" s="33" t="str">
        <f>IF(B41="","",SUMIFS('03_Investitori'!$J$5:$J$104,'03_Investitori'!$C$5:$C$104,"&lt;="&amp;B41))</f>
        <v/>
      </c>
      <c r="O41" s="35" t="str">
        <f t="shared" si="8"/>
        <v/>
      </c>
      <c r="P41" s="11" t="str">
        <f t="shared" si="9"/>
        <v/>
      </c>
    </row>
    <row r="42" spans="1:16" x14ac:dyDescent="0.2">
      <c r="A42" s="23" t="str">
        <f t="shared" si="5"/>
        <v/>
      </c>
      <c r="B42" s="22"/>
      <c r="C42" s="10" t="str">
        <f>IF(B42="","",SUMIFS('03_Investitori'!$H$5:$H$104,'03_Investitori'!$C$5:$C$104,"&lt;="&amp;B42))</f>
        <v/>
      </c>
      <c r="D42" s="10" t="str">
        <f>IF(B42="","",SUMIFS('04_Trades'!$K$5:$K$1004,'04_Trades'!$C$5:$C$1004,"BUY",'04_Trades'!$B$5:$B$1004,"&lt;="&amp;B42)-SUMIFS('04_Trades'!$K$5:$K$1004,'04_Trades'!$C$5:$C$1004,"SELL",'04_Trades'!$B$5:$B$1004,"&lt;="&amp;B42))</f>
        <v/>
      </c>
      <c r="E42" s="10" t="str">
        <f>IF(B42="","",SUMIFS('05_Dividendi_Interessi'!$I$5:$I$504,'05_Dividendi_Interessi'!$B$5:$B$504,"&lt;="&amp;B42))</f>
        <v/>
      </c>
      <c r="F42" s="10" t="str">
        <f>IF(B42="","",SUMIFS('06_Partecipazioni'!$I$5:$I$204,'06_Partecipazioni'!$C$5:$C$204,"BUY",'06_Partecipazioni'!$B$5:$B$204,"&lt;="&amp;B42)-SUMIFS('06_Partecipazioni'!$I$5:$I$204,'06_Partecipazioni'!$C$5:$C$204,"SELL",'06_Partecipazioni'!$B$5:$B$204,"&lt;="&amp;B42))</f>
        <v/>
      </c>
      <c r="G42" s="10" t="str">
        <f>IF(B42="","",SUMIFS('07_Prestiti'!$H$5:$H$204,'07_Prestiti'!$C$5:$C$204,"DISBURSEMENT",'07_Prestiti'!$B$5:$B$204,"&lt;="&amp;B42)-SUMIFS('07_Prestiti'!$H$5:$H$204,'07_Prestiti'!$C$5:$C$204,"REPAYMENT",'07_Prestiti'!$B$5:$B$204,"&lt;="&amp;B42))</f>
        <v/>
      </c>
      <c r="H42" s="10" t="str">
        <f>IF(B42="","",SUMIFS('08_PL_Operativa'!$H$5:$H$503,'08_PL_Operativa'!$B$5:$B$503,"&lt;="&amp;B42))</f>
        <v/>
      </c>
      <c r="I42" s="26" t="str">
        <f t="shared" si="6"/>
        <v/>
      </c>
      <c r="J42" s="25"/>
      <c r="K42" s="25"/>
      <c r="L42" s="25"/>
      <c r="M42" s="26" t="str">
        <f t="shared" si="7"/>
        <v/>
      </c>
      <c r="N42" s="33" t="str">
        <f>IF(B42="","",SUMIFS('03_Investitori'!$J$5:$J$104,'03_Investitori'!$C$5:$C$104,"&lt;="&amp;B42))</f>
        <v/>
      </c>
      <c r="O42" s="35" t="str">
        <f t="shared" si="8"/>
        <v/>
      </c>
      <c r="P42" s="11" t="str">
        <f t="shared" si="9"/>
        <v/>
      </c>
    </row>
    <row r="43" spans="1:16" x14ac:dyDescent="0.2">
      <c r="A43" s="23" t="str">
        <f t="shared" si="5"/>
        <v/>
      </c>
      <c r="B43" s="22"/>
      <c r="C43" s="10" t="str">
        <f>IF(B43="","",SUMIFS('03_Investitori'!$H$5:$H$104,'03_Investitori'!$C$5:$C$104,"&lt;="&amp;B43))</f>
        <v/>
      </c>
      <c r="D43" s="10" t="str">
        <f>IF(B43="","",SUMIFS('04_Trades'!$K$5:$K$1004,'04_Trades'!$C$5:$C$1004,"BUY",'04_Trades'!$B$5:$B$1004,"&lt;="&amp;B43)-SUMIFS('04_Trades'!$K$5:$K$1004,'04_Trades'!$C$5:$C$1004,"SELL",'04_Trades'!$B$5:$B$1004,"&lt;="&amp;B43))</f>
        <v/>
      </c>
      <c r="E43" s="10" t="str">
        <f>IF(B43="","",SUMIFS('05_Dividendi_Interessi'!$I$5:$I$504,'05_Dividendi_Interessi'!$B$5:$B$504,"&lt;="&amp;B43))</f>
        <v/>
      </c>
      <c r="F43" s="10" t="str">
        <f>IF(B43="","",SUMIFS('06_Partecipazioni'!$I$5:$I$204,'06_Partecipazioni'!$C$5:$C$204,"BUY",'06_Partecipazioni'!$B$5:$B$204,"&lt;="&amp;B43)-SUMIFS('06_Partecipazioni'!$I$5:$I$204,'06_Partecipazioni'!$C$5:$C$204,"SELL",'06_Partecipazioni'!$B$5:$B$204,"&lt;="&amp;B43))</f>
        <v/>
      </c>
      <c r="G43" s="10" t="str">
        <f>IF(B43="","",SUMIFS('07_Prestiti'!$H$5:$H$204,'07_Prestiti'!$C$5:$C$204,"DISBURSEMENT",'07_Prestiti'!$B$5:$B$204,"&lt;="&amp;B43)-SUMIFS('07_Prestiti'!$H$5:$H$204,'07_Prestiti'!$C$5:$C$204,"REPAYMENT",'07_Prestiti'!$B$5:$B$204,"&lt;="&amp;B43))</f>
        <v/>
      </c>
      <c r="H43" s="10" t="str">
        <f>IF(B43="","",SUMIFS('08_PL_Operativa'!$H$5:$H$503,'08_PL_Operativa'!$B$5:$B$503,"&lt;="&amp;B43))</f>
        <v/>
      </c>
      <c r="I43" s="26" t="str">
        <f t="shared" si="6"/>
        <v/>
      </c>
      <c r="J43" s="25"/>
      <c r="K43" s="25"/>
      <c r="L43" s="25"/>
      <c r="M43" s="26" t="str">
        <f t="shared" si="7"/>
        <v/>
      </c>
      <c r="N43" s="33" t="str">
        <f>IF(B43="","",SUMIFS('03_Investitori'!$J$5:$J$104,'03_Investitori'!$C$5:$C$104,"&lt;="&amp;B43))</f>
        <v/>
      </c>
      <c r="O43" s="35" t="str">
        <f t="shared" si="8"/>
        <v/>
      </c>
      <c r="P43" s="11" t="str">
        <f t="shared" si="9"/>
        <v/>
      </c>
    </row>
    <row r="44" spans="1:16" x14ac:dyDescent="0.2">
      <c r="A44" s="23" t="str">
        <f t="shared" si="5"/>
        <v/>
      </c>
      <c r="B44" s="22"/>
      <c r="C44" s="10" t="str">
        <f>IF(B44="","",SUMIFS('03_Investitori'!$H$5:$H$104,'03_Investitori'!$C$5:$C$104,"&lt;="&amp;B44))</f>
        <v/>
      </c>
      <c r="D44" s="10" t="str">
        <f>IF(B44="","",SUMIFS('04_Trades'!$K$5:$K$1004,'04_Trades'!$C$5:$C$1004,"BUY",'04_Trades'!$B$5:$B$1004,"&lt;="&amp;B44)-SUMIFS('04_Trades'!$K$5:$K$1004,'04_Trades'!$C$5:$C$1004,"SELL",'04_Trades'!$B$5:$B$1004,"&lt;="&amp;B44))</f>
        <v/>
      </c>
      <c r="E44" s="10" t="str">
        <f>IF(B44="","",SUMIFS('05_Dividendi_Interessi'!$I$5:$I$504,'05_Dividendi_Interessi'!$B$5:$B$504,"&lt;="&amp;B44))</f>
        <v/>
      </c>
      <c r="F44" s="10" t="str">
        <f>IF(B44="","",SUMIFS('06_Partecipazioni'!$I$5:$I$204,'06_Partecipazioni'!$C$5:$C$204,"BUY",'06_Partecipazioni'!$B$5:$B$204,"&lt;="&amp;B44)-SUMIFS('06_Partecipazioni'!$I$5:$I$204,'06_Partecipazioni'!$C$5:$C$204,"SELL",'06_Partecipazioni'!$B$5:$B$204,"&lt;="&amp;B44))</f>
        <v/>
      </c>
      <c r="G44" s="10" t="str">
        <f>IF(B44="","",SUMIFS('07_Prestiti'!$H$5:$H$204,'07_Prestiti'!$C$5:$C$204,"DISBURSEMENT",'07_Prestiti'!$B$5:$B$204,"&lt;="&amp;B44)-SUMIFS('07_Prestiti'!$H$5:$H$204,'07_Prestiti'!$C$5:$C$204,"REPAYMENT",'07_Prestiti'!$B$5:$B$204,"&lt;="&amp;B44))</f>
        <v/>
      </c>
      <c r="H44" s="10" t="str">
        <f>IF(B44="","",SUMIFS('08_PL_Operativa'!$H$5:$H$503,'08_PL_Operativa'!$B$5:$B$503,"&lt;="&amp;B44))</f>
        <v/>
      </c>
      <c r="I44" s="26" t="str">
        <f t="shared" si="6"/>
        <v/>
      </c>
      <c r="J44" s="25"/>
      <c r="K44" s="25"/>
      <c r="L44" s="25"/>
      <c r="M44" s="26" t="str">
        <f t="shared" si="7"/>
        <v/>
      </c>
      <c r="N44" s="33" t="str">
        <f>IF(B44="","",SUMIFS('03_Investitori'!$J$5:$J$104,'03_Investitori'!$C$5:$C$104,"&lt;="&amp;B44))</f>
        <v/>
      </c>
      <c r="O44" s="35" t="str">
        <f t="shared" si="8"/>
        <v/>
      </c>
      <c r="P44" s="11" t="str">
        <f t="shared" si="9"/>
        <v/>
      </c>
    </row>
    <row r="45" spans="1:16" x14ac:dyDescent="0.2">
      <c r="A45" s="23" t="str">
        <f t="shared" si="5"/>
        <v/>
      </c>
      <c r="B45" s="22"/>
      <c r="C45" s="10" t="str">
        <f>IF(B45="","",SUMIFS('03_Investitori'!$H$5:$H$104,'03_Investitori'!$C$5:$C$104,"&lt;="&amp;B45))</f>
        <v/>
      </c>
      <c r="D45" s="10" t="str">
        <f>IF(B45="","",SUMIFS('04_Trades'!$K$5:$K$1004,'04_Trades'!$C$5:$C$1004,"BUY",'04_Trades'!$B$5:$B$1004,"&lt;="&amp;B45)-SUMIFS('04_Trades'!$K$5:$K$1004,'04_Trades'!$C$5:$C$1004,"SELL",'04_Trades'!$B$5:$B$1004,"&lt;="&amp;B45))</f>
        <v/>
      </c>
      <c r="E45" s="10" t="str">
        <f>IF(B45="","",SUMIFS('05_Dividendi_Interessi'!$I$5:$I$504,'05_Dividendi_Interessi'!$B$5:$B$504,"&lt;="&amp;B45))</f>
        <v/>
      </c>
      <c r="F45" s="10" t="str">
        <f>IF(B45="","",SUMIFS('06_Partecipazioni'!$I$5:$I$204,'06_Partecipazioni'!$C$5:$C$204,"BUY",'06_Partecipazioni'!$B$5:$B$204,"&lt;="&amp;B45)-SUMIFS('06_Partecipazioni'!$I$5:$I$204,'06_Partecipazioni'!$C$5:$C$204,"SELL",'06_Partecipazioni'!$B$5:$B$204,"&lt;="&amp;B45))</f>
        <v/>
      </c>
      <c r="G45" s="10" t="str">
        <f>IF(B45="","",SUMIFS('07_Prestiti'!$H$5:$H$204,'07_Prestiti'!$C$5:$C$204,"DISBURSEMENT",'07_Prestiti'!$B$5:$B$204,"&lt;="&amp;B45)-SUMIFS('07_Prestiti'!$H$5:$H$204,'07_Prestiti'!$C$5:$C$204,"REPAYMENT",'07_Prestiti'!$B$5:$B$204,"&lt;="&amp;B45))</f>
        <v/>
      </c>
      <c r="H45" s="10" t="str">
        <f>IF(B45="","",SUMIFS('08_PL_Operativa'!$H$5:$H$503,'08_PL_Operativa'!$B$5:$B$503,"&lt;="&amp;B45))</f>
        <v/>
      </c>
      <c r="I45" s="26" t="str">
        <f t="shared" si="6"/>
        <v/>
      </c>
      <c r="J45" s="25"/>
      <c r="K45" s="25"/>
      <c r="L45" s="25"/>
      <c r="M45" s="26" t="str">
        <f t="shared" si="7"/>
        <v/>
      </c>
      <c r="N45" s="33" t="str">
        <f>IF(B45="","",SUMIFS('03_Investitori'!$J$5:$J$104,'03_Investitori'!$C$5:$C$104,"&lt;="&amp;B45))</f>
        <v/>
      </c>
      <c r="O45" s="35" t="str">
        <f t="shared" si="8"/>
        <v/>
      </c>
      <c r="P45" s="11" t="str">
        <f t="shared" si="9"/>
        <v/>
      </c>
    </row>
    <row r="46" spans="1:16" x14ac:dyDescent="0.2">
      <c r="A46" s="23" t="str">
        <f t="shared" si="5"/>
        <v/>
      </c>
      <c r="B46" s="22"/>
      <c r="C46" s="10" t="str">
        <f>IF(B46="","",SUMIFS('03_Investitori'!$H$5:$H$104,'03_Investitori'!$C$5:$C$104,"&lt;="&amp;B46))</f>
        <v/>
      </c>
      <c r="D46" s="10" t="str">
        <f>IF(B46="","",SUMIFS('04_Trades'!$K$5:$K$1004,'04_Trades'!$C$5:$C$1004,"BUY",'04_Trades'!$B$5:$B$1004,"&lt;="&amp;B46)-SUMIFS('04_Trades'!$K$5:$K$1004,'04_Trades'!$C$5:$C$1004,"SELL",'04_Trades'!$B$5:$B$1004,"&lt;="&amp;B46))</f>
        <v/>
      </c>
      <c r="E46" s="10" t="str">
        <f>IF(B46="","",SUMIFS('05_Dividendi_Interessi'!$I$5:$I$504,'05_Dividendi_Interessi'!$B$5:$B$504,"&lt;="&amp;B46))</f>
        <v/>
      </c>
      <c r="F46" s="10" t="str">
        <f>IF(B46="","",SUMIFS('06_Partecipazioni'!$I$5:$I$204,'06_Partecipazioni'!$C$5:$C$204,"BUY",'06_Partecipazioni'!$B$5:$B$204,"&lt;="&amp;B46)-SUMIFS('06_Partecipazioni'!$I$5:$I$204,'06_Partecipazioni'!$C$5:$C$204,"SELL",'06_Partecipazioni'!$B$5:$B$204,"&lt;="&amp;B46))</f>
        <v/>
      </c>
      <c r="G46" s="10" t="str">
        <f>IF(B46="","",SUMIFS('07_Prestiti'!$H$5:$H$204,'07_Prestiti'!$C$5:$C$204,"DISBURSEMENT",'07_Prestiti'!$B$5:$B$204,"&lt;="&amp;B46)-SUMIFS('07_Prestiti'!$H$5:$H$204,'07_Prestiti'!$C$5:$C$204,"REPAYMENT",'07_Prestiti'!$B$5:$B$204,"&lt;="&amp;B46))</f>
        <v/>
      </c>
      <c r="H46" s="10" t="str">
        <f>IF(B46="","",SUMIFS('08_PL_Operativa'!$H$5:$H$503,'08_PL_Operativa'!$B$5:$B$503,"&lt;="&amp;B46))</f>
        <v/>
      </c>
      <c r="I46" s="26" t="str">
        <f t="shared" si="6"/>
        <v/>
      </c>
      <c r="J46" s="25"/>
      <c r="K46" s="25"/>
      <c r="L46" s="25"/>
      <c r="M46" s="26" t="str">
        <f t="shared" si="7"/>
        <v/>
      </c>
      <c r="N46" s="33" t="str">
        <f>IF(B46="","",SUMIFS('03_Investitori'!$J$5:$J$104,'03_Investitori'!$C$5:$C$104,"&lt;="&amp;B46))</f>
        <v/>
      </c>
      <c r="O46" s="35" t="str">
        <f t="shared" si="8"/>
        <v/>
      </c>
      <c r="P46" s="11" t="str">
        <f t="shared" si="9"/>
        <v/>
      </c>
    </row>
    <row r="47" spans="1:16" x14ac:dyDescent="0.2">
      <c r="A47" s="23" t="str">
        <f t="shared" si="5"/>
        <v/>
      </c>
      <c r="B47" s="22"/>
      <c r="C47" s="10" t="str">
        <f>IF(B47="","",SUMIFS('03_Investitori'!$H$5:$H$104,'03_Investitori'!$C$5:$C$104,"&lt;="&amp;B47))</f>
        <v/>
      </c>
      <c r="D47" s="10" t="str">
        <f>IF(B47="","",SUMIFS('04_Trades'!$K$5:$K$1004,'04_Trades'!$C$5:$C$1004,"BUY",'04_Trades'!$B$5:$B$1004,"&lt;="&amp;B47)-SUMIFS('04_Trades'!$K$5:$K$1004,'04_Trades'!$C$5:$C$1004,"SELL",'04_Trades'!$B$5:$B$1004,"&lt;="&amp;B47))</f>
        <v/>
      </c>
      <c r="E47" s="10" t="str">
        <f>IF(B47="","",SUMIFS('05_Dividendi_Interessi'!$I$5:$I$504,'05_Dividendi_Interessi'!$B$5:$B$504,"&lt;="&amp;B47))</f>
        <v/>
      </c>
      <c r="F47" s="10" t="str">
        <f>IF(B47="","",SUMIFS('06_Partecipazioni'!$I$5:$I$204,'06_Partecipazioni'!$C$5:$C$204,"BUY",'06_Partecipazioni'!$B$5:$B$204,"&lt;="&amp;B47)-SUMIFS('06_Partecipazioni'!$I$5:$I$204,'06_Partecipazioni'!$C$5:$C$204,"SELL",'06_Partecipazioni'!$B$5:$B$204,"&lt;="&amp;B47))</f>
        <v/>
      </c>
      <c r="G47" s="10" t="str">
        <f>IF(B47="","",SUMIFS('07_Prestiti'!$H$5:$H$204,'07_Prestiti'!$C$5:$C$204,"DISBURSEMENT",'07_Prestiti'!$B$5:$B$204,"&lt;="&amp;B47)-SUMIFS('07_Prestiti'!$H$5:$H$204,'07_Prestiti'!$C$5:$C$204,"REPAYMENT",'07_Prestiti'!$B$5:$B$204,"&lt;="&amp;B47))</f>
        <v/>
      </c>
      <c r="H47" s="10" t="str">
        <f>IF(B47="","",SUMIFS('08_PL_Operativa'!$H$5:$H$503,'08_PL_Operativa'!$B$5:$B$503,"&lt;="&amp;B47))</f>
        <v/>
      </c>
      <c r="I47" s="26" t="str">
        <f t="shared" si="6"/>
        <v/>
      </c>
      <c r="J47" s="25"/>
      <c r="K47" s="25"/>
      <c r="L47" s="25"/>
      <c r="M47" s="26" t="str">
        <f t="shared" si="7"/>
        <v/>
      </c>
      <c r="N47" s="33" t="str">
        <f>IF(B47="","",SUMIFS('03_Investitori'!$J$5:$J$104,'03_Investitori'!$C$5:$C$104,"&lt;="&amp;B47))</f>
        <v/>
      </c>
      <c r="O47" s="35" t="str">
        <f t="shared" si="8"/>
        <v/>
      </c>
      <c r="P47" s="11" t="str">
        <f t="shared" si="9"/>
        <v/>
      </c>
    </row>
    <row r="48" spans="1:16" x14ac:dyDescent="0.2">
      <c r="A48" s="23" t="str">
        <f t="shared" si="5"/>
        <v/>
      </c>
      <c r="B48" s="22"/>
      <c r="C48" s="10" t="str">
        <f>IF(B48="","",SUMIFS('03_Investitori'!$H$5:$H$104,'03_Investitori'!$C$5:$C$104,"&lt;="&amp;B48))</f>
        <v/>
      </c>
      <c r="D48" s="10" t="str">
        <f>IF(B48="","",SUMIFS('04_Trades'!$K$5:$K$1004,'04_Trades'!$C$5:$C$1004,"BUY",'04_Trades'!$B$5:$B$1004,"&lt;="&amp;B48)-SUMIFS('04_Trades'!$K$5:$K$1004,'04_Trades'!$C$5:$C$1004,"SELL",'04_Trades'!$B$5:$B$1004,"&lt;="&amp;B48))</f>
        <v/>
      </c>
      <c r="E48" s="10" t="str">
        <f>IF(B48="","",SUMIFS('05_Dividendi_Interessi'!$I$5:$I$504,'05_Dividendi_Interessi'!$B$5:$B$504,"&lt;="&amp;B48))</f>
        <v/>
      </c>
      <c r="F48" s="10" t="str">
        <f>IF(B48="","",SUMIFS('06_Partecipazioni'!$I$5:$I$204,'06_Partecipazioni'!$C$5:$C$204,"BUY",'06_Partecipazioni'!$B$5:$B$204,"&lt;="&amp;B48)-SUMIFS('06_Partecipazioni'!$I$5:$I$204,'06_Partecipazioni'!$C$5:$C$204,"SELL",'06_Partecipazioni'!$B$5:$B$204,"&lt;="&amp;B48))</f>
        <v/>
      </c>
      <c r="G48" s="10" t="str">
        <f>IF(B48="","",SUMIFS('07_Prestiti'!$H$5:$H$204,'07_Prestiti'!$C$5:$C$204,"DISBURSEMENT",'07_Prestiti'!$B$5:$B$204,"&lt;="&amp;B48)-SUMIFS('07_Prestiti'!$H$5:$H$204,'07_Prestiti'!$C$5:$C$204,"REPAYMENT",'07_Prestiti'!$B$5:$B$204,"&lt;="&amp;B48))</f>
        <v/>
      </c>
      <c r="H48" s="10" t="str">
        <f>IF(B48="","",SUMIFS('08_PL_Operativa'!$H$5:$H$503,'08_PL_Operativa'!$B$5:$B$503,"&lt;="&amp;B48))</f>
        <v/>
      </c>
      <c r="I48" s="26" t="str">
        <f t="shared" si="6"/>
        <v/>
      </c>
      <c r="J48" s="25"/>
      <c r="K48" s="25"/>
      <c r="L48" s="25"/>
      <c r="M48" s="26" t="str">
        <f t="shared" si="7"/>
        <v/>
      </c>
      <c r="N48" s="33" t="str">
        <f>IF(B48="","",SUMIFS('03_Investitori'!$J$5:$J$104,'03_Investitori'!$C$5:$C$104,"&lt;="&amp;B48))</f>
        <v/>
      </c>
      <c r="O48" s="35" t="str">
        <f t="shared" si="8"/>
        <v/>
      </c>
      <c r="P48" s="11" t="str">
        <f t="shared" si="9"/>
        <v/>
      </c>
    </row>
    <row r="49" spans="1:16" x14ac:dyDescent="0.2">
      <c r="A49" s="23" t="str">
        <f t="shared" si="5"/>
        <v/>
      </c>
      <c r="B49" s="22"/>
      <c r="C49" s="10" t="str">
        <f>IF(B49="","",SUMIFS('03_Investitori'!$H$5:$H$104,'03_Investitori'!$C$5:$C$104,"&lt;="&amp;B49))</f>
        <v/>
      </c>
      <c r="D49" s="10" t="str">
        <f>IF(B49="","",SUMIFS('04_Trades'!$K$5:$K$1004,'04_Trades'!$C$5:$C$1004,"BUY",'04_Trades'!$B$5:$B$1004,"&lt;="&amp;B49)-SUMIFS('04_Trades'!$K$5:$K$1004,'04_Trades'!$C$5:$C$1004,"SELL",'04_Trades'!$B$5:$B$1004,"&lt;="&amp;B49))</f>
        <v/>
      </c>
      <c r="E49" s="10" t="str">
        <f>IF(B49="","",SUMIFS('05_Dividendi_Interessi'!$I$5:$I$504,'05_Dividendi_Interessi'!$B$5:$B$504,"&lt;="&amp;B49))</f>
        <v/>
      </c>
      <c r="F49" s="10" t="str">
        <f>IF(B49="","",SUMIFS('06_Partecipazioni'!$I$5:$I$204,'06_Partecipazioni'!$C$5:$C$204,"BUY",'06_Partecipazioni'!$B$5:$B$204,"&lt;="&amp;B49)-SUMIFS('06_Partecipazioni'!$I$5:$I$204,'06_Partecipazioni'!$C$5:$C$204,"SELL",'06_Partecipazioni'!$B$5:$B$204,"&lt;="&amp;B49))</f>
        <v/>
      </c>
      <c r="G49" s="10" t="str">
        <f>IF(B49="","",SUMIFS('07_Prestiti'!$H$5:$H$204,'07_Prestiti'!$C$5:$C$204,"DISBURSEMENT",'07_Prestiti'!$B$5:$B$204,"&lt;="&amp;B49)-SUMIFS('07_Prestiti'!$H$5:$H$204,'07_Prestiti'!$C$5:$C$204,"REPAYMENT",'07_Prestiti'!$B$5:$B$204,"&lt;="&amp;B49))</f>
        <v/>
      </c>
      <c r="H49" s="10" t="str">
        <f>IF(B49="","",SUMIFS('08_PL_Operativa'!$H$5:$H$503,'08_PL_Operativa'!$B$5:$B$503,"&lt;="&amp;B49))</f>
        <v/>
      </c>
      <c r="I49" s="26" t="str">
        <f t="shared" si="6"/>
        <v/>
      </c>
      <c r="J49" s="25"/>
      <c r="K49" s="25"/>
      <c r="L49" s="25"/>
      <c r="M49" s="26" t="str">
        <f t="shared" si="7"/>
        <v/>
      </c>
      <c r="N49" s="33" t="str">
        <f>IF(B49="","",SUMIFS('03_Investitori'!$J$5:$J$104,'03_Investitori'!$C$5:$C$104,"&lt;="&amp;B49))</f>
        <v/>
      </c>
      <c r="O49" s="35" t="str">
        <f t="shared" si="8"/>
        <v/>
      </c>
      <c r="P49" s="11" t="str">
        <f t="shared" si="9"/>
        <v/>
      </c>
    </row>
    <row r="50" spans="1:16" x14ac:dyDescent="0.2">
      <c r="A50" s="23" t="str">
        <f t="shared" si="5"/>
        <v/>
      </c>
      <c r="B50" s="22"/>
      <c r="C50" s="10" t="str">
        <f>IF(B50="","",SUMIFS('03_Investitori'!$H$5:$H$104,'03_Investitori'!$C$5:$C$104,"&lt;="&amp;B50))</f>
        <v/>
      </c>
      <c r="D50" s="10" t="str">
        <f>IF(B50="","",SUMIFS('04_Trades'!$K$5:$K$1004,'04_Trades'!$C$5:$C$1004,"BUY",'04_Trades'!$B$5:$B$1004,"&lt;="&amp;B50)-SUMIFS('04_Trades'!$K$5:$K$1004,'04_Trades'!$C$5:$C$1004,"SELL",'04_Trades'!$B$5:$B$1004,"&lt;="&amp;B50))</f>
        <v/>
      </c>
      <c r="E50" s="10" t="str">
        <f>IF(B50="","",SUMIFS('05_Dividendi_Interessi'!$I$5:$I$504,'05_Dividendi_Interessi'!$B$5:$B$504,"&lt;="&amp;B50))</f>
        <v/>
      </c>
      <c r="F50" s="10" t="str">
        <f>IF(B50="","",SUMIFS('06_Partecipazioni'!$I$5:$I$204,'06_Partecipazioni'!$C$5:$C$204,"BUY",'06_Partecipazioni'!$B$5:$B$204,"&lt;="&amp;B50)-SUMIFS('06_Partecipazioni'!$I$5:$I$204,'06_Partecipazioni'!$C$5:$C$204,"SELL",'06_Partecipazioni'!$B$5:$B$204,"&lt;="&amp;B50))</f>
        <v/>
      </c>
      <c r="G50" s="10" t="str">
        <f>IF(B50="","",SUMIFS('07_Prestiti'!$H$5:$H$204,'07_Prestiti'!$C$5:$C$204,"DISBURSEMENT",'07_Prestiti'!$B$5:$B$204,"&lt;="&amp;B50)-SUMIFS('07_Prestiti'!$H$5:$H$204,'07_Prestiti'!$C$5:$C$204,"REPAYMENT",'07_Prestiti'!$B$5:$B$204,"&lt;="&amp;B50))</f>
        <v/>
      </c>
      <c r="H50" s="10" t="str">
        <f>IF(B50="","",SUMIFS('08_PL_Operativa'!$H$5:$H$503,'08_PL_Operativa'!$B$5:$B$503,"&lt;="&amp;B50))</f>
        <v/>
      </c>
      <c r="I50" s="26" t="str">
        <f t="shared" si="6"/>
        <v/>
      </c>
      <c r="J50" s="25"/>
      <c r="K50" s="25"/>
      <c r="L50" s="25"/>
      <c r="M50" s="26" t="str">
        <f t="shared" si="7"/>
        <v/>
      </c>
      <c r="N50" s="33" t="str">
        <f>IF(B50="","",SUMIFS('03_Investitori'!$J$5:$J$104,'03_Investitori'!$C$5:$C$104,"&lt;="&amp;B50))</f>
        <v/>
      </c>
      <c r="O50" s="35" t="str">
        <f t="shared" si="8"/>
        <v/>
      </c>
      <c r="P50" s="11" t="str">
        <f t="shared" si="9"/>
        <v/>
      </c>
    </row>
    <row r="51" spans="1:16" x14ac:dyDescent="0.2">
      <c r="A51" s="23" t="str">
        <f t="shared" si="5"/>
        <v/>
      </c>
      <c r="B51" s="22"/>
      <c r="C51" s="10" t="str">
        <f>IF(B51="","",SUMIFS('03_Investitori'!$H$5:$H$104,'03_Investitori'!$C$5:$C$104,"&lt;="&amp;B51))</f>
        <v/>
      </c>
      <c r="D51" s="10" t="str">
        <f>IF(B51="","",SUMIFS('04_Trades'!$K$5:$K$1004,'04_Trades'!$C$5:$C$1004,"BUY",'04_Trades'!$B$5:$B$1004,"&lt;="&amp;B51)-SUMIFS('04_Trades'!$K$5:$K$1004,'04_Trades'!$C$5:$C$1004,"SELL",'04_Trades'!$B$5:$B$1004,"&lt;="&amp;B51))</f>
        <v/>
      </c>
      <c r="E51" s="10" t="str">
        <f>IF(B51="","",SUMIFS('05_Dividendi_Interessi'!$I$5:$I$504,'05_Dividendi_Interessi'!$B$5:$B$504,"&lt;="&amp;B51))</f>
        <v/>
      </c>
      <c r="F51" s="10" t="str">
        <f>IF(B51="","",SUMIFS('06_Partecipazioni'!$I$5:$I$204,'06_Partecipazioni'!$C$5:$C$204,"BUY",'06_Partecipazioni'!$B$5:$B$204,"&lt;="&amp;B51)-SUMIFS('06_Partecipazioni'!$I$5:$I$204,'06_Partecipazioni'!$C$5:$C$204,"SELL",'06_Partecipazioni'!$B$5:$B$204,"&lt;="&amp;B51))</f>
        <v/>
      </c>
      <c r="G51" s="10" t="str">
        <f>IF(B51="","",SUMIFS('07_Prestiti'!$H$5:$H$204,'07_Prestiti'!$C$5:$C$204,"DISBURSEMENT",'07_Prestiti'!$B$5:$B$204,"&lt;="&amp;B51)-SUMIFS('07_Prestiti'!$H$5:$H$204,'07_Prestiti'!$C$5:$C$204,"REPAYMENT",'07_Prestiti'!$B$5:$B$204,"&lt;="&amp;B51))</f>
        <v/>
      </c>
      <c r="H51" s="10" t="str">
        <f>IF(B51="","",SUMIFS('08_PL_Operativa'!$H$5:$H$503,'08_PL_Operativa'!$B$5:$B$503,"&lt;="&amp;B51))</f>
        <v/>
      </c>
      <c r="I51" s="26" t="str">
        <f t="shared" si="6"/>
        <v/>
      </c>
      <c r="J51" s="25"/>
      <c r="K51" s="25"/>
      <c r="L51" s="25"/>
      <c r="M51" s="26" t="str">
        <f t="shared" si="7"/>
        <v/>
      </c>
      <c r="N51" s="33" t="str">
        <f>IF(B51="","",SUMIFS('03_Investitori'!$J$5:$J$104,'03_Investitori'!$C$5:$C$104,"&lt;="&amp;B51))</f>
        <v/>
      </c>
      <c r="O51" s="35" t="str">
        <f t="shared" si="8"/>
        <v/>
      </c>
      <c r="P51" s="11" t="str">
        <f t="shared" si="9"/>
        <v/>
      </c>
    </row>
    <row r="52" spans="1:16" x14ac:dyDescent="0.2">
      <c r="A52" s="23" t="str">
        <f t="shared" si="5"/>
        <v/>
      </c>
      <c r="B52" s="22"/>
      <c r="C52" s="10" t="str">
        <f>IF(B52="","",SUMIFS('03_Investitori'!$H$5:$H$104,'03_Investitori'!$C$5:$C$104,"&lt;="&amp;B52))</f>
        <v/>
      </c>
      <c r="D52" s="10" t="str">
        <f>IF(B52="","",SUMIFS('04_Trades'!$K$5:$K$1004,'04_Trades'!$C$5:$C$1004,"BUY",'04_Trades'!$B$5:$B$1004,"&lt;="&amp;B52)-SUMIFS('04_Trades'!$K$5:$K$1004,'04_Trades'!$C$5:$C$1004,"SELL",'04_Trades'!$B$5:$B$1004,"&lt;="&amp;B52))</f>
        <v/>
      </c>
      <c r="E52" s="10" t="str">
        <f>IF(B52="","",SUMIFS('05_Dividendi_Interessi'!$I$5:$I$504,'05_Dividendi_Interessi'!$B$5:$B$504,"&lt;="&amp;B52))</f>
        <v/>
      </c>
      <c r="F52" s="10" t="str">
        <f>IF(B52="","",SUMIFS('06_Partecipazioni'!$I$5:$I$204,'06_Partecipazioni'!$C$5:$C$204,"BUY",'06_Partecipazioni'!$B$5:$B$204,"&lt;="&amp;B52)-SUMIFS('06_Partecipazioni'!$I$5:$I$204,'06_Partecipazioni'!$C$5:$C$204,"SELL",'06_Partecipazioni'!$B$5:$B$204,"&lt;="&amp;B52))</f>
        <v/>
      </c>
      <c r="G52" s="10" t="str">
        <f>IF(B52="","",SUMIFS('07_Prestiti'!$H$5:$H$204,'07_Prestiti'!$C$5:$C$204,"DISBURSEMENT",'07_Prestiti'!$B$5:$B$204,"&lt;="&amp;B52)-SUMIFS('07_Prestiti'!$H$5:$H$204,'07_Prestiti'!$C$5:$C$204,"REPAYMENT",'07_Prestiti'!$B$5:$B$204,"&lt;="&amp;B52))</f>
        <v/>
      </c>
      <c r="H52" s="10" t="str">
        <f>IF(B52="","",SUMIFS('08_PL_Operativa'!$H$5:$H$503,'08_PL_Operativa'!$B$5:$B$503,"&lt;="&amp;B52))</f>
        <v/>
      </c>
      <c r="I52" s="26" t="str">
        <f t="shared" si="6"/>
        <v/>
      </c>
      <c r="J52" s="25"/>
      <c r="K52" s="25"/>
      <c r="L52" s="25"/>
      <c r="M52" s="26" t="str">
        <f t="shared" si="7"/>
        <v/>
      </c>
      <c r="N52" s="33" t="str">
        <f>IF(B52="","",SUMIFS('03_Investitori'!$J$5:$J$104,'03_Investitori'!$C$5:$C$104,"&lt;="&amp;B52))</f>
        <v/>
      </c>
      <c r="O52" s="35" t="str">
        <f t="shared" si="8"/>
        <v/>
      </c>
      <c r="P52" s="11" t="str">
        <f t="shared" si="9"/>
        <v/>
      </c>
    </row>
    <row r="53" spans="1:16" x14ac:dyDescent="0.2">
      <c r="A53" s="23" t="str">
        <f t="shared" si="5"/>
        <v/>
      </c>
      <c r="B53" s="22"/>
      <c r="C53" s="10" t="str">
        <f>IF(B53="","",SUMIFS('03_Investitori'!$H$5:$H$104,'03_Investitori'!$C$5:$C$104,"&lt;="&amp;B53))</f>
        <v/>
      </c>
      <c r="D53" s="10" t="str">
        <f>IF(B53="","",SUMIFS('04_Trades'!$K$5:$K$1004,'04_Trades'!$C$5:$C$1004,"BUY",'04_Trades'!$B$5:$B$1004,"&lt;="&amp;B53)-SUMIFS('04_Trades'!$K$5:$K$1004,'04_Trades'!$C$5:$C$1004,"SELL",'04_Trades'!$B$5:$B$1004,"&lt;="&amp;B53))</f>
        <v/>
      </c>
      <c r="E53" s="10" t="str">
        <f>IF(B53="","",SUMIFS('05_Dividendi_Interessi'!$I$5:$I$504,'05_Dividendi_Interessi'!$B$5:$B$504,"&lt;="&amp;B53))</f>
        <v/>
      </c>
      <c r="F53" s="10" t="str">
        <f>IF(B53="","",SUMIFS('06_Partecipazioni'!$I$5:$I$204,'06_Partecipazioni'!$C$5:$C$204,"BUY",'06_Partecipazioni'!$B$5:$B$204,"&lt;="&amp;B53)-SUMIFS('06_Partecipazioni'!$I$5:$I$204,'06_Partecipazioni'!$C$5:$C$204,"SELL",'06_Partecipazioni'!$B$5:$B$204,"&lt;="&amp;B53))</f>
        <v/>
      </c>
      <c r="G53" s="10" t="str">
        <f>IF(B53="","",SUMIFS('07_Prestiti'!$H$5:$H$204,'07_Prestiti'!$C$5:$C$204,"DISBURSEMENT",'07_Prestiti'!$B$5:$B$204,"&lt;="&amp;B53)-SUMIFS('07_Prestiti'!$H$5:$H$204,'07_Prestiti'!$C$5:$C$204,"REPAYMENT",'07_Prestiti'!$B$5:$B$204,"&lt;="&amp;B53))</f>
        <v/>
      </c>
      <c r="H53" s="10" t="str">
        <f>IF(B53="","",SUMIFS('08_PL_Operativa'!$H$5:$H$503,'08_PL_Operativa'!$B$5:$B$503,"&lt;="&amp;B53))</f>
        <v/>
      </c>
      <c r="I53" s="26" t="str">
        <f t="shared" si="6"/>
        <v/>
      </c>
      <c r="J53" s="25"/>
      <c r="K53" s="25"/>
      <c r="L53" s="25"/>
      <c r="M53" s="26" t="str">
        <f t="shared" si="7"/>
        <v/>
      </c>
      <c r="N53" s="33" t="str">
        <f>IF(B53="","",SUMIFS('03_Investitori'!$J$5:$J$104,'03_Investitori'!$C$5:$C$104,"&lt;="&amp;B53))</f>
        <v/>
      </c>
      <c r="O53" s="35" t="str">
        <f t="shared" si="8"/>
        <v/>
      </c>
      <c r="P53" s="11" t="str">
        <f t="shared" si="9"/>
        <v/>
      </c>
    </row>
    <row r="54" spans="1:16" x14ac:dyDescent="0.2">
      <c r="A54" s="23" t="str">
        <f t="shared" si="5"/>
        <v/>
      </c>
      <c r="B54" s="22"/>
      <c r="C54" s="10" t="str">
        <f>IF(B54="","",SUMIFS('03_Investitori'!$H$5:$H$104,'03_Investitori'!$C$5:$C$104,"&lt;="&amp;B54))</f>
        <v/>
      </c>
      <c r="D54" s="10" t="str">
        <f>IF(B54="","",SUMIFS('04_Trades'!$K$5:$K$1004,'04_Trades'!$C$5:$C$1004,"BUY",'04_Trades'!$B$5:$B$1004,"&lt;="&amp;B54)-SUMIFS('04_Trades'!$K$5:$K$1004,'04_Trades'!$C$5:$C$1004,"SELL",'04_Trades'!$B$5:$B$1004,"&lt;="&amp;B54))</f>
        <v/>
      </c>
      <c r="E54" s="10" t="str">
        <f>IF(B54="","",SUMIFS('05_Dividendi_Interessi'!$I$5:$I$504,'05_Dividendi_Interessi'!$B$5:$B$504,"&lt;="&amp;B54))</f>
        <v/>
      </c>
      <c r="F54" s="10" t="str">
        <f>IF(B54="","",SUMIFS('06_Partecipazioni'!$I$5:$I$204,'06_Partecipazioni'!$C$5:$C$204,"BUY",'06_Partecipazioni'!$B$5:$B$204,"&lt;="&amp;B54)-SUMIFS('06_Partecipazioni'!$I$5:$I$204,'06_Partecipazioni'!$C$5:$C$204,"SELL",'06_Partecipazioni'!$B$5:$B$204,"&lt;="&amp;B54))</f>
        <v/>
      </c>
      <c r="G54" s="10" t="str">
        <f>IF(B54="","",SUMIFS('07_Prestiti'!$H$5:$H$204,'07_Prestiti'!$C$5:$C$204,"DISBURSEMENT",'07_Prestiti'!$B$5:$B$204,"&lt;="&amp;B54)-SUMIFS('07_Prestiti'!$H$5:$H$204,'07_Prestiti'!$C$5:$C$204,"REPAYMENT",'07_Prestiti'!$B$5:$B$204,"&lt;="&amp;B54))</f>
        <v/>
      </c>
      <c r="H54" s="10" t="str">
        <f>IF(B54="","",SUMIFS('08_PL_Operativa'!$H$5:$H$503,'08_PL_Operativa'!$B$5:$B$503,"&lt;="&amp;B54))</f>
        <v/>
      </c>
      <c r="I54" s="26" t="str">
        <f t="shared" si="6"/>
        <v/>
      </c>
      <c r="J54" s="25"/>
      <c r="K54" s="25"/>
      <c r="L54" s="25"/>
      <c r="M54" s="26" t="str">
        <f t="shared" si="7"/>
        <v/>
      </c>
      <c r="N54" s="33" t="str">
        <f>IF(B54="","",SUMIFS('03_Investitori'!$J$5:$J$104,'03_Investitori'!$C$5:$C$104,"&lt;="&amp;B54))</f>
        <v/>
      </c>
      <c r="O54" s="35" t="str">
        <f t="shared" si="8"/>
        <v/>
      </c>
      <c r="P54" s="11" t="str">
        <f t="shared" si="9"/>
        <v/>
      </c>
    </row>
    <row r="55" spans="1:16" x14ac:dyDescent="0.2">
      <c r="A55" s="23" t="str">
        <f t="shared" si="5"/>
        <v/>
      </c>
      <c r="B55" s="22"/>
      <c r="C55" s="10" t="str">
        <f>IF(B55="","",SUMIFS('03_Investitori'!$H$5:$H$104,'03_Investitori'!$C$5:$C$104,"&lt;="&amp;B55))</f>
        <v/>
      </c>
      <c r="D55" s="10" t="str">
        <f>IF(B55="","",SUMIFS('04_Trades'!$K$5:$K$1004,'04_Trades'!$C$5:$C$1004,"BUY",'04_Trades'!$B$5:$B$1004,"&lt;="&amp;B55)-SUMIFS('04_Trades'!$K$5:$K$1004,'04_Trades'!$C$5:$C$1004,"SELL",'04_Trades'!$B$5:$B$1004,"&lt;="&amp;B55))</f>
        <v/>
      </c>
      <c r="E55" s="10" t="str">
        <f>IF(B55="","",SUMIFS('05_Dividendi_Interessi'!$I$5:$I$504,'05_Dividendi_Interessi'!$B$5:$B$504,"&lt;="&amp;B55))</f>
        <v/>
      </c>
      <c r="F55" s="10" t="str">
        <f>IF(B55="","",SUMIFS('06_Partecipazioni'!$I$5:$I$204,'06_Partecipazioni'!$C$5:$C$204,"BUY",'06_Partecipazioni'!$B$5:$B$204,"&lt;="&amp;B55)-SUMIFS('06_Partecipazioni'!$I$5:$I$204,'06_Partecipazioni'!$C$5:$C$204,"SELL",'06_Partecipazioni'!$B$5:$B$204,"&lt;="&amp;B55))</f>
        <v/>
      </c>
      <c r="G55" s="10" t="str">
        <f>IF(B55="","",SUMIFS('07_Prestiti'!$H$5:$H$204,'07_Prestiti'!$C$5:$C$204,"DISBURSEMENT",'07_Prestiti'!$B$5:$B$204,"&lt;="&amp;B55)-SUMIFS('07_Prestiti'!$H$5:$H$204,'07_Prestiti'!$C$5:$C$204,"REPAYMENT",'07_Prestiti'!$B$5:$B$204,"&lt;="&amp;B55))</f>
        <v/>
      </c>
      <c r="H55" s="10" t="str">
        <f>IF(B55="","",SUMIFS('08_PL_Operativa'!$H$5:$H$503,'08_PL_Operativa'!$B$5:$B$503,"&lt;="&amp;B55))</f>
        <v/>
      </c>
      <c r="I55" s="26" t="str">
        <f t="shared" si="6"/>
        <v/>
      </c>
      <c r="J55" s="25"/>
      <c r="K55" s="25"/>
      <c r="L55" s="25"/>
      <c r="M55" s="26" t="str">
        <f t="shared" si="7"/>
        <v/>
      </c>
      <c r="N55" s="33" t="str">
        <f>IF(B55="","",SUMIFS('03_Investitori'!$J$5:$J$104,'03_Investitori'!$C$5:$C$104,"&lt;="&amp;B55))</f>
        <v/>
      </c>
      <c r="O55" s="35" t="str">
        <f t="shared" si="8"/>
        <v/>
      </c>
      <c r="P55" s="11" t="str">
        <f t="shared" si="9"/>
        <v/>
      </c>
    </row>
    <row r="56" spans="1:16" x14ac:dyDescent="0.2">
      <c r="A56" s="23" t="str">
        <f t="shared" si="5"/>
        <v/>
      </c>
      <c r="B56" s="22"/>
      <c r="C56" s="10" t="str">
        <f>IF(B56="","",SUMIFS('03_Investitori'!$H$5:$H$104,'03_Investitori'!$C$5:$C$104,"&lt;="&amp;B56))</f>
        <v/>
      </c>
      <c r="D56" s="10" t="str">
        <f>IF(B56="","",SUMIFS('04_Trades'!$K$5:$K$1004,'04_Trades'!$C$5:$C$1004,"BUY",'04_Trades'!$B$5:$B$1004,"&lt;="&amp;B56)-SUMIFS('04_Trades'!$K$5:$K$1004,'04_Trades'!$C$5:$C$1004,"SELL",'04_Trades'!$B$5:$B$1004,"&lt;="&amp;B56))</f>
        <v/>
      </c>
      <c r="E56" s="10" t="str">
        <f>IF(B56="","",SUMIFS('05_Dividendi_Interessi'!$I$5:$I$504,'05_Dividendi_Interessi'!$B$5:$B$504,"&lt;="&amp;B56))</f>
        <v/>
      </c>
      <c r="F56" s="10" t="str">
        <f>IF(B56="","",SUMIFS('06_Partecipazioni'!$I$5:$I$204,'06_Partecipazioni'!$C$5:$C$204,"BUY",'06_Partecipazioni'!$B$5:$B$204,"&lt;="&amp;B56)-SUMIFS('06_Partecipazioni'!$I$5:$I$204,'06_Partecipazioni'!$C$5:$C$204,"SELL",'06_Partecipazioni'!$B$5:$B$204,"&lt;="&amp;B56))</f>
        <v/>
      </c>
      <c r="G56" s="10" t="str">
        <f>IF(B56="","",SUMIFS('07_Prestiti'!$H$5:$H$204,'07_Prestiti'!$C$5:$C$204,"DISBURSEMENT",'07_Prestiti'!$B$5:$B$204,"&lt;="&amp;B56)-SUMIFS('07_Prestiti'!$H$5:$H$204,'07_Prestiti'!$C$5:$C$204,"REPAYMENT",'07_Prestiti'!$B$5:$B$204,"&lt;="&amp;B56))</f>
        <v/>
      </c>
      <c r="H56" s="10" t="str">
        <f>IF(B56="","",SUMIFS('08_PL_Operativa'!$H$5:$H$503,'08_PL_Operativa'!$B$5:$B$503,"&lt;="&amp;B56))</f>
        <v/>
      </c>
      <c r="I56" s="26" t="str">
        <f t="shared" si="6"/>
        <v/>
      </c>
      <c r="J56" s="25"/>
      <c r="K56" s="25"/>
      <c r="L56" s="25"/>
      <c r="M56" s="26" t="str">
        <f t="shared" si="7"/>
        <v/>
      </c>
      <c r="N56" s="33" t="str">
        <f>IF(B56="","",SUMIFS('03_Investitori'!$J$5:$J$104,'03_Investitori'!$C$5:$C$104,"&lt;="&amp;B56))</f>
        <v/>
      </c>
      <c r="O56" s="35" t="str">
        <f t="shared" si="8"/>
        <v/>
      </c>
      <c r="P56" s="11" t="str">
        <f t="shared" si="9"/>
        <v/>
      </c>
    </row>
    <row r="57" spans="1:16" x14ac:dyDescent="0.2">
      <c r="A57" s="23" t="str">
        <f t="shared" si="5"/>
        <v/>
      </c>
      <c r="B57" s="22"/>
      <c r="C57" s="10" t="str">
        <f>IF(B57="","",SUMIFS('03_Investitori'!$H$5:$H$104,'03_Investitori'!$C$5:$C$104,"&lt;="&amp;B57))</f>
        <v/>
      </c>
      <c r="D57" s="10" t="str">
        <f>IF(B57="","",SUMIFS('04_Trades'!$K$5:$K$1004,'04_Trades'!$C$5:$C$1004,"BUY",'04_Trades'!$B$5:$B$1004,"&lt;="&amp;B57)-SUMIFS('04_Trades'!$K$5:$K$1004,'04_Trades'!$C$5:$C$1004,"SELL",'04_Trades'!$B$5:$B$1004,"&lt;="&amp;B57))</f>
        <v/>
      </c>
      <c r="E57" s="10" t="str">
        <f>IF(B57="","",SUMIFS('05_Dividendi_Interessi'!$I$5:$I$504,'05_Dividendi_Interessi'!$B$5:$B$504,"&lt;="&amp;B57))</f>
        <v/>
      </c>
      <c r="F57" s="10" t="str">
        <f>IF(B57="","",SUMIFS('06_Partecipazioni'!$I$5:$I$204,'06_Partecipazioni'!$C$5:$C$204,"BUY",'06_Partecipazioni'!$B$5:$B$204,"&lt;="&amp;B57)-SUMIFS('06_Partecipazioni'!$I$5:$I$204,'06_Partecipazioni'!$C$5:$C$204,"SELL",'06_Partecipazioni'!$B$5:$B$204,"&lt;="&amp;B57))</f>
        <v/>
      </c>
      <c r="G57" s="10" t="str">
        <f>IF(B57="","",SUMIFS('07_Prestiti'!$H$5:$H$204,'07_Prestiti'!$C$5:$C$204,"DISBURSEMENT",'07_Prestiti'!$B$5:$B$204,"&lt;="&amp;B57)-SUMIFS('07_Prestiti'!$H$5:$H$204,'07_Prestiti'!$C$5:$C$204,"REPAYMENT",'07_Prestiti'!$B$5:$B$204,"&lt;="&amp;B57))</f>
        <v/>
      </c>
      <c r="H57" s="10" t="str">
        <f>IF(B57="","",SUMIFS('08_PL_Operativa'!$H$5:$H$503,'08_PL_Operativa'!$B$5:$B$503,"&lt;="&amp;B57))</f>
        <v/>
      </c>
      <c r="I57" s="26" t="str">
        <f t="shared" si="6"/>
        <v/>
      </c>
      <c r="J57" s="25"/>
      <c r="K57" s="25"/>
      <c r="L57" s="25"/>
      <c r="M57" s="26" t="str">
        <f t="shared" si="7"/>
        <v/>
      </c>
      <c r="N57" s="33" t="str">
        <f>IF(B57="","",SUMIFS('03_Investitori'!$J$5:$J$104,'03_Investitori'!$C$5:$C$104,"&lt;="&amp;B57))</f>
        <v/>
      </c>
      <c r="O57" s="35" t="str">
        <f t="shared" si="8"/>
        <v/>
      </c>
      <c r="P57" s="11" t="str">
        <f t="shared" si="9"/>
        <v/>
      </c>
    </row>
    <row r="58" spans="1:16" x14ac:dyDescent="0.2">
      <c r="A58" s="23" t="str">
        <f t="shared" si="5"/>
        <v/>
      </c>
      <c r="B58" s="22"/>
      <c r="C58" s="10" t="str">
        <f>IF(B58="","",SUMIFS('03_Investitori'!$H$5:$H$104,'03_Investitori'!$C$5:$C$104,"&lt;="&amp;B58))</f>
        <v/>
      </c>
      <c r="D58" s="10" t="str">
        <f>IF(B58="","",SUMIFS('04_Trades'!$K$5:$K$1004,'04_Trades'!$C$5:$C$1004,"BUY",'04_Trades'!$B$5:$B$1004,"&lt;="&amp;B58)-SUMIFS('04_Trades'!$K$5:$K$1004,'04_Trades'!$C$5:$C$1004,"SELL",'04_Trades'!$B$5:$B$1004,"&lt;="&amp;B58))</f>
        <v/>
      </c>
      <c r="E58" s="10" t="str">
        <f>IF(B58="","",SUMIFS('05_Dividendi_Interessi'!$I$5:$I$504,'05_Dividendi_Interessi'!$B$5:$B$504,"&lt;="&amp;B58))</f>
        <v/>
      </c>
      <c r="F58" s="10" t="str">
        <f>IF(B58="","",SUMIFS('06_Partecipazioni'!$I$5:$I$204,'06_Partecipazioni'!$C$5:$C$204,"BUY",'06_Partecipazioni'!$B$5:$B$204,"&lt;="&amp;B58)-SUMIFS('06_Partecipazioni'!$I$5:$I$204,'06_Partecipazioni'!$C$5:$C$204,"SELL",'06_Partecipazioni'!$B$5:$B$204,"&lt;="&amp;B58))</f>
        <v/>
      </c>
      <c r="G58" s="10" t="str">
        <f>IF(B58="","",SUMIFS('07_Prestiti'!$H$5:$H$204,'07_Prestiti'!$C$5:$C$204,"DISBURSEMENT",'07_Prestiti'!$B$5:$B$204,"&lt;="&amp;B58)-SUMIFS('07_Prestiti'!$H$5:$H$204,'07_Prestiti'!$C$5:$C$204,"REPAYMENT",'07_Prestiti'!$B$5:$B$204,"&lt;="&amp;B58))</f>
        <v/>
      </c>
      <c r="H58" s="10" t="str">
        <f>IF(B58="","",SUMIFS('08_PL_Operativa'!$H$5:$H$503,'08_PL_Operativa'!$B$5:$B$503,"&lt;="&amp;B58))</f>
        <v/>
      </c>
      <c r="I58" s="26" t="str">
        <f t="shared" si="6"/>
        <v/>
      </c>
      <c r="J58" s="25"/>
      <c r="K58" s="25"/>
      <c r="L58" s="25"/>
      <c r="M58" s="26" t="str">
        <f t="shared" si="7"/>
        <v/>
      </c>
      <c r="N58" s="33" t="str">
        <f>IF(B58="","",SUMIFS('03_Investitori'!$J$5:$J$104,'03_Investitori'!$C$5:$C$104,"&lt;="&amp;B58))</f>
        <v/>
      </c>
      <c r="O58" s="35" t="str">
        <f t="shared" si="8"/>
        <v/>
      </c>
      <c r="P58" s="11" t="str">
        <f t="shared" si="9"/>
        <v/>
      </c>
    </row>
    <row r="59" spans="1:16" x14ac:dyDescent="0.2">
      <c r="A59" s="23" t="str">
        <f t="shared" si="5"/>
        <v/>
      </c>
      <c r="B59" s="22"/>
      <c r="C59" s="10" t="str">
        <f>IF(B59="","",SUMIFS('03_Investitori'!$H$5:$H$104,'03_Investitori'!$C$5:$C$104,"&lt;="&amp;B59))</f>
        <v/>
      </c>
      <c r="D59" s="10" t="str">
        <f>IF(B59="","",SUMIFS('04_Trades'!$K$5:$K$1004,'04_Trades'!$C$5:$C$1004,"BUY",'04_Trades'!$B$5:$B$1004,"&lt;="&amp;B59)-SUMIFS('04_Trades'!$K$5:$K$1004,'04_Trades'!$C$5:$C$1004,"SELL",'04_Trades'!$B$5:$B$1004,"&lt;="&amp;B59))</f>
        <v/>
      </c>
      <c r="E59" s="10" t="str">
        <f>IF(B59="","",SUMIFS('05_Dividendi_Interessi'!$I$5:$I$504,'05_Dividendi_Interessi'!$B$5:$B$504,"&lt;="&amp;B59))</f>
        <v/>
      </c>
      <c r="F59" s="10" t="str">
        <f>IF(B59="","",SUMIFS('06_Partecipazioni'!$I$5:$I$204,'06_Partecipazioni'!$C$5:$C$204,"BUY",'06_Partecipazioni'!$B$5:$B$204,"&lt;="&amp;B59)-SUMIFS('06_Partecipazioni'!$I$5:$I$204,'06_Partecipazioni'!$C$5:$C$204,"SELL",'06_Partecipazioni'!$B$5:$B$204,"&lt;="&amp;B59))</f>
        <v/>
      </c>
      <c r="G59" s="10" t="str">
        <f>IF(B59="","",SUMIFS('07_Prestiti'!$H$5:$H$204,'07_Prestiti'!$C$5:$C$204,"DISBURSEMENT",'07_Prestiti'!$B$5:$B$204,"&lt;="&amp;B59)-SUMIFS('07_Prestiti'!$H$5:$H$204,'07_Prestiti'!$C$5:$C$204,"REPAYMENT",'07_Prestiti'!$B$5:$B$204,"&lt;="&amp;B59))</f>
        <v/>
      </c>
      <c r="H59" s="10" t="str">
        <f>IF(B59="","",SUMIFS('08_PL_Operativa'!$H$5:$H$503,'08_PL_Operativa'!$B$5:$B$503,"&lt;="&amp;B59))</f>
        <v/>
      </c>
      <c r="I59" s="26" t="str">
        <f t="shared" si="6"/>
        <v/>
      </c>
      <c r="J59" s="25"/>
      <c r="K59" s="25"/>
      <c r="L59" s="25"/>
      <c r="M59" s="26" t="str">
        <f t="shared" si="7"/>
        <v/>
      </c>
      <c r="N59" s="33" t="str">
        <f>IF(B59="","",SUMIFS('03_Investitori'!$J$5:$J$104,'03_Investitori'!$C$5:$C$104,"&lt;="&amp;B59))</f>
        <v/>
      </c>
      <c r="O59" s="35" t="str">
        <f t="shared" si="8"/>
        <v/>
      </c>
      <c r="P59" s="11" t="str">
        <f t="shared" si="9"/>
        <v/>
      </c>
    </row>
    <row r="60" spans="1:16" x14ac:dyDescent="0.2">
      <c r="A60" s="23" t="str">
        <f t="shared" si="5"/>
        <v/>
      </c>
      <c r="B60" s="22"/>
      <c r="C60" s="10" t="str">
        <f>IF(B60="","",SUMIFS('03_Investitori'!$H$5:$H$104,'03_Investitori'!$C$5:$C$104,"&lt;="&amp;B60))</f>
        <v/>
      </c>
      <c r="D60" s="10" t="str">
        <f>IF(B60="","",SUMIFS('04_Trades'!$K$5:$K$1004,'04_Trades'!$C$5:$C$1004,"BUY",'04_Trades'!$B$5:$B$1004,"&lt;="&amp;B60)-SUMIFS('04_Trades'!$K$5:$K$1004,'04_Trades'!$C$5:$C$1004,"SELL",'04_Trades'!$B$5:$B$1004,"&lt;="&amp;B60))</f>
        <v/>
      </c>
      <c r="E60" s="10" t="str">
        <f>IF(B60="","",SUMIFS('05_Dividendi_Interessi'!$I$5:$I$504,'05_Dividendi_Interessi'!$B$5:$B$504,"&lt;="&amp;B60))</f>
        <v/>
      </c>
      <c r="F60" s="10" t="str">
        <f>IF(B60="","",SUMIFS('06_Partecipazioni'!$I$5:$I$204,'06_Partecipazioni'!$C$5:$C$204,"BUY",'06_Partecipazioni'!$B$5:$B$204,"&lt;="&amp;B60)-SUMIFS('06_Partecipazioni'!$I$5:$I$204,'06_Partecipazioni'!$C$5:$C$204,"SELL",'06_Partecipazioni'!$B$5:$B$204,"&lt;="&amp;B60))</f>
        <v/>
      </c>
      <c r="G60" s="10" t="str">
        <f>IF(B60="","",SUMIFS('07_Prestiti'!$H$5:$H$204,'07_Prestiti'!$C$5:$C$204,"DISBURSEMENT",'07_Prestiti'!$B$5:$B$204,"&lt;="&amp;B60)-SUMIFS('07_Prestiti'!$H$5:$H$204,'07_Prestiti'!$C$5:$C$204,"REPAYMENT",'07_Prestiti'!$B$5:$B$204,"&lt;="&amp;B60))</f>
        <v/>
      </c>
      <c r="H60" s="10" t="str">
        <f>IF(B60="","",SUMIFS('08_PL_Operativa'!$H$5:$H$503,'08_PL_Operativa'!$B$5:$B$503,"&lt;="&amp;B60))</f>
        <v/>
      </c>
      <c r="I60" s="26" t="str">
        <f t="shared" si="6"/>
        <v/>
      </c>
      <c r="J60" s="25"/>
      <c r="K60" s="25"/>
      <c r="L60" s="25"/>
      <c r="M60" s="26" t="str">
        <f t="shared" si="7"/>
        <v/>
      </c>
      <c r="N60" s="33" t="str">
        <f>IF(B60="","",SUMIFS('03_Investitori'!$J$5:$J$104,'03_Investitori'!$C$5:$C$104,"&lt;="&amp;B60))</f>
        <v/>
      </c>
      <c r="O60" s="35" t="str">
        <f t="shared" si="8"/>
        <v/>
      </c>
      <c r="P60" s="11" t="str">
        <f t="shared" si="9"/>
        <v/>
      </c>
    </row>
    <row r="61" spans="1:16" x14ac:dyDescent="0.2">
      <c r="A61" s="23" t="str">
        <f t="shared" si="5"/>
        <v/>
      </c>
      <c r="B61" s="22"/>
      <c r="C61" s="10" t="str">
        <f>IF(B61="","",SUMIFS('03_Investitori'!$H$5:$H$104,'03_Investitori'!$C$5:$C$104,"&lt;="&amp;B61))</f>
        <v/>
      </c>
      <c r="D61" s="10" t="str">
        <f>IF(B61="","",SUMIFS('04_Trades'!$K$5:$K$1004,'04_Trades'!$C$5:$C$1004,"BUY",'04_Trades'!$B$5:$B$1004,"&lt;="&amp;B61)-SUMIFS('04_Trades'!$K$5:$K$1004,'04_Trades'!$C$5:$C$1004,"SELL",'04_Trades'!$B$5:$B$1004,"&lt;="&amp;B61))</f>
        <v/>
      </c>
      <c r="E61" s="10" t="str">
        <f>IF(B61="","",SUMIFS('05_Dividendi_Interessi'!$I$5:$I$504,'05_Dividendi_Interessi'!$B$5:$B$504,"&lt;="&amp;B61))</f>
        <v/>
      </c>
      <c r="F61" s="10" t="str">
        <f>IF(B61="","",SUMIFS('06_Partecipazioni'!$I$5:$I$204,'06_Partecipazioni'!$C$5:$C$204,"BUY",'06_Partecipazioni'!$B$5:$B$204,"&lt;="&amp;B61)-SUMIFS('06_Partecipazioni'!$I$5:$I$204,'06_Partecipazioni'!$C$5:$C$204,"SELL",'06_Partecipazioni'!$B$5:$B$204,"&lt;="&amp;B61))</f>
        <v/>
      </c>
      <c r="G61" s="10" t="str">
        <f>IF(B61="","",SUMIFS('07_Prestiti'!$H$5:$H$204,'07_Prestiti'!$C$5:$C$204,"DISBURSEMENT",'07_Prestiti'!$B$5:$B$204,"&lt;="&amp;B61)-SUMIFS('07_Prestiti'!$H$5:$H$204,'07_Prestiti'!$C$5:$C$204,"REPAYMENT",'07_Prestiti'!$B$5:$B$204,"&lt;="&amp;B61))</f>
        <v/>
      </c>
      <c r="H61" s="10" t="str">
        <f>IF(B61="","",SUMIFS('08_PL_Operativa'!$H$5:$H$503,'08_PL_Operativa'!$B$5:$B$503,"&lt;="&amp;B61))</f>
        <v/>
      </c>
      <c r="I61" s="26" t="str">
        <f t="shared" si="6"/>
        <v/>
      </c>
      <c r="J61" s="25"/>
      <c r="K61" s="25"/>
      <c r="L61" s="25"/>
      <c r="M61" s="26" t="str">
        <f t="shared" si="7"/>
        <v/>
      </c>
      <c r="N61" s="33" t="str">
        <f>IF(B61="","",SUMIFS('03_Investitori'!$J$5:$J$104,'03_Investitori'!$C$5:$C$104,"&lt;="&amp;B61))</f>
        <v/>
      </c>
      <c r="O61" s="35" t="str">
        <f t="shared" si="8"/>
        <v/>
      </c>
      <c r="P61" s="11" t="str">
        <f t="shared" si="9"/>
        <v/>
      </c>
    </row>
    <row r="62" spans="1:16" x14ac:dyDescent="0.2">
      <c r="A62" s="23" t="str">
        <f t="shared" si="5"/>
        <v/>
      </c>
      <c r="B62" s="22"/>
      <c r="C62" s="10" t="str">
        <f>IF(B62="","",SUMIFS('03_Investitori'!$H$5:$H$104,'03_Investitori'!$C$5:$C$104,"&lt;="&amp;B62))</f>
        <v/>
      </c>
      <c r="D62" s="10" t="str">
        <f>IF(B62="","",SUMIFS('04_Trades'!$K$5:$K$1004,'04_Trades'!$C$5:$C$1004,"BUY",'04_Trades'!$B$5:$B$1004,"&lt;="&amp;B62)-SUMIFS('04_Trades'!$K$5:$K$1004,'04_Trades'!$C$5:$C$1004,"SELL",'04_Trades'!$B$5:$B$1004,"&lt;="&amp;B62))</f>
        <v/>
      </c>
      <c r="E62" s="10" t="str">
        <f>IF(B62="","",SUMIFS('05_Dividendi_Interessi'!$I$5:$I$504,'05_Dividendi_Interessi'!$B$5:$B$504,"&lt;="&amp;B62))</f>
        <v/>
      </c>
      <c r="F62" s="10" t="str">
        <f>IF(B62="","",SUMIFS('06_Partecipazioni'!$I$5:$I$204,'06_Partecipazioni'!$C$5:$C$204,"BUY",'06_Partecipazioni'!$B$5:$B$204,"&lt;="&amp;B62)-SUMIFS('06_Partecipazioni'!$I$5:$I$204,'06_Partecipazioni'!$C$5:$C$204,"SELL",'06_Partecipazioni'!$B$5:$B$204,"&lt;="&amp;B62))</f>
        <v/>
      </c>
      <c r="G62" s="10" t="str">
        <f>IF(B62="","",SUMIFS('07_Prestiti'!$H$5:$H$204,'07_Prestiti'!$C$5:$C$204,"DISBURSEMENT",'07_Prestiti'!$B$5:$B$204,"&lt;="&amp;B62)-SUMIFS('07_Prestiti'!$H$5:$H$204,'07_Prestiti'!$C$5:$C$204,"REPAYMENT",'07_Prestiti'!$B$5:$B$204,"&lt;="&amp;B62))</f>
        <v/>
      </c>
      <c r="H62" s="10" t="str">
        <f>IF(B62="","",SUMIFS('08_PL_Operativa'!$H$5:$H$503,'08_PL_Operativa'!$B$5:$B$503,"&lt;="&amp;B62))</f>
        <v/>
      </c>
      <c r="I62" s="26" t="str">
        <f t="shared" si="6"/>
        <v/>
      </c>
      <c r="J62" s="25"/>
      <c r="K62" s="25"/>
      <c r="L62" s="25"/>
      <c r="M62" s="26" t="str">
        <f t="shared" si="7"/>
        <v/>
      </c>
      <c r="N62" s="33" t="str">
        <f>IF(B62="","",SUMIFS('03_Investitori'!$J$5:$J$104,'03_Investitori'!$C$5:$C$104,"&lt;="&amp;B62))</f>
        <v/>
      </c>
      <c r="O62" s="35" t="str">
        <f t="shared" si="8"/>
        <v/>
      </c>
      <c r="P62" s="11" t="str">
        <f t="shared" si="9"/>
        <v/>
      </c>
    </row>
    <row r="63" spans="1:16" x14ac:dyDescent="0.2">
      <c r="A63" s="23" t="str">
        <f t="shared" si="5"/>
        <v/>
      </c>
      <c r="B63" s="22"/>
      <c r="C63" s="10" t="str">
        <f>IF(B63="","",SUMIFS('03_Investitori'!$H$5:$H$104,'03_Investitori'!$C$5:$C$104,"&lt;="&amp;B63))</f>
        <v/>
      </c>
      <c r="D63" s="10" t="str">
        <f>IF(B63="","",SUMIFS('04_Trades'!$K$5:$K$1004,'04_Trades'!$C$5:$C$1004,"BUY",'04_Trades'!$B$5:$B$1004,"&lt;="&amp;B63)-SUMIFS('04_Trades'!$K$5:$K$1004,'04_Trades'!$C$5:$C$1004,"SELL",'04_Trades'!$B$5:$B$1004,"&lt;="&amp;B63))</f>
        <v/>
      </c>
      <c r="E63" s="10" t="str">
        <f>IF(B63="","",SUMIFS('05_Dividendi_Interessi'!$I$5:$I$504,'05_Dividendi_Interessi'!$B$5:$B$504,"&lt;="&amp;B63))</f>
        <v/>
      </c>
      <c r="F63" s="10" t="str">
        <f>IF(B63="","",SUMIFS('06_Partecipazioni'!$I$5:$I$204,'06_Partecipazioni'!$C$5:$C$204,"BUY",'06_Partecipazioni'!$B$5:$B$204,"&lt;="&amp;B63)-SUMIFS('06_Partecipazioni'!$I$5:$I$204,'06_Partecipazioni'!$C$5:$C$204,"SELL",'06_Partecipazioni'!$B$5:$B$204,"&lt;="&amp;B63))</f>
        <v/>
      </c>
      <c r="G63" s="10" t="str">
        <f>IF(B63="","",SUMIFS('07_Prestiti'!$H$5:$H$204,'07_Prestiti'!$C$5:$C$204,"DISBURSEMENT",'07_Prestiti'!$B$5:$B$204,"&lt;="&amp;B63)-SUMIFS('07_Prestiti'!$H$5:$H$204,'07_Prestiti'!$C$5:$C$204,"REPAYMENT",'07_Prestiti'!$B$5:$B$204,"&lt;="&amp;B63))</f>
        <v/>
      </c>
      <c r="H63" s="10" t="str">
        <f>IF(B63="","",SUMIFS('08_PL_Operativa'!$H$5:$H$503,'08_PL_Operativa'!$B$5:$B$503,"&lt;="&amp;B63))</f>
        <v/>
      </c>
      <c r="I63" s="26" t="str">
        <f t="shared" si="6"/>
        <v/>
      </c>
      <c r="J63" s="25"/>
      <c r="K63" s="25"/>
      <c r="L63" s="25"/>
      <c r="M63" s="26" t="str">
        <f t="shared" si="7"/>
        <v/>
      </c>
      <c r="N63" s="33" t="str">
        <f>IF(B63="","",SUMIFS('03_Investitori'!$J$5:$J$104,'03_Investitori'!$C$5:$C$104,"&lt;="&amp;B63))</f>
        <v/>
      </c>
      <c r="O63" s="35" t="str">
        <f t="shared" si="8"/>
        <v/>
      </c>
      <c r="P63" s="11" t="str">
        <f t="shared" si="9"/>
        <v/>
      </c>
    </row>
    <row r="64" spans="1:16" x14ac:dyDescent="0.2">
      <c r="A64" s="23" t="str">
        <f t="shared" si="5"/>
        <v/>
      </c>
      <c r="B64" s="22"/>
      <c r="C64" s="10" t="str">
        <f>IF(B64="","",SUMIFS('03_Investitori'!$H$5:$H$104,'03_Investitori'!$C$5:$C$104,"&lt;="&amp;B64))</f>
        <v/>
      </c>
      <c r="D64" s="10" t="str">
        <f>IF(B64="","",SUMIFS('04_Trades'!$K$5:$K$1004,'04_Trades'!$C$5:$C$1004,"BUY",'04_Trades'!$B$5:$B$1004,"&lt;="&amp;B64)-SUMIFS('04_Trades'!$K$5:$K$1004,'04_Trades'!$C$5:$C$1004,"SELL",'04_Trades'!$B$5:$B$1004,"&lt;="&amp;B64))</f>
        <v/>
      </c>
      <c r="E64" s="10" t="str">
        <f>IF(B64="","",SUMIFS('05_Dividendi_Interessi'!$I$5:$I$504,'05_Dividendi_Interessi'!$B$5:$B$504,"&lt;="&amp;B64))</f>
        <v/>
      </c>
      <c r="F64" s="10" t="str">
        <f>IF(B64="","",SUMIFS('06_Partecipazioni'!$I$5:$I$204,'06_Partecipazioni'!$C$5:$C$204,"BUY",'06_Partecipazioni'!$B$5:$B$204,"&lt;="&amp;B64)-SUMIFS('06_Partecipazioni'!$I$5:$I$204,'06_Partecipazioni'!$C$5:$C$204,"SELL",'06_Partecipazioni'!$B$5:$B$204,"&lt;="&amp;B64))</f>
        <v/>
      </c>
      <c r="G64" s="10" t="str">
        <f>IF(B64="","",SUMIFS('07_Prestiti'!$H$5:$H$204,'07_Prestiti'!$C$5:$C$204,"DISBURSEMENT",'07_Prestiti'!$B$5:$B$204,"&lt;="&amp;B64)-SUMIFS('07_Prestiti'!$H$5:$H$204,'07_Prestiti'!$C$5:$C$204,"REPAYMENT",'07_Prestiti'!$B$5:$B$204,"&lt;="&amp;B64))</f>
        <v/>
      </c>
      <c r="H64" s="10" t="str">
        <f>IF(B64="","",SUMIFS('08_PL_Operativa'!$H$5:$H$503,'08_PL_Operativa'!$B$5:$B$503,"&lt;="&amp;B64))</f>
        <v/>
      </c>
      <c r="I64" s="26" t="str">
        <f t="shared" si="6"/>
        <v/>
      </c>
      <c r="J64" s="25"/>
      <c r="K64" s="25"/>
      <c r="L64" s="25"/>
      <c r="M64" s="26" t="str">
        <f t="shared" si="7"/>
        <v/>
      </c>
      <c r="N64" s="33" t="str">
        <f>IF(B64="","",SUMIFS('03_Investitori'!$J$5:$J$104,'03_Investitori'!$C$5:$C$104,"&lt;="&amp;B64))</f>
        <v/>
      </c>
      <c r="O64" s="35" t="str">
        <f t="shared" si="8"/>
        <v/>
      </c>
      <c r="P64" s="11" t="str">
        <f t="shared" si="9"/>
        <v/>
      </c>
    </row>
    <row r="65" spans="1:16" x14ac:dyDescent="0.2">
      <c r="A65" s="23" t="str">
        <f t="shared" si="5"/>
        <v/>
      </c>
      <c r="B65" s="22"/>
      <c r="C65" s="10" t="str">
        <f>IF(B65="","",SUMIFS('03_Investitori'!$H$5:$H$104,'03_Investitori'!$C$5:$C$104,"&lt;="&amp;B65))</f>
        <v/>
      </c>
      <c r="D65" s="10" t="str">
        <f>IF(B65="","",SUMIFS('04_Trades'!$K$5:$K$1004,'04_Trades'!$C$5:$C$1004,"BUY",'04_Trades'!$B$5:$B$1004,"&lt;="&amp;B65)-SUMIFS('04_Trades'!$K$5:$K$1004,'04_Trades'!$C$5:$C$1004,"SELL",'04_Trades'!$B$5:$B$1004,"&lt;="&amp;B65))</f>
        <v/>
      </c>
      <c r="E65" s="10" t="str">
        <f>IF(B65="","",SUMIFS('05_Dividendi_Interessi'!$I$5:$I$504,'05_Dividendi_Interessi'!$B$5:$B$504,"&lt;="&amp;B65))</f>
        <v/>
      </c>
      <c r="F65" s="10" t="str">
        <f>IF(B65="","",SUMIFS('06_Partecipazioni'!$I$5:$I$204,'06_Partecipazioni'!$C$5:$C$204,"BUY",'06_Partecipazioni'!$B$5:$B$204,"&lt;="&amp;B65)-SUMIFS('06_Partecipazioni'!$I$5:$I$204,'06_Partecipazioni'!$C$5:$C$204,"SELL",'06_Partecipazioni'!$B$5:$B$204,"&lt;="&amp;B65))</f>
        <v/>
      </c>
      <c r="G65" s="10" t="str">
        <f>IF(B65="","",SUMIFS('07_Prestiti'!$H$5:$H$204,'07_Prestiti'!$C$5:$C$204,"DISBURSEMENT",'07_Prestiti'!$B$5:$B$204,"&lt;="&amp;B65)-SUMIFS('07_Prestiti'!$H$5:$H$204,'07_Prestiti'!$C$5:$C$204,"REPAYMENT",'07_Prestiti'!$B$5:$B$204,"&lt;="&amp;B65))</f>
        <v/>
      </c>
      <c r="H65" s="10" t="str">
        <f>IF(B65="","",SUMIFS('08_PL_Operativa'!$H$5:$H$503,'08_PL_Operativa'!$B$5:$B$503,"&lt;="&amp;B65))</f>
        <v/>
      </c>
      <c r="I65" s="26" t="str">
        <f t="shared" si="6"/>
        <v/>
      </c>
      <c r="J65" s="25"/>
      <c r="K65" s="25"/>
      <c r="L65" s="25"/>
      <c r="M65" s="26" t="str">
        <f t="shared" si="7"/>
        <v/>
      </c>
      <c r="N65" s="33" t="str">
        <f>IF(B65="","",SUMIFS('03_Investitori'!$J$5:$J$104,'03_Investitori'!$C$5:$C$104,"&lt;="&amp;B65))</f>
        <v/>
      </c>
      <c r="O65" s="35" t="str">
        <f t="shared" si="8"/>
        <v/>
      </c>
      <c r="P65" s="11" t="str">
        <f t="shared" si="9"/>
        <v/>
      </c>
    </row>
    <row r="66" spans="1:16" x14ac:dyDescent="0.2">
      <c r="A66" s="23" t="str">
        <f t="shared" si="5"/>
        <v/>
      </c>
      <c r="B66" s="22"/>
      <c r="C66" s="10" t="str">
        <f>IF(B66="","",SUMIFS('03_Investitori'!$H$5:$H$104,'03_Investitori'!$C$5:$C$104,"&lt;="&amp;B66))</f>
        <v/>
      </c>
      <c r="D66" s="10" t="str">
        <f>IF(B66="","",SUMIFS('04_Trades'!$K$5:$K$1004,'04_Trades'!$C$5:$C$1004,"BUY",'04_Trades'!$B$5:$B$1004,"&lt;="&amp;B66)-SUMIFS('04_Trades'!$K$5:$K$1004,'04_Trades'!$C$5:$C$1004,"SELL",'04_Trades'!$B$5:$B$1004,"&lt;="&amp;B66))</f>
        <v/>
      </c>
      <c r="E66" s="10" t="str">
        <f>IF(B66="","",SUMIFS('05_Dividendi_Interessi'!$I$5:$I$504,'05_Dividendi_Interessi'!$B$5:$B$504,"&lt;="&amp;B66))</f>
        <v/>
      </c>
      <c r="F66" s="10" t="str">
        <f>IF(B66="","",SUMIFS('06_Partecipazioni'!$I$5:$I$204,'06_Partecipazioni'!$C$5:$C$204,"BUY",'06_Partecipazioni'!$B$5:$B$204,"&lt;="&amp;B66)-SUMIFS('06_Partecipazioni'!$I$5:$I$204,'06_Partecipazioni'!$C$5:$C$204,"SELL",'06_Partecipazioni'!$B$5:$B$204,"&lt;="&amp;B66))</f>
        <v/>
      </c>
      <c r="G66" s="10" t="str">
        <f>IF(B66="","",SUMIFS('07_Prestiti'!$H$5:$H$204,'07_Prestiti'!$C$5:$C$204,"DISBURSEMENT",'07_Prestiti'!$B$5:$B$204,"&lt;="&amp;B66)-SUMIFS('07_Prestiti'!$H$5:$H$204,'07_Prestiti'!$C$5:$C$204,"REPAYMENT",'07_Prestiti'!$B$5:$B$204,"&lt;="&amp;B66))</f>
        <v/>
      </c>
      <c r="H66" s="10" t="str">
        <f>IF(B66="","",SUMIFS('08_PL_Operativa'!$H$5:$H$503,'08_PL_Operativa'!$B$5:$B$503,"&lt;="&amp;B66))</f>
        <v/>
      </c>
      <c r="I66" s="26" t="str">
        <f t="shared" si="6"/>
        <v/>
      </c>
      <c r="J66" s="25"/>
      <c r="K66" s="25"/>
      <c r="L66" s="25"/>
      <c r="M66" s="26" t="str">
        <f t="shared" si="7"/>
        <v/>
      </c>
      <c r="N66" s="33" t="str">
        <f>IF(B66="","",SUMIFS('03_Investitori'!$J$5:$J$104,'03_Investitori'!$C$5:$C$104,"&lt;="&amp;B66))</f>
        <v/>
      </c>
      <c r="O66" s="35" t="str">
        <f t="shared" si="8"/>
        <v/>
      </c>
      <c r="P66" s="11" t="str">
        <f t="shared" si="9"/>
        <v/>
      </c>
    </row>
    <row r="67" spans="1:16" x14ac:dyDescent="0.2">
      <c r="A67" s="23" t="str">
        <f t="shared" si="5"/>
        <v/>
      </c>
      <c r="B67" s="22"/>
      <c r="C67" s="10" t="str">
        <f>IF(B67="","",SUMIFS('03_Investitori'!$H$5:$H$104,'03_Investitori'!$C$5:$C$104,"&lt;="&amp;B67))</f>
        <v/>
      </c>
      <c r="D67" s="10" t="str">
        <f>IF(B67="","",SUMIFS('04_Trades'!$K$5:$K$1004,'04_Trades'!$C$5:$C$1004,"BUY",'04_Trades'!$B$5:$B$1004,"&lt;="&amp;B67)-SUMIFS('04_Trades'!$K$5:$K$1004,'04_Trades'!$C$5:$C$1004,"SELL",'04_Trades'!$B$5:$B$1004,"&lt;="&amp;B67))</f>
        <v/>
      </c>
      <c r="E67" s="10" t="str">
        <f>IF(B67="","",SUMIFS('05_Dividendi_Interessi'!$I$5:$I$504,'05_Dividendi_Interessi'!$B$5:$B$504,"&lt;="&amp;B67))</f>
        <v/>
      </c>
      <c r="F67" s="10" t="str">
        <f>IF(B67="","",SUMIFS('06_Partecipazioni'!$I$5:$I$204,'06_Partecipazioni'!$C$5:$C$204,"BUY",'06_Partecipazioni'!$B$5:$B$204,"&lt;="&amp;B67)-SUMIFS('06_Partecipazioni'!$I$5:$I$204,'06_Partecipazioni'!$C$5:$C$204,"SELL",'06_Partecipazioni'!$B$5:$B$204,"&lt;="&amp;B67))</f>
        <v/>
      </c>
      <c r="G67" s="10" t="str">
        <f>IF(B67="","",SUMIFS('07_Prestiti'!$H$5:$H$204,'07_Prestiti'!$C$5:$C$204,"DISBURSEMENT",'07_Prestiti'!$B$5:$B$204,"&lt;="&amp;B67)-SUMIFS('07_Prestiti'!$H$5:$H$204,'07_Prestiti'!$C$5:$C$204,"REPAYMENT",'07_Prestiti'!$B$5:$B$204,"&lt;="&amp;B67))</f>
        <v/>
      </c>
      <c r="H67" s="10" t="str">
        <f>IF(B67="","",SUMIFS('08_PL_Operativa'!$H$5:$H$503,'08_PL_Operativa'!$B$5:$B$503,"&lt;="&amp;B67))</f>
        <v/>
      </c>
      <c r="I67" s="26" t="str">
        <f t="shared" si="6"/>
        <v/>
      </c>
      <c r="J67" s="25"/>
      <c r="K67" s="25"/>
      <c r="L67" s="25"/>
      <c r="M67" s="26" t="str">
        <f t="shared" si="7"/>
        <v/>
      </c>
      <c r="N67" s="33" t="str">
        <f>IF(B67="","",SUMIFS('03_Investitori'!$J$5:$J$104,'03_Investitori'!$C$5:$C$104,"&lt;="&amp;B67))</f>
        <v/>
      </c>
      <c r="O67" s="35" t="str">
        <f t="shared" si="8"/>
        <v/>
      </c>
      <c r="P67" s="11" t="str">
        <f t="shared" si="9"/>
        <v/>
      </c>
    </row>
    <row r="68" spans="1:16" x14ac:dyDescent="0.2">
      <c r="A68" s="23" t="str">
        <f t="shared" si="5"/>
        <v/>
      </c>
      <c r="B68" s="22"/>
      <c r="C68" s="10" t="str">
        <f>IF(B68="","",SUMIFS('03_Investitori'!$H$5:$H$104,'03_Investitori'!$C$5:$C$104,"&lt;="&amp;B68))</f>
        <v/>
      </c>
      <c r="D68" s="10" t="str">
        <f>IF(B68="","",SUMIFS('04_Trades'!$K$5:$K$1004,'04_Trades'!$C$5:$C$1004,"BUY",'04_Trades'!$B$5:$B$1004,"&lt;="&amp;B68)-SUMIFS('04_Trades'!$K$5:$K$1004,'04_Trades'!$C$5:$C$1004,"SELL",'04_Trades'!$B$5:$B$1004,"&lt;="&amp;B68))</f>
        <v/>
      </c>
      <c r="E68" s="10" t="str">
        <f>IF(B68="","",SUMIFS('05_Dividendi_Interessi'!$I$5:$I$504,'05_Dividendi_Interessi'!$B$5:$B$504,"&lt;="&amp;B68))</f>
        <v/>
      </c>
      <c r="F68" s="10" t="str">
        <f>IF(B68="","",SUMIFS('06_Partecipazioni'!$I$5:$I$204,'06_Partecipazioni'!$C$5:$C$204,"BUY",'06_Partecipazioni'!$B$5:$B$204,"&lt;="&amp;B68)-SUMIFS('06_Partecipazioni'!$I$5:$I$204,'06_Partecipazioni'!$C$5:$C$204,"SELL",'06_Partecipazioni'!$B$5:$B$204,"&lt;="&amp;B68))</f>
        <v/>
      </c>
      <c r="G68" s="10" t="str">
        <f>IF(B68="","",SUMIFS('07_Prestiti'!$H$5:$H$204,'07_Prestiti'!$C$5:$C$204,"DISBURSEMENT",'07_Prestiti'!$B$5:$B$204,"&lt;="&amp;B68)-SUMIFS('07_Prestiti'!$H$5:$H$204,'07_Prestiti'!$C$5:$C$204,"REPAYMENT",'07_Prestiti'!$B$5:$B$204,"&lt;="&amp;B68))</f>
        <v/>
      </c>
      <c r="H68" s="10" t="str">
        <f>IF(B68="","",SUMIFS('08_PL_Operativa'!$H$5:$H$503,'08_PL_Operativa'!$B$5:$B$503,"&lt;="&amp;B68))</f>
        <v/>
      </c>
      <c r="I68" s="26" t="str">
        <f t="shared" si="6"/>
        <v/>
      </c>
      <c r="J68" s="25"/>
      <c r="K68" s="25"/>
      <c r="L68" s="25"/>
      <c r="M68" s="26" t="str">
        <f t="shared" si="7"/>
        <v/>
      </c>
      <c r="N68" s="33" t="str">
        <f>IF(B68="","",SUMIFS('03_Investitori'!$J$5:$J$104,'03_Investitori'!$C$5:$C$104,"&lt;="&amp;B68))</f>
        <v/>
      </c>
      <c r="O68" s="35" t="str">
        <f t="shared" si="8"/>
        <v/>
      </c>
      <c r="P68" s="11" t="str">
        <f t="shared" si="9"/>
        <v/>
      </c>
    </row>
    <row r="69" spans="1:16" x14ac:dyDescent="0.2">
      <c r="A69" s="23" t="str">
        <f t="shared" ref="A69:A100" si="10">IF(B69="","",ROW()-4)</f>
        <v/>
      </c>
      <c r="B69" s="22"/>
      <c r="C69" s="10" t="str">
        <f>IF(B69="","",SUMIFS('03_Investitori'!$H$5:$H$104,'03_Investitori'!$C$5:$C$104,"&lt;="&amp;B69))</f>
        <v/>
      </c>
      <c r="D69" s="10" t="str">
        <f>IF(B69="","",SUMIFS('04_Trades'!$K$5:$K$1004,'04_Trades'!$C$5:$C$1004,"BUY",'04_Trades'!$B$5:$B$1004,"&lt;="&amp;B69)-SUMIFS('04_Trades'!$K$5:$K$1004,'04_Trades'!$C$5:$C$1004,"SELL",'04_Trades'!$B$5:$B$1004,"&lt;="&amp;B69))</f>
        <v/>
      </c>
      <c r="E69" s="10" t="str">
        <f>IF(B69="","",SUMIFS('05_Dividendi_Interessi'!$I$5:$I$504,'05_Dividendi_Interessi'!$B$5:$B$504,"&lt;="&amp;B69))</f>
        <v/>
      </c>
      <c r="F69" s="10" t="str">
        <f>IF(B69="","",SUMIFS('06_Partecipazioni'!$I$5:$I$204,'06_Partecipazioni'!$C$5:$C$204,"BUY",'06_Partecipazioni'!$B$5:$B$204,"&lt;="&amp;B69)-SUMIFS('06_Partecipazioni'!$I$5:$I$204,'06_Partecipazioni'!$C$5:$C$204,"SELL",'06_Partecipazioni'!$B$5:$B$204,"&lt;="&amp;B69))</f>
        <v/>
      </c>
      <c r="G69" s="10" t="str">
        <f>IF(B69="","",SUMIFS('07_Prestiti'!$H$5:$H$204,'07_Prestiti'!$C$5:$C$204,"DISBURSEMENT",'07_Prestiti'!$B$5:$B$204,"&lt;="&amp;B69)-SUMIFS('07_Prestiti'!$H$5:$H$204,'07_Prestiti'!$C$5:$C$204,"REPAYMENT",'07_Prestiti'!$B$5:$B$204,"&lt;="&amp;B69))</f>
        <v/>
      </c>
      <c r="H69" s="10" t="str">
        <f>IF(B69="","",SUMIFS('08_PL_Operativa'!$H$5:$H$503,'08_PL_Operativa'!$B$5:$B$503,"&lt;="&amp;B69))</f>
        <v/>
      </c>
      <c r="I69" s="26" t="str">
        <f t="shared" ref="I69:I100" si="11">IF(B69="","",C69-D69+E69-F69-G69+H69)</f>
        <v/>
      </c>
      <c r="J69" s="25"/>
      <c r="K69" s="25"/>
      <c r="L69" s="25"/>
      <c r="M69" s="26" t="str">
        <f t="shared" ref="M69:M100" si="12">IF(B69="","",I69+IF(AND(MONTH(B69)=MONTH(DataOggi),YEAR(B69)=YEAR(DataOggi)),MV_Listed_Tot,IF(J69="",D69,J69))+IF(K69="",F69,K69)+IF(L69="",G69,L69))</f>
        <v/>
      </c>
      <c r="N69" s="33" t="str">
        <f>IF(B69="","",SUMIFS('03_Investitori'!$J$5:$J$104,'03_Investitori'!$C$5:$C$104,"&lt;="&amp;B69))</f>
        <v/>
      </c>
      <c r="O69" s="35" t="str">
        <f t="shared" ref="O69:O100" si="13">IF(OR(B69="",N69=0,N69=""),"",M69/N69)</f>
        <v/>
      </c>
      <c r="P69" s="11" t="str">
        <f t="shared" si="9"/>
        <v/>
      </c>
    </row>
    <row r="70" spans="1:16" x14ac:dyDescent="0.2">
      <c r="A70" s="23" t="str">
        <f t="shared" si="10"/>
        <v/>
      </c>
      <c r="B70" s="22"/>
      <c r="C70" s="10" t="str">
        <f>IF(B70="","",SUMIFS('03_Investitori'!$H$5:$H$104,'03_Investitori'!$C$5:$C$104,"&lt;="&amp;B70))</f>
        <v/>
      </c>
      <c r="D70" s="10" t="str">
        <f>IF(B70="","",SUMIFS('04_Trades'!$K$5:$K$1004,'04_Trades'!$C$5:$C$1004,"BUY",'04_Trades'!$B$5:$B$1004,"&lt;="&amp;B70)-SUMIFS('04_Trades'!$K$5:$K$1004,'04_Trades'!$C$5:$C$1004,"SELL",'04_Trades'!$B$5:$B$1004,"&lt;="&amp;B70))</f>
        <v/>
      </c>
      <c r="E70" s="10" t="str">
        <f>IF(B70="","",SUMIFS('05_Dividendi_Interessi'!$I$5:$I$504,'05_Dividendi_Interessi'!$B$5:$B$504,"&lt;="&amp;B70))</f>
        <v/>
      </c>
      <c r="F70" s="10" t="str">
        <f>IF(B70="","",SUMIFS('06_Partecipazioni'!$I$5:$I$204,'06_Partecipazioni'!$C$5:$C$204,"BUY",'06_Partecipazioni'!$B$5:$B$204,"&lt;="&amp;B70)-SUMIFS('06_Partecipazioni'!$I$5:$I$204,'06_Partecipazioni'!$C$5:$C$204,"SELL",'06_Partecipazioni'!$B$5:$B$204,"&lt;="&amp;B70))</f>
        <v/>
      </c>
      <c r="G70" s="10" t="str">
        <f>IF(B70="","",SUMIFS('07_Prestiti'!$H$5:$H$204,'07_Prestiti'!$C$5:$C$204,"DISBURSEMENT",'07_Prestiti'!$B$5:$B$204,"&lt;="&amp;B70)-SUMIFS('07_Prestiti'!$H$5:$H$204,'07_Prestiti'!$C$5:$C$204,"REPAYMENT",'07_Prestiti'!$B$5:$B$204,"&lt;="&amp;B70))</f>
        <v/>
      </c>
      <c r="H70" s="10" t="str">
        <f>IF(B70="","",SUMIFS('08_PL_Operativa'!$H$5:$H$503,'08_PL_Operativa'!$B$5:$B$503,"&lt;="&amp;B70))</f>
        <v/>
      </c>
      <c r="I70" s="26" t="str">
        <f t="shared" si="11"/>
        <v/>
      </c>
      <c r="J70" s="25"/>
      <c r="K70" s="25"/>
      <c r="L70" s="25"/>
      <c r="M70" s="26" t="str">
        <f t="shared" si="12"/>
        <v/>
      </c>
      <c r="N70" s="33" t="str">
        <f>IF(B70="","",SUMIFS('03_Investitori'!$J$5:$J$104,'03_Investitori'!$C$5:$C$104,"&lt;="&amp;B70))</f>
        <v/>
      </c>
      <c r="O70" s="35" t="str">
        <f t="shared" si="13"/>
        <v/>
      </c>
      <c r="P70" s="11" t="str">
        <f t="shared" ref="P70:P101" si="14">IFERROR(IF(OR(B70="",O69=""),"",O70/O69-1),"")</f>
        <v/>
      </c>
    </row>
    <row r="71" spans="1:16" x14ac:dyDescent="0.2">
      <c r="A71" s="23" t="str">
        <f t="shared" si="10"/>
        <v/>
      </c>
      <c r="B71" s="22"/>
      <c r="C71" s="10" t="str">
        <f>IF(B71="","",SUMIFS('03_Investitori'!$H$5:$H$104,'03_Investitori'!$C$5:$C$104,"&lt;="&amp;B71))</f>
        <v/>
      </c>
      <c r="D71" s="10" t="str">
        <f>IF(B71="","",SUMIFS('04_Trades'!$K$5:$K$1004,'04_Trades'!$C$5:$C$1004,"BUY",'04_Trades'!$B$5:$B$1004,"&lt;="&amp;B71)-SUMIFS('04_Trades'!$K$5:$K$1004,'04_Trades'!$C$5:$C$1004,"SELL",'04_Trades'!$B$5:$B$1004,"&lt;="&amp;B71))</f>
        <v/>
      </c>
      <c r="E71" s="10" t="str">
        <f>IF(B71="","",SUMIFS('05_Dividendi_Interessi'!$I$5:$I$504,'05_Dividendi_Interessi'!$B$5:$B$504,"&lt;="&amp;B71))</f>
        <v/>
      </c>
      <c r="F71" s="10" t="str">
        <f>IF(B71="","",SUMIFS('06_Partecipazioni'!$I$5:$I$204,'06_Partecipazioni'!$C$5:$C$204,"BUY",'06_Partecipazioni'!$B$5:$B$204,"&lt;="&amp;B71)-SUMIFS('06_Partecipazioni'!$I$5:$I$204,'06_Partecipazioni'!$C$5:$C$204,"SELL",'06_Partecipazioni'!$B$5:$B$204,"&lt;="&amp;B71))</f>
        <v/>
      </c>
      <c r="G71" s="10" t="str">
        <f>IF(B71="","",SUMIFS('07_Prestiti'!$H$5:$H$204,'07_Prestiti'!$C$5:$C$204,"DISBURSEMENT",'07_Prestiti'!$B$5:$B$204,"&lt;="&amp;B71)-SUMIFS('07_Prestiti'!$H$5:$H$204,'07_Prestiti'!$C$5:$C$204,"REPAYMENT",'07_Prestiti'!$B$5:$B$204,"&lt;="&amp;B71))</f>
        <v/>
      </c>
      <c r="H71" s="10" t="str">
        <f>IF(B71="","",SUMIFS('08_PL_Operativa'!$H$5:$H$503,'08_PL_Operativa'!$B$5:$B$503,"&lt;="&amp;B71))</f>
        <v/>
      </c>
      <c r="I71" s="26" t="str">
        <f t="shared" si="11"/>
        <v/>
      </c>
      <c r="J71" s="25"/>
      <c r="K71" s="25"/>
      <c r="L71" s="25"/>
      <c r="M71" s="26" t="str">
        <f t="shared" si="12"/>
        <v/>
      </c>
      <c r="N71" s="33" t="str">
        <f>IF(B71="","",SUMIFS('03_Investitori'!$J$5:$J$104,'03_Investitori'!$C$5:$C$104,"&lt;="&amp;B71))</f>
        <v/>
      </c>
      <c r="O71" s="35" t="str">
        <f t="shared" si="13"/>
        <v/>
      </c>
      <c r="P71" s="11" t="str">
        <f t="shared" si="14"/>
        <v/>
      </c>
    </row>
    <row r="72" spans="1:16" x14ac:dyDescent="0.2">
      <c r="A72" s="23" t="str">
        <f t="shared" si="10"/>
        <v/>
      </c>
      <c r="B72" s="22"/>
      <c r="C72" s="10" t="str">
        <f>IF(B72="","",SUMIFS('03_Investitori'!$H$5:$H$104,'03_Investitori'!$C$5:$C$104,"&lt;="&amp;B72))</f>
        <v/>
      </c>
      <c r="D72" s="10" t="str">
        <f>IF(B72="","",SUMIFS('04_Trades'!$K$5:$K$1004,'04_Trades'!$C$5:$C$1004,"BUY",'04_Trades'!$B$5:$B$1004,"&lt;="&amp;B72)-SUMIFS('04_Trades'!$K$5:$K$1004,'04_Trades'!$C$5:$C$1004,"SELL",'04_Trades'!$B$5:$B$1004,"&lt;="&amp;B72))</f>
        <v/>
      </c>
      <c r="E72" s="10" t="str">
        <f>IF(B72="","",SUMIFS('05_Dividendi_Interessi'!$I$5:$I$504,'05_Dividendi_Interessi'!$B$5:$B$504,"&lt;="&amp;B72))</f>
        <v/>
      </c>
      <c r="F72" s="10" t="str">
        <f>IF(B72="","",SUMIFS('06_Partecipazioni'!$I$5:$I$204,'06_Partecipazioni'!$C$5:$C$204,"BUY",'06_Partecipazioni'!$B$5:$B$204,"&lt;="&amp;B72)-SUMIFS('06_Partecipazioni'!$I$5:$I$204,'06_Partecipazioni'!$C$5:$C$204,"SELL",'06_Partecipazioni'!$B$5:$B$204,"&lt;="&amp;B72))</f>
        <v/>
      </c>
      <c r="G72" s="10" t="str">
        <f>IF(B72="","",SUMIFS('07_Prestiti'!$H$5:$H$204,'07_Prestiti'!$C$5:$C$204,"DISBURSEMENT",'07_Prestiti'!$B$5:$B$204,"&lt;="&amp;B72)-SUMIFS('07_Prestiti'!$H$5:$H$204,'07_Prestiti'!$C$5:$C$204,"REPAYMENT",'07_Prestiti'!$B$5:$B$204,"&lt;="&amp;B72))</f>
        <v/>
      </c>
      <c r="H72" s="10" t="str">
        <f>IF(B72="","",SUMIFS('08_PL_Operativa'!$H$5:$H$503,'08_PL_Operativa'!$B$5:$B$503,"&lt;="&amp;B72))</f>
        <v/>
      </c>
      <c r="I72" s="26" t="str">
        <f t="shared" si="11"/>
        <v/>
      </c>
      <c r="J72" s="25"/>
      <c r="K72" s="25"/>
      <c r="L72" s="25"/>
      <c r="M72" s="26" t="str">
        <f t="shared" si="12"/>
        <v/>
      </c>
      <c r="N72" s="33" t="str">
        <f>IF(B72="","",SUMIFS('03_Investitori'!$J$5:$J$104,'03_Investitori'!$C$5:$C$104,"&lt;="&amp;B72))</f>
        <v/>
      </c>
      <c r="O72" s="35" t="str">
        <f t="shared" si="13"/>
        <v/>
      </c>
      <c r="P72" s="11" t="str">
        <f t="shared" si="14"/>
        <v/>
      </c>
    </row>
    <row r="73" spans="1:16" x14ac:dyDescent="0.2">
      <c r="A73" s="23" t="str">
        <f t="shared" si="10"/>
        <v/>
      </c>
      <c r="B73" s="22"/>
      <c r="C73" s="10" t="str">
        <f>IF(B73="","",SUMIFS('03_Investitori'!$H$5:$H$104,'03_Investitori'!$C$5:$C$104,"&lt;="&amp;B73))</f>
        <v/>
      </c>
      <c r="D73" s="10" t="str">
        <f>IF(B73="","",SUMIFS('04_Trades'!$K$5:$K$1004,'04_Trades'!$C$5:$C$1004,"BUY",'04_Trades'!$B$5:$B$1004,"&lt;="&amp;B73)-SUMIFS('04_Trades'!$K$5:$K$1004,'04_Trades'!$C$5:$C$1004,"SELL",'04_Trades'!$B$5:$B$1004,"&lt;="&amp;B73))</f>
        <v/>
      </c>
      <c r="E73" s="10" t="str">
        <f>IF(B73="","",SUMIFS('05_Dividendi_Interessi'!$I$5:$I$504,'05_Dividendi_Interessi'!$B$5:$B$504,"&lt;="&amp;B73))</f>
        <v/>
      </c>
      <c r="F73" s="10" t="str">
        <f>IF(B73="","",SUMIFS('06_Partecipazioni'!$I$5:$I$204,'06_Partecipazioni'!$C$5:$C$204,"BUY",'06_Partecipazioni'!$B$5:$B$204,"&lt;="&amp;B73)-SUMIFS('06_Partecipazioni'!$I$5:$I$204,'06_Partecipazioni'!$C$5:$C$204,"SELL",'06_Partecipazioni'!$B$5:$B$204,"&lt;="&amp;B73))</f>
        <v/>
      </c>
      <c r="G73" s="10" t="str">
        <f>IF(B73="","",SUMIFS('07_Prestiti'!$H$5:$H$204,'07_Prestiti'!$C$5:$C$204,"DISBURSEMENT",'07_Prestiti'!$B$5:$B$204,"&lt;="&amp;B73)-SUMIFS('07_Prestiti'!$H$5:$H$204,'07_Prestiti'!$C$5:$C$204,"REPAYMENT",'07_Prestiti'!$B$5:$B$204,"&lt;="&amp;B73))</f>
        <v/>
      </c>
      <c r="H73" s="10" t="str">
        <f>IF(B73="","",SUMIFS('08_PL_Operativa'!$H$5:$H$503,'08_PL_Operativa'!$B$5:$B$503,"&lt;="&amp;B73))</f>
        <v/>
      </c>
      <c r="I73" s="26" t="str">
        <f t="shared" si="11"/>
        <v/>
      </c>
      <c r="J73" s="25"/>
      <c r="K73" s="25"/>
      <c r="L73" s="25"/>
      <c r="M73" s="26" t="str">
        <f t="shared" si="12"/>
        <v/>
      </c>
      <c r="N73" s="33" t="str">
        <f>IF(B73="","",SUMIFS('03_Investitori'!$J$5:$J$104,'03_Investitori'!$C$5:$C$104,"&lt;="&amp;B73))</f>
        <v/>
      </c>
      <c r="O73" s="35" t="str">
        <f t="shared" si="13"/>
        <v/>
      </c>
      <c r="P73" s="11" t="str">
        <f t="shared" si="14"/>
        <v/>
      </c>
    </row>
    <row r="74" spans="1:16" x14ac:dyDescent="0.2">
      <c r="A74" s="23" t="str">
        <f t="shared" si="10"/>
        <v/>
      </c>
      <c r="B74" s="22"/>
      <c r="C74" s="10" t="str">
        <f>IF(B74="","",SUMIFS('03_Investitori'!$H$5:$H$104,'03_Investitori'!$C$5:$C$104,"&lt;="&amp;B74))</f>
        <v/>
      </c>
      <c r="D74" s="10" t="str">
        <f>IF(B74="","",SUMIFS('04_Trades'!$K$5:$K$1004,'04_Trades'!$C$5:$C$1004,"BUY",'04_Trades'!$B$5:$B$1004,"&lt;="&amp;B74)-SUMIFS('04_Trades'!$K$5:$K$1004,'04_Trades'!$C$5:$C$1004,"SELL",'04_Trades'!$B$5:$B$1004,"&lt;="&amp;B74))</f>
        <v/>
      </c>
      <c r="E74" s="10" t="str">
        <f>IF(B74="","",SUMIFS('05_Dividendi_Interessi'!$I$5:$I$504,'05_Dividendi_Interessi'!$B$5:$B$504,"&lt;="&amp;B74))</f>
        <v/>
      </c>
      <c r="F74" s="10" t="str">
        <f>IF(B74="","",SUMIFS('06_Partecipazioni'!$I$5:$I$204,'06_Partecipazioni'!$C$5:$C$204,"BUY",'06_Partecipazioni'!$B$5:$B$204,"&lt;="&amp;B74)-SUMIFS('06_Partecipazioni'!$I$5:$I$204,'06_Partecipazioni'!$C$5:$C$204,"SELL",'06_Partecipazioni'!$B$5:$B$204,"&lt;="&amp;B74))</f>
        <v/>
      </c>
      <c r="G74" s="10" t="str">
        <f>IF(B74="","",SUMIFS('07_Prestiti'!$H$5:$H$204,'07_Prestiti'!$C$5:$C$204,"DISBURSEMENT",'07_Prestiti'!$B$5:$B$204,"&lt;="&amp;B74)-SUMIFS('07_Prestiti'!$H$5:$H$204,'07_Prestiti'!$C$5:$C$204,"REPAYMENT",'07_Prestiti'!$B$5:$B$204,"&lt;="&amp;B74))</f>
        <v/>
      </c>
      <c r="H74" s="10" t="str">
        <f>IF(B74="","",SUMIFS('08_PL_Operativa'!$H$5:$H$503,'08_PL_Operativa'!$B$5:$B$503,"&lt;="&amp;B74))</f>
        <v/>
      </c>
      <c r="I74" s="26" t="str">
        <f t="shared" si="11"/>
        <v/>
      </c>
      <c r="J74" s="25"/>
      <c r="K74" s="25"/>
      <c r="L74" s="25"/>
      <c r="M74" s="26" t="str">
        <f t="shared" si="12"/>
        <v/>
      </c>
      <c r="N74" s="33" t="str">
        <f>IF(B74="","",SUMIFS('03_Investitori'!$J$5:$J$104,'03_Investitori'!$C$5:$C$104,"&lt;="&amp;B74))</f>
        <v/>
      </c>
      <c r="O74" s="35" t="str">
        <f t="shared" si="13"/>
        <v/>
      </c>
      <c r="P74" s="11" t="str">
        <f t="shared" si="14"/>
        <v/>
      </c>
    </row>
    <row r="75" spans="1:16" x14ac:dyDescent="0.2">
      <c r="A75" s="23" t="str">
        <f t="shared" si="10"/>
        <v/>
      </c>
      <c r="B75" s="22"/>
      <c r="C75" s="10" t="str">
        <f>IF(B75="","",SUMIFS('03_Investitori'!$H$5:$H$104,'03_Investitori'!$C$5:$C$104,"&lt;="&amp;B75))</f>
        <v/>
      </c>
      <c r="D75" s="10" t="str">
        <f>IF(B75="","",SUMIFS('04_Trades'!$K$5:$K$1004,'04_Trades'!$C$5:$C$1004,"BUY",'04_Trades'!$B$5:$B$1004,"&lt;="&amp;B75)-SUMIFS('04_Trades'!$K$5:$K$1004,'04_Trades'!$C$5:$C$1004,"SELL",'04_Trades'!$B$5:$B$1004,"&lt;="&amp;B75))</f>
        <v/>
      </c>
      <c r="E75" s="10" t="str">
        <f>IF(B75="","",SUMIFS('05_Dividendi_Interessi'!$I$5:$I$504,'05_Dividendi_Interessi'!$B$5:$B$504,"&lt;="&amp;B75))</f>
        <v/>
      </c>
      <c r="F75" s="10" t="str">
        <f>IF(B75="","",SUMIFS('06_Partecipazioni'!$I$5:$I$204,'06_Partecipazioni'!$C$5:$C$204,"BUY",'06_Partecipazioni'!$B$5:$B$204,"&lt;="&amp;B75)-SUMIFS('06_Partecipazioni'!$I$5:$I$204,'06_Partecipazioni'!$C$5:$C$204,"SELL",'06_Partecipazioni'!$B$5:$B$204,"&lt;="&amp;B75))</f>
        <v/>
      </c>
      <c r="G75" s="10" t="str">
        <f>IF(B75="","",SUMIFS('07_Prestiti'!$H$5:$H$204,'07_Prestiti'!$C$5:$C$204,"DISBURSEMENT",'07_Prestiti'!$B$5:$B$204,"&lt;="&amp;B75)-SUMIFS('07_Prestiti'!$H$5:$H$204,'07_Prestiti'!$C$5:$C$204,"REPAYMENT",'07_Prestiti'!$B$5:$B$204,"&lt;="&amp;B75))</f>
        <v/>
      </c>
      <c r="H75" s="10" t="str">
        <f>IF(B75="","",SUMIFS('08_PL_Operativa'!$H$5:$H$503,'08_PL_Operativa'!$B$5:$B$503,"&lt;="&amp;B75))</f>
        <v/>
      </c>
      <c r="I75" s="26" t="str">
        <f t="shared" si="11"/>
        <v/>
      </c>
      <c r="J75" s="25"/>
      <c r="K75" s="25"/>
      <c r="L75" s="25"/>
      <c r="M75" s="26" t="str">
        <f t="shared" si="12"/>
        <v/>
      </c>
      <c r="N75" s="33" t="str">
        <f>IF(B75="","",SUMIFS('03_Investitori'!$J$5:$J$104,'03_Investitori'!$C$5:$C$104,"&lt;="&amp;B75))</f>
        <v/>
      </c>
      <c r="O75" s="35" t="str">
        <f t="shared" si="13"/>
        <v/>
      </c>
      <c r="P75" s="11" t="str">
        <f t="shared" si="14"/>
        <v/>
      </c>
    </row>
    <row r="76" spans="1:16" x14ac:dyDescent="0.2">
      <c r="A76" s="23" t="str">
        <f t="shared" si="10"/>
        <v/>
      </c>
      <c r="B76" s="22"/>
      <c r="C76" s="10" t="str">
        <f>IF(B76="","",SUMIFS('03_Investitori'!$H$5:$H$104,'03_Investitori'!$C$5:$C$104,"&lt;="&amp;B76))</f>
        <v/>
      </c>
      <c r="D76" s="10" t="str">
        <f>IF(B76="","",SUMIFS('04_Trades'!$K$5:$K$1004,'04_Trades'!$C$5:$C$1004,"BUY",'04_Trades'!$B$5:$B$1004,"&lt;="&amp;B76)-SUMIFS('04_Trades'!$K$5:$K$1004,'04_Trades'!$C$5:$C$1004,"SELL",'04_Trades'!$B$5:$B$1004,"&lt;="&amp;B76))</f>
        <v/>
      </c>
      <c r="E76" s="10" t="str">
        <f>IF(B76="","",SUMIFS('05_Dividendi_Interessi'!$I$5:$I$504,'05_Dividendi_Interessi'!$B$5:$B$504,"&lt;="&amp;B76))</f>
        <v/>
      </c>
      <c r="F76" s="10" t="str">
        <f>IF(B76="","",SUMIFS('06_Partecipazioni'!$I$5:$I$204,'06_Partecipazioni'!$C$5:$C$204,"BUY",'06_Partecipazioni'!$B$5:$B$204,"&lt;="&amp;B76)-SUMIFS('06_Partecipazioni'!$I$5:$I$204,'06_Partecipazioni'!$C$5:$C$204,"SELL",'06_Partecipazioni'!$B$5:$B$204,"&lt;="&amp;B76))</f>
        <v/>
      </c>
      <c r="G76" s="10" t="str">
        <f>IF(B76="","",SUMIFS('07_Prestiti'!$H$5:$H$204,'07_Prestiti'!$C$5:$C$204,"DISBURSEMENT",'07_Prestiti'!$B$5:$B$204,"&lt;="&amp;B76)-SUMIFS('07_Prestiti'!$H$5:$H$204,'07_Prestiti'!$C$5:$C$204,"REPAYMENT",'07_Prestiti'!$B$5:$B$204,"&lt;="&amp;B76))</f>
        <v/>
      </c>
      <c r="H76" s="10" t="str">
        <f>IF(B76="","",SUMIFS('08_PL_Operativa'!$H$5:$H$503,'08_PL_Operativa'!$B$5:$B$503,"&lt;="&amp;B76))</f>
        <v/>
      </c>
      <c r="I76" s="26" t="str">
        <f t="shared" si="11"/>
        <v/>
      </c>
      <c r="J76" s="25"/>
      <c r="K76" s="25"/>
      <c r="L76" s="25"/>
      <c r="M76" s="26" t="str">
        <f t="shared" si="12"/>
        <v/>
      </c>
      <c r="N76" s="33" t="str">
        <f>IF(B76="","",SUMIFS('03_Investitori'!$J$5:$J$104,'03_Investitori'!$C$5:$C$104,"&lt;="&amp;B76))</f>
        <v/>
      </c>
      <c r="O76" s="35" t="str">
        <f t="shared" si="13"/>
        <v/>
      </c>
      <c r="P76" s="11" t="str">
        <f t="shared" si="14"/>
        <v/>
      </c>
    </row>
    <row r="77" spans="1:16" x14ac:dyDescent="0.2">
      <c r="A77" s="23" t="str">
        <f t="shared" si="10"/>
        <v/>
      </c>
      <c r="B77" s="22"/>
      <c r="C77" s="10" t="str">
        <f>IF(B77="","",SUMIFS('03_Investitori'!$H$5:$H$104,'03_Investitori'!$C$5:$C$104,"&lt;="&amp;B77))</f>
        <v/>
      </c>
      <c r="D77" s="10" t="str">
        <f>IF(B77="","",SUMIFS('04_Trades'!$K$5:$K$1004,'04_Trades'!$C$5:$C$1004,"BUY",'04_Trades'!$B$5:$B$1004,"&lt;="&amp;B77)-SUMIFS('04_Trades'!$K$5:$K$1004,'04_Trades'!$C$5:$C$1004,"SELL",'04_Trades'!$B$5:$B$1004,"&lt;="&amp;B77))</f>
        <v/>
      </c>
      <c r="E77" s="10" t="str">
        <f>IF(B77="","",SUMIFS('05_Dividendi_Interessi'!$I$5:$I$504,'05_Dividendi_Interessi'!$B$5:$B$504,"&lt;="&amp;B77))</f>
        <v/>
      </c>
      <c r="F77" s="10" t="str">
        <f>IF(B77="","",SUMIFS('06_Partecipazioni'!$I$5:$I$204,'06_Partecipazioni'!$C$5:$C$204,"BUY",'06_Partecipazioni'!$B$5:$B$204,"&lt;="&amp;B77)-SUMIFS('06_Partecipazioni'!$I$5:$I$204,'06_Partecipazioni'!$C$5:$C$204,"SELL",'06_Partecipazioni'!$B$5:$B$204,"&lt;="&amp;B77))</f>
        <v/>
      </c>
      <c r="G77" s="10" t="str">
        <f>IF(B77="","",SUMIFS('07_Prestiti'!$H$5:$H$204,'07_Prestiti'!$C$5:$C$204,"DISBURSEMENT",'07_Prestiti'!$B$5:$B$204,"&lt;="&amp;B77)-SUMIFS('07_Prestiti'!$H$5:$H$204,'07_Prestiti'!$C$5:$C$204,"REPAYMENT",'07_Prestiti'!$B$5:$B$204,"&lt;="&amp;B77))</f>
        <v/>
      </c>
      <c r="H77" s="10" t="str">
        <f>IF(B77="","",SUMIFS('08_PL_Operativa'!$H$5:$H$503,'08_PL_Operativa'!$B$5:$B$503,"&lt;="&amp;B77))</f>
        <v/>
      </c>
      <c r="I77" s="26" t="str">
        <f t="shared" si="11"/>
        <v/>
      </c>
      <c r="J77" s="25"/>
      <c r="K77" s="25"/>
      <c r="L77" s="25"/>
      <c r="M77" s="26" t="str">
        <f t="shared" si="12"/>
        <v/>
      </c>
      <c r="N77" s="33" t="str">
        <f>IF(B77="","",SUMIFS('03_Investitori'!$J$5:$J$104,'03_Investitori'!$C$5:$C$104,"&lt;="&amp;B77))</f>
        <v/>
      </c>
      <c r="O77" s="35" t="str">
        <f t="shared" si="13"/>
        <v/>
      </c>
      <c r="P77" s="11" t="str">
        <f t="shared" si="14"/>
        <v/>
      </c>
    </row>
    <row r="78" spans="1:16" x14ac:dyDescent="0.2">
      <c r="A78" s="23" t="str">
        <f t="shared" si="10"/>
        <v/>
      </c>
      <c r="B78" s="22"/>
      <c r="C78" s="10" t="str">
        <f>IF(B78="","",SUMIFS('03_Investitori'!$H$5:$H$104,'03_Investitori'!$C$5:$C$104,"&lt;="&amp;B78))</f>
        <v/>
      </c>
      <c r="D78" s="10" t="str">
        <f>IF(B78="","",SUMIFS('04_Trades'!$K$5:$K$1004,'04_Trades'!$C$5:$C$1004,"BUY",'04_Trades'!$B$5:$B$1004,"&lt;="&amp;B78)-SUMIFS('04_Trades'!$K$5:$K$1004,'04_Trades'!$C$5:$C$1004,"SELL",'04_Trades'!$B$5:$B$1004,"&lt;="&amp;B78))</f>
        <v/>
      </c>
      <c r="E78" s="10" t="str">
        <f>IF(B78="","",SUMIFS('05_Dividendi_Interessi'!$I$5:$I$504,'05_Dividendi_Interessi'!$B$5:$B$504,"&lt;="&amp;B78))</f>
        <v/>
      </c>
      <c r="F78" s="10" t="str">
        <f>IF(B78="","",SUMIFS('06_Partecipazioni'!$I$5:$I$204,'06_Partecipazioni'!$C$5:$C$204,"BUY",'06_Partecipazioni'!$B$5:$B$204,"&lt;="&amp;B78)-SUMIFS('06_Partecipazioni'!$I$5:$I$204,'06_Partecipazioni'!$C$5:$C$204,"SELL",'06_Partecipazioni'!$B$5:$B$204,"&lt;="&amp;B78))</f>
        <v/>
      </c>
      <c r="G78" s="10" t="str">
        <f>IF(B78="","",SUMIFS('07_Prestiti'!$H$5:$H$204,'07_Prestiti'!$C$5:$C$204,"DISBURSEMENT",'07_Prestiti'!$B$5:$B$204,"&lt;="&amp;B78)-SUMIFS('07_Prestiti'!$H$5:$H$204,'07_Prestiti'!$C$5:$C$204,"REPAYMENT",'07_Prestiti'!$B$5:$B$204,"&lt;="&amp;B78))</f>
        <v/>
      </c>
      <c r="H78" s="10" t="str">
        <f>IF(B78="","",SUMIFS('08_PL_Operativa'!$H$5:$H$503,'08_PL_Operativa'!$B$5:$B$503,"&lt;="&amp;B78))</f>
        <v/>
      </c>
      <c r="I78" s="26" t="str">
        <f t="shared" si="11"/>
        <v/>
      </c>
      <c r="J78" s="25"/>
      <c r="K78" s="25"/>
      <c r="L78" s="25"/>
      <c r="M78" s="26" t="str">
        <f t="shared" si="12"/>
        <v/>
      </c>
      <c r="N78" s="33" t="str">
        <f>IF(B78="","",SUMIFS('03_Investitori'!$J$5:$J$104,'03_Investitori'!$C$5:$C$104,"&lt;="&amp;B78))</f>
        <v/>
      </c>
      <c r="O78" s="35" t="str">
        <f t="shared" si="13"/>
        <v/>
      </c>
      <c r="P78" s="11" t="str">
        <f t="shared" si="14"/>
        <v/>
      </c>
    </row>
    <row r="79" spans="1:16" x14ac:dyDescent="0.2">
      <c r="A79" s="23" t="str">
        <f t="shared" si="10"/>
        <v/>
      </c>
      <c r="B79" s="22"/>
      <c r="C79" s="10" t="str">
        <f>IF(B79="","",SUMIFS('03_Investitori'!$H$5:$H$104,'03_Investitori'!$C$5:$C$104,"&lt;="&amp;B79))</f>
        <v/>
      </c>
      <c r="D79" s="10" t="str">
        <f>IF(B79="","",SUMIFS('04_Trades'!$K$5:$K$1004,'04_Trades'!$C$5:$C$1004,"BUY",'04_Trades'!$B$5:$B$1004,"&lt;="&amp;B79)-SUMIFS('04_Trades'!$K$5:$K$1004,'04_Trades'!$C$5:$C$1004,"SELL",'04_Trades'!$B$5:$B$1004,"&lt;="&amp;B79))</f>
        <v/>
      </c>
      <c r="E79" s="10" t="str">
        <f>IF(B79="","",SUMIFS('05_Dividendi_Interessi'!$I$5:$I$504,'05_Dividendi_Interessi'!$B$5:$B$504,"&lt;="&amp;B79))</f>
        <v/>
      </c>
      <c r="F79" s="10" t="str">
        <f>IF(B79="","",SUMIFS('06_Partecipazioni'!$I$5:$I$204,'06_Partecipazioni'!$C$5:$C$204,"BUY",'06_Partecipazioni'!$B$5:$B$204,"&lt;="&amp;B79)-SUMIFS('06_Partecipazioni'!$I$5:$I$204,'06_Partecipazioni'!$C$5:$C$204,"SELL",'06_Partecipazioni'!$B$5:$B$204,"&lt;="&amp;B79))</f>
        <v/>
      </c>
      <c r="G79" s="10" t="str">
        <f>IF(B79="","",SUMIFS('07_Prestiti'!$H$5:$H$204,'07_Prestiti'!$C$5:$C$204,"DISBURSEMENT",'07_Prestiti'!$B$5:$B$204,"&lt;="&amp;B79)-SUMIFS('07_Prestiti'!$H$5:$H$204,'07_Prestiti'!$C$5:$C$204,"REPAYMENT",'07_Prestiti'!$B$5:$B$204,"&lt;="&amp;B79))</f>
        <v/>
      </c>
      <c r="H79" s="10" t="str">
        <f>IF(B79="","",SUMIFS('08_PL_Operativa'!$H$5:$H$503,'08_PL_Operativa'!$B$5:$B$503,"&lt;="&amp;B79))</f>
        <v/>
      </c>
      <c r="I79" s="26" t="str">
        <f t="shared" si="11"/>
        <v/>
      </c>
      <c r="J79" s="25"/>
      <c r="K79" s="25"/>
      <c r="L79" s="25"/>
      <c r="M79" s="26" t="str">
        <f t="shared" si="12"/>
        <v/>
      </c>
      <c r="N79" s="33" t="str">
        <f>IF(B79="","",SUMIFS('03_Investitori'!$J$5:$J$104,'03_Investitori'!$C$5:$C$104,"&lt;="&amp;B79))</f>
        <v/>
      </c>
      <c r="O79" s="35" t="str">
        <f t="shared" si="13"/>
        <v/>
      </c>
      <c r="P79" s="11" t="str">
        <f t="shared" si="14"/>
        <v/>
      </c>
    </row>
    <row r="80" spans="1:16" x14ac:dyDescent="0.2">
      <c r="A80" s="23" t="str">
        <f t="shared" si="10"/>
        <v/>
      </c>
      <c r="B80" s="22"/>
      <c r="C80" s="10" t="str">
        <f>IF(B80="","",SUMIFS('03_Investitori'!$H$5:$H$104,'03_Investitori'!$C$5:$C$104,"&lt;="&amp;B80))</f>
        <v/>
      </c>
      <c r="D80" s="10" t="str">
        <f>IF(B80="","",SUMIFS('04_Trades'!$K$5:$K$1004,'04_Trades'!$C$5:$C$1004,"BUY",'04_Trades'!$B$5:$B$1004,"&lt;="&amp;B80)-SUMIFS('04_Trades'!$K$5:$K$1004,'04_Trades'!$C$5:$C$1004,"SELL",'04_Trades'!$B$5:$B$1004,"&lt;="&amp;B80))</f>
        <v/>
      </c>
      <c r="E80" s="10" t="str">
        <f>IF(B80="","",SUMIFS('05_Dividendi_Interessi'!$I$5:$I$504,'05_Dividendi_Interessi'!$B$5:$B$504,"&lt;="&amp;B80))</f>
        <v/>
      </c>
      <c r="F80" s="10" t="str">
        <f>IF(B80="","",SUMIFS('06_Partecipazioni'!$I$5:$I$204,'06_Partecipazioni'!$C$5:$C$204,"BUY",'06_Partecipazioni'!$B$5:$B$204,"&lt;="&amp;B80)-SUMIFS('06_Partecipazioni'!$I$5:$I$204,'06_Partecipazioni'!$C$5:$C$204,"SELL",'06_Partecipazioni'!$B$5:$B$204,"&lt;="&amp;B80))</f>
        <v/>
      </c>
      <c r="G80" s="10" t="str">
        <f>IF(B80="","",SUMIFS('07_Prestiti'!$H$5:$H$204,'07_Prestiti'!$C$5:$C$204,"DISBURSEMENT",'07_Prestiti'!$B$5:$B$204,"&lt;="&amp;B80)-SUMIFS('07_Prestiti'!$H$5:$H$204,'07_Prestiti'!$C$5:$C$204,"REPAYMENT",'07_Prestiti'!$B$5:$B$204,"&lt;="&amp;B80))</f>
        <v/>
      </c>
      <c r="H80" s="10" t="str">
        <f>IF(B80="","",SUMIFS('08_PL_Operativa'!$H$5:$H$503,'08_PL_Operativa'!$B$5:$B$503,"&lt;="&amp;B80))</f>
        <v/>
      </c>
      <c r="I80" s="26" t="str">
        <f t="shared" si="11"/>
        <v/>
      </c>
      <c r="J80" s="25"/>
      <c r="K80" s="25"/>
      <c r="L80" s="25"/>
      <c r="M80" s="26" t="str">
        <f t="shared" si="12"/>
        <v/>
      </c>
      <c r="N80" s="33" t="str">
        <f>IF(B80="","",SUMIFS('03_Investitori'!$J$5:$J$104,'03_Investitori'!$C$5:$C$104,"&lt;="&amp;B80))</f>
        <v/>
      </c>
      <c r="O80" s="35" t="str">
        <f t="shared" si="13"/>
        <v/>
      </c>
      <c r="P80" s="11" t="str">
        <f t="shared" si="14"/>
        <v/>
      </c>
    </row>
    <row r="81" spans="1:16" x14ac:dyDescent="0.2">
      <c r="A81" s="23" t="str">
        <f t="shared" si="10"/>
        <v/>
      </c>
      <c r="B81" s="22"/>
      <c r="C81" s="10" t="str">
        <f>IF(B81="","",SUMIFS('03_Investitori'!$H$5:$H$104,'03_Investitori'!$C$5:$C$104,"&lt;="&amp;B81))</f>
        <v/>
      </c>
      <c r="D81" s="10" t="str">
        <f>IF(B81="","",SUMIFS('04_Trades'!$K$5:$K$1004,'04_Trades'!$C$5:$C$1004,"BUY",'04_Trades'!$B$5:$B$1004,"&lt;="&amp;B81)-SUMIFS('04_Trades'!$K$5:$K$1004,'04_Trades'!$C$5:$C$1004,"SELL",'04_Trades'!$B$5:$B$1004,"&lt;="&amp;B81))</f>
        <v/>
      </c>
      <c r="E81" s="10" t="str">
        <f>IF(B81="","",SUMIFS('05_Dividendi_Interessi'!$I$5:$I$504,'05_Dividendi_Interessi'!$B$5:$B$504,"&lt;="&amp;B81))</f>
        <v/>
      </c>
      <c r="F81" s="10" t="str">
        <f>IF(B81="","",SUMIFS('06_Partecipazioni'!$I$5:$I$204,'06_Partecipazioni'!$C$5:$C$204,"BUY",'06_Partecipazioni'!$B$5:$B$204,"&lt;="&amp;B81)-SUMIFS('06_Partecipazioni'!$I$5:$I$204,'06_Partecipazioni'!$C$5:$C$204,"SELL",'06_Partecipazioni'!$B$5:$B$204,"&lt;="&amp;B81))</f>
        <v/>
      </c>
      <c r="G81" s="10" t="str">
        <f>IF(B81="","",SUMIFS('07_Prestiti'!$H$5:$H$204,'07_Prestiti'!$C$5:$C$204,"DISBURSEMENT",'07_Prestiti'!$B$5:$B$204,"&lt;="&amp;B81)-SUMIFS('07_Prestiti'!$H$5:$H$204,'07_Prestiti'!$C$5:$C$204,"REPAYMENT",'07_Prestiti'!$B$5:$B$204,"&lt;="&amp;B81))</f>
        <v/>
      </c>
      <c r="H81" s="10" t="str">
        <f>IF(B81="","",SUMIFS('08_PL_Operativa'!$H$5:$H$503,'08_PL_Operativa'!$B$5:$B$503,"&lt;="&amp;B81))</f>
        <v/>
      </c>
      <c r="I81" s="26" t="str">
        <f t="shared" si="11"/>
        <v/>
      </c>
      <c r="J81" s="25"/>
      <c r="K81" s="25"/>
      <c r="L81" s="25"/>
      <c r="M81" s="26" t="str">
        <f t="shared" si="12"/>
        <v/>
      </c>
      <c r="N81" s="33" t="str">
        <f>IF(B81="","",SUMIFS('03_Investitori'!$J$5:$J$104,'03_Investitori'!$C$5:$C$104,"&lt;="&amp;B81))</f>
        <v/>
      </c>
      <c r="O81" s="35" t="str">
        <f t="shared" si="13"/>
        <v/>
      </c>
      <c r="P81" s="11" t="str">
        <f t="shared" si="14"/>
        <v/>
      </c>
    </row>
    <row r="82" spans="1:16" x14ac:dyDescent="0.2">
      <c r="A82" s="23" t="str">
        <f t="shared" si="10"/>
        <v/>
      </c>
      <c r="B82" s="22"/>
      <c r="C82" s="10" t="str">
        <f>IF(B82="","",SUMIFS('03_Investitori'!$H$5:$H$104,'03_Investitori'!$C$5:$C$104,"&lt;="&amp;B82))</f>
        <v/>
      </c>
      <c r="D82" s="10" t="str">
        <f>IF(B82="","",SUMIFS('04_Trades'!$K$5:$K$1004,'04_Trades'!$C$5:$C$1004,"BUY",'04_Trades'!$B$5:$B$1004,"&lt;="&amp;B82)-SUMIFS('04_Trades'!$K$5:$K$1004,'04_Trades'!$C$5:$C$1004,"SELL",'04_Trades'!$B$5:$B$1004,"&lt;="&amp;B82))</f>
        <v/>
      </c>
      <c r="E82" s="10" t="str">
        <f>IF(B82="","",SUMIFS('05_Dividendi_Interessi'!$I$5:$I$504,'05_Dividendi_Interessi'!$B$5:$B$504,"&lt;="&amp;B82))</f>
        <v/>
      </c>
      <c r="F82" s="10" t="str">
        <f>IF(B82="","",SUMIFS('06_Partecipazioni'!$I$5:$I$204,'06_Partecipazioni'!$C$5:$C$204,"BUY",'06_Partecipazioni'!$B$5:$B$204,"&lt;="&amp;B82)-SUMIFS('06_Partecipazioni'!$I$5:$I$204,'06_Partecipazioni'!$C$5:$C$204,"SELL",'06_Partecipazioni'!$B$5:$B$204,"&lt;="&amp;B82))</f>
        <v/>
      </c>
      <c r="G82" s="10" t="str">
        <f>IF(B82="","",SUMIFS('07_Prestiti'!$H$5:$H$204,'07_Prestiti'!$C$5:$C$204,"DISBURSEMENT",'07_Prestiti'!$B$5:$B$204,"&lt;="&amp;B82)-SUMIFS('07_Prestiti'!$H$5:$H$204,'07_Prestiti'!$C$5:$C$204,"REPAYMENT",'07_Prestiti'!$B$5:$B$204,"&lt;="&amp;B82))</f>
        <v/>
      </c>
      <c r="H82" s="10" t="str">
        <f>IF(B82="","",SUMIFS('08_PL_Operativa'!$H$5:$H$503,'08_PL_Operativa'!$B$5:$B$503,"&lt;="&amp;B82))</f>
        <v/>
      </c>
      <c r="I82" s="26" t="str">
        <f t="shared" si="11"/>
        <v/>
      </c>
      <c r="J82" s="25"/>
      <c r="K82" s="25"/>
      <c r="L82" s="25"/>
      <c r="M82" s="26" t="str">
        <f t="shared" si="12"/>
        <v/>
      </c>
      <c r="N82" s="33" t="str">
        <f>IF(B82="","",SUMIFS('03_Investitori'!$J$5:$J$104,'03_Investitori'!$C$5:$C$104,"&lt;="&amp;B82))</f>
        <v/>
      </c>
      <c r="O82" s="35" t="str">
        <f t="shared" si="13"/>
        <v/>
      </c>
      <c r="P82" s="11" t="str">
        <f t="shared" si="14"/>
        <v/>
      </c>
    </row>
    <row r="83" spans="1:16" x14ac:dyDescent="0.2">
      <c r="A83" s="23" t="str">
        <f t="shared" si="10"/>
        <v/>
      </c>
      <c r="B83" s="22"/>
      <c r="C83" s="10" t="str">
        <f>IF(B83="","",SUMIFS('03_Investitori'!$H$5:$H$104,'03_Investitori'!$C$5:$C$104,"&lt;="&amp;B83))</f>
        <v/>
      </c>
      <c r="D83" s="10" t="str">
        <f>IF(B83="","",SUMIFS('04_Trades'!$K$5:$K$1004,'04_Trades'!$C$5:$C$1004,"BUY",'04_Trades'!$B$5:$B$1004,"&lt;="&amp;B83)-SUMIFS('04_Trades'!$K$5:$K$1004,'04_Trades'!$C$5:$C$1004,"SELL",'04_Trades'!$B$5:$B$1004,"&lt;="&amp;B83))</f>
        <v/>
      </c>
      <c r="E83" s="10" t="str">
        <f>IF(B83="","",SUMIFS('05_Dividendi_Interessi'!$I$5:$I$504,'05_Dividendi_Interessi'!$B$5:$B$504,"&lt;="&amp;B83))</f>
        <v/>
      </c>
      <c r="F83" s="10" t="str">
        <f>IF(B83="","",SUMIFS('06_Partecipazioni'!$I$5:$I$204,'06_Partecipazioni'!$C$5:$C$204,"BUY",'06_Partecipazioni'!$B$5:$B$204,"&lt;="&amp;B83)-SUMIFS('06_Partecipazioni'!$I$5:$I$204,'06_Partecipazioni'!$C$5:$C$204,"SELL",'06_Partecipazioni'!$B$5:$B$204,"&lt;="&amp;B83))</f>
        <v/>
      </c>
      <c r="G83" s="10" t="str">
        <f>IF(B83="","",SUMIFS('07_Prestiti'!$H$5:$H$204,'07_Prestiti'!$C$5:$C$204,"DISBURSEMENT",'07_Prestiti'!$B$5:$B$204,"&lt;="&amp;B83)-SUMIFS('07_Prestiti'!$H$5:$H$204,'07_Prestiti'!$C$5:$C$204,"REPAYMENT",'07_Prestiti'!$B$5:$B$204,"&lt;="&amp;B83))</f>
        <v/>
      </c>
      <c r="H83" s="10" t="str">
        <f>IF(B83="","",SUMIFS('08_PL_Operativa'!$H$5:$H$503,'08_PL_Operativa'!$B$5:$B$503,"&lt;="&amp;B83))</f>
        <v/>
      </c>
      <c r="I83" s="26" t="str">
        <f t="shared" si="11"/>
        <v/>
      </c>
      <c r="J83" s="25"/>
      <c r="K83" s="25"/>
      <c r="L83" s="25"/>
      <c r="M83" s="26" t="str">
        <f t="shared" si="12"/>
        <v/>
      </c>
      <c r="N83" s="33" t="str">
        <f>IF(B83="","",SUMIFS('03_Investitori'!$J$5:$J$104,'03_Investitori'!$C$5:$C$104,"&lt;="&amp;B83))</f>
        <v/>
      </c>
      <c r="O83" s="35" t="str">
        <f t="shared" si="13"/>
        <v/>
      </c>
      <c r="P83" s="11" t="str">
        <f t="shared" si="14"/>
        <v/>
      </c>
    </row>
    <row r="84" spans="1:16" x14ac:dyDescent="0.2">
      <c r="A84" s="23" t="str">
        <f t="shared" si="10"/>
        <v/>
      </c>
      <c r="B84" s="22"/>
      <c r="C84" s="10" t="str">
        <f>IF(B84="","",SUMIFS('03_Investitori'!$H$5:$H$104,'03_Investitori'!$C$5:$C$104,"&lt;="&amp;B84))</f>
        <v/>
      </c>
      <c r="D84" s="10" t="str">
        <f>IF(B84="","",SUMIFS('04_Trades'!$K$5:$K$1004,'04_Trades'!$C$5:$C$1004,"BUY",'04_Trades'!$B$5:$B$1004,"&lt;="&amp;B84)-SUMIFS('04_Trades'!$K$5:$K$1004,'04_Trades'!$C$5:$C$1004,"SELL",'04_Trades'!$B$5:$B$1004,"&lt;="&amp;B84))</f>
        <v/>
      </c>
      <c r="E84" s="10" t="str">
        <f>IF(B84="","",SUMIFS('05_Dividendi_Interessi'!$I$5:$I$504,'05_Dividendi_Interessi'!$B$5:$B$504,"&lt;="&amp;B84))</f>
        <v/>
      </c>
      <c r="F84" s="10" t="str">
        <f>IF(B84="","",SUMIFS('06_Partecipazioni'!$I$5:$I$204,'06_Partecipazioni'!$C$5:$C$204,"BUY",'06_Partecipazioni'!$B$5:$B$204,"&lt;="&amp;B84)-SUMIFS('06_Partecipazioni'!$I$5:$I$204,'06_Partecipazioni'!$C$5:$C$204,"SELL",'06_Partecipazioni'!$B$5:$B$204,"&lt;="&amp;B84))</f>
        <v/>
      </c>
      <c r="G84" s="10" t="str">
        <f>IF(B84="","",SUMIFS('07_Prestiti'!$H$5:$H$204,'07_Prestiti'!$C$5:$C$204,"DISBURSEMENT",'07_Prestiti'!$B$5:$B$204,"&lt;="&amp;B84)-SUMIFS('07_Prestiti'!$H$5:$H$204,'07_Prestiti'!$C$5:$C$204,"REPAYMENT",'07_Prestiti'!$B$5:$B$204,"&lt;="&amp;B84))</f>
        <v/>
      </c>
      <c r="H84" s="10" t="str">
        <f>IF(B84="","",SUMIFS('08_PL_Operativa'!$H$5:$H$503,'08_PL_Operativa'!$B$5:$B$503,"&lt;="&amp;B84))</f>
        <v/>
      </c>
      <c r="I84" s="26" t="str">
        <f t="shared" si="11"/>
        <v/>
      </c>
      <c r="J84" s="25"/>
      <c r="K84" s="25"/>
      <c r="L84" s="25"/>
      <c r="M84" s="26" t="str">
        <f t="shared" si="12"/>
        <v/>
      </c>
      <c r="N84" s="33" t="str">
        <f>IF(B84="","",SUMIFS('03_Investitori'!$J$5:$J$104,'03_Investitori'!$C$5:$C$104,"&lt;="&amp;B84))</f>
        <v/>
      </c>
      <c r="O84" s="35" t="str">
        <f t="shared" si="13"/>
        <v/>
      </c>
      <c r="P84" s="11" t="str">
        <f t="shared" si="14"/>
        <v/>
      </c>
    </row>
    <row r="85" spans="1:16" x14ac:dyDescent="0.2">
      <c r="A85" s="23" t="str">
        <f t="shared" si="10"/>
        <v/>
      </c>
      <c r="B85" s="22"/>
      <c r="C85" s="10" t="str">
        <f>IF(B85="","",SUMIFS('03_Investitori'!$H$5:$H$104,'03_Investitori'!$C$5:$C$104,"&lt;="&amp;B85))</f>
        <v/>
      </c>
      <c r="D85" s="10" t="str">
        <f>IF(B85="","",SUMIFS('04_Trades'!$K$5:$K$1004,'04_Trades'!$C$5:$C$1004,"BUY",'04_Trades'!$B$5:$B$1004,"&lt;="&amp;B85)-SUMIFS('04_Trades'!$K$5:$K$1004,'04_Trades'!$C$5:$C$1004,"SELL",'04_Trades'!$B$5:$B$1004,"&lt;="&amp;B85))</f>
        <v/>
      </c>
      <c r="E85" s="10" t="str">
        <f>IF(B85="","",SUMIFS('05_Dividendi_Interessi'!$I$5:$I$504,'05_Dividendi_Interessi'!$B$5:$B$504,"&lt;="&amp;B85))</f>
        <v/>
      </c>
      <c r="F85" s="10" t="str">
        <f>IF(B85="","",SUMIFS('06_Partecipazioni'!$I$5:$I$204,'06_Partecipazioni'!$C$5:$C$204,"BUY",'06_Partecipazioni'!$B$5:$B$204,"&lt;="&amp;B85)-SUMIFS('06_Partecipazioni'!$I$5:$I$204,'06_Partecipazioni'!$C$5:$C$204,"SELL",'06_Partecipazioni'!$B$5:$B$204,"&lt;="&amp;B85))</f>
        <v/>
      </c>
      <c r="G85" s="10" t="str">
        <f>IF(B85="","",SUMIFS('07_Prestiti'!$H$5:$H$204,'07_Prestiti'!$C$5:$C$204,"DISBURSEMENT",'07_Prestiti'!$B$5:$B$204,"&lt;="&amp;B85)-SUMIFS('07_Prestiti'!$H$5:$H$204,'07_Prestiti'!$C$5:$C$204,"REPAYMENT",'07_Prestiti'!$B$5:$B$204,"&lt;="&amp;B85))</f>
        <v/>
      </c>
      <c r="H85" s="10" t="str">
        <f>IF(B85="","",SUMIFS('08_PL_Operativa'!$H$5:$H$503,'08_PL_Operativa'!$B$5:$B$503,"&lt;="&amp;B85))</f>
        <v/>
      </c>
      <c r="I85" s="26" t="str">
        <f t="shared" si="11"/>
        <v/>
      </c>
      <c r="J85" s="25"/>
      <c r="K85" s="25"/>
      <c r="L85" s="25"/>
      <c r="M85" s="26" t="str">
        <f t="shared" si="12"/>
        <v/>
      </c>
      <c r="N85" s="33" t="str">
        <f>IF(B85="","",SUMIFS('03_Investitori'!$J$5:$J$104,'03_Investitori'!$C$5:$C$104,"&lt;="&amp;B85))</f>
        <v/>
      </c>
      <c r="O85" s="35" t="str">
        <f t="shared" si="13"/>
        <v/>
      </c>
      <c r="P85" s="11" t="str">
        <f t="shared" si="14"/>
        <v/>
      </c>
    </row>
    <row r="86" spans="1:16" x14ac:dyDescent="0.2">
      <c r="A86" s="23" t="str">
        <f t="shared" si="10"/>
        <v/>
      </c>
      <c r="B86" s="22"/>
      <c r="C86" s="10" t="str">
        <f>IF(B86="","",SUMIFS('03_Investitori'!$H$5:$H$104,'03_Investitori'!$C$5:$C$104,"&lt;="&amp;B86))</f>
        <v/>
      </c>
      <c r="D86" s="10" t="str">
        <f>IF(B86="","",SUMIFS('04_Trades'!$K$5:$K$1004,'04_Trades'!$C$5:$C$1004,"BUY",'04_Trades'!$B$5:$B$1004,"&lt;="&amp;B86)-SUMIFS('04_Trades'!$K$5:$K$1004,'04_Trades'!$C$5:$C$1004,"SELL",'04_Trades'!$B$5:$B$1004,"&lt;="&amp;B86))</f>
        <v/>
      </c>
      <c r="E86" s="10" t="str">
        <f>IF(B86="","",SUMIFS('05_Dividendi_Interessi'!$I$5:$I$504,'05_Dividendi_Interessi'!$B$5:$B$504,"&lt;="&amp;B86))</f>
        <v/>
      </c>
      <c r="F86" s="10" t="str">
        <f>IF(B86="","",SUMIFS('06_Partecipazioni'!$I$5:$I$204,'06_Partecipazioni'!$C$5:$C$204,"BUY",'06_Partecipazioni'!$B$5:$B$204,"&lt;="&amp;B86)-SUMIFS('06_Partecipazioni'!$I$5:$I$204,'06_Partecipazioni'!$C$5:$C$204,"SELL",'06_Partecipazioni'!$B$5:$B$204,"&lt;="&amp;B86))</f>
        <v/>
      </c>
      <c r="G86" s="10" t="str">
        <f>IF(B86="","",SUMIFS('07_Prestiti'!$H$5:$H$204,'07_Prestiti'!$C$5:$C$204,"DISBURSEMENT",'07_Prestiti'!$B$5:$B$204,"&lt;="&amp;B86)-SUMIFS('07_Prestiti'!$H$5:$H$204,'07_Prestiti'!$C$5:$C$204,"REPAYMENT",'07_Prestiti'!$B$5:$B$204,"&lt;="&amp;B86))</f>
        <v/>
      </c>
      <c r="H86" s="10" t="str">
        <f>IF(B86="","",SUMIFS('08_PL_Operativa'!$H$5:$H$503,'08_PL_Operativa'!$B$5:$B$503,"&lt;="&amp;B86))</f>
        <v/>
      </c>
      <c r="I86" s="26" t="str">
        <f t="shared" si="11"/>
        <v/>
      </c>
      <c r="J86" s="25"/>
      <c r="K86" s="25"/>
      <c r="L86" s="25"/>
      <c r="M86" s="26" t="str">
        <f t="shared" si="12"/>
        <v/>
      </c>
      <c r="N86" s="33" t="str">
        <f>IF(B86="","",SUMIFS('03_Investitori'!$J$5:$J$104,'03_Investitori'!$C$5:$C$104,"&lt;="&amp;B86))</f>
        <v/>
      </c>
      <c r="O86" s="35" t="str">
        <f t="shared" si="13"/>
        <v/>
      </c>
      <c r="P86" s="11" t="str">
        <f t="shared" si="14"/>
        <v/>
      </c>
    </row>
    <row r="87" spans="1:16" x14ac:dyDescent="0.2">
      <c r="A87" s="23" t="str">
        <f t="shared" si="10"/>
        <v/>
      </c>
      <c r="B87" s="22"/>
      <c r="C87" s="10" t="str">
        <f>IF(B87="","",SUMIFS('03_Investitori'!$H$5:$H$104,'03_Investitori'!$C$5:$C$104,"&lt;="&amp;B87))</f>
        <v/>
      </c>
      <c r="D87" s="10" t="str">
        <f>IF(B87="","",SUMIFS('04_Trades'!$K$5:$K$1004,'04_Trades'!$C$5:$C$1004,"BUY",'04_Trades'!$B$5:$B$1004,"&lt;="&amp;B87)-SUMIFS('04_Trades'!$K$5:$K$1004,'04_Trades'!$C$5:$C$1004,"SELL",'04_Trades'!$B$5:$B$1004,"&lt;="&amp;B87))</f>
        <v/>
      </c>
      <c r="E87" s="10" t="str">
        <f>IF(B87="","",SUMIFS('05_Dividendi_Interessi'!$I$5:$I$504,'05_Dividendi_Interessi'!$B$5:$B$504,"&lt;="&amp;B87))</f>
        <v/>
      </c>
      <c r="F87" s="10" t="str">
        <f>IF(B87="","",SUMIFS('06_Partecipazioni'!$I$5:$I$204,'06_Partecipazioni'!$C$5:$C$204,"BUY",'06_Partecipazioni'!$B$5:$B$204,"&lt;="&amp;B87)-SUMIFS('06_Partecipazioni'!$I$5:$I$204,'06_Partecipazioni'!$C$5:$C$204,"SELL",'06_Partecipazioni'!$B$5:$B$204,"&lt;="&amp;B87))</f>
        <v/>
      </c>
      <c r="G87" s="10" t="str">
        <f>IF(B87="","",SUMIFS('07_Prestiti'!$H$5:$H$204,'07_Prestiti'!$C$5:$C$204,"DISBURSEMENT",'07_Prestiti'!$B$5:$B$204,"&lt;="&amp;B87)-SUMIFS('07_Prestiti'!$H$5:$H$204,'07_Prestiti'!$C$5:$C$204,"REPAYMENT",'07_Prestiti'!$B$5:$B$204,"&lt;="&amp;B87))</f>
        <v/>
      </c>
      <c r="H87" s="10" t="str">
        <f>IF(B87="","",SUMIFS('08_PL_Operativa'!$H$5:$H$503,'08_PL_Operativa'!$B$5:$B$503,"&lt;="&amp;B87))</f>
        <v/>
      </c>
      <c r="I87" s="26" t="str">
        <f t="shared" si="11"/>
        <v/>
      </c>
      <c r="J87" s="25"/>
      <c r="K87" s="25"/>
      <c r="L87" s="25"/>
      <c r="M87" s="26" t="str">
        <f t="shared" si="12"/>
        <v/>
      </c>
      <c r="N87" s="33" t="str">
        <f>IF(B87="","",SUMIFS('03_Investitori'!$J$5:$J$104,'03_Investitori'!$C$5:$C$104,"&lt;="&amp;B87))</f>
        <v/>
      </c>
      <c r="O87" s="35" t="str">
        <f t="shared" si="13"/>
        <v/>
      </c>
      <c r="P87" s="11" t="str">
        <f t="shared" si="14"/>
        <v/>
      </c>
    </row>
    <row r="88" spans="1:16" x14ac:dyDescent="0.2">
      <c r="A88" s="23" t="str">
        <f t="shared" si="10"/>
        <v/>
      </c>
      <c r="B88" s="22"/>
      <c r="C88" s="10" t="str">
        <f>IF(B88="","",SUMIFS('03_Investitori'!$H$5:$H$104,'03_Investitori'!$C$5:$C$104,"&lt;="&amp;B88))</f>
        <v/>
      </c>
      <c r="D88" s="10" t="str">
        <f>IF(B88="","",SUMIFS('04_Trades'!$K$5:$K$1004,'04_Trades'!$C$5:$C$1004,"BUY",'04_Trades'!$B$5:$B$1004,"&lt;="&amp;B88)-SUMIFS('04_Trades'!$K$5:$K$1004,'04_Trades'!$C$5:$C$1004,"SELL",'04_Trades'!$B$5:$B$1004,"&lt;="&amp;B88))</f>
        <v/>
      </c>
      <c r="E88" s="10" t="str">
        <f>IF(B88="","",SUMIFS('05_Dividendi_Interessi'!$I$5:$I$504,'05_Dividendi_Interessi'!$B$5:$B$504,"&lt;="&amp;B88))</f>
        <v/>
      </c>
      <c r="F88" s="10" t="str">
        <f>IF(B88="","",SUMIFS('06_Partecipazioni'!$I$5:$I$204,'06_Partecipazioni'!$C$5:$C$204,"BUY",'06_Partecipazioni'!$B$5:$B$204,"&lt;="&amp;B88)-SUMIFS('06_Partecipazioni'!$I$5:$I$204,'06_Partecipazioni'!$C$5:$C$204,"SELL",'06_Partecipazioni'!$B$5:$B$204,"&lt;="&amp;B88))</f>
        <v/>
      </c>
      <c r="G88" s="10" t="str">
        <f>IF(B88="","",SUMIFS('07_Prestiti'!$H$5:$H$204,'07_Prestiti'!$C$5:$C$204,"DISBURSEMENT",'07_Prestiti'!$B$5:$B$204,"&lt;="&amp;B88)-SUMIFS('07_Prestiti'!$H$5:$H$204,'07_Prestiti'!$C$5:$C$204,"REPAYMENT",'07_Prestiti'!$B$5:$B$204,"&lt;="&amp;B88))</f>
        <v/>
      </c>
      <c r="H88" s="10" t="str">
        <f>IF(B88="","",SUMIFS('08_PL_Operativa'!$H$5:$H$503,'08_PL_Operativa'!$B$5:$B$503,"&lt;="&amp;B88))</f>
        <v/>
      </c>
      <c r="I88" s="26" t="str">
        <f t="shared" si="11"/>
        <v/>
      </c>
      <c r="J88" s="25"/>
      <c r="K88" s="25"/>
      <c r="L88" s="25"/>
      <c r="M88" s="26" t="str">
        <f t="shared" si="12"/>
        <v/>
      </c>
      <c r="N88" s="33" t="str">
        <f>IF(B88="","",SUMIFS('03_Investitori'!$J$5:$J$104,'03_Investitori'!$C$5:$C$104,"&lt;="&amp;B88))</f>
        <v/>
      </c>
      <c r="O88" s="35" t="str">
        <f t="shared" si="13"/>
        <v/>
      </c>
      <c r="P88" s="11" t="str">
        <f t="shared" si="14"/>
        <v/>
      </c>
    </row>
    <row r="89" spans="1:16" x14ac:dyDescent="0.2">
      <c r="A89" s="23" t="str">
        <f t="shared" si="10"/>
        <v/>
      </c>
      <c r="B89" s="22"/>
      <c r="C89" s="10" t="str">
        <f>IF(B89="","",SUMIFS('03_Investitori'!$H$5:$H$104,'03_Investitori'!$C$5:$C$104,"&lt;="&amp;B89))</f>
        <v/>
      </c>
      <c r="D89" s="10" t="str">
        <f>IF(B89="","",SUMIFS('04_Trades'!$K$5:$K$1004,'04_Trades'!$C$5:$C$1004,"BUY",'04_Trades'!$B$5:$B$1004,"&lt;="&amp;B89)-SUMIFS('04_Trades'!$K$5:$K$1004,'04_Trades'!$C$5:$C$1004,"SELL",'04_Trades'!$B$5:$B$1004,"&lt;="&amp;B89))</f>
        <v/>
      </c>
      <c r="E89" s="10" t="str">
        <f>IF(B89="","",SUMIFS('05_Dividendi_Interessi'!$I$5:$I$504,'05_Dividendi_Interessi'!$B$5:$B$504,"&lt;="&amp;B89))</f>
        <v/>
      </c>
      <c r="F89" s="10" t="str">
        <f>IF(B89="","",SUMIFS('06_Partecipazioni'!$I$5:$I$204,'06_Partecipazioni'!$C$5:$C$204,"BUY",'06_Partecipazioni'!$B$5:$B$204,"&lt;="&amp;B89)-SUMIFS('06_Partecipazioni'!$I$5:$I$204,'06_Partecipazioni'!$C$5:$C$204,"SELL",'06_Partecipazioni'!$B$5:$B$204,"&lt;="&amp;B89))</f>
        <v/>
      </c>
      <c r="G89" s="10" t="str">
        <f>IF(B89="","",SUMIFS('07_Prestiti'!$H$5:$H$204,'07_Prestiti'!$C$5:$C$204,"DISBURSEMENT",'07_Prestiti'!$B$5:$B$204,"&lt;="&amp;B89)-SUMIFS('07_Prestiti'!$H$5:$H$204,'07_Prestiti'!$C$5:$C$204,"REPAYMENT",'07_Prestiti'!$B$5:$B$204,"&lt;="&amp;B89))</f>
        <v/>
      </c>
      <c r="H89" s="10" t="str">
        <f>IF(B89="","",SUMIFS('08_PL_Operativa'!$H$5:$H$503,'08_PL_Operativa'!$B$5:$B$503,"&lt;="&amp;B89))</f>
        <v/>
      </c>
      <c r="I89" s="26" t="str">
        <f t="shared" si="11"/>
        <v/>
      </c>
      <c r="J89" s="25"/>
      <c r="K89" s="25"/>
      <c r="L89" s="25"/>
      <c r="M89" s="26" t="str">
        <f t="shared" si="12"/>
        <v/>
      </c>
      <c r="N89" s="33" t="str">
        <f>IF(B89="","",SUMIFS('03_Investitori'!$J$5:$J$104,'03_Investitori'!$C$5:$C$104,"&lt;="&amp;B89))</f>
        <v/>
      </c>
      <c r="O89" s="35" t="str">
        <f t="shared" si="13"/>
        <v/>
      </c>
      <c r="P89" s="11" t="str">
        <f t="shared" si="14"/>
        <v/>
      </c>
    </row>
    <row r="90" spans="1:16" x14ac:dyDescent="0.2">
      <c r="A90" s="23" t="str">
        <f t="shared" si="10"/>
        <v/>
      </c>
      <c r="B90" s="22"/>
      <c r="C90" s="10" t="str">
        <f>IF(B90="","",SUMIFS('03_Investitori'!$H$5:$H$104,'03_Investitori'!$C$5:$C$104,"&lt;="&amp;B90))</f>
        <v/>
      </c>
      <c r="D90" s="10" t="str">
        <f>IF(B90="","",SUMIFS('04_Trades'!$K$5:$K$1004,'04_Trades'!$C$5:$C$1004,"BUY",'04_Trades'!$B$5:$B$1004,"&lt;="&amp;B90)-SUMIFS('04_Trades'!$K$5:$K$1004,'04_Trades'!$C$5:$C$1004,"SELL",'04_Trades'!$B$5:$B$1004,"&lt;="&amp;B90))</f>
        <v/>
      </c>
      <c r="E90" s="10" t="str">
        <f>IF(B90="","",SUMIFS('05_Dividendi_Interessi'!$I$5:$I$504,'05_Dividendi_Interessi'!$B$5:$B$504,"&lt;="&amp;B90))</f>
        <v/>
      </c>
      <c r="F90" s="10" t="str">
        <f>IF(B90="","",SUMIFS('06_Partecipazioni'!$I$5:$I$204,'06_Partecipazioni'!$C$5:$C$204,"BUY",'06_Partecipazioni'!$B$5:$B$204,"&lt;="&amp;B90)-SUMIFS('06_Partecipazioni'!$I$5:$I$204,'06_Partecipazioni'!$C$5:$C$204,"SELL",'06_Partecipazioni'!$B$5:$B$204,"&lt;="&amp;B90))</f>
        <v/>
      </c>
      <c r="G90" s="10" t="str">
        <f>IF(B90="","",SUMIFS('07_Prestiti'!$H$5:$H$204,'07_Prestiti'!$C$5:$C$204,"DISBURSEMENT",'07_Prestiti'!$B$5:$B$204,"&lt;="&amp;B90)-SUMIFS('07_Prestiti'!$H$5:$H$204,'07_Prestiti'!$C$5:$C$204,"REPAYMENT",'07_Prestiti'!$B$5:$B$204,"&lt;="&amp;B90))</f>
        <v/>
      </c>
      <c r="H90" s="10" t="str">
        <f>IF(B90="","",SUMIFS('08_PL_Operativa'!$H$5:$H$503,'08_PL_Operativa'!$B$5:$B$503,"&lt;="&amp;B90))</f>
        <v/>
      </c>
      <c r="I90" s="26" t="str">
        <f t="shared" si="11"/>
        <v/>
      </c>
      <c r="J90" s="25"/>
      <c r="K90" s="25"/>
      <c r="L90" s="25"/>
      <c r="M90" s="26" t="str">
        <f t="shared" si="12"/>
        <v/>
      </c>
      <c r="N90" s="33" t="str">
        <f>IF(B90="","",SUMIFS('03_Investitori'!$J$5:$J$104,'03_Investitori'!$C$5:$C$104,"&lt;="&amp;B90))</f>
        <v/>
      </c>
      <c r="O90" s="35" t="str">
        <f t="shared" si="13"/>
        <v/>
      </c>
      <c r="P90" s="11" t="str">
        <f t="shared" si="14"/>
        <v/>
      </c>
    </row>
    <row r="91" spans="1:16" x14ac:dyDescent="0.2">
      <c r="A91" s="23" t="str">
        <f t="shared" si="10"/>
        <v/>
      </c>
      <c r="B91" s="22"/>
      <c r="C91" s="10" t="str">
        <f>IF(B91="","",SUMIFS('03_Investitori'!$H$5:$H$104,'03_Investitori'!$C$5:$C$104,"&lt;="&amp;B91))</f>
        <v/>
      </c>
      <c r="D91" s="10" t="str">
        <f>IF(B91="","",SUMIFS('04_Trades'!$K$5:$K$1004,'04_Trades'!$C$5:$C$1004,"BUY",'04_Trades'!$B$5:$B$1004,"&lt;="&amp;B91)-SUMIFS('04_Trades'!$K$5:$K$1004,'04_Trades'!$C$5:$C$1004,"SELL",'04_Trades'!$B$5:$B$1004,"&lt;="&amp;B91))</f>
        <v/>
      </c>
      <c r="E91" s="10" t="str">
        <f>IF(B91="","",SUMIFS('05_Dividendi_Interessi'!$I$5:$I$504,'05_Dividendi_Interessi'!$B$5:$B$504,"&lt;="&amp;B91))</f>
        <v/>
      </c>
      <c r="F91" s="10" t="str">
        <f>IF(B91="","",SUMIFS('06_Partecipazioni'!$I$5:$I$204,'06_Partecipazioni'!$C$5:$C$204,"BUY",'06_Partecipazioni'!$B$5:$B$204,"&lt;="&amp;B91)-SUMIFS('06_Partecipazioni'!$I$5:$I$204,'06_Partecipazioni'!$C$5:$C$204,"SELL",'06_Partecipazioni'!$B$5:$B$204,"&lt;="&amp;B91))</f>
        <v/>
      </c>
      <c r="G91" s="10" t="str">
        <f>IF(B91="","",SUMIFS('07_Prestiti'!$H$5:$H$204,'07_Prestiti'!$C$5:$C$204,"DISBURSEMENT",'07_Prestiti'!$B$5:$B$204,"&lt;="&amp;B91)-SUMIFS('07_Prestiti'!$H$5:$H$204,'07_Prestiti'!$C$5:$C$204,"REPAYMENT",'07_Prestiti'!$B$5:$B$204,"&lt;="&amp;B91))</f>
        <v/>
      </c>
      <c r="H91" s="10" t="str">
        <f>IF(B91="","",SUMIFS('08_PL_Operativa'!$H$5:$H$503,'08_PL_Operativa'!$B$5:$B$503,"&lt;="&amp;B91))</f>
        <v/>
      </c>
      <c r="I91" s="26" t="str">
        <f t="shared" si="11"/>
        <v/>
      </c>
      <c r="J91" s="25"/>
      <c r="K91" s="25"/>
      <c r="L91" s="25"/>
      <c r="M91" s="26" t="str">
        <f t="shared" si="12"/>
        <v/>
      </c>
      <c r="N91" s="33" t="str">
        <f>IF(B91="","",SUMIFS('03_Investitori'!$J$5:$J$104,'03_Investitori'!$C$5:$C$104,"&lt;="&amp;B91))</f>
        <v/>
      </c>
      <c r="O91" s="35" t="str">
        <f t="shared" si="13"/>
        <v/>
      </c>
      <c r="P91" s="11" t="str">
        <f t="shared" si="14"/>
        <v/>
      </c>
    </row>
    <row r="92" spans="1:16" x14ac:dyDescent="0.2">
      <c r="A92" s="23" t="str">
        <f t="shared" si="10"/>
        <v/>
      </c>
      <c r="B92" s="22"/>
      <c r="C92" s="10" t="str">
        <f>IF(B92="","",SUMIFS('03_Investitori'!$H$5:$H$104,'03_Investitori'!$C$5:$C$104,"&lt;="&amp;B92))</f>
        <v/>
      </c>
      <c r="D92" s="10" t="str">
        <f>IF(B92="","",SUMIFS('04_Trades'!$K$5:$K$1004,'04_Trades'!$C$5:$C$1004,"BUY",'04_Trades'!$B$5:$B$1004,"&lt;="&amp;B92)-SUMIFS('04_Trades'!$K$5:$K$1004,'04_Trades'!$C$5:$C$1004,"SELL",'04_Trades'!$B$5:$B$1004,"&lt;="&amp;B92))</f>
        <v/>
      </c>
      <c r="E92" s="10" t="str">
        <f>IF(B92="","",SUMIFS('05_Dividendi_Interessi'!$I$5:$I$504,'05_Dividendi_Interessi'!$B$5:$B$504,"&lt;="&amp;B92))</f>
        <v/>
      </c>
      <c r="F92" s="10" t="str">
        <f>IF(B92="","",SUMIFS('06_Partecipazioni'!$I$5:$I$204,'06_Partecipazioni'!$C$5:$C$204,"BUY",'06_Partecipazioni'!$B$5:$B$204,"&lt;="&amp;B92)-SUMIFS('06_Partecipazioni'!$I$5:$I$204,'06_Partecipazioni'!$C$5:$C$204,"SELL",'06_Partecipazioni'!$B$5:$B$204,"&lt;="&amp;B92))</f>
        <v/>
      </c>
      <c r="G92" s="10" t="str">
        <f>IF(B92="","",SUMIFS('07_Prestiti'!$H$5:$H$204,'07_Prestiti'!$C$5:$C$204,"DISBURSEMENT",'07_Prestiti'!$B$5:$B$204,"&lt;="&amp;B92)-SUMIFS('07_Prestiti'!$H$5:$H$204,'07_Prestiti'!$C$5:$C$204,"REPAYMENT",'07_Prestiti'!$B$5:$B$204,"&lt;="&amp;B92))</f>
        <v/>
      </c>
      <c r="H92" s="10" t="str">
        <f>IF(B92="","",SUMIFS('08_PL_Operativa'!$H$5:$H$503,'08_PL_Operativa'!$B$5:$B$503,"&lt;="&amp;B92))</f>
        <v/>
      </c>
      <c r="I92" s="26" t="str">
        <f t="shared" si="11"/>
        <v/>
      </c>
      <c r="J92" s="25"/>
      <c r="K92" s="25"/>
      <c r="L92" s="25"/>
      <c r="M92" s="26" t="str">
        <f t="shared" si="12"/>
        <v/>
      </c>
      <c r="N92" s="33" t="str">
        <f>IF(B92="","",SUMIFS('03_Investitori'!$J$5:$J$104,'03_Investitori'!$C$5:$C$104,"&lt;="&amp;B92))</f>
        <v/>
      </c>
      <c r="O92" s="35" t="str">
        <f t="shared" si="13"/>
        <v/>
      </c>
      <c r="P92" s="11" t="str">
        <f t="shared" si="14"/>
        <v/>
      </c>
    </row>
    <row r="93" spans="1:16" x14ac:dyDescent="0.2">
      <c r="A93" s="23" t="str">
        <f t="shared" si="10"/>
        <v/>
      </c>
      <c r="B93" s="22"/>
      <c r="C93" s="10" t="str">
        <f>IF(B93="","",SUMIFS('03_Investitori'!$H$5:$H$104,'03_Investitori'!$C$5:$C$104,"&lt;="&amp;B93))</f>
        <v/>
      </c>
      <c r="D93" s="10" t="str">
        <f>IF(B93="","",SUMIFS('04_Trades'!$K$5:$K$1004,'04_Trades'!$C$5:$C$1004,"BUY",'04_Trades'!$B$5:$B$1004,"&lt;="&amp;B93)-SUMIFS('04_Trades'!$K$5:$K$1004,'04_Trades'!$C$5:$C$1004,"SELL",'04_Trades'!$B$5:$B$1004,"&lt;="&amp;B93))</f>
        <v/>
      </c>
      <c r="E93" s="10" t="str">
        <f>IF(B93="","",SUMIFS('05_Dividendi_Interessi'!$I$5:$I$504,'05_Dividendi_Interessi'!$B$5:$B$504,"&lt;="&amp;B93))</f>
        <v/>
      </c>
      <c r="F93" s="10" t="str">
        <f>IF(B93="","",SUMIFS('06_Partecipazioni'!$I$5:$I$204,'06_Partecipazioni'!$C$5:$C$204,"BUY",'06_Partecipazioni'!$B$5:$B$204,"&lt;="&amp;B93)-SUMIFS('06_Partecipazioni'!$I$5:$I$204,'06_Partecipazioni'!$C$5:$C$204,"SELL",'06_Partecipazioni'!$B$5:$B$204,"&lt;="&amp;B93))</f>
        <v/>
      </c>
      <c r="G93" s="10" t="str">
        <f>IF(B93="","",SUMIFS('07_Prestiti'!$H$5:$H$204,'07_Prestiti'!$C$5:$C$204,"DISBURSEMENT",'07_Prestiti'!$B$5:$B$204,"&lt;="&amp;B93)-SUMIFS('07_Prestiti'!$H$5:$H$204,'07_Prestiti'!$C$5:$C$204,"REPAYMENT",'07_Prestiti'!$B$5:$B$204,"&lt;="&amp;B93))</f>
        <v/>
      </c>
      <c r="H93" s="10" t="str">
        <f>IF(B93="","",SUMIFS('08_PL_Operativa'!$H$5:$H$503,'08_PL_Operativa'!$B$5:$B$503,"&lt;="&amp;B93))</f>
        <v/>
      </c>
      <c r="I93" s="26" t="str">
        <f t="shared" si="11"/>
        <v/>
      </c>
      <c r="J93" s="25"/>
      <c r="K93" s="25"/>
      <c r="L93" s="25"/>
      <c r="M93" s="26" t="str">
        <f t="shared" si="12"/>
        <v/>
      </c>
      <c r="N93" s="33" t="str">
        <f>IF(B93="","",SUMIFS('03_Investitori'!$J$5:$J$104,'03_Investitori'!$C$5:$C$104,"&lt;="&amp;B93))</f>
        <v/>
      </c>
      <c r="O93" s="35" t="str">
        <f t="shared" si="13"/>
        <v/>
      </c>
      <c r="P93" s="11" t="str">
        <f t="shared" si="14"/>
        <v/>
      </c>
    </row>
    <row r="94" spans="1:16" x14ac:dyDescent="0.2">
      <c r="A94" s="23" t="str">
        <f t="shared" si="10"/>
        <v/>
      </c>
      <c r="B94" s="22"/>
      <c r="C94" s="10" t="str">
        <f>IF(B94="","",SUMIFS('03_Investitori'!$H$5:$H$104,'03_Investitori'!$C$5:$C$104,"&lt;="&amp;B94))</f>
        <v/>
      </c>
      <c r="D94" s="10" t="str">
        <f>IF(B94="","",SUMIFS('04_Trades'!$K$5:$K$1004,'04_Trades'!$C$5:$C$1004,"BUY",'04_Trades'!$B$5:$B$1004,"&lt;="&amp;B94)-SUMIFS('04_Trades'!$K$5:$K$1004,'04_Trades'!$C$5:$C$1004,"SELL",'04_Trades'!$B$5:$B$1004,"&lt;="&amp;B94))</f>
        <v/>
      </c>
      <c r="E94" s="10" t="str">
        <f>IF(B94="","",SUMIFS('05_Dividendi_Interessi'!$I$5:$I$504,'05_Dividendi_Interessi'!$B$5:$B$504,"&lt;="&amp;B94))</f>
        <v/>
      </c>
      <c r="F94" s="10" t="str">
        <f>IF(B94="","",SUMIFS('06_Partecipazioni'!$I$5:$I$204,'06_Partecipazioni'!$C$5:$C$204,"BUY",'06_Partecipazioni'!$B$5:$B$204,"&lt;="&amp;B94)-SUMIFS('06_Partecipazioni'!$I$5:$I$204,'06_Partecipazioni'!$C$5:$C$204,"SELL",'06_Partecipazioni'!$B$5:$B$204,"&lt;="&amp;B94))</f>
        <v/>
      </c>
      <c r="G94" s="10" t="str">
        <f>IF(B94="","",SUMIFS('07_Prestiti'!$H$5:$H$204,'07_Prestiti'!$C$5:$C$204,"DISBURSEMENT",'07_Prestiti'!$B$5:$B$204,"&lt;="&amp;B94)-SUMIFS('07_Prestiti'!$H$5:$H$204,'07_Prestiti'!$C$5:$C$204,"REPAYMENT",'07_Prestiti'!$B$5:$B$204,"&lt;="&amp;B94))</f>
        <v/>
      </c>
      <c r="H94" s="10" t="str">
        <f>IF(B94="","",SUMIFS('08_PL_Operativa'!$H$5:$H$503,'08_PL_Operativa'!$B$5:$B$503,"&lt;="&amp;B94))</f>
        <v/>
      </c>
      <c r="I94" s="26" t="str">
        <f t="shared" si="11"/>
        <v/>
      </c>
      <c r="J94" s="25"/>
      <c r="K94" s="25"/>
      <c r="L94" s="25"/>
      <c r="M94" s="26" t="str">
        <f t="shared" si="12"/>
        <v/>
      </c>
      <c r="N94" s="33" t="str">
        <f>IF(B94="","",SUMIFS('03_Investitori'!$J$5:$J$104,'03_Investitori'!$C$5:$C$104,"&lt;="&amp;B94))</f>
        <v/>
      </c>
      <c r="O94" s="35" t="str">
        <f t="shared" si="13"/>
        <v/>
      </c>
      <c r="P94" s="11" t="str">
        <f t="shared" si="14"/>
        <v/>
      </c>
    </row>
    <row r="95" spans="1:16" x14ac:dyDescent="0.2">
      <c r="A95" s="23" t="str">
        <f t="shared" si="10"/>
        <v/>
      </c>
      <c r="B95" s="22"/>
      <c r="C95" s="10" t="str">
        <f>IF(B95="","",SUMIFS('03_Investitori'!$H$5:$H$104,'03_Investitori'!$C$5:$C$104,"&lt;="&amp;B95))</f>
        <v/>
      </c>
      <c r="D95" s="10" t="str">
        <f>IF(B95="","",SUMIFS('04_Trades'!$K$5:$K$1004,'04_Trades'!$C$5:$C$1004,"BUY",'04_Trades'!$B$5:$B$1004,"&lt;="&amp;B95)-SUMIFS('04_Trades'!$K$5:$K$1004,'04_Trades'!$C$5:$C$1004,"SELL",'04_Trades'!$B$5:$B$1004,"&lt;="&amp;B95))</f>
        <v/>
      </c>
      <c r="E95" s="10" t="str">
        <f>IF(B95="","",SUMIFS('05_Dividendi_Interessi'!$I$5:$I$504,'05_Dividendi_Interessi'!$B$5:$B$504,"&lt;="&amp;B95))</f>
        <v/>
      </c>
      <c r="F95" s="10" t="str">
        <f>IF(B95="","",SUMIFS('06_Partecipazioni'!$I$5:$I$204,'06_Partecipazioni'!$C$5:$C$204,"BUY",'06_Partecipazioni'!$B$5:$B$204,"&lt;="&amp;B95)-SUMIFS('06_Partecipazioni'!$I$5:$I$204,'06_Partecipazioni'!$C$5:$C$204,"SELL",'06_Partecipazioni'!$B$5:$B$204,"&lt;="&amp;B95))</f>
        <v/>
      </c>
      <c r="G95" s="10" t="str">
        <f>IF(B95="","",SUMIFS('07_Prestiti'!$H$5:$H$204,'07_Prestiti'!$C$5:$C$204,"DISBURSEMENT",'07_Prestiti'!$B$5:$B$204,"&lt;="&amp;B95)-SUMIFS('07_Prestiti'!$H$5:$H$204,'07_Prestiti'!$C$5:$C$204,"REPAYMENT",'07_Prestiti'!$B$5:$B$204,"&lt;="&amp;B95))</f>
        <v/>
      </c>
      <c r="H95" s="10" t="str">
        <f>IF(B95="","",SUMIFS('08_PL_Operativa'!$H$5:$H$503,'08_PL_Operativa'!$B$5:$B$503,"&lt;="&amp;B95))</f>
        <v/>
      </c>
      <c r="I95" s="26" t="str">
        <f t="shared" si="11"/>
        <v/>
      </c>
      <c r="J95" s="25"/>
      <c r="K95" s="25"/>
      <c r="L95" s="25"/>
      <c r="M95" s="26" t="str">
        <f t="shared" si="12"/>
        <v/>
      </c>
      <c r="N95" s="33" t="str">
        <f>IF(B95="","",SUMIFS('03_Investitori'!$J$5:$J$104,'03_Investitori'!$C$5:$C$104,"&lt;="&amp;B95))</f>
        <v/>
      </c>
      <c r="O95" s="35" t="str">
        <f t="shared" si="13"/>
        <v/>
      </c>
      <c r="P95" s="11" t="str">
        <f t="shared" si="14"/>
        <v/>
      </c>
    </row>
    <row r="96" spans="1:16" x14ac:dyDescent="0.2">
      <c r="A96" s="23" t="str">
        <f t="shared" si="10"/>
        <v/>
      </c>
      <c r="B96" s="22"/>
      <c r="C96" s="10" t="str">
        <f>IF(B96="","",SUMIFS('03_Investitori'!$H$5:$H$104,'03_Investitori'!$C$5:$C$104,"&lt;="&amp;B96))</f>
        <v/>
      </c>
      <c r="D96" s="10" t="str">
        <f>IF(B96="","",SUMIFS('04_Trades'!$K$5:$K$1004,'04_Trades'!$C$5:$C$1004,"BUY",'04_Trades'!$B$5:$B$1004,"&lt;="&amp;B96)-SUMIFS('04_Trades'!$K$5:$K$1004,'04_Trades'!$C$5:$C$1004,"SELL",'04_Trades'!$B$5:$B$1004,"&lt;="&amp;B96))</f>
        <v/>
      </c>
      <c r="E96" s="10" t="str">
        <f>IF(B96="","",SUMIFS('05_Dividendi_Interessi'!$I$5:$I$504,'05_Dividendi_Interessi'!$B$5:$B$504,"&lt;="&amp;B96))</f>
        <v/>
      </c>
      <c r="F96" s="10" t="str">
        <f>IF(B96="","",SUMIFS('06_Partecipazioni'!$I$5:$I$204,'06_Partecipazioni'!$C$5:$C$204,"BUY",'06_Partecipazioni'!$B$5:$B$204,"&lt;="&amp;B96)-SUMIFS('06_Partecipazioni'!$I$5:$I$204,'06_Partecipazioni'!$C$5:$C$204,"SELL",'06_Partecipazioni'!$B$5:$B$204,"&lt;="&amp;B96))</f>
        <v/>
      </c>
      <c r="G96" s="10" t="str">
        <f>IF(B96="","",SUMIFS('07_Prestiti'!$H$5:$H$204,'07_Prestiti'!$C$5:$C$204,"DISBURSEMENT",'07_Prestiti'!$B$5:$B$204,"&lt;="&amp;B96)-SUMIFS('07_Prestiti'!$H$5:$H$204,'07_Prestiti'!$C$5:$C$204,"REPAYMENT",'07_Prestiti'!$B$5:$B$204,"&lt;="&amp;B96))</f>
        <v/>
      </c>
      <c r="H96" s="10" t="str">
        <f>IF(B96="","",SUMIFS('08_PL_Operativa'!$H$5:$H$503,'08_PL_Operativa'!$B$5:$B$503,"&lt;="&amp;B96))</f>
        <v/>
      </c>
      <c r="I96" s="26" t="str">
        <f t="shared" si="11"/>
        <v/>
      </c>
      <c r="J96" s="25"/>
      <c r="K96" s="25"/>
      <c r="L96" s="25"/>
      <c r="M96" s="26" t="str">
        <f t="shared" si="12"/>
        <v/>
      </c>
      <c r="N96" s="33" t="str">
        <f>IF(B96="","",SUMIFS('03_Investitori'!$J$5:$J$104,'03_Investitori'!$C$5:$C$104,"&lt;="&amp;B96))</f>
        <v/>
      </c>
      <c r="O96" s="35" t="str">
        <f t="shared" si="13"/>
        <v/>
      </c>
      <c r="P96" s="11" t="str">
        <f t="shared" si="14"/>
        <v/>
      </c>
    </row>
    <row r="97" spans="1:16" x14ac:dyDescent="0.2">
      <c r="A97" s="23" t="str">
        <f t="shared" si="10"/>
        <v/>
      </c>
      <c r="B97" s="22"/>
      <c r="C97" s="10" t="str">
        <f>IF(B97="","",SUMIFS('03_Investitori'!$H$5:$H$104,'03_Investitori'!$C$5:$C$104,"&lt;="&amp;B97))</f>
        <v/>
      </c>
      <c r="D97" s="10" t="str">
        <f>IF(B97="","",SUMIFS('04_Trades'!$K$5:$K$1004,'04_Trades'!$C$5:$C$1004,"BUY",'04_Trades'!$B$5:$B$1004,"&lt;="&amp;B97)-SUMIFS('04_Trades'!$K$5:$K$1004,'04_Trades'!$C$5:$C$1004,"SELL",'04_Trades'!$B$5:$B$1004,"&lt;="&amp;B97))</f>
        <v/>
      </c>
      <c r="E97" s="10" t="str">
        <f>IF(B97="","",SUMIFS('05_Dividendi_Interessi'!$I$5:$I$504,'05_Dividendi_Interessi'!$B$5:$B$504,"&lt;="&amp;B97))</f>
        <v/>
      </c>
      <c r="F97" s="10" t="str">
        <f>IF(B97="","",SUMIFS('06_Partecipazioni'!$I$5:$I$204,'06_Partecipazioni'!$C$5:$C$204,"BUY",'06_Partecipazioni'!$B$5:$B$204,"&lt;="&amp;B97)-SUMIFS('06_Partecipazioni'!$I$5:$I$204,'06_Partecipazioni'!$C$5:$C$204,"SELL",'06_Partecipazioni'!$B$5:$B$204,"&lt;="&amp;B97))</f>
        <v/>
      </c>
      <c r="G97" s="10" t="str">
        <f>IF(B97="","",SUMIFS('07_Prestiti'!$H$5:$H$204,'07_Prestiti'!$C$5:$C$204,"DISBURSEMENT",'07_Prestiti'!$B$5:$B$204,"&lt;="&amp;B97)-SUMIFS('07_Prestiti'!$H$5:$H$204,'07_Prestiti'!$C$5:$C$204,"REPAYMENT",'07_Prestiti'!$B$5:$B$204,"&lt;="&amp;B97))</f>
        <v/>
      </c>
      <c r="H97" s="10" t="str">
        <f>IF(B97="","",SUMIFS('08_PL_Operativa'!$H$5:$H$503,'08_PL_Operativa'!$B$5:$B$503,"&lt;="&amp;B97))</f>
        <v/>
      </c>
      <c r="I97" s="26" t="str">
        <f t="shared" si="11"/>
        <v/>
      </c>
      <c r="J97" s="25"/>
      <c r="K97" s="25"/>
      <c r="L97" s="25"/>
      <c r="M97" s="26" t="str">
        <f t="shared" si="12"/>
        <v/>
      </c>
      <c r="N97" s="33" t="str">
        <f>IF(B97="","",SUMIFS('03_Investitori'!$J$5:$J$104,'03_Investitori'!$C$5:$C$104,"&lt;="&amp;B97))</f>
        <v/>
      </c>
      <c r="O97" s="35" t="str">
        <f t="shared" si="13"/>
        <v/>
      </c>
      <c r="P97" s="11" t="str">
        <f t="shared" si="14"/>
        <v/>
      </c>
    </row>
    <row r="98" spans="1:16" x14ac:dyDescent="0.2">
      <c r="A98" s="23" t="str">
        <f t="shared" si="10"/>
        <v/>
      </c>
      <c r="B98" s="22"/>
      <c r="C98" s="10" t="str">
        <f>IF(B98="","",SUMIFS('03_Investitori'!$H$5:$H$104,'03_Investitori'!$C$5:$C$104,"&lt;="&amp;B98))</f>
        <v/>
      </c>
      <c r="D98" s="10" t="str">
        <f>IF(B98="","",SUMIFS('04_Trades'!$K$5:$K$1004,'04_Trades'!$C$5:$C$1004,"BUY",'04_Trades'!$B$5:$B$1004,"&lt;="&amp;B98)-SUMIFS('04_Trades'!$K$5:$K$1004,'04_Trades'!$C$5:$C$1004,"SELL",'04_Trades'!$B$5:$B$1004,"&lt;="&amp;B98))</f>
        <v/>
      </c>
      <c r="E98" s="10" t="str">
        <f>IF(B98="","",SUMIFS('05_Dividendi_Interessi'!$I$5:$I$504,'05_Dividendi_Interessi'!$B$5:$B$504,"&lt;="&amp;B98))</f>
        <v/>
      </c>
      <c r="F98" s="10" t="str">
        <f>IF(B98="","",SUMIFS('06_Partecipazioni'!$I$5:$I$204,'06_Partecipazioni'!$C$5:$C$204,"BUY",'06_Partecipazioni'!$B$5:$B$204,"&lt;="&amp;B98)-SUMIFS('06_Partecipazioni'!$I$5:$I$204,'06_Partecipazioni'!$C$5:$C$204,"SELL",'06_Partecipazioni'!$B$5:$B$204,"&lt;="&amp;B98))</f>
        <v/>
      </c>
      <c r="G98" s="10" t="str">
        <f>IF(B98="","",SUMIFS('07_Prestiti'!$H$5:$H$204,'07_Prestiti'!$C$5:$C$204,"DISBURSEMENT",'07_Prestiti'!$B$5:$B$204,"&lt;="&amp;B98)-SUMIFS('07_Prestiti'!$H$5:$H$204,'07_Prestiti'!$C$5:$C$204,"REPAYMENT",'07_Prestiti'!$B$5:$B$204,"&lt;="&amp;B98))</f>
        <v/>
      </c>
      <c r="H98" s="10" t="str">
        <f>IF(B98="","",SUMIFS('08_PL_Operativa'!$H$5:$H$503,'08_PL_Operativa'!$B$5:$B$503,"&lt;="&amp;B98))</f>
        <v/>
      </c>
      <c r="I98" s="26" t="str">
        <f t="shared" si="11"/>
        <v/>
      </c>
      <c r="J98" s="25"/>
      <c r="K98" s="25"/>
      <c r="L98" s="25"/>
      <c r="M98" s="26" t="str">
        <f t="shared" si="12"/>
        <v/>
      </c>
      <c r="N98" s="33" t="str">
        <f>IF(B98="","",SUMIFS('03_Investitori'!$J$5:$J$104,'03_Investitori'!$C$5:$C$104,"&lt;="&amp;B98))</f>
        <v/>
      </c>
      <c r="O98" s="35" t="str">
        <f t="shared" si="13"/>
        <v/>
      </c>
      <c r="P98" s="11" t="str">
        <f t="shared" si="14"/>
        <v/>
      </c>
    </row>
    <row r="99" spans="1:16" x14ac:dyDescent="0.2">
      <c r="A99" s="23" t="str">
        <f t="shared" si="10"/>
        <v/>
      </c>
      <c r="B99" s="22"/>
      <c r="C99" s="10" t="str">
        <f>IF(B99="","",SUMIFS('03_Investitori'!$H$5:$H$104,'03_Investitori'!$C$5:$C$104,"&lt;="&amp;B99))</f>
        <v/>
      </c>
      <c r="D99" s="10" t="str">
        <f>IF(B99="","",SUMIFS('04_Trades'!$K$5:$K$1004,'04_Trades'!$C$5:$C$1004,"BUY",'04_Trades'!$B$5:$B$1004,"&lt;="&amp;B99)-SUMIFS('04_Trades'!$K$5:$K$1004,'04_Trades'!$C$5:$C$1004,"SELL",'04_Trades'!$B$5:$B$1004,"&lt;="&amp;B99))</f>
        <v/>
      </c>
      <c r="E99" s="10" t="str">
        <f>IF(B99="","",SUMIFS('05_Dividendi_Interessi'!$I$5:$I$504,'05_Dividendi_Interessi'!$B$5:$B$504,"&lt;="&amp;B99))</f>
        <v/>
      </c>
      <c r="F99" s="10" t="str">
        <f>IF(B99="","",SUMIFS('06_Partecipazioni'!$I$5:$I$204,'06_Partecipazioni'!$C$5:$C$204,"BUY",'06_Partecipazioni'!$B$5:$B$204,"&lt;="&amp;B99)-SUMIFS('06_Partecipazioni'!$I$5:$I$204,'06_Partecipazioni'!$C$5:$C$204,"SELL",'06_Partecipazioni'!$B$5:$B$204,"&lt;="&amp;B99))</f>
        <v/>
      </c>
      <c r="G99" s="10" t="str">
        <f>IF(B99="","",SUMIFS('07_Prestiti'!$H$5:$H$204,'07_Prestiti'!$C$5:$C$204,"DISBURSEMENT",'07_Prestiti'!$B$5:$B$204,"&lt;="&amp;B99)-SUMIFS('07_Prestiti'!$H$5:$H$204,'07_Prestiti'!$C$5:$C$204,"REPAYMENT",'07_Prestiti'!$B$5:$B$204,"&lt;="&amp;B99))</f>
        <v/>
      </c>
      <c r="H99" s="10" t="str">
        <f>IF(B99="","",SUMIFS('08_PL_Operativa'!$H$5:$H$503,'08_PL_Operativa'!$B$5:$B$503,"&lt;="&amp;B99))</f>
        <v/>
      </c>
      <c r="I99" s="26" t="str">
        <f t="shared" si="11"/>
        <v/>
      </c>
      <c r="J99" s="25"/>
      <c r="K99" s="25"/>
      <c r="L99" s="25"/>
      <c r="M99" s="26" t="str">
        <f t="shared" si="12"/>
        <v/>
      </c>
      <c r="N99" s="33" t="str">
        <f>IF(B99="","",SUMIFS('03_Investitori'!$J$5:$J$104,'03_Investitori'!$C$5:$C$104,"&lt;="&amp;B99))</f>
        <v/>
      </c>
      <c r="O99" s="35" t="str">
        <f t="shared" si="13"/>
        <v/>
      </c>
      <c r="P99" s="11" t="str">
        <f t="shared" si="14"/>
        <v/>
      </c>
    </row>
    <row r="100" spans="1:16" x14ac:dyDescent="0.2">
      <c r="A100" s="23" t="str">
        <f t="shared" si="10"/>
        <v/>
      </c>
      <c r="B100" s="22"/>
      <c r="C100" s="10" t="str">
        <f>IF(B100="","",SUMIFS('03_Investitori'!$H$5:$H$104,'03_Investitori'!$C$5:$C$104,"&lt;="&amp;B100))</f>
        <v/>
      </c>
      <c r="D100" s="10" t="str">
        <f>IF(B100="","",SUMIFS('04_Trades'!$K$5:$K$1004,'04_Trades'!$C$5:$C$1004,"BUY",'04_Trades'!$B$5:$B$1004,"&lt;="&amp;B100)-SUMIFS('04_Trades'!$K$5:$K$1004,'04_Trades'!$C$5:$C$1004,"SELL",'04_Trades'!$B$5:$B$1004,"&lt;="&amp;B100))</f>
        <v/>
      </c>
      <c r="E100" s="10" t="str">
        <f>IF(B100="","",SUMIFS('05_Dividendi_Interessi'!$I$5:$I$504,'05_Dividendi_Interessi'!$B$5:$B$504,"&lt;="&amp;B100))</f>
        <v/>
      </c>
      <c r="F100" s="10" t="str">
        <f>IF(B100="","",SUMIFS('06_Partecipazioni'!$I$5:$I$204,'06_Partecipazioni'!$C$5:$C$204,"BUY",'06_Partecipazioni'!$B$5:$B$204,"&lt;="&amp;B100)-SUMIFS('06_Partecipazioni'!$I$5:$I$204,'06_Partecipazioni'!$C$5:$C$204,"SELL",'06_Partecipazioni'!$B$5:$B$204,"&lt;="&amp;B100))</f>
        <v/>
      </c>
      <c r="G100" s="10" t="str">
        <f>IF(B100="","",SUMIFS('07_Prestiti'!$H$5:$H$204,'07_Prestiti'!$C$5:$C$204,"DISBURSEMENT",'07_Prestiti'!$B$5:$B$204,"&lt;="&amp;B100)-SUMIFS('07_Prestiti'!$H$5:$H$204,'07_Prestiti'!$C$5:$C$204,"REPAYMENT",'07_Prestiti'!$B$5:$B$204,"&lt;="&amp;B100))</f>
        <v/>
      </c>
      <c r="H100" s="10" t="str">
        <f>IF(B100="","",SUMIFS('08_PL_Operativa'!$H$5:$H$503,'08_PL_Operativa'!$B$5:$B$503,"&lt;="&amp;B100))</f>
        <v/>
      </c>
      <c r="I100" s="26" t="str">
        <f t="shared" si="11"/>
        <v/>
      </c>
      <c r="J100" s="25"/>
      <c r="K100" s="25"/>
      <c r="L100" s="25"/>
      <c r="M100" s="26" t="str">
        <f t="shared" si="12"/>
        <v/>
      </c>
      <c r="N100" s="33" t="str">
        <f>IF(B100="","",SUMIFS('03_Investitori'!$J$5:$J$104,'03_Investitori'!$C$5:$C$104,"&lt;="&amp;B100))</f>
        <v/>
      </c>
      <c r="O100" s="35" t="str">
        <f t="shared" si="13"/>
        <v/>
      </c>
      <c r="P100" s="11" t="str">
        <f t="shared" si="14"/>
        <v/>
      </c>
    </row>
    <row r="101" spans="1:16" x14ac:dyDescent="0.2">
      <c r="A101" s="23" t="str">
        <f t="shared" ref="A101:A132" si="15">IF(B101="","",ROW()-4)</f>
        <v/>
      </c>
      <c r="B101" s="22"/>
      <c r="C101" s="10" t="str">
        <f>IF(B101="","",SUMIFS('03_Investitori'!$H$5:$H$104,'03_Investitori'!$C$5:$C$104,"&lt;="&amp;B101))</f>
        <v/>
      </c>
      <c r="D101" s="10" t="str">
        <f>IF(B101="","",SUMIFS('04_Trades'!$K$5:$K$1004,'04_Trades'!$C$5:$C$1004,"BUY",'04_Trades'!$B$5:$B$1004,"&lt;="&amp;B101)-SUMIFS('04_Trades'!$K$5:$K$1004,'04_Trades'!$C$5:$C$1004,"SELL",'04_Trades'!$B$5:$B$1004,"&lt;="&amp;B101))</f>
        <v/>
      </c>
      <c r="E101" s="10" t="str">
        <f>IF(B101="","",SUMIFS('05_Dividendi_Interessi'!$I$5:$I$504,'05_Dividendi_Interessi'!$B$5:$B$504,"&lt;="&amp;B101))</f>
        <v/>
      </c>
      <c r="F101" s="10" t="str">
        <f>IF(B101="","",SUMIFS('06_Partecipazioni'!$I$5:$I$204,'06_Partecipazioni'!$C$5:$C$204,"BUY",'06_Partecipazioni'!$B$5:$B$204,"&lt;="&amp;B101)-SUMIFS('06_Partecipazioni'!$I$5:$I$204,'06_Partecipazioni'!$C$5:$C$204,"SELL",'06_Partecipazioni'!$B$5:$B$204,"&lt;="&amp;B101))</f>
        <v/>
      </c>
      <c r="G101" s="10" t="str">
        <f>IF(B101="","",SUMIFS('07_Prestiti'!$H$5:$H$204,'07_Prestiti'!$C$5:$C$204,"DISBURSEMENT",'07_Prestiti'!$B$5:$B$204,"&lt;="&amp;B101)-SUMIFS('07_Prestiti'!$H$5:$H$204,'07_Prestiti'!$C$5:$C$204,"REPAYMENT",'07_Prestiti'!$B$5:$B$204,"&lt;="&amp;B101))</f>
        <v/>
      </c>
      <c r="H101" s="10" t="str">
        <f>IF(B101="","",SUMIFS('08_PL_Operativa'!$H$5:$H$503,'08_PL_Operativa'!$B$5:$B$503,"&lt;="&amp;B101))</f>
        <v/>
      </c>
      <c r="I101" s="26" t="str">
        <f t="shared" ref="I101:I132" si="16">IF(B101="","",C101-D101+E101-F101-G101+H101)</f>
        <v/>
      </c>
      <c r="J101" s="25"/>
      <c r="K101" s="25"/>
      <c r="L101" s="25"/>
      <c r="M101" s="26" t="str">
        <f t="shared" ref="M101:M132" si="17">IF(B101="","",I101+IF(AND(MONTH(B101)=MONTH(DataOggi),YEAR(B101)=YEAR(DataOggi)),MV_Listed_Tot,IF(J101="",D101,J101))+IF(K101="",F101,K101)+IF(L101="",G101,L101))</f>
        <v/>
      </c>
      <c r="N101" s="33" t="str">
        <f>IF(B101="","",SUMIFS('03_Investitori'!$J$5:$J$104,'03_Investitori'!$C$5:$C$104,"&lt;="&amp;B101))</f>
        <v/>
      </c>
      <c r="O101" s="35" t="str">
        <f t="shared" ref="O101:O132" si="18">IF(OR(B101="",N101=0,N101=""),"",M101/N101)</f>
        <v/>
      </c>
      <c r="P101" s="11" t="str">
        <f t="shared" si="14"/>
        <v/>
      </c>
    </row>
    <row r="102" spans="1:16" x14ac:dyDescent="0.2">
      <c r="A102" s="23" t="str">
        <f t="shared" si="15"/>
        <v/>
      </c>
      <c r="B102" s="22"/>
      <c r="C102" s="10" t="str">
        <f>IF(B102="","",SUMIFS('03_Investitori'!$H$5:$H$104,'03_Investitori'!$C$5:$C$104,"&lt;="&amp;B102))</f>
        <v/>
      </c>
      <c r="D102" s="10" t="str">
        <f>IF(B102="","",SUMIFS('04_Trades'!$K$5:$K$1004,'04_Trades'!$C$5:$C$1004,"BUY",'04_Trades'!$B$5:$B$1004,"&lt;="&amp;B102)-SUMIFS('04_Trades'!$K$5:$K$1004,'04_Trades'!$C$5:$C$1004,"SELL",'04_Trades'!$B$5:$B$1004,"&lt;="&amp;B102))</f>
        <v/>
      </c>
      <c r="E102" s="10" t="str">
        <f>IF(B102="","",SUMIFS('05_Dividendi_Interessi'!$I$5:$I$504,'05_Dividendi_Interessi'!$B$5:$B$504,"&lt;="&amp;B102))</f>
        <v/>
      </c>
      <c r="F102" s="10" t="str">
        <f>IF(B102="","",SUMIFS('06_Partecipazioni'!$I$5:$I$204,'06_Partecipazioni'!$C$5:$C$204,"BUY",'06_Partecipazioni'!$B$5:$B$204,"&lt;="&amp;B102)-SUMIFS('06_Partecipazioni'!$I$5:$I$204,'06_Partecipazioni'!$C$5:$C$204,"SELL",'06_Partecipazioni'!$B$5:$B$204,"&lt;="&amp;B102))</f>
        <v/>
      </c>
      <c r="G102" s="10" t="str">
        <f>IF(B102="","",SUMIFS('07_Prestiti'!$H$5:$H$204,'07_Prestiti'!$C$5:$C$204,"DISBURSEMENT",'07_Prestiti'!$B$5:$B$204,"&lt;="&amp;B102)-SUMIFS('07_Prestiti'!$H$5:$H$204,'07_Prestiti'!$C$5:$C$204,"REPAYMENT",'07_Prestiti'!$B$5:$B$204,"&lt;="&amp;B102))</f>
        <v/>
      </c>
      <c r="H102" s="10" t="str">
        <f>IF(B102="","",SUMIFS('08_PL_Operativa'!$H$5:$H$503,'08_PL_Operativa'!$B$5:$B$503,"&lt;="&amp;B102))</f>
        <v/>
      </c>
      <c r="I102" s="26" t="str">
        <f t="shared" si="16"/>
        <v/>
      </c>
      <c r="J102" s="25"/>
      <c r="K102" s="25"/>
      <c r="L102" s="25"/>
      <c r="M102" s="26" t="str">
        <f t="shared" si="17"/>
        <v/>
      </c>
      <c r="N102" s="33" t="str">
        <f>IF(B102="","",SUMIFS('03_Investitori'!$J$5:$J$104,'03_Investitori'!$C$5:$C$104,"&lt;="&amp;B102))</f>
        <v/>
      </c>
      <c r="O102" s="35" t="str">
        <f t="shared" si="18"/>
        <v/>
      </c>
      <c r="P102" s="11" t="str">
        <f t="shared" ref="P102:P133" si="19">IFERROR(IF(OR(B102="",O101=""),"",O102/O101-1),"")</f>
        <v/>
      </c>
    </row>
    <row r="103" spans="1:16" x14ac:dyDescent="0.2">
      <c r="A103" s="23" t="str">
        <f t="shared" si="15"/>
        <v/>
      </c>
      <c r="B103" s="22"/>
      <c r="C103" s="10" t="str">
        <f>IF(B103="","",SUMIFS('03_Investitori'!$H$5:$H$104,'03_Investitori'!$C$5:$C$104,"&lt;="&amp;B103))</f>
        <v/>
      </c>
      <c r="D103" s="10" t="str">
        <f>IF(B103="","",SUMIFS('04_Trades'!$K$5:$K$1004,'04_Trades'!$C$5:$C$1004,"BUY",'04_Trades'!$B$5:$B$1004,"&lt;="&amp;B103)-SUMIFS('04_Trades'!$K$5:$K$1004,'04_Trades'!$C$5:$C$1004,"SELL",'04_Trades'!$B$5:$B$1004,"&lt;="&amp;B103))</f>
        <v/>
      </c>
      <c r="E103" s="10" t="str">
        <f>IF(B103="","",SUMIFS('05_Dividendi_Interessi'!$I$5:$I$504,'05_Dividendi_Interessi'!$B$5:$B$504,"&lt;="&amp;B103))</f>
        <v/>
      </c>
      <c r="F103" s="10" t="str">
        <f>IF(B103="","",SUMIFS('06_Partecipazioni'!$I$5:$I$204,'06_Partecipazioni'!$C$5:$C$204,"BUY",'06_Partecipazioni'!$B$5:$B$204,"&lt;="&amp;B103)-SUMIFS('06_Partecipazioni'!$I$5:$I$204,'06_Partecipazioni'!$C$5:$C$204,"SELL",'06_Partecipazioni'!$B$5:$B$204,"&lt;="&amp;B103))</f>
        <v/>
      </c>
      <c r="G103" s="10" t="str">
        <f>IF(B103="","",SUMIFS('07_Prestiti'!$H$5:$H$204,'07_Prestiti'!$C$5:$C$204,"DISBURSEMENT",'07_Prestiti'!$B$5:$B$204,"&lt;="&amp;B103)-SUMIFS('07_Prestiti'!$H$5:$H$204,'07_Prestiti'!$C$5:$C$204,"REPAYMENT",'07_Prestiti'!$B$5:$B$204,"&lt;="&amp;B103))</f>
        <v/>
      </c>
      <c r="H103" s="10" t="str">
        <f>IF(B103="","",SUMIFS('08_PL_Operativa'!$H$5:$H$503,'08_PL_Operativa'!$B$5:$B$503,"&lt;="&amp;B103))</f>
        <v/>
      </c>
      <c r="I103" s="26" t="str">
        <f t="shared" si="16"/>
        <v/>
      </c>
      <c r="J103" s="25"/>
      <c r="K103" s="25"/>
      <c r="L103" s="25"/>
      <c r="M103" s="26" t="str">
        <f t="shared" si="17"/>
        <v/>
      </c>
      <c r="N103" s="33" t="str">
        <f>IF(B103="","",SUMIFS('03_Investitori'!$J$5:$J$104,'03_Investitori'!$C$5:$C$104,"&lt;="&amp;B103))</f>
        <v/>
      </c>
      <c r="O103" s="35" t="str">
        <f t="shared" si="18"/>
        <v/>
      </c>
      <c r="P103" s="11" t="str">
        <f t="shared" si="19"/>
        <v/>
      </c>
    </row>
    <row r="104" spans="1:16" x14ac:dyDescent="0.2">
      <c r="A104" s="23" t="str">
        <f t="shared" si="15"/>
        <v/>
      </c>
      <c r="B104" s="22"/>
      <c r="C104" s="10" t="str">
        <f>IF(B104="","",SUMIFS('03_Investitori'!$H$5:$H$104,'03_Investitori'!$C$5:$C$104,"&lt;="&amp;B104))</f>
        <v/>
      </c>
      <c r="D104" s="10" t="str">
        <f>IF(B104="","",SUMIFS('04_Trades'!$K$5:$K$1004,'04_Trades'!$C$5:$C$1004,"BUY",'04_Trades'!$B$5:$B$1004,"&lt;="&amp;B104)-SUMIFS('04_Trades'!$K$5:$K$1004,'04_Trades'!$C$5:$C$1004,"SELL",'04_Trades'!$B$5:$B$1004,"&lt;="&amp;B104))</f>
        <v/>
      </c>
      <c r="E104" s="10" t="str">
        <f>IF(B104="","",SUMIFS('05_Dividendi_Interessi'!$I$5:$I$504,'05_Dividendi_Interessi'!$B$5:$B$504,"&lt;="&amp;B104))</f>
        <v/>
      </c>
      <c r="F104" s="10" t="str">
        <f>IF(B104="","",SUMIFS('06_Partecipazioni'!$I$5:$I$204,'06_Partecipazioni'!$C$5:$C$204,"BUY",'06_Partecipazioni'!$B$5:$B$204,"&lt;="&amp;B104)-SUMIFS('06_Partecipazioni'!$I$5:$I$204,'06_Partecipazioni'!$C$5:$C$204,"SELL",'06_Partecipazioni'!$B$5:$B$204,"&lt;="&amp;B104))</f>
        <v/>
      </c>
      <c r="G104" s="10" t="str">
        <f>IF(B104="","",SUMIFS('07_Prestiti'!$H$5:$H$204,'07_Prestiti'!$C$5:$C$204,"DISBURSEMENT",'07_Prestiti'!$B$5:$B$204,"&lt;="&amp;B104)-SUMIFS('07_Prestiti'!$H$5:$H$204,'07_Prestiti'!$C$5:$C$204,"REPAYMENT",'07_Prestiti'!$B$5:$B$204,"&lt;="&amp;B104))</f>
        <v/>
      </c>
      <c r="H104" s="10" t="str">
        <f>IF(B104="","",SUMIFS('08_PL_Operativa'!$H$5:$H$503,'08_PL_Operativa'!$B$5:$B$503,"&lt;="&amp;B104))</f>
        <v/>
      </c>
      <c r="I104" s="26" t="str">
        <f t="shared" si="16"/>
        <v/>
      </c>
      <c r="J104" s="25"/>
      <c r="K104" s="25"/>
      <c r="L104" s="25"/>
      <c r="M104" s="26" t="str">
        <f t="shared" si="17"/>
        <v/>
      </c>
      <c r="N104" s="33" t="str">
        <f>IF(B104="","",SUMIFS('03_Investitori'!$J$5:$J$104,'03_Investitori'!$C$5:$C$104,"&lt;="&amp;B104))</f>
        <v/>
      </c>
      <c r="O104" s="35" t="str">
        <f t="shared" si="18"/>
        <v/>
      </c>
      <c r="P104" s="11" t="str">
        <f t="shared" si="19"/>
        <v/>
      </c>
    </row>
    <row r="105" spans="1:16" x14ac:dyDescent="0.2">
      <c r="A105" s="23" t="str">
        <f t="shared" si="15"/>
        <v/>
      </c>
      <c r="B105" s="22"/>
      <c r="C105" s="10" t="str">
        <f>IF(B105="","",SUMIFS('03_Investitori'!$H$5:$H$104,'03_Investitori'!$C$5:$C$104,"&lt;="&amp;B105))</f>
        <v/>
      </c>
      <c r="D105" s="10" t="str">
        <f>IF(B105="","",SUMIFS('04_Trades'!$K$5:$K$1004,'04_Trades'!$C$5:$C$1004,"BUY",'04_Trades'!$B$5:$B$1004,"&lt;="&amp;B105)-SUMIFS('04_Trades'!$K$5:$K$1004,'04_Trades'!$C$5:$C$1004,"SELL",'04_Trades'!$B$5:$B$1004,"&lt;="&amp;B105))</f>
        <v/>
      </c>
      <c r="E105" s="10" t="str">
        <f>IF(B105="","",SUMIFS('05_Dividendi_Interessi'!$I$5:$I$504,'05_Dividendi_Interessi'!$B$5:$B$504,"&lt;="&amp;B105))</f>
        <v/>
      </c>
      <c r="F105" s="10" t="str">
        <f>IF(B105="","",SUMIFS('06_Partecipazioni'!$I$5:$I$204,'06_Partecipazioni'!$C$5:$C$204,"BUY",'06_Partecipazioni'!$B$5:$B$204,"&lt;="&amp;B105)-SUMIFS('06_Partecipazioni'!$I$5:$I$204,'06_Partecipazioni'!$C$5:$C$204,"SELL",'06_Partecipazioni'!$B$5:$B$204,"&lt;="&amp;B105))</f>
        <v/>
      </c>
      <c r="G105" s="10" t="str">
        <f>IF(B105="","",SUMIFS('07_Prestiti'!$H$5:$H$204,'07_Prestiti'!$C$5:$C$204,"DISBURSEMENT",'07_Prestiti'!$B$5:$B$204,"&lt;="&amp;B105)-SUMIFS('07_Prestiti'!$H$5:$H$204,'07_Prestiti'!$C$5:$C$204,"REPAYMENT",'07_Prestiti'!$B$5:$B$204,"&lt;="&amp;B105))</f>
        <v/>
      </c>
      <c r="H105" s="10" t="str">
        <f>IF(B105="","",SUMIFS('08_PL_Operativa'!$H$5:$H$503,'08_PL_Operativa'!$B$5:$B$503,"&lt;="&amp;B105))</f>
        <v/>
      </c>
      <c r="I105" s="26" t="str">
        <f t="shared" si="16"/>
        <v/>
      </c>
      <c r="J105" s="25"/>
      <c r="K105" s="25"/>
      <c r="L105" s="25"/>
      <c r="M105" s="26" t="str">
        <f t="shared" si="17"/>
        <v/>
      </c>
      <c r="N105" s="33" t="str">
        <f>IF(B105="","",SUMIFS('03_Investitori'!$J$5:$J$104,'03_Investitori'!$C$5:$C$104,"&lt;="&amp;B105))</f>
        <v/>
      </c>
      <c r="O105" s="35" t="str">
        <f t="shared" si="18"/>
        <v/>
      </c>
      <c r="P105" s="11" t="str">
        <f t="shared" si="19"/>
        <v/>
      </c>
    </row>
    <row r="106" spans="1:16" x14ac:dyDescent="0.2">
      <c r="A106" s="23" t="str">
        <f t="shared" si="15"/>
        <v/>
      </c>
      <c r="B106" s="22"/>
      <c r="C106" s="10" t="str">
        <f>IF(B106="","",SUMIFS('03_Investitori'!$H$5:$H$104,'03_Investitori'!$C$5:$C$104,"&lt;="&amp;B106))</f>
        <v/>
      </c>
      <c r="D106" s="10" t="str">
        <f>IF(B106="","",SUMIFS('04_Trades'!$K$5:$K$1004,'04_Trades'!$C$5:$C$1004,"BUY",'04_Trades'!$B$5:$B$1004,"&lt;="&amp;B106)-SUMIFS('04_Trades'!$K$5:$K$1004,'04_Trades'!$C$5:$C$1004,"SELL",'04_Trades'!$B$5:$B$1004,"&lt;="&amp;B106))</f>
        <v/>
      </c>
      <c r="E106" s="10" t="str">
        <f>IF(B106="","",SUMIFS('05_Dividendi_Interessi'!$I$5:$I$504,'05_Dividendi_Interessi'!$B$5:$B$504,"&lt;="&amp;B106))</f>
        <v/>
      </c>
      <c r="F106" s="10" t="str">
        <f>IF(B106="","",SUMIFS('06_Partecipazioni'!$I$5:$I$204,'06_Partecipazioni'!$C$5:$C$204,"BUY",'06_Partecipazioni'!$B$5:$B$204,"&lt;="&amp;B106)-SUMIFS('06_Partecipazioni'!$I$5:$I$204,'06_Partecipazioni'!$C$5:$C$204,"SELL",'06_Partecipazioni'!$B$5:$B$204,"&lt;="&amp;B106))</f>
        <v/>
      </c>
      <c r="G106" s="10" t="str">
        <f>IF(B106="","",SUMIFS('07_Prestiti'!$H$5:$H$204,'07_Prestiti'!$C$5:$C$204,"DISBURSEMENT",'07_Prestiti'!$B$5:$B$204,"&lt;="&amp;B106)-SUMIFS('07_Prestiti'!$H$5:$H$204,'07_Prestiti'!$C$5:$C$204,"REPAYMENT",'07_Prestiti'!$B$5:$B$204,"&lt;="&amp;B106))</f>
        <v/>
      </c>
      <c r="H106" s="10" t="str">
        <f>IF(B106="","",SUMIFS('08_PL_Operativa'!$H$5:$H$503,'08_PL_Operativa'!$B$5:$B$503,"&lt;="&amp;B106))</f>
        <v/>
      </c>
      <c r="I106" s="26" t="str">
        <f t="shared" si="16"/>
        <v/>
      </c>
      <c r="J106" s="25"/>
      <c r="K106" s="25"/>
      <c r="L106" s="25"/>
      <c r="M106" s="26" t="str">
        <f t="shared" si="17"/>
        <v/>
      </c>
      <c r="N106" s="33" t="str">
        <f>IF(B106="","",SUMIFS('03_Investitori'!$J$5:$J$104,'03_Investitori'!$C$5:$C$104,"&lt;="&amp;B106))</f>
        <v/>
      </c>
      <c r="O106" s="35" t="str">
        <f t="shared" si="18"/>
        <v/>
      </c>
      <c r="P106" s="11" t="str">
        <f t="shared" si="19"/>
        <v/>
      </c>
    </row>
    <row r="107" spans="1:16" x14ac:dyDescent="0.2">
      <c r="A107" s="23" t="str">
        <f t="shared" si="15"/>
        <v/>
      </c>
      <c r="B107" s="22"/>
      <c r="C107" s="10" t="str">
        <f>IF(B107="","",SUMIFS('03_Investitori'!$H$5:$H$104,'03_Investitori'!$C$5:$C$104,"&lt;="&amp;B107))</f>
        <v/>
      </c>
      <c r="D107" s="10" t="str">
        <f>IF(B107="","",SUMIFS('04_Trades'!$K$5:$K$1004,'04_Trades'!$C$5:$C$1004,"BUY",'04_Trades'!$B$5:$B$1004,"&lt;="&amp;B107)-SUMIFS('04_Trades'!$K$5:$K$1004,'04_Trades'!$C$5:$C$1004,"SELL",'04_Trades'!$B$5:$B$1004,"&lt;="&amp;B107))</f>
        <v/>
      </c>
      <c r="E107" s="10" t="str">
        <f>IF(B107="","",SUMIFS('05_Dividendi_Interessi'!$I$5:$I$504,'05_Dividendi_Interessi'!$B$5:$B$504,"&lt;="&amp;B107))</f>
        <v/>
      </c>
      <c r="F107" s="10" t="str">
        <f>IF(B107="","",SUMIFS('06_Partecipazioni'!$I$5:$I$204,'06_Partecipazioni'!$C$5:$C$204,"BUY",'06_Partecipazioni'!$B$5:$B$204,"&lt;="&amp;B107)-SUMIFS('06_Partecipazioni'!$I$5:$I$204,'06_Partecipazioni'!$C$5:$C$204,"SELL",'06_Partecipazioni'!$B$5:$B$204,"&lt;="&amp;B107))</f>
        <v/>
      </c>
      <c r="G107" s="10" t="str">
        <f>IF(B107="","",SUMIFS('07_Prestiti'!$H$5:$H$204,'07_Prestiti'!$C$5:$C$204,"DISBURSEMENT",'07_Prestiti'!$B$5:$B$204,"&lt;="&amp;B107)-SUMIFS('07_Prestiti'!$H$5:$H$204,'07_Prestiti'!$C$5:$C$204,"REPAYMENT",'07_Prestiti'!$B$5:$B$204,"&lt;="&amp;B107))</f>
        <v/>
      </c>
      <c r="H107" s="10" t="str">
        <f>IF(B107="","",SUMIFS('08_PL_Operativa'!$H$5:$H$503,'08_PL_Operativa'!$B$5:$B$503,"&lt;="&amp;B107))</f>
        <v/>
      </c>
      <c r="I107" s="26" t="str">
        <f t="shared" si="16"/>
        <v/>
      </c>
      <c r="J107" s="25"/>
      <c r="K107" s="25"/>
      <c r="L107" s="25"/>
      <c r="M107" s="26" t="str">
        <f t="shared" si="17"/>
        <v/>
      </c>
      <c r="N107" s="33" t="str">
        <f>IF(B107="","",SUMIFS('03_Investitori'!$J$5:$J$104,'03_Investitori'!$C$5:$C$104,"&lt;="&amp;B107))</f>
        <v/>
      </c>
      <c r="O107" s="35" t="str">
        <f t="shared" si="18"/>
        <v/>
      </c>
      <c r="P107" s="11" t="str">
        <f t="shared" si="19"/>
        <v/>
      </c>
    </row>
    <row r="108" spans="1:16" x14ac:dyDescent="0.2">
      <c r="A108" s="23" t="str">
        <f t="shared" si="15"/>
        <v/>
      </c>
      <c r="B108" s="22"/>
      <c r="C108" s="10" t="str">
        <f>IF(B108="","",SUMIFS('03_Investitori'!$H$5:$H$104,'03_Investitori'!$C$5:$C$104,"&lt;="&amp;B108))</f>
        <v/>
      </c>
      <c r="D108" s="10" t="str">
        <f>IF(B108="","",SUMIFS('04_Trades'!$K$5:$K$1004,'04_Trades'!$C$5:$C$1004,"BUY",'04_Trades'!$B$5:$B$1004,"&lt;="&amp;B108)-SUMIFS('04_Trades'!$K$5:$K$1004,'04_Trades'!$C$5:$C$1004,"SELL",'04_Trades'!$B$5:$B$1004,"&lt;="&amp;B108))</f>
        <v/>
      </c>
      <c r="E108" s="10" t="str">
        <f>IF(B108="","",SUMIFS('05_Dividendi_Interessi'!$I$5:$I$504,'05_Dividendi_Interessi'!$B$5:$B$504,"&lt;="&amp;B108))</f>
        <v/>
      </c>
      <c r="F108" s="10" t="str">
        <f>IF(B108="","",SUMIFS('06_Partecipazioni'!$I$5:$I$204,'06_Partecipazioni'!$C$5:$C$204,"BUY",'06_Partecipazioni'!$B$5:$B$204,"&lt;="&amp;B108)-SUMIFS('06_Partecipazioni'!$I$5:$I$204,'06_Partecipazioni'!$C$5:$C$204,"SELL",'06_Partecipazioni'!$B$5:$B$204,"&lt;="&amp;B108))</f>
        <v/>
      </c>
      <c r="G108" s="10" t="str">
        <f>IF(B108="","",SUMIFS('07_Prestiti'!$H$5:$H$204,'07_Prestiti'!$C$5:$C$204,"DISBURSEMENT",'07_Prestiti'!$B$5:$B$204,"&lt;="&amp;B108)-SUMIFS('07_Prestiti'!$H$5:$H$204,'07_Prestiti'!$C$5:$C$204,"REPAYMENT",'07_Prestiti'!$B$5:$B$204,"&lt;="&amp;B108))</f>
        <v/>
      </c>
      <c r="H108" s="10" t="str">
        <f>IF(B108="","",SUMIFS('08_PL_Operativa'!$H$5:$H$503,'08_PL_Operativa'!$B$5:$B$503,"&lt;="&amp;B108))</f>
        <v/>
      </c>
      <c r="I108" s="26" t="str">
        <f t="shared" si="16"/>
        <v/>
      </c>
      <c r="J108" s="25"/>
      <c r="K108" s="25"/>
      <c r="L108" s="25"/>
      <c r="M108" s="26" t="str">
        <f t="shared" si="17"/>
        <v/>
      </c>
      <c r="N108" s="33" t="str">
        <f>IF(B108="","",SUMIFS('03_Investitori'!$J$5:$J$104,'03_Investitori'!$C$5:$C$104,"&lt;="&amp;B108))</f>
        <v/>
      </c>
      <c r="O108" s="35" t="str">
        <f t="shared" si="18"/>
        <v/>
      </c>
      <c r="P108" s="11" t="str">
        <f t="shared" si="19"/>
        <v/>
      </c>
    </row>
    <row r="109" spans="1:16" x14ac:dyDescent="0.2">
      <c r="A109" s="23" t="str">
        <f t="shared" si="15"/>
        <v/>
      </c>
      <c r="B109" s="22"/>
      <c r="C109" s="10" t="str">
        <f>IF(B109="","",SUMIFS('03_Investitori'!$H$5:$H$104,'03_Investitori'!$C$5:$C$104,"&lt;="&amp;B109))</f>
        <v/>
      </c>
      <c r="D109" s="10" t="str">
        <f>IF(B109="","",SUMIFS('04_Trades'!$K$5:$K$1004,'04_Trades'!$C$5:$C$1004,"BUY",'04_Trades'!$B$5:$B$1004,"&lt;="&amp;B109)-SUMIFS('04_Trades'!$K$5:$K$1004,'04_Trades'!$C$5:$C$1004,"SELL",'04_Trades'!$B$5:$B$1004,"&lt;="&amp;B109))</f>
        <v/>
      </c>
      <c r="E109" s="10" t="str">
        <f>IF(B109="","",SUMIFS('05_Dividendi_Interessi'!$I$5:$I$504,'05_Dividendi_Interessi'!$B$5:$B$504,"&lt;="&amp;B109))</f>
        <v/>
      </c>
      <c r="F109" s="10" t="str">
        <f>IF(B109="","",SUMIFS('06_Partecipazioni'!$I$5:$I$204,'06_Partecipazioni'!$C$5:$C$204,"BUY",'06_Partecipazioni'!$B$5:$B$204,"&lt;="&amp;B109)-SUMIFS('06_Partecipazioni'!$I$5:$I$204,'06_Partecipazioni'!$C$5:$C$204,"SELL",'06_Partecipazioni'!$B$5:$B$204,"&lt;="&amp;B109))</f>
        <v/>
      </c>
      <c r="G109" s="10" t="str">
        <f>IF(B109="","",SUMIFS('07_Prestiti'!$H$5:$H$204,'07_Prestiti'!$C$5:$C$204,"DISBURSEMENT",'07_Prestiti'!$B$5:$B$204,"&lt;="&amp;B109)-SUMIFS('07_Prestiti'!$H$5:$H$204,'07_Prestiti'!$C$5:$C$204,"REPAYMENT",'07_Prestiti'!$B$5:$B$204,"&lt;="&amp;B109))</f>
        <v/>
      </c>
      <c r="H109" s="10" t="str">
        <f>IF(B109="","",SUMIFS('08_PL_Operativa'!$H$5:$H$503,'08_PL_Operativa'!$B$5:$B$503,"&lt;="&amp;B109))</f>
        <v/>
      </c>
      <c r="I109" s="26" t="str">
        <f t="shared" si="16"/>
        <v/>
      </c>
      <c r="J109" s="25"/>
      <c r="K109" s="25"/>
      <c r="L109" s="25"/>
      <c r="M109" s="26" t="str">
        <f t="shared" si="17"/>
        <v/>
      </c>
      <c r="N109" s="33" t="str">
        <f>IF(B109="","",SUMIFS('03_Investitori'!$J$5:$J$104,'03_Investitori'!$C$5:$C$104,"&lt;="&amp;B109))</f>
        <v/>
      </c>
      <c r="O109" s="35" t="str">
        <f t="shared" si="18"/>
        <v/>
      </c>
      <c r="P109" s="11" t="str">
        <f t="shared" si="19"/>
        <v/>
      </c>
    </row>
    <row r="110" spans="1:16" x14ac:dyDescent="0.2">
      <c r="A110" s="23" t="str">
        <f t="shared" si="15"/>
        <v/>
      </c>
      <c r="B110" s="22"/>
      <c r="C110" s="10" t="str">
        <f>IF(B110="","",SUMIFS('03_Investitori'!$H$5:$H$104,'03_Investitori'!$C$5:$C$104,"&lt;="&amp;B110))</f>
        <v/>
      </c>
      <c r="D110" s="10" t="str">
        <f>IF(B110="","",SUMIFS('04_Trades'!$K$5:$K$1004,'04_Trades'!$C$5:$C$1004,"BUY",'04_Trades'!$B$5:$B$1004,"&lt;="&amp;B110)-SUMIFS('04_Trades'!$K$5:$K$1004,'04_Trades'!$C$5:$C$1004,"SELL",'04_Trades'!$B$5:$B$1004,"&lt;="&amp;B110))</f>
        <v/>
      </c>
      <c r="E110" s="10" t="str">
        <f>IF(B110="","",SUMIFS('05_Dividendi_Interessi'!$I$5:$I$504,'05_Dividendi_Interessi'!$B$5:$B$504,"&lt;="&amp;B110))</f>
        <v/>
      </c>
      <c r="F110" s="10" t="str">
        <f>IF(B110="","",SUMIFS('06_Partecipazioni'!$I$5:$I$204,'06_Partecipazioni'!$C$5:$C$204,"BUY",'06_Partecipazioni'!$B$5:$B$204,"&lt;="&amp;B110)-SUMIFS('06_Partecipazioni'!$I$5:$I$204,'06_Partecipazioni'!$C$5:$C$204,"SELL",'06_Partecipazioni'!$B$5:$B$204,"&lt;="&amp;B110))</f>
        <v/>
      </c>
      <c r="G110" s="10" t="str">
        <f>IF(B110="","",SUMIFS('07_Prestiti'!$H$5:$H$204,'07_Prestiti'!$C$5:$C$204,"DISBURSEMENT",'07_Prestiti'!$B$5:$B$204,"&lt;="&amp;B110)-SUMIFS('07_Prestiti'!$H$5:$H$204,'07_Prestiti'!$C$5:$C$204,"REPAYMENT",'07_Prestiti'!$B$5:$B$204,"&lt;="&amp;B110))</f>
        <v/>
      </c>
      <c r="H110" s="10" t="str">
        <f>IF(B110="","",SUMIFS('08_PL_Operativa'!$H$5:$H$503,'08_PL_Operativa'!$B$5:$B$503,"&lt;="&amp;B110))</f>
        <v/>
      </c>
      <c r="I110" s="26" t="str">
        <f t="shared" si="16"/>
        <v/>
      </c>
      <c r="J110" s="25"/>
      <c r="K110" s="25"/>
      <c r="L110" s="25"/>
      <c r="M110" s="26" t="str">
        <f t="shared" si="17"/>
        <v/>
      </c>
      <c r="N110" s="33" t="str">
        <f>IF(B110="","",SUMIFS('03_Investitori'!$J$5:$J$104,'03_Investitori'!$C$5:$C$104,"&lt;="&amp;B110))</f>
        <v/>
      </c>
      <c r="O110" s="35" t="str">
        <f t="shared" si="18"/>
        <v/>
      </c>
      <c r="P110" s="11" t="str">
        <f t="shared" si="19"/>
        <v/>
      </c>
    </row>
    <row r="111" spans="1:16" x14ac:dyDescent="0.2">
      <c r="A111" s="23" t="str">
        <f t="shared" si="15"/>
        <v/>
      </c>
      <c r="B111" s="22"/>
      <c r="C111" s="10" t="str">
        <f>IF(B111="","",SUMIFS('03_Investitori'!$H$5:$H$104,'03_Investitori'!$C$5:$C$104,"&lt;="&amp;B111))</f>
        <v/>
      </c>
      <c r="D111" s="10" t="str">
        <f>IF(B111="","",SUMIFS('04_Trades'!$K$5:$K$1004,'04_Trades'!$C$5:$C$1004,"BUY",'04_Trades'!$B$5:$B$1004,"&lt;="&amp;B111)-SUMIFS('04_Trades'!$K$5:$K$1004,'04_Trades'!$C$5:$C$1004,"SELL",'04_Trades'!$B$5:$B$1004,"&lt;="&amp;B111))</f>
        <v/>
      </c>
      <c r="E111" s="10" t="str">
        <f>IF(B111="","",SUMIFS('05_Dividendi_Interessi'!$I$5:$I$504,'05_Dividendi_Interessi'!$B$5:$B$504,"&lt;="&amp;B111))</f>
        <v/>
      </c>
      <c r="F111" s="10" t="str">
        <f>IF(B111="","",SUMIFS('06_Partecipazioni'!$I$5:$I$204,'06_Partecipazioni'!$C$5:$C$204,"BUY",'06_Partecipazioni'!$B$5:$B$204,"&lt;="&amp;B111)-SUMIFS('06_Partecipazioni'!$I$5:$I$204,'06_Partecipazioni'!$C$5:$C$204,"SELL",'06_Partecipazioni'!$B$5:$B$204,"&lt;="&amp;B111))</f>
        <v/>
      </c>
      <c r="G111" s="10" t="str">
        <f>IF(B111="","",SUMIFS('07_Prestiti'!$H$5:$H$204,'07_Prestiti'!$C$5:$C$204,"DISBURSEMENT",'07_Prestiti'!$B$5:$B$204,"&lt;="&amp;B111)-SUMIFS('07_Prestiti'!$H$5:$H$204,'07_Prestiti'!$C$5:$C$204,"REPAYMENT",'07_Prestiti'!$B$5:$B$204,"&lt;="&amp;B111))</f>
        <v/>
      </c>
      <c r="H111" s="10" t="str">
        <f>IF(B111="","",SUMIFS('08_PL_Operativa'!$H$5:$H$503,'08_PL_Operativa'!$B$5:$B$503,"&lt;="&amp;B111))</f>
        <v/>
      </c>
      <c r="I111" s="26" t="str">
        <f t="shared" si="16"/>
        <v/>
      </c>
      <c r="J111" s="25"/>
      <c r="K111" s="25"/>
      <c r="L111" s="25"/>
      <c r="M111" s="26" t="str">
        <f t="shared" si="17"/>
        <v/>
      </c>
      <c r="N111" s="33" t="str">
        <f>IF(B111="","",SUMIFS('03_Investitori'!$J$5:$J$104,'03_Investitori'!$C$5:$C$104,"&lt;="&amp;B111))</f>
        <v/>
      </c>
      <c r="O111" s="35" t="str">
        <f t="shared" si="18"/>
        <v/>
      </c>
      <c r="P111" s="11" t="str">
        <f t="shared" si="19"/>
        <v/>
      </c>
    </row>
    <row r="112" spans="1:16" x14ac:dyDescent="0.2">
      <c r="A112" s="23" t="str">
        <f t="shared" si="15"/>
        <v/>
      </c>
      <c r="B112" s="22"/>
      <c r="C112" s="10" t="str">
        <f>IF(B112="","",SUMIFS('03_Investitori'!$H$5:$H$104,'03_Investitori'!$C$5:$C$104,"&lt;="&amp;B112))</f>
        <v/>
      </c>
      <c r="D112" s="10" t="str">
        <f>IF(B112="","",SUMIFS('04_Trades'!$K$5:$K$1004,'04_Trades'!$C$5:$C$1004,"BUY",'04_Trades'!$B$5:$B$1004,"&lt;="&amp;B112)-SUMIFS('04_Trades'!$K$5:$K$1004,'04_Trades'!$C$5:$C$1004,"SELL",'04_Trades'!$B$5:$B$1004,"&lt;="&amp;B112))</f>
        <v/>
      </c>
      <c r="E112" s="10" t="str">
        <f>IF(B112="","",SUMIFS('05_Dividendi_Interessi'!$I$5:$I$504,'05_Dividendi_Interessi'!$B$5:$B$504,"&lt;="&amp;B112))</f>
        <v/>
      </c>
      <c r="F112" s="10" t="str">
        <f>IF(B112="","",SUMIFS('06_Partecipazioni'!$I$5:$I$204,'06_Partecipazioni'!$C$5:$C$204,"BUY",'06_Partecipazioni'!$B$5:$B$204,"&lt;="&amp;B112)-SUMIFS('06_Partecipazioni'!$I$5:$I$204,'06_Partecipazioni'!$C$5:$C$204,"SELL",'06_Partecipazioni'!$B$5:$B$204,"&lt;="&amp;B112))</f>
        <v/>
      </c>
      <c r="G112" s="10" t="str">
        <f>IF(B112="","",SUMIFS('07_Prestiti'!$H$5:$H$204,'07_Prestiti'!$C$5:$C$204,"DISBURSEMENT",'07_Prestiti'!$B$5:$B$204,"&lt;="&amp;B112)-SUMIFS('07_Prestiti'!$H$5:$H$204,'07_Prestiti'!$C$5:$C$204,"REPAYMENT",'07_Prestiti'!$B$5:$B$204,"&lt;="&amp;B112))</f>
        <v/>
      </c>
      <c r="H112" s="10" t="str">
        <f>IF(B112="","",SUMIFS('08_PL_Operativa'!$H$5:$H$503,'08_PL_Operativa'!$B$5:$B$503,"&lt;="&amp;B112))</f>
        <v/>
      </c>
      <c r="I112" s="26" t="str">
        <f t="shared" si="16"/>
        <v/>
      </c>
      <c r="J112" s="25"/>
      <c r="K112" s="25"/>
      <c r="L112" s="25"/>
      <c r="M112" s="26" t="str">
        <f t="shared" si="17"/>
        <v/>
      </c>
      <c r="N112" s="33" t="str">
        <f>IF(B112="","",SUMIFS('03_Investitori'!$J$5:$J$104,'03_Investitori'!$C$5:$C$104,"&lt;="&amp;B112))</f>
        <v/>
      </c>
      <c r="O112" s="35" t="str">
        <f t="shared" si="18"/>
        <v/>
      </c>
      <c r="P112" s="11" t="str">
        <f t="shared" si="19"/>
        <v/>
      </c>
    </row>
    <row r="113" spans="1:16" x14ac:dyDescent="0.2">
      <c r="A113" s="23" t="str">
        <f t="shared" si="15"/>
        <v/>
      </c>
      <c r="B113" s="22"/>
      <c r="C113" s="10" t="str">
        <f>IF(B113="","",SUMIFS('03_Investitori'!$H$5:$H$104,'03_Investitori'!$C$5:$C$104,"&lt;="&amp;B113))</f>
        <v/>
      </c>
      <c r="D113" s="10" t="str">
        <f>IF(B113="","",SUMIFS('04_Trades'!$K$5:$K$1004,'04_Trades'!$C$5:$C$1004,"BUY",'04_Trades'!$B$5:$B$1004,"&lt;="&amp;B113)-SUMIFS('04_Trades'!$K$5:$K$1004,'04_Trades'!$C$5:$C$1004,"SELL",'04_Trades'!$B$5:$B$1004,"&lt;="&amp;B113))</f>
        <v/>
      </c>
      <c r="E113" s="10" t="str">
        <f>IF(B113="","",SUMIFS('05_Dividendi_Interessi'!$I$5:$I$504,'05_Dividendi_Interessi'!$B$5:$B$504,"&lt;="&amp;B113))</f>
        <v/>
      </c>
      <c r="F113" s="10" t="str">
        <f>IF(B113="","",SUMIFS('06_Partecipazioni'!$I$5:$I$204,'06_Partecipazioni'!$C$5:$C$204,"BUY",'06_Partecipazioni'!$B$5:$B$204,"&lt;="&amp;B113)-SUMIFS('06_Partecipazioni'!$I$5:$I$204,'06_Partecipazioni'!$C$5:$C$204,"SELL",'06_Partecipazioni'!$B$5:$B$204,"&lt;="&amp;B113))</f>
        <v/>
      </c>
      <c r="G113" s="10" t="str">
        <f>IF(B113="","",SUMIFS('07_Prestiti'!$H$5:$H$204,'07_Prestiti'!$C$5:$C$204,"DISBURSEMENT",'07_Prestiti'!$B$5:$B$204,"&lt;="&amp;B113)-SUMIFS('07_Prestiti'!$H$5:$H$204,'07_Prestiti'!$C$5:$C$204,"REPAYMENT",'07_Prestiti'!$B$5:$B$204,"&lt;="&amp;B113))</f>
        <v/>
      </c>
      <c r="H113" s="10" t="str">
        <f>IF(B113="","",SUMIFS('08_PL_Operativa'!$H$5:$H$503,'08_PL_Operativa'!$B$5:$B$503,"&lt;="&amp;B113))</f>
        <v/>
      </c>
      <c r="I113" s="26" t="str">
        <f t="shared" si="16"/>
        <v/>
      </c>
      <c r="J113" s="25"/>
      <c r="K113" s="25"/>
      <c r="L113" s="25"/>
      <c r="M113" s="26" t="str">
        <f t="shared" si="17"/>
        <v/>
      </c>
      <c r="N113" s="33" t="str">
        <f>IF(B113="","",SUMIFS('03_Investitori'!$J$5:$J$104,'03_Investitori'!$C$5:$C$104,"&lt;="&amp;B113))</f>
        <v/>
      </c>
      <c r="O113" s="35" t="str">
        <f t="shared" si="18"/>
        <v/>
      </c>
      <c r="P113" s="11" t="str">
        <f t="shared" si="19"/>
        <v/>
      </c>
    </row>
    <row r="114" spans="1:16" x14ac:dyDescent="0.2">
      <c r="A114" s="23" t="str">
        <f t="shared" si="15"/>
        <v/>
      </c>
      <c r="B114" s="22"/>
      <c r="C114" s="10" t="str">
        <f>IF(B114="","",SUMIFS('03_Investitori'!$H$5:$H$104,'03_Investitori'!$C$5:$C$104,"&lt;="&amp;B114))</f>
        <v/>
      </c>
      <c r="D114" s="10" t="str">
        <f>IF(B114="","",SUMIFS('04_Trades'!$K$5:$K$1004,'04_Trades'!$C$5:$C$1004,"BUY",'04_Trades'!$B$5:$B$1004,"&lt;="&amp;B114)-SUMIFS('04_Trades'!$K$5:$K$1004,'04_Trades'!$C$5:$C$1004,"SELL",'04_Trades'!$B$5:$B$1004,"&lt;="&amp;B114))</f>
        <v/>
      </c>
      <c r="E114" s="10" t="str">
        <f>IF(B114="","",SUMIFS('05_Dividendi_Interessi'!$I$5:$I$504,'05_Dividendi_Interessi'!$B$5:$B$504,"&lt;="&amp;B114))</f>
        <v/>
      </c>
      <c r="F114" s="10" t="str">
        <f>IF(B114="","",SUMIFS('06_Partecipazioni'!$I$5:$I$204,'06_Partecipazioni'!$C$5:$C$204,"BUY",'06_Partecipazioni'!$B$5:$B$204,"&lt;="&amp;B114)-SUMIFS('06_Partecipazioni'!$I$5:$I$204,'06_Partecipazioni'!$C$5:$C$204,"SELL",'06_Partecipazioni'!$B$5:$B$204,"&lt;="&amp;B114))</f>
        <v/>
      </c>
      <c r="G114" s="10" t="str">
        <f>IF(B114="","",SUMIFS('07_Prestiti'!$H$5:$H$204,'07_Prestiti'!$C$5:$C$204,"DISBURSEMENT",'07_Prestiti'!$B$5:$B$204,"&lt;="&amp;B114)-SUMIFS('07_Prestiti'!$H$5:$H$204,'07_Prestiti'!$C$5:$C$204,"REPAYMENT",'07_Prestiti'!$B$5:$B$204,"&lt;="&amp;B114))</f>
        <v/>
      </c>
      <c r="H114" s="10" t="str">
        <f>IF(B114="","",SUMIFS('08_PL_Operativa'!$H$5:$H$503,'08_PL_Operativa'!$B$5:$B$503,"&lt;="&amp;B114))</f>
        <v/>
      </c>
      <c r="I114" s="26" t="str">
        <f t="shared" si="16"/>
        <v/>
      </c>
      <c r="J114" s="25"/>
      <c r="K114" s="25"/>
      <c r="L114" s="25"/>
      <c r="M114" s="26" t="str">
        <f t="shared" si="17"/>
        <v/>
      </c>
      <c r="N114" s="33" t="str">
        <f>IF(B114="","",SUMIFS('03_Investitori'!$J$5:$J$104,'03_Investitori'!$C$5:$C$104,"&lt;="&amp;B114))</f>
        <v/>
      </c>
      <c r="O114" s="35" t="str">
        <f t="shared" si="18"/>
        <v/>
      </c>
      <c r="P114" s="11" t="str">
        <f t="shared" si="19"/>
        <v/>
      </c>
    </row>
    <row r="115" spans="1:16" x14ac:dyDescent="0.2">
      <c r="A115" s="23" t="str">
        <f t="shared" si="15"/>
        <v/>
      </c>
      <c r="B115" s="22"/>
      <c r="C115" s="10" t="str">
        <f>IF(B115="","",SUMIFS('03_Investitori'!$H$5:$H$104,'03_Investitori'!$C$5:$C$104,"&lt;="&amp;B115))</f>
        <v/>
      </c>
      <c r="D115" s="10" t="str">
        <f>IF(B115="","",SUMIFS('04_Trades'!$K$5:$K$1004,'04_Trades'!$C$5:$C$1004,"BUY",'04_Trades'!$B$5:$B$1004,"&lt;="&amp;B115)-SUMIFS('04_Trades'!$K$5:$K$1004,'04_Trades'!$C$5:$C$1004,"SELL",'04_Trades'!$B$5:$B$1004,"&lt;="&amp;B115))</f>
        <v/>
      </c>
      <c r="E115" s="10" t="str">
        <f>IF(B115="","",SUMIFS('05_Dividendi_Interessi'!$I$5:$I$504,'05_Dividendi_Interessi'!$B$5:$B$504,"&lt;="&amp;B115))</f>
        <v/>
      </c>
      <c r="F115" s="10" t="str">
        <f>IF(B115="","",SUMIFS('06_Partecipazioni'!$I$5:$I$204,'06_Partecipazioni'!$C$5:$C$204,"BUY",'06_Partecipazioni'!$B$5:$B$204,"&lt;="&amp;B115)-SUMIFS('06_Partecipazioni'!$I$5:$I$204,'06_Partecipazioni'!$C$5:$C$204,"SELL",'06_Partecipazioni'!$B$5:$B$204,"&lt;="&amp;B115))</f>
        <v/>
      </c>
      <c r="G115" s="10" t="str">
        <f>IF(B115="","",SUMIFS('07_Prestiti'!$H$5:$H$204,'07_Prestiti'!$C$5:$C$204,"DISBURSEMENT",'07_Prestiti'!$B$5:$B$204,"&lt;="&amp;B115)-SUMIFS('07_Prestiti'!$H$5:$H$204,'07_Prestiti'!$C$5:$C$204,"REPAYMENT",'07_Prestiti'!$B$5:$B$204,"&lt;="&amp;B115))</f>
        <v/>
      </c>
      <c r="H115" s="10" t="str">
        <f>IF(B115="","",SUMIFS('08_PL_Operativa'!$H$5:$H$503,'08_PL_Operativa'!$B$5:$B$503,"&lt;="&amp;B115))</f>
        <v/>
      </c>
      <c r="I115" s="26" t="str">
        <f t="shared" si="16"/>
        <v/>
      </c>
      <c r="J115" s="25"/>
      <c r="K115" s="25"/>
      <c r="L115" s="25"/>
      <c r="M115" s="26" t="str">
        <f t="shared" si="17"/>
        <v/>
      </c>
      <c r="N115" s="33" t="str">
        <f>IF(B115="","",SUMIFS('03_Investitori'!$J$5:$J$104,'03_Investitori'!$C$5:$C$104,"&lt;="&amp;B115))</f>
        <v/>
      </c>
      <c r="O115" s="35" t="str">
        <f t="shared" si="18"/>
        <v/>
      </c>
      <c r="P115" s="11" t="str">
        <f t="shared" si="19"/>
        <v/>
      </c>
    </row>
    <row r="116" spans="1:16" x14ac:dyDescent="0.2">
      <c r="A116" s="23" t="str">
        <f t="shared" si="15"/>
        <v/>
      </c>
      <c r="B116" s="22"/>
      <c r="C116" s="10" t="str">
        <f>IF(B116="","",SUMIFS('03_Investitori'!$H$5:$H$104,'03_Investitori'!$C$5:$C$104,"&lt;="&amp;B116))</f>
        <v/>
      </c>
      <c r="D116" s="10" t="str">
        <f>IF(B116="","",SUMIFS('04_Trades'!$K$5:$K$1004,'04_Trades'!$C$5:$C$1004,"BUY",'04_Trades'!$B$5:$B$1004,"&lt;="&amp;B116)-SUMIFS('04_Trades'!$K$5:$K$1004,'04_Trades'!$C$5:$C$1004,"SELL",'04_Trades'!$B$5:$B$1004,"&lt;="&amp;B116))</f>
        <v/>
      </c>
      <c r="E116" s="10" t="str">
        <f>IF(B116="","",SUMIFS('05_Dividendi_Interessi'!$I$5:$I$504,'05_Dividendi_Interessi'!$B$5:$B$504,"&lt;="&amp;B116))</f>
        <v/>
      </c>
      <c r="F116" s="10" t="str">
        <f>IF(B116="","",SUMIFS('06_Partecipazioni'!$I$5:$I$204,'06_Partecipazioni'!$C$5:$C$204,"BUY",'06_Partecipazioni'!$B$5:$B$204,"&lt;="&amp;B116)-SUMIFS('06_Partecipazioni'!$I$5:$I$204,'06_Partecipazioni'!$C$5:$C$204,"SELL",'06_Partecipazioni'!$B$5:$B$204,"&lt;="&amp;B116))</f>
        <v/>
      </c>
      <c r="G116" s="10" t="str">
        <f>IF(B116="","",SUMIFS('07_Prestiti'!$H$5:$H$204,'07_Prestiti'!$C$5:$C$204,"DISBURSEMENT",'07_Prestiti'!$B$5:$B$204,"&lt;="&amp;B116)-SUMIFS('07_Prestiti'!$H$5:$H$204,'07_Prestiti'!$C$5:$C$204,"REPAYMENT",'07_Prestiti'!$B$5:$B$204,"&lt;="&amp;B116))</f>
        <v/>
      </c>
      <c r="H116" s="10" t="str">
        <f>IF(B116="","",SUMIFS('08_PL_Operativa'!$H$5:$H$503,'08_PL_Operativa'!$B$5:$B$503,"&lt;="&amp;B116))</f>
        <v/>
      </c>
      <c r="I116" s="26" t="str">
        <f t="shared" si="16"/>
        <v/>
      </c>
      <c r="J116" s="25"/>
      <c r="K116" s="25"/>
      <c r="L116" s="25"/>
      <c r="M116" s="26" t="str">
        <f t="shared" si="17"/>
        <v/>
      </c>
      <c r="N116" s="33" t="str">
        <f>IF(B116="","",SUMIFS('03_Investitori'!$J$5:$J$104,'03_Investitori'!$C$5:$C$104,"&lt;="&amp;B116))</f>
        <v/>
      </c>
      <c r="O116" s="35" t="str">
        <f t="shared" si="18"/>
        <v/>
      </c>
      <c r="P116" s="11" t="str">
        <f t="shared" si="19"/>
        <v/>
      </c>
    </row>
    <row r="117" spans="1:16" x14ac:dyDescent="0.2">
      <c r="A117" s="23" t="str">
        <f t="shared" si="15"/>
        <v/>
      </c>
      <c r="B117" s="22"/>
      <c r="C117" s="10" t="str">
        <f>IF(B117="","",SUMIFS('03_Investitori'!$H$5:$H$104,'03_Investitori'!$C$5:$C$104,"&lt;="&amp;B117))</f>
        <v/>
      </c>
      <c r="D117" s="10" t="str">
        <f>IF(B117="","",SUMIFS('04_Trades'!$K$5:$K$1004,'04_Trades'!$C$5:$C$1004,"BUY",'04_Trades'!$B$5:$B$1004,"&lt;="&amp;B117)-SUMIFS('04_Trades'!$K$5:$K$1004,'04_Trades'!$C$5:$C$1004,"SELL",'04_Trades'!$B$5:$B$1004,"&lt;="&amp;B117))</f>
        <v/>
      </c>
      <c r="E117" s="10" t="str">
        <f>IF(B117="","",SUMIFS('05_Dividendi_Interessi'!$I$5:$I$504,'05_Dividendi_Interessi'!$B$5:$B$504,"&lt;="&amp;B117))</f>
        <v/>
      </c>
      <c r="F117" s="10" t="str">
        <f>IF(B117="","",SUMIFS('06_Partecipazioni'!$I$5:$I$204,'06_Partecipazioni'!$C$5:$C$204,"BUY",'06_Partecipazioni'!$B$5:$B$204,"&lt;="&amp;B117)-SUMIFS('06_Partecipazioni'!$I$5:$I$204,'06_Partecipazioni'!$C$5:$C$204,"SELL",'06_Partecipazioni'!$B$5:$B$204,"&lt;="&amp;B117))</f>
        <v/>
      </c>
      <c r="G117" s="10" t="str">
        <f>IF(B117="","",SUMIFS('07_Prestiti'!$H$5:$H$204,'07_Prestiti'!$C$5:$C$204,"DISBURSEMENT",'07_Prestiti'!$B$5:$B$204,"&lt;="&amp;B117)-SUMIFS('07_Prestiti'!$H$5:$H$204,'07_Prestiti'!$C$5:$C$204,"REPAYMENT",'07_Prestiti'!$B$5:$B$204,"&lt;="&amp;B117))</f>
        <v/>
      </c>
      <c r="H117" s="10" t="str">
        <f>IF(B117="","",SUMIFS('08_PL_Operativa'!$H$5:$H$503,'08_PL_Operativa'!$B$5:$B$503,"&lt;="&amp;B117))</f>
        <v/>
      </c>
      <c r="I117" s="26" t="str">
        <f t="shared" si="16"/>
        <v/>
      </c>
      <c r="J117" s="25"/>
      <c r="K117" s="25"/>
      <c r="L117" s="25"/>
      <c r="M117" s="26" t="str">
        <f t="shared" si="17"/>
        <v/>
      </c>
      <c r="N117" s="33" t="str">
        <f>IF(B117="","",SUMIFS('03_Investitori'!$J$5:$J$104,'03_Investitori'!$C$5:$C$104,"&lt;="&amp;B117))</f>
        <v/>
      </c>
      <c r="O117" s="35" t="str">
        <f t="shared" si="18"/>
        <v/>
      </c>
      <c r="P117" s="11" t="str">
        <f t="shared" si="19"/>
        <v/>
      </c>
    </row>
    <row r="118" spans="1:16" x14ac:dyDescent="0.2">
      <c r="A118" s="23" t="str">
        <f t="shared" si="15"/>
        <v/>
      </c>
      <c r="B118" s="22"/>
      <c r="C118" s="10" t="str">
        <f>IF(B118="","",SUMIFS('03_Investitori'!$H$5:$H$104,'03_Investitori'!$C$5:$C$104,"&lt;="&amp;B118))</f>
        <v/>
      </c>
      <c r="D118" s="10" t="str">
        <f>IF(B118="","",SUMIFS('04_Trades'!$K$5:$K$1004,'04_Trades'!$C$5:$C$1004,"BUY",'04_Trades'!$B$5:$B$1004,"&lt;="&amp;B118)-SUMIFS('04_Trades'!$K$5:$K$1004,'04_Trades'!$C$5:$C$1004,"SELL",'04_Trades'!$B$5:$B$1004,"&lt;="&amp;B118))</f>
        <v/>
      </c>
      <c r="E118" s="10" t="str">
        <f>IF(B118="","",SUMIFS('05_Dividendi_Interessi'!$I$5:$I$504,'05_Dividendi_Interessi'!$B$5:$B$504,"&lt;="&amp;B118))</f>
        <v/>
      </c>
      <c r="F118" s="10" t="str">
        <f>IF(B118="","",SUMIFS('06_Partecipazioni'!$I$5:$I$204,'06_Partecipazioni'!$C$5:$C$204,"BUY",'06_Partecipazioni'!$B$5:$B$204,"&lt;="&amp;B118)-SUMIFS('06_Partecipazioni'!$I$5:$I$204,'06_Partecipazioni'!$C$5:$C$204,"SELL",'06_Partecipazioni'!$B$5:$B$204,"&lt;="&amp;B118))</f>
        <v/>
      </c>
      <c r="G118" s="10" t="str">
        <f>IF(B118="","",SUMIFS('07_Prestiti'!$H$5:$H$204,'07_Prestiti'!$C$5:$C$204,"DISBURSEMENT",'07_Prestiti'!$B$5:$B$204,"&lt;="&amp;B118)-SUMIFS('07_Prestiti'!$H$5:$H$204,'07_Prestiti'!$C$5:$C$204,"REPAYMENT",'07_Prestiti'!$B$5:$B$204,"&lt;="&amp;B118))</f>
        <v/>
      </c>
      <c r="H118" s="10" t="str">
        <f>IF(B118="","",SUMIFS('08_PL_Operativa'!$H$5:$H$503,'08_PL_Operativa'!$B$5:$B$503,"&lt;="&amp;B118))</f>
        <v/>
      </c>
      <c r="I118" s="26" t="str">
        <f t="shared" si="16"/>
        <v/>
      </c>
      <c r="J118" s="25"/>
      <c r="K118" s="25"/>
      <c r="L118" s="25"/>
      <c r="M118" s="26" t="str">
        <f t="shared" si="17"/>
        <v/>
      </c>
      <c r="N118" s="33" t="str">
        <f>IF(B118="","",SUMIFS('03_Investitori'!$J$5:$J$104,'03_Investitori'!$C$5:$C$104,"&lt;="&amp;B118))</f>
        <v/>
      </c>
      <c r="O118" s="35" t="str">
        <f t="shared" si="18"/>
        <v/>
      </c>
      <c r="P118" s="11" t="str">
        <f t="shared" si="19"/>
        <v/>
      </c>
    </row>
    <row r="119" spans="1:16" x14ac:dyDescent="0.2">
      <c r="A119" s="23" t="str">
        <f t="shared" si="15"/>
        <v/>
      </c>
      <c r="B119" s="22"/>
      <c r="C119" s="10" t="str">
        <f>IF(B119="","",SUMIFS('03_Investitori'!$H$5:$H$104,'03_Investitori'!$C$5:$C$104,"&lt;="&amp;B119))</f>
        <v/>
      </c>
      <c r="D119" s="10" t="str">
        <f>IF(B119="","",SUMIFS('04_Trades'!$K$5:$K$1004,'04_Trades'!$C$5:$C$1004,"BUY",'04_Trades'!$B$5:$B$1004,"&lt;="&amp;B119)-SUMIFS('04_Trades'!$K$5:$K$1004,'04_Trades'!$C$5:$C$1004,"SELL",'04_Trades'!$B$5:$B$1004,"&lt;="&amp;B119))</f>
        <v/>
      </c>
      <c r="E119" s="10" t="str">
        <f>IF(B119="","",SUMIFS('05_Dividendi_Interessi'!$I$5:$I$504,'05_Dividendi_Interessi'!$B$5:$B$504,"&lt;="&amp;B119))</f>
        <v/>
      </c>
      <c r="F119" s="10" t="str">
        <f>IF(B119="","",SUMIFS('06_Partecipazioni'!$I$5:$I$204,'06_Partecipazioni'!$C$5:$C$204,"BUY",'06_Partecipazioni'!$B$5:$B$204,"&lt;="&amp;B119)-SUMIFS('06_Partecipazioni'!$I$5:$I$204,'06_Partecipazioni'!$C$5:$C$204,"SELL",'06_Partecipazioni'!$B$5:$B$204,"&lt;="&amp;B119))</f>
        <v/>
      </c>
      <c r="G119" s="10" t="str">
        <f>IF(B119="","",SUMIFS('07_Prestiti'!$H$5:$H$204,'07_Prestiti'!$C$5:$C$204,"DISBURSEMENT",'07_Prestiti'!$B$5:$B$204,"&lt;="&amp;B119)-SUMIFS('07_Prestiti'!$H$5:$H$204,'07_Prestiti'!$C$5:$C$204,"REPAYMENT",'07_Prestiti'!$B$5:$B$204,"&lt;="&amp;B119))</f>
        <v/>
      </c>
      <c r="H119" s="10" t="str">
        <f>IF(B119="","",SUMIFS('08_PL_Operativa'!$H$5:$H$503,'08_PL_Operativa'!$B$5:$B$503,"&lt;="&amp;B119))</f>
        <v/>
      </c>
      <c r="I119" s="26" t="str">
        <f t="shared" si="16"/>
        <v/>
      </c>
      <c r="J119" s="25"/>
      <c r="K119" s="25"/>
      <c r="L119" s="25"/>
      <c r="M119" s="26" t="str">
        <f t="shared" si="17"/>
        <v/>
      </c>
      <c r="N119" s="33" t="str">
        <f>IF(B119="","",SUMIFS('03_Investitori'!$J$5:$J$104,'03_Investitori'!$C$5:$C$104,"&lt;="&amp;B119))</f>
        <v/>
      </c>
      <c r="O119" s="35" t="str">
        <f t="shared" si="18"/>
        <v/>
      </c>
      <c r="P119" s="11" t="str">
        <f t="shared" si="19"/>
        <v/>
      </c>
    </row>
    <row r="120" spans="1:16" x14ac:dyDescent="0.2">
      <c r="A120" s="23" t="str">
        <f t="shared" si="15"/>
        <v/>
      </c>
      <c r="B120" s="22"/>
      <c r="C120" s="10" t="str">
        <f>IF(B120="","",SUMIFS('03_Investitori'!$H$5:$H$104,'03_Investitori'!$C$5:$C$104,"&lt;="&amp;B120))</f>
        <v/>
      </c>
      <c r="D120" s="10" t="str">
        <f>IF(B120="","",SUMIFS('04_Trades'!$K$5:$K$1004,'04_Trades'!$C$5:$C$1004,"BUY",'04_Trades'!$B$5:$B$1004,"&lt;="&amp;B120)-SUMIFS('04_Trades'!$K$5:$K$1004,'04_Trades'!$C$5:$C$1004,"SELL",'04_Trades'!$B$5:$B$1004,"&lt;="&amp;B120))</f>
        <v/>
      </c>
      <c r="E120" s="10" t="str">
        <f>IF(B120="","",SUMIFS('05_Dividendi_Interessi'!$I$5:$I$504,'05_Dividendi_Interessi'!$B$5:$B$504,"&lt;="&amp;B120))</f>
        <v/>
      </c>
      <c r="F120" s="10" t="str">
        <f>IF(B120="","",SUMIFS('06_Partecipazioni'!$I$5:$I$204,'06_Partecipazioni'!$C$5:$C$204,"BUY",'06_Partecipazioni'!$B$5:$B$204,"&lt;="&amp;B120)-SUMIFS('06_Partecipazioni'!$I$5:$I$204,'06_Partecipazioni'!$C$5:$C$204,"SELL",'06_Partecipazioni'!$B$5:$B$204,"&lt;="&amp;B120))</f>
        <v/>
      </c>
      <c r="G120" s="10" t="str">
        <f>IF(B120="","",SUMIFS('07_Prestiti'!$H$5:$H$204,'07_Prestiti'!$C$5:$C$204,"DISBURSEMENT",'07_Prestiti'!$B$5:$B$204,"&lt;="&amp;B120)-SUMIFS('07_Prestiti'!$H$5:$H$204,'07_Prestiti'!$C$5:$C$204,"REPAYMENT",'07_Prestiti'!$B$5:$B$204,"&lt;="&amp;B120))</f>
        <v/>
      </c>
      <c r="H120" s="10" t="str">
        <f>IF(B120="","",SUMIFS('08_PL_Operativa'!$H$5:$H$503,'08_PL_Operativa'!$B$5:$B$503,"&lt;="&amp;B120))</f>
        <v/>
      </c>
      <c r="I120" s="26" t="str">
        <f t="shared" si="16"/>
        <v/>
      </c>
      <c r="J120" s="25"/>
      <c r="K120" s="25"/>
      <c r="L120" s="25"/>
      <c r="M120" s="26" t="str">
        <f t="shared" si="17"/>
        <v/>
      </c>
      <c r="N120" s="33" t="str">
        <f>IF(B120="","",SUMIFS('03_Investitori'!$J$5:$J$104,'03_Investitori'!$C$5:$C$104,"&lt;="&amp;B120))</f>
        <v/>
      </c>
      <c r="O120" s="35" t="str">
        <f t="shared" si="18"/>
        <v/>
      </c>
      <c r="P120" s="11" t="str">
        <f t="shared" si="19"/>
        <v/>
      </c>
    </row>
    <row r="121" spans="1:16" x14ac:dyDescent="0.2">
      <c r="A121" s="23" t="str">
        <f t="shared" si="15"/>
        <v/>
      </c>
      <c r="B121" s="22"/>
      <c r="C121" s="10" t="str">
        <f>IF(B121="","",SUMIFS('03_Investitori'!$H$5:$H$104,'03_Investitori'!$C$5:$C$104,"&lt;="&amp;B121))</f>
        <v/>
      </c>
      <c r="D121" s="10" t="str">
        <f>IF(B121="","",SUMIFS('04_Trades'!$K$5:$K$1004,'04_Trades'!$C$5:$C$1004,"BUY",'04_Trades'!$B$5:$B$1004,"&lt;="&amp;B121)-SUMIFS('04_Trades'!$K$5:$K$1004,'04_Trades'!$C$5:$C$1004,"SELL",'04_Trades'!$B$5:$B$1004,"&lt;="&amp;B121))</f>
        <v/>
      </c>
      <c r="E121" s="10" t="str">
        <f>IF(B121="","",SUMIFS('05_Dividendi_Interessi'!$I$5:$I$504,'05_Dividendi_Interessi'!$B$5:$B$504,"&lt;="&amp;B121))</f>
        <v/>
      </c>
      <c r="F121" s="10" t="str">
        <f>IF(B121="","",SUMIFS('06_Partecipazioni'!$I$5:$I$204,'06_Partecipazioni'!$C$5:$C$204,"BUY",'06_Partecipazioni'!$B$5:$B$204,"&lt;="&amp;B121)-SUMIFS('06_Partecipazioni'!$I$5:$I$204,'06_Partecipazioni'!$C$5:$C$204,"SELL",'06_Partecipazioni'!$B$5:$B$204,"&lt;="&amp;B121))</f>
        <v/>
      </c>
      <c r="G121" s="10" t="str">
        <f>IF(B121="","",SUMIFS('07_Prestiti'!$H$5:$H$204,'07_Prestiti'!$C$5:$C$204,"DISBURSEMENT",'07_Prestiti'!$B$5:$B$204,"&lt;="&amp;B121)-SUMIFS('07_Prestiti'!$H$5:$H$204,'07_Prestiti'!$C$5:$C$204,"REPAYMENT",'07_Prestiti'!$B$5:$B$204,"&lt;="&amp;B121))</f>
        <v/>
      </c>
      <c r="H121" s="10" t="str">
        <f>IF(B121="","",SUMIFS('08_PL_Operativa'!$H$5:$H$503,'08_PL_Operativa'!$B$5:$B$503,"&lt;="&amp;B121))</f>
        <v/>
      </c>
      <c r="I121" s="26" t="str">
        <f t="shared" si="16"/>
        <v/>
      </c>
      <c r="J121" s="25"/>
      <c r="K121" s="25"/>
      <c r="L121" s="25"/>
      <c r="M121" s="26" t="str">
        <f t="shared" si="17"/>
        <v/>
      </c>
      <c r="N121" s="33" t="str">
        <f>IF(B121="","",SUMIFS('03_Investitori'!$J$5:$J$104,'03_Investitori'!$C$5:$C$104,"&lt;="&amp;B121))</f>
        <v/>
      </c>
      <c r="O121" s="35" t="str">
        <f t="shared" si="18"/>
        <v/>
      </c>
      <c r="P121" s="11" t="str">
        <f t="shared" si="19"/>
        <v/>
      </c>
    </row>
    <row r="122" spans="1:16" x14ac:dyDescent="0.2">
      <c r="A122" s="23" t="str">
        <f t="shared" si="15"/>
        <v/>
      </c>
      <c r="B122" s="22"/>
      <c r="C122" s="10" t="str">
        <f>IF(B122="","",SUMIFS('03_Investitori'!$H$5:$H$104,'03_Investitori'!$C$5:$C$104,"&lt;="&amp;B122))</f>
        <v/>
      </c>
      <c r="D122" s="10" t="str">
        <f>IF(B122="","",SUMIFS('04_Trades'!$K$5:$K$1004,'04_Trades'!$C$5:$C$1004,"BUY",'04_Trades'!$B$5:$B$1004,"&lt;="&amp;B122)-SUMIFS('04_Trades'!$K$5:$K$1004,'04_Trades'!$C$5:$C$1004,"SELL",'04_Trades'!$B$5:$B$1004,"&lt;="&amp;B122))</f>
        <v/>
      </c>
      <c r="E122" s="10" t="str">
        <f>IF(B122="","",SUMIFS('05_Dividendi_Interessi'!$I$5:$I$504,'05_Dividendi_Interessi'!$B$5:$B$504,"&lt;="&amp;B122))</f>
        <v/>
      </c>
      <c r="F122" s="10" t="str">
        <f>IF(B122="","",SUMIFS('06_Partecipazioni'!$I$5:$I$204,'06_Partecipazioni'!$C$5:$C$204,"BUY",'06_Partecipazioni'!$B$5:$B$204,"&lt;="&amp;B122)-SUMIFS('06_Partecipazioni'!$I$5:$I$204,'06_Partecipazioni'!$C$5:$C$204,"SELL",'06_Partecipazioni'!$B$5:$B$204,"&lt;="&amp;B122))</f>
        <v/>
      </c>
      <c r="G122" s="10" t="str">
        <f>IF(B122="","",SUMIFS('07_Prestiti'!$H$5:$H$204,'07_Prestiti'!$C$5:$C$204,"DISBURSEMENT",'07_Prestiti'!$B$5:$B$204,"&lt;="&amp;B122)-SUMIFS('07_Prestiti'!$H$5:$H$204,'07_Prestiti'!$C$5:$C$204,"REPAYMENT",'07_Prestiti'!$B$5:$B$204,"&lt;="&amp;B122))</f>
        <v/>
      </c>
      <c r="H122" s="10" t="str">
        <f>IF(B122="","",SUMIFS('08_PL_Operativa'!$H$5:$H$503,'08_PL_Operativa'!$B$5:$B$503,"&lt;="&amp;B122))</f>
        <v/>
      </c>
      <c r="I122" s="26" t="str">
        <f t="shared" si="16"/>
        <v/>
      </c>
      <c r="J122" s="25"/>
      <c r="K122" s="25"/>
      <c r="L122" s="25"/>
      <c r="M122" s="26" t="str">
        <f t="shared" si="17"/>
        <v/>
      </c>
      <c r="N122" s="33" t="str">
        <f>IF(B122="","",SUMIFS('03_Investitori'!$J$5:$J$104,'03_Investitori'!$C$5:$C$104,"&lt;="&amp;B122))</f>
        <v/>
      </c>
      <c r="O122" s="35" t="str">
        <f t="shared" si="18"/>
        <v/>
      </c>
      <c r="P122" s="11" t="str">
        <f t="shared" si="19"/>
        <v/>
      </c>
    </row>
    <row r="123" spans="1:16" x14ac:dyDescent="0.2">
      <c r="A123" s="23" t="str">
        <f t="shared" si="15"/>
        <v/>
      </c>
      <c r="B123" s="22"/>
      <c r="C123" s="10" t="str">
        <f>IF(B123="","",SUMIFS('03_Investitori'!$H$5:$H$104,'03_Investitori'!$C$5:$C$104,"&lt;="&amp;B123))</f>
        <v/>
      </c>
      <c r="D123" s="10" t="str">
        <f>IF(B123="","",SUMIFS('04_Trades'!$K$5:$K$1004,'04_Trades'!$C$5:$C$1004,"BUY",'04_Trades'!$B$5:$B$1004,"&lt;="&amp;B123)-SUMIFS('04_Trades'!$K$5:$K$1004,'04_Trades'!$C$5:$C$1004,"SELL",'04_Trades'!$B$5:$B$1004,"&lt;="&amp;B123))</f>
        <v/>
      </c>
      <c r="E123" s="10" t="str">
        <f>IF(B123="","",SUMIFS('05_Dividendi_Interessi'!$I$5:$I$504,'05_Dividendi_Interessi'!$B$5:$B$504,"&lt;="&amp;B123))</f>
        <v/>
      </c>
      <c r="F123" s="10" t="str">
        <f>IF(B123="","",SUMIFS('06_Partecipazioni'!$I$5:$I$204,'06_Partecipazioni'!$C$5:$C$204,"BUY",'06_Partecipazioni'!$B$5:$B$204,"&lt;="&amp;B123)-SUMIFS('06_Partecipazioni'!$I$5:$I$204,'06_Partecipazioni'!$C$5:$C$204,"SELL",'06_Partecipazioni'!$B$5:$B$204,"&lt;="&amp;B123))</f>
        <v/>
      </c>
      <c r="G123" s="10" t="str">
        <f>IF(B123="","",SUMIFS('07_Prestiti'!$H$5:$H$204,'07_Prestiti'!$C$5:$C$204,"DISBURSEMENT",'07_Prestiti'!$B$5:$B$204,"&lt;="&amp;B123)-SUMIFS('07_Prestiti'!$H$5:$H$204,'07_Prestiti'!$C$5:$C$204,"REPAYMENT",'07_Prestiti'!$B$5:$B$204,"&lt;="&amp;B123))</f>
        <v/>
      </c>
      <c r="H123" s="10" t="str">
        <f>IF(B123="","",SUMIFS('08_PL_Operativa'!$H$5:$H$503,'08_PL_Operativa'!$B$5:$B$503,"&lt;="&amp;B123))</f>
        <v/>
      </c>
      <c r="I123" s="26" t="str">
        <f t="shared" si="16"/>
        <v/>
      </c>
      <c r="J123" s="25"/>
      <c r="K123" s="25"/>
      <c r="L123" s="25"/>
      <c r="M123" s="26" t="str">
        <f t="shared" si="17"/>
        <v/>
      </c>
      <c r="N123" s="33" t="str">
        <f>IF(B123="","",SUMIFS('03_Investitori'!$J$5:$J$104,'03_Investitori'!$C$5:$C$104,"&lt;="&amp;B123))</f>
        <v/>
      </c>
      <c r="O123" s="35" t="str">
        <f t="shared" si="18"/>
        <v/>
      </c>
      <c r="P123" s="11" t="str">
        <f t="shared" si="19"/>
        <v/>
      </c>
    </row>
    <row r="124" spans="1:16" x14ac:dyDescent="0.2">
      <c r="A124" s="23" t="str">
        <f t="shared" si="15"/>
        <v/>
      </c>
      <c r="B124" s="22"/>
      <c r="C124" s="10" t="str">
        <f>IF(B124="","",SUMIFS('03_Investitori'!$H$5:$H$104,'03_Investitori'!$C$5:$C$104,"&lt;="&amp;B124))</f>
        <v/>
      </c>
      <c r="D124" s="10" t="str">
        <f>IF(B124="","",SUMIFS('04_Trades'!$K$5:$K$1004,'04_Trades'!$C$5:$C$1004,"BUY",'04_Trades'!$B$5:$B$1004,"&lt;="&amp;B124)-SUMIFS('04_Trades'!$K$5:$K$1004,'04_Trades'!$C$5:$C$1004,"SELL",'04_Trades'!$B$5:$B$1004,"&lt;="&amp;B124))</f>
        <v/>
      </c>
      <c r="E124" s="10" t="str">
        <f>IF(B124="","",SUMIFS('05_Dividendi_Interessi'!$I$5:$I$504,'05_Dividendi_Interessi'!$B$5:$B$504,"&lt;="&amp;B124))</f>
        <v/>
      </c>
      <c r="F124" s="10" t="str">
        <f>IF(B124="","",SUMIFS('06_Partecipazioni'!$I$5:$I$204,'06_Partecipazioni'!$C$5:$C$204,"BUY",'06_Partecipazioni'!$B$5:$B$204,"&lt;="&amp;B124)-SUMIFS('06_Partecipazioni'!$I$5:$I$204,'06_Partecipazioni'!$C$5:$C$204,"SELL",'06_Partecipazioni'!$B$5:$B$204,"&lt;="&amp;B124))</f>
        <v/>
      </c>
      <c r="G124" s="10" t="str">
        <f>IF(B124="","",SUMIFS('07_Prestiti'!$H$5:$H$204,'07_Prestiti'!$C$5:$C$204,"DISBURSEMENT",'07_Prestiti'!$B$5:$B$204,"&lt;="&amp;B124)-SUMIFS('07_Prestiti'!$H$5:$H$204,'07_Prestiti'!$C$5:$C$204,"REPAYMENT",'07_Prestiti'!$B$5:$B$204,"&lt;="&amp;B124))</f>
        <v/>
      </c>
      <c r="H124" s="10" t="str">
        <f>IF(B124="","",SUMIFS('08_PL_Operativa'!$H$5:$H$503,'08_PL_Operativa'!$B$5:$B$503,"&lt;="&amp;B124))</f>
        <v/>
      </c>
      <c r="I124" s="26" t="str">
        <f t="shared" si="16"/>
        <v/>
      </c>
      <c r="J124" s="25"/>
      <c r="K124" s="25"/>
      <c r="L124" s="25"/>
      <c r="M124" s="26" t="str">
        <f t="shared" si="17"/>
        <v/>
      </c>
      <c r="N124" s="33" t="str">
        <f>IF(B124="","",SUMIFS('03_Investitori'!$J$5:$J$104,'03_Investitori'!$C$5:$C$104,"&lt;="&amp;B124))</f>
        <v/>
      </c>
      <c r="O124" s="35" t="str">
        <f t="shared" si="18"/>
        <v/>
      </c>
      <c r="P124" s="11" t="str">
        <f t="shared" si="19"/>
        <v/>
      </c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00000"/>
  </sheetPr>
  <dimension ref="A1:H124"/>
  <sheetViews>
    <sheetView zoomScaleNormal="100" workbookViewId="0">
      <selection activeCell="B7" sqref="B7"/>
    </sheetView>
  </sheetViews>
  <sheetFormatPr baseColWidth="10" defaultColWidth="8.6640625" defaultRowHeight="15" x14ac:dyDescent="0.2"/>
  <cols>
    <col min="1" max="1" width="38" customWidth="1"/>
    <col min="2" max="2" width="22" customWidth="1"/>
    <col min="3" max="3" width="4" customWidth="1"/>
    <col min="4" max="5" width="13" hidden="1" customWidth="1"/>
    <col min="7" max="8" width="13" hidden="1" customWidth="1"/>
  </cols>
  <sheetData>
    <row r="1" spans="1:8" ht="27.75" customHeight="1" x14ac:dyDescent="0.2">
      <c r="A1" s="85" t="s">
        <v>395</v>
      </c>
      <c r="B1" s="86"/>
      <c r="C1" s="86"/>
      <c r="D1" s="86"/>
      <c r="E1" s="86"/>
      <c r="F1" s="86"/>
      <c r="G1" s="86"/>
      <c r="H1" s="86"/>
    </row>
    <row r="2" spans="1:8" ht="22.25" customHeight="1" x14ac:dyDescent="0.2">
      <c r="A2" s="87" t="s">
        <v>396</v>
      </c>
      <c r="B2" s="86"/>
      <c r="C2" s="86"/>
      <c r="D2" s="86"/>
      <c r="E2" s="86"/>
      <c r="F2" s="86"/>
      <c r="G2" s="86"/>
      <c r="H2" s="86"/>
    </row>
    <row r="4" spans="1:8" ht="21.75" customHeight="1" x14ac:dyDescent="0.2">
      <c r="A4" s="88" t="s">
        <v>397</v>
      </c>
      <c r="B4" s="86"/>
      <c r="D4" s="19" t="s">
        <v>398</v>
      </c>
      <c r="E4" s="19" t="s">
        <v>399</v>
      </c>
      <c r="G4" s="19" t="s">
        <v>400</v>
      </c>
      <c r="H4" s="19" t="s">
        <v>401</v>
      </c>
    </row>
    <row r="5" spans="1:8" x14ac:dyDescent="0.2">
      <c r="A5" s="36" t="s">
        <v>402</v>
      </c>
      <c r="B5" s="37">
        <f ca="1">DataOggi</f>
        <v>46160</v>
      </c>
      <c r="D5" s="37">
        <f>IF('03_Investitori'!C5="",DataOggi,'03_Investitori'!C5)</f>
        <v>45736</v>
      </c>
      <c r="E5" s="10">
        <f>IF('03_Investitori'!H5="",0,-'03_Investitori'!H5)</f>
        <v>-500000</v>
      </c>
      <c r="G5" s="34" t="str">
        <f>IFERROR(IF('10_NAV_Mensile'!O5="","",'10_NAV_Mensile'!O5),"")</f>
        <v/>
      </c>
      <c r="H5" s="11" t="str">
        <f>IFERROR(IF(OR(G5="",'10_NAV_Mensile'!O5=""),"",'10_NAV_Mensile'!O5/G5-1),"")</f>
        <v/>
      </c>
    </row>
    <row r="6" spans="1:8" x14ac:dyDescent="0.2">
      <c r="A6" s="36" t="s">
        <v>23</v>
      </c>
      <c r="B6" s="10">
        <f ca="1">SUMIFS('03_Investitori'!$H$5:$H$104,'03_Investitori'!$C$5:$C$104,"&lt;="&amp;DataOggi)</f>
        <v>2000000</v>
      </c>
      <c r="D6" s="37">
        <f>IF('03_Investitori'!C6="",DataOggi,'03_Investitori'!C6)</f>
        <v>45904</v>
      </c>
      <c r="E6" s="10">
        <f>IF('03_Investitori'!H6="",0,-'03_Investitori'!H6)</f>
        <v>-500000</v>
      </c>
      <c r="G6" s="34" t="str">
        <f>IFERROR(IF('10_NAV_Mensile'!O6="","",MAX(G5,'10_NAV_Mensile'!O6)),"")</f>
        <v/>
      </c>
      <c r="H6" s="11" t="str">
        <f>IFERROR(IF(OR(G6="",'10_NAV_Mensile'!O6=""),"",'10_NAV_Mensile'!O6/G6-1),"")</f>
        <v/>
      </c>
    </row>
    <row r="7" spans="1:8" x14ac:dyDescent="0.2">
      <c r="A7" s="36" t="s">
        <v>403</v>
      </c>
      <c r="B7" s="10">
        <f ca="1">SUMIFS('04_Trades'!$K$5:$K$1004,'04_Trades'!$C$5:$C$1004,"BUY",'04_Trades'!$B$5:$B$1004,"&lt;="&amp;DataOggi)-SUMIFS('04_Trades'!$K$5:$K$1004,'04_Trades'!$C$5:$C$1004,"SELL",'04_Trades'!$B$5:$B$1004,"&lt;="&amp;DataOggi)</f>
        <v>1082225.7181526595</v>
      </c>
      <c r="D7" s="37">
        <f>IF('03_Investitori'!C7="",DataOggi,'03_Investitori'!C7)</f>
        <v>45910</v>
      </c>
      <c r="E7" s="10">
        <f>IF('03_Investitori'!H7="",0,-'03_Investitori'!H7)</f>
        <v>-500000</v>
      </c>
      <c r="G7" s="34">
        <f ca="1">IFERROR(IF('10_NAV_Mensile'!O7="","",MAX(G6,'10_NAV_Mensile'!O7)),"")</f>
        <v>0.99999059999999995</v>
      </c>
      <c r="H7" s="11">
        <f ca="1">IFERROR(IF(OR(G7="",'10_NAV_Mensile'!O7=""),"",'10_NAV_Mensile'!O7/G7-1),"")</f>
        <v>0</v>
      </c>
    </row>
    <row r="8" spans="1:8" x14ac:dyDescent="0.2">
      <c r="A8" s="36" t="s">
        <v>404</v>
      </c>
      <c r="B8" s="10">
        <f ca="1">SUMIFS('05_Dividendi_Interessi'!$I$5:$I$504,'05_Dividendi_Interessi'!$B$5:$B$504,"&lt;="&amp;DataOggi)</f>
        <v>8226.1999999999989</v>
      </c>
      <c r="D8" s="37">
        <f>IF('03_Investitori'!C8="",DataOggi,'03_Investitori'!C8)</f>
        <v>46097</v>
      </c>
      <c r="E8" s="10">
        <f>IF('03_Investitori'!H8="",0,-'03_Investitori'!H8)</f>
        <v>-500000</v>
      </c>
      <c r="G8" s="34">
        <f ca="1">IFERROR(IF('10_NAV_Mensile'!O8="","",MAX(G7,'10_NAV_Mensile'!O8)),"")</f>
        <v>0.99999059999999995</v>
      </c>
      <c r="H8" s="11">
        <f ca="1">IFERROR(IF(OR(G8="",'10_NAV_Mensile'!O8=""),"",'10_NAV_Mensile'!O8/G8-1),"")</f>
        <v>0</v>
      </c>
    </row>
    <row r="9" spans="1:8" x14ac:dyDescent="0.2">
      <c r="A9" s="36" t="s">
        <v>405</v>
      </c>
      <c r="B9" s="10">
        <f ca="1">SUMIFS('06_Partecipazioni'!$I$5:$I$204,'06_Partecipazioni'!$C$5:$C$204,"BUY",'06_Partecipazioni'!$B$5:$B$204,"&lt;="&amp;DataOggi)-SUMIFS('06_Partecipazioni'!$I$5:$I$204,'06_Partecipazioni'!$C$5:$C$204,"SELL",'06_Partecipazioni'!$B$5:$B$204,"&lt;="&amp;DataOggi)</f>
        <v>165000</v>
      </c>
      <c r="D9" s="37">
        <f ca="1">IF('03_Investitori'!C9="",DataOggi,'03_Investitori'!C9)</f>
        <v>46160</v>
      </c>
      <c r="E9" s="10">
        <f>IF('03_Investitori'!H9="",0,-'03_Investitori'!H9)</f>
        <v>0</v>
      </c>
      <c r="G9" s="34">
        <f ca="1">IFERROR(IF('10_NAV_Mensile'!O9="","",MAX(G8,'10_NAV_Mensile'!O9)),"")</f>
        <v>0.99999059999999995</v>
      </c>
      <c r="H9" s="11">
        <f ca="1">IFERROR(IF(OR(G9="",'10_NAV_Mensile'!O9=""),"",'10_NAV_Mensile'!O9/G9-1),"")</f>
        <v>0</v>
      </c>
    </row>
    <row r="10" spans="1:8" x14ac:dyDescent="0.2">
      <c r="A10" s="36" t="s">
        <v>406</v>
      </c>
      <c r="B10" s="10">
        <f ca="1">SUMIFS('07_Prestiti'!$H$5:$H$204,'07_Prestiti'!$C$5:$C$204,"DISBURSEMENT",'07_Prestiti'!$B$5:$B$204,"&lt;="&amp;DataOggi)-SUMIFS('07_Prestiti'!$H$5:$H$204,'07_Prestiti'!$C$5:$C$204,"REPAYMENT",'07_Prestiti'!$B$5:$B$204,"&lt;="&amp;DataOggi)</f>
        <v>135000</v>
      </c>
      <c r="D10" s="37">
        <f ca="1">IF('03_Investitori'!C10="",DataOggi,'03_Investitori'!C10)</f>
        <v>46160</v>
      </c>
      <c r="E10" s="10">
        <f>IF('03_Investitori'!H10="",0,-'03_Investitori'!H10)</f>
        <v>0</v>
      </c>
      <c r="G10" s="34">
        <f ca="1">IFERROR(IF('10_NAV_Mensile'!O10="","",MAX(G9,'10_NAV_Mensile'!O10)),"")</f>
        <v>0.99999059999999995</v>
      </c>
      <c r="H10" s="11">
        <f ca="1">IFERROR(IF(OR(G10="",'10_NAV_Mensile'!O10=""),"",'10_NAV_Mensile'!O10/G10-1),"")</f>
        <v>0</v>
      </c>
    </row>
    <row r="11" spans="1:8" x14ac:dyDescent="0.2">
      <c r="A11" s="36" t="s">
        <v>407</v>
      </c>
      <c r="B11" s="10">
        <f ca="1">SUMIFS('08_PL_Operativa'!$H$5:$H$503,'08_PL_Operativa'!$B$5:$B$503,"&lt;="&amp;DataOggi)</f>
        <v>-14238.73000000004</v>
      </c>
      <c r="D11" s="37">
        <f ca="1">IF('03_Investitori'!C11="",DataOggi,'03_Investitori'!C11)</f>
        <v>46160</v>
      </c>
      <c r="E11" s="10">
        <f>IF('03_Investitori'!H11="",0,-'03_Investitori'!H11)</f>
        <v>0</v>
      </c>
      <c r="G11" s="34">
        <f ca="1">IFERROR(IF('10_NAV_Mensile'!O11="","",MAX(G10,'10_NAV_Mensile'!O11)),"")</f>
        <v>0.99999059999999995</v>
      </c>
      <c r="H11" s="11">
        <f ca="1">IFERROR(IF(OR(G11="",'10_NAV_Mensile'!O11=""),"",'10_NAV_Mensile'!O11/G11-1),"")</f>
        <v>-6.5102611964551471E-4</v>
      </c>
    </row>
    <row r="12" spans="1:8" x14ac:dyDescent="0.2">
      <c r="A12" s="36" t="s">
        <v>408</v>
      </c>
      <c r="B12" s="26">
        <f ca="1">B6-B7+B8-B9-B10+B11</f>
        <v>611761.75184734049</v>
      </c>
      <c r="D12" s="37">
        <f ca="1">IF('03_Investitori'!C12="",DataOggi,'03_Investitori'!C12)</f>
        <v>46160</v>
      </c>
      <c r="E12" s="10">
        <f>IF('03_Investitori'!H12="",0,-'03_Investitori'!H12)</f>
        <v>0</v>
      </c>
      <c r="G12" s="34">
        <f ca="1">IFERROR(IF('10_NAV_Mensile'!O12="","",MAX(G11,'10_NAV_Mensile'!O12)),"")</f>
        <v>0.99999059999999995</v>
      </c>
      <c r="H12" s="11">
        <f ca="1">IFERROR(IF(OR(G12="",'10_NAV_Mensile'!O12=""),"",'10_NAV_Mensile'!O12/G12-1),"")</f>
        <v>-6.2204584723080103E-4</v>
      </c>
    </row>
    <row r="13" spans="1:8" x14ac:dyDescent="0.2">
      <c r="A13" s="36" t="s">
        <v>409</v>
      </c>
      <c r="B13" s="10">
        <f>IFERROR(MV_Listed_Tot,0)</f>
        <v>1069752.7439999999</v>
      </c>
      <c r="D13" s="37">
        <f ca="1">IF('03_Investitori'!C13="",DataOggi,'03_Investitori'!C13)</f>
        <v>46160</v>
      </c>
      <c r="E13" s="10">
        <f>IF('03_Investitori'!H13="",0,-'03_Investitori'!H13)</f>
        <v>0</v>
      </c>
      <c r="G13" s="34">
        <f ca="1">IFERROR(IF('10_NAV_Mensile'!O13="","",MAX(G12,'10_NAV_Mensile'!O13)),"")</f>
        <v>1.0007472133333333</v>
      </c>
      <c r="H13" s="11">
        <f ca="1">IFERROR(IF(OR(G13="",'10_NAV_Mensile'!O13=""),"",'10_NAV_Mensile'!O13/G13-1),"")</f>
        <v>0</v>
      </c>
    </row>
    <row r="14" spans="1:8" x14ac:dyDescent="0.2">
      <c r="A14" s="36" t="s">
        <v>410</v>
      </c>
      <c r="B14" s="10">
        <f>IF(COUNT('06_Partecipazioni'!$J$5:$J$204)=0,B9,SUM('06_Partecipazioni'!$J$5:$J$204))</f>
        <v>155000</v>
      </c>
      <c r="D14" s="37">
        <f ca="1">IF('03_Investitori'!C14="",DataOggi,'03_Investitori'!C14)</f>
        <v>46160</v>
      </c>
      <c r="E14" s="10">
        <f>IF('03_Investitori'!H14="",0,-'03_Investitori'!H14)</f>
        <v>0</v>
      </c>
      <c r="G14" s="34">
        <f ca="1">IFERROR(IF('10_NAV_Mensile'!O14="","",MAX(G13,'10_NAV_Mensile'!O14)),"")</f>
        <v>1.0007574466666667</v>
      </c>
      <c r="H14" s="11">
        <f ca="1">IFERROR(IF(OR(G14="",'10_NAV_Mensile'!O14=""),"",'10_NAV_Mensile'!O14/G14-1),"")</f>
        <v>0</v>
      </c>
    </row>
    <row r="15" spans="1:8" x14ac:dyDescent="0.2">
      <c r="A15" s="36" t="s">
        <v>411</v>
      </c>
      <c r="B15" s="10">
        <f ca="1">IF(COUNT('07_Prestiti'!$I$5:$I$204)=0,B10,SUM('07_Prestiti'!$I$5:$I$204))</f>
        <v>135000</v>
      </c>
      <c r="D15" s="37">
        <f ca="1">IF('03_Investitori'!C15="",DataOggi,'03_Investitori'!C15)</f>
        <v>46160</v>
      </c>
      <c r="E15" s="10">
        <f>IF('03_Investitori'!H15="",0,-'03_Investitori'!H15)</f>
        <v>0</v>
      </c>
      <c r="G15" s="34">
        <f ca="1">IFERROR(IF('10_NAV_Mensile'!O15="","",MAX(G14,'10_NAV_Mensile'!O15)),"")</f>
        <v>1.0009822333333334</v>
      </c>
      <c r="H15" s="11">
        <f ca="1">IFERROR(IF(OR(G15="",'10_NAV_Mensile'!O15=""),"",'10_NAV_Mensile'!O15/G15-1),"")</f>
        <v>0</v>
      </c>
    </row>
    <row r="16" spans="1:8" x14ac:dyDescent="0.2">
      <c r="A16" s="38" t="s">
        <v>412</v>
      </c>
      <c r="B16" s="13">
        <f ca="1">B12+B13+B14+B15</f>
        <v>1971514.4958473404</v>
      </c>
      <c r="D16" s="37">
        <f ca="1">IF('03_Investitori'!C16="",DataOggi,'03_Investitori'!C16)</f>
        <v>46160</v>
      </c>
      <c r="E16" s="10">
        <f>IF('03_Investitori'!H16="",0,-'03_Investitori'!H16)</f>
        <v>0</v>
      </c>
      <c r="G16" s="34">
        <f ca="1">IFERROR(IF('10_NAV_Mensile'!O16="","",MAX(G15,'10_NAV_Mensile'!O16)),"")</f>
        <v>1.0009822333333334</v>
      </c>
      <c r="H16" s="11">
        <f ca="1">IFERROR(IF(OR(G16="",'10_NAV_Mensile'!O16=""),"",'10_NAV_Mensile'!O16/G16-1),"")</f>
        <v>-5.00294394169567E-2</v>
      </c>
    </row>
    <row r="17" spans="1:8" x14ac:dyDescent="0.2">
      <c r="A17" s="36" t="s">
        <v>31</v>
      </c>
      <c r="B17" s="33">
        <f ca="1">SUMIFS('03_Investitori'!$J$5:$J$104,'03_Investitori'!$C$5:$C$104,"&lt;="&amp;DataOggi)</f>
        <v>2000000</v>
      </c>
      <c r="D17" s="37">
        <f ca="1">IF('03_Investitori'!C17="",DataOggi,'03_Investitori'!C17)</f>
        <v>46160</v>
      </c>
      <c r="E17" s="10">
        <f>IF('03_Investitori'!H17="",0,-'03_Investitori'!H17)</f>
        <v>0</v>
      </c>
      <c r="G17" s="34">
        <f ca="1">IFERROR(IF('10_NAV_Mensile'!O17="","",MAX(G16,'10_NAV_Mensile'!O17)),"")</f>
        <v>1.0009822333333334</v>
      </c>
      <c r="H17" s="11">
        <f ca="1">IFERROR(IF(OR(G17="",'10_NAV_Mensile'!O17=""),"",'10_NAV_Mensile'!O17/G17-1),"")</f>
        <v>-4.9848284020492351E-2</v>
      </c>
    </row>
    <row r="18" spans="1:8" x14ac:dyDescent="0.2">
      <c r="A18" s="38" t="s">
        <v>413</v>
      </c>
      <c r="B18" s="39">
        <f ca="1">IFERROR(B16/B17,0)</f>
        <v>0.98575724792367025</v>
      </c>
      <c r="D18" s="37">
        <f ca="1">IF('03_Investitori'!C18="",DataOggi,'03_Investitori'!C18)</f>
        <v>46160</v>
      </c>
      <c r="E18" s="10">
        <f>IF('03_Investitori'!H18="",0,-'03_Investitori'!H18)</f>
        <v>0</v>
      </c>
      <c r="G18" s="34">
        <f ca="1">IFERROR(IF('10_NAV_Mensile'!O18="","",MAX(G17,'10_NAV_Mensile'!O18)),"")</f>
        <v>1.0009822333333334</v>
      </c>
      <c r="H18" s="11">
        <f ca="1">IFERROR(IF(OR(G18="",'10_NAV_Mensile'!O18=""),"",'10_NAV_Mensile'!O18/G18-1),"")</f>
        <v>-4.9836555540596295E-2</v>
      </c>
    </row>
    <row r="19" spans="1:8" x14ac:dyDescent="0.2">
      <c r="D19" s="37">
        <f ca="1">IF('03_Investitori'!C19="",DataOggi,'03_Investitori'!C19)</f>
        <v>46160</v>
      </c>
      <c r="E19" s="10">
        <f>IF('03_Investitori'!H19="",0,-'03_Investitori'!H19)</f>
        <v>0</v>
      </c>
      <c r="G19" s="34">
        <f ca="1">IFERROR(IF('10_NAV_Mensile'!O19="","",MAX(G18,'10_NAV_Mensile'!O19)),"")</f>
        <v>1.0009822333333334</v>
      </c>
      <c r="H19" s="11">
        <f ca="1">IFERROR(IF(OR(G19="",'10_NAV_Mensile'!O19=""),"",'10_NAV_Mensile'!O19/G19-1),"")</f>
        <v>-4.8371671065623456E-3</v>
      </c>
    </row>
    <row r="20" spans="1:8" x14ac:dyDescent="0.2">
      <c r="D20" s="37">
        <f ca="1">IF('03_Investitori'!C20="",DataOggi,'03_Investitori'!C20)</f>
        <v>46160</v>
      </c>
      <c r="E20" s="10">
        <f>IF('03_Investitori'!H20="",0,-'03_Investitori'!H20)</f>
        <v>0</v>
      </c>
      <c r="G20" s="34">
        <f ca="1">IFERROR(IF('10_NAV_Mensile'!O20="","",MAX(G19,'10_NAV_Mensile'!O20)),"")</f>
        <v>1.0009822333333334</v>
      </c>
      <c r="H20" s="11">
        <f ca="1">IFERROR(IF(OR(G20="",'10_NAV_Mensile'!O20=""),"",'10_NAV_Mensile'!O20/G20-1),"")</f>
        <v>-3.9845845415771297E-3</v>
      </c>
    </row>
    <row r="21" spans="1:8" ht="21.75" customHeight="1" x14ac:dyDescent="0.2">
      <c r="A21" s="88" t="s">
        <v>414</v>
      </c>
      <c r="B21" s="86"/>
      <c r="D21" s="37">
        <f ca="1">IF('03_Investitori'!C21="",DataOggi,'03_Investitori'!C21)</f>
        <v>46160</v>
      </c>
      <c r="E21" s="10">
        <f>IF('03_Investitori'!H21="",0,-'03_Investitori'!H21)</f>
        <v>0</v>
      </c>
      <c r="G21" s="34" t="str">
        <f>IFERROR(IF('10_NAV_Mensile'!O21="","",MAX(G20,'10_NAV_Mensile'!O21)),"")</f>
        <v/>
      </c>
      <c r="H21" s="11" t="str">
        <f>IFERROR(IF(OR(G21="",'10_NAV_Mensile'!O21=""),"",'10_NAV_Mensile'!O21/G21-1),"")</f>
        <v/>
      </c>
    </row>
    <row r="22" spans="1:8" ht="18" customHeight="1" x14ac:dyDescent="0.2">
      <c r="A22" s="3" t="s">
        <v>415</v>
      </c>
      <c r="B22" s="6">
        <f ca="1">IFERROR(NAV_Curr/Capital_Tot,0)</f>
        <v>0.98575724792367025</v>
      </c>
      <c r="D22" s="37">
        <f ca="1">IF('03_Investitori'!C22="",DataOggi,'03_Investitori'!C22)</f>
        <v>46160</v>
      </c>
      <c r="E22" s="10">
        <f>IF('03_Investitori'!H22="",0,-'03_Investitori'!H22)</f>
        <v>0</v>
      </c>
      <c r="G22" s="34" t="str">
        <f>IFERROR(IF('10_NAV_Mensile'!O22="","",MAX(G21,'10_NAV_Mensile'!O22)),"")</f>
        <v/>
      </c>
      <c r="H22" s="11" t="str">
        <f>IFERROR(IF(OR(G22="",'10_NAV_Mensile'!O22=""),"",'10_NAV_Mensile'!O22/G22-1),"")</f>
        <v/>
      </c>
    </row>
    <row r="23" spans="1:8" ht="18" customHeight="1" x14ac:dyDescent="0.2">
      <c r="A23" s="3" t="s">
        <v>27</v>
      </c>
      <c r="B23" s="4">
        <f ca="1">NAV_Curr-Capital_Tot</f>
        <v>-28485.50415265956</v>
      </c>
      <c r="D23" s="37">
        <f ca="1">IF('03_Investitori'!C23="",DataOggi,'03_Investitori'!C23)</f>
        <v>46160</v>
      </c>
      <c r="E23" s="10">
        <f>IF('03_Investitori'!H23="",0,-'03_Investitori'!H23)</f>
        <v>0</v>
      </c>
      <c r="G23" s="34" t="str">
        <f>IFERROR(IF('10_NAV_Mensile'!O23="","",MAX(G22,'10_NAV_Mensile'!O23)),"")</f>
        <v/>
      </c>
      <c r="H23" s="11" t="str">
        <f>IFERROR(IF(OR(G23="",'10_NAV_Mensile'!O23=""),"",'10_NAV_Mensile'!O23/G23-1),"")</f>
        <v/>
      </c>
    </row>
    <row r="24" spans="1:8" ht="18" customHeight="1" x14ac:dyDescent="0.2">
      <c r="A24" s="3" t="s">
        <v>416</v>
      </c>
      <c r="B24" s="5">
        <f ca="1">IFERROR(NAV_Curr/Capital_Tot-1,0)</f>
        <v>-1.4242752076329745E-2</v>
      </c>
      <c r="D24" s="37">
        <f ca="1">IF('03_Investitori'!C24="",DataOggi,'03_Investitori'!C24)</f>
        <v>46160</v>
      </c>
      <c r="E24" s="10">
        <f>IF('03_Investitori'!H24="",0,-'03_Investitori'!H24)</f>
        <v>0</v>
      </c>
      <c r="G24" s="34" t="str">
        <f>IFERROR(IF('10_NAV_Mensile'!O24="","",MAX(G23,'10_NAV_Mensile'!O24)),"")</f>
        <v/>
      </c>
      <c r="H24" s="11" t="str">
        <f>IFERROR(IF(OR(G24="",'10_NAV_Mensile'!O24=""),"",'10_NAV_Mensile'!O24/G24-1),"")</f>
        <v/>
      </c>
    </row>
    <row r="25" spans="1:8" ht="18" customHeight="1" x14ac:dyDescent="0.2">
      <c r="A25" s="3" t="s">
        <v>417</v>
      </c>
      <c r="B25" s="5">
        <f ca="1">IFERROR(XIRR($E$5:$E$105,$D$5:$D$105),0)</f>
        <v>-2.0910069346427921E-2</v>
      </c>
      <c r="D25" s="37">
        <f ca="1">IF('03_Investitori'!C25="",DataOggi,'03_Investitori'!C25)</f>
        <v>46160</v>
      </c>
      <c r="E25" s="10">
        <f>IF('03_Investitori'!H25="",0,-'03_Investitori'!H25)</f>
        <v>0</v>
      </c>
      <c r="G25" s="34" t="str">
        <f>IFERROR(IF('10_NAV_Mensile'!O25="","",MAX(G24,'10_NAV_Mensile'!O25)),"")</f>
        <v/>
      </c>
      <c r="H25" s="11" t="str">
        <f>IFERROR(IF(OR(G25="",'10_NAV_Mensile'!O25=""),"",'10_NAV_Mensile'!O25/G25-1),"")</f>
        <v/>
      </c>
    </row>
    <row r="26" spans="1:8" ht="18" customHeight="1" x14ac:dyDescent="0.2">
      <c r="A26" s="3" t="s">
        <v>418</v>
      </c>
      <c r="B26" s="5">
        <f ca="1">IFERROR((NAV_Curr/Capital_Tot)^(365.25/(DataOggi-_xludf.MINIFS('03_Investitori'!$C$5:$C$104,'03_Investitori'!$C$5:$C$104,"&gt;0")))-1,0)</f>
        <v>0</v>
      </c>
      <c r="D26" s="37">
        <f ca="1">IF('03_Investitori'!C26="",DataOggi,'03_Investitori'!C26)</f>
        <v>46160</v>
      </c>
      <c r="E26" s="10">
        <f>IF('03_Investitori'!H26="",0,-'03_Investitori'!H26)</f>
        <v>0</v>
      </c>
      <c r="G26" s="34" t="str">
        <f>IFERROR(IF('10_NAV_Mensile'!O26="","",MAX(G25,'10_NAV_Mensile'!O26)),"")</f>
        <v/>
      </c>
      <c r="H26" s="11" t="str">
        <f>IFERROR(IF(OR(G26="",'10_NAV_Mensile'!O26=""),"",'10_NAV_Mensile'!O26/G26-1),"")</f>
        <v/>
      </c>
    </row>
    <row r="27" spans="1:8" ht="18" customHeight="1" x14ac:dyDescent="0.2">
      <c r="A27" s="3" t="s">
        <v>419</v>
      </c>
      <c r="B27" s="5">
        <f ca="1">IFERROR(STDEV('10_NAV_Mensile'!$P$5:$P$124)*SQRT(12),0)</f>
        <v>6.8912979596029086E-2</v>
      </c>
      <c r="D27" s="37">
        <f ca="1">IF('03_Investitori'!C27="",DataOggi,'03_Investitori'!C27)</f>
        <v>46160</v>
      </c>
      <c r="E27" s="10">
        <f>IF('03_Investitori'!H27="",0,-'03_Investitori'!H27)</f>
        <v>0</v>
      </c>
      <c r="G27" s="34" t="str">
        <f>IFERROR(IF('10_NAV_Mensile'!O27="","",MAX(G26,'10_NAV_Mensile'!O27)),"")</f>
        <v/>
      </c>
      <c r="H27" s="11" t="str">
        <f>IFERROR(IF(OR(G27="",'10_NAV_Mensile'!O27=""),"",'10_NAV_Mensile'!O27/G27-1),"")</f>
        <v/>
      </c>
    </row>
    <row r="28" spans="1:8" ht="18" customHeight="1" x14ac:dyDescent="0.2">
      <c r="A28" s="3" t="s">
        <v>30</v>
      </c>
      <c r="B28" s="7">
        <f ca="1">IFERROR((AVERAGE('10_NAV_Mensile'!$P$5:$P$124)*12-RiskFree)/B27,0)</f>
        <v>-0.44360567038942361</v>
      </c>
      <c r="D28" s="37">
        <f ca="1">IF('03_Investitori'!C28="",DataOggi,'03_Investitori'!C28)</f>
        <v>46160</v>
      </c>
      <c r="E28" s="10">
        <f>IF('03_Investitori'!H28="",0,-'03_Investitori'!H28)</f>
        <v>0</v>
      </c>
      <c r="G28" s="34" t="str">
        <f>IFERROR(IF('10_NAV_Mensile'!O28="","",MAX(G27,'10_NAV_Mensile'!O28)),"")</f>
        <v/>
      </c>
      <c r="H28" s="11" t="str">
        <f>IFERROR(IF(OR(G28="",'10_NAV_Mensile'!O28=""),"",'10_NAV_Mensile'!O28/G28-1),"")</f>
        <v/>
      </c>
    </row>
    <row r="29" spans="1:8" ht="18" customHeight="1" x14ac:dyDescent="0.2">
      <c r="A29" s="3" t="s">
        <v>32</v>
      </c>
      <c r="B29" s="7">
        <f ca="1">IFERROR((AVERAGE('10_NAV_Mensile'!$P$6:$P$124)*12-RiskFree)/(_xlfn.STDEV.P(IF('10_NAV_Mensile'!$P$6:$P$124&lt;0,'10_NAV_Mensile'!$P$6:$P$124))*SQRT(12)),0)</f>
        <v>0</v>
      </c>
      <c r="D29" s="37">
        <f ca="1">IF('03_Investitori'!C29="",DataOggi,'03_Investitori'!C29)</f>
        <v>46160</v>
      </c>
      <c r="E29" s="10">
        <f>IF('03_Investitori'!H29="",0,-'03_Investitori'!H29)</f>
        <v>0</v>
      </c>
      <c r="G29" s="34" t="str">
        <f>IFERROR(IF('10_NAV_Mensile'!O29="","",MAX(G28,'10_NAV_Mensile'!O29)),"")</f>
        <v/>
      </c>
      <c r="H29" s="11" t="str">
        <f>IFERROR(IF(OR(G29="",'10_NAV_Mensile'!O29=""),"",'10_NAV_Mensile'!O29/G29-1),"")</f>
        <v/>
      </c>
    </row>
    <row r="30" spans="1:8" ht="18" customHeight="1" x14ac:dyDescent="0.2">
      <c r="A30" s="3" t="s">
        <v>33</v>
      </c>
      <c r="B30" s="5">
        <f ca="1">IFERROR(MIN($H$5:$H$124),0)</f>
        <v>-5.00294394169567E-2</v>
      </c>
      <c r="D30" s="37">
        <f ca="1">IF('03_Investitori'!C30="",DataOggi,'03_Investitori'!C30)</f>
        <v>46160</v>
      </c>
      <c r="E30" s="10">
        <f>IF('03_Investitori'!H30="",0,-'03_Investitori'!H30)</f>
        <v>0</v>
      </c>
      <c r="G30" s="34" t="str">
        <f>IFERROR(IF('10_NAV_Mensile'!O30="","",MAX(G29,'10_NAV_Mensile'!O30)),"")</f>
        <v/>
      </c>
      <c r="H30" s="11" t="str">
        <f>IFERROR(IF(OR(G30="",'10_NAV_Mensile'!O30=""),"",'10_NAV_Mensile'!O30/G30-1),"")</f>
        <v/>
      </c>
    </row>
    <row r="31" spans="1:8" ht="18" customHeight="1" x14ac:dyDescent="0.2">
      <c r="A31" s="3" t="s">
        <v>420</v>
      </c>
      <c r="B31" s="40">
        <f ca="1">COUNTIF('10_NAV_Mensile'!$P$5:$P$124,"&gt;0")</f>
        <v>8</v>
      </c>
      <c r="D31" s="37">
        <f ca="1">IF('03_Investitori'!C31="",DataOggi,'03_Investitori'!C31)</f>
        <v>46160</v>
      </c>
      <c r="E31" s="10">
        <f>IF('03_Investitori'!H31="",0,-'03_Investitori'!H31)</f>
        <v>0</v>
      </c>
      <c r="G31" s="34" t="str">
        <f>IFERROR(IF('10_NAV_Mensile'!O31="","",MAX(G30,'10_NAV_Mensile'!O31)),"")</f>
        <v/>
      </c>
      <c r="H31" s="11" t="str">
        <f>IFERROR(IF(OR(G31="",'10_NAV_Mensile'!O31=""),"",'10_NAV_Mensile'!O31/G31-1),"")</f>
        <v/>
      </c>
    </row>
    <row r="32" spans="1:8" ht="18" customHeight="1" x14ac:dyDescent="0.2">
      <c r="A32" s="3" t="s">
        <v>421</v>
      </c>
      <c r="B32" s="40">
        <f ca="1">COUNT('10_NAV_Mensile'!$P$5:$P$124)</f>
        <v>13</v>
      </c>
      <c r="D32" s="37">
        <f ca="1">IF('03_Investitori'!C32="",DataOggi,'03_Investitori'!C32)</f>
        <v>46160</v>
      </c>
      <c r="E32" s="10">
        <f>IF('03_Investitori'!H32="",0,-'03_Investitori'!H32)</f>
        <v>0</v>
      </c>
      <c r="G32" s="34" t="str">
        <f>IFERROR(IF('10_NAV_Mensile'!O32="","",MAX(G31,'10_NAV_Mensile'!O32)),"")</f>
        <v/>
      </c>
      <c r="H32" s="11" t="str">
        <f>IFERROR(IF(OR(G32="",'10_NAV_Mensile'!O32=""),"",'10_NAV_Mensile'!O32/G32-1),"")</f>
        <v/>
      </c>
    </row>
    <row r="33" spans="1:8" ht="18" customHeight="1" x14ac:dyDescent="0.2">
      <c r="A33" s="3" t="s">
        <v>422</v>
      </c>
      <c r="B33" s="5">
        <f ca="1">IFERROR(B31/B32,0)</f>
        <v>0.61538461538461542</v>
      </c>
      <c r="D33" s="37">
        <f ca="1">IF('03_Investitori'!C33="",DataOggi,'03_Investitori'!C33)</f>
        <v>46160</v>
      </c>
      <c r="E33" s="10">
        <f>IF('03_Investitori'!H33="",0,-'03_Investitori'!H33)</f>
        <v>0</v>
      </c>
      <c r="G33" s="34" t="str">
        <f>IFERROR(IF('10_NAV_Mensile'!O33="","",MAX(G32,'10_NAV_Mensile'!O33)),"")</f>
        <v/>
      </c>
      <c r="H33" s="11" t="str">
        <f>IFERROR(IF(OR(G33="",'10_NAV_Mensile'!O33=""),"",'10_NAV_Mensile'!O33/G33-1),"")</f>
        <v/>
      </c>
    </row>
    <row r="34" spans="1:8" x14ac:dyDescent="0.2">
      <c r="D34" s="37">
        <f ca="1">IF('03_Investitori'!C34="",DataOggi,'03_Investitori'!C34)</f>
        <v>46160</v>
      </c>
      <c r="E34" s="10">
        <f>IF('03_Investitori'!H34="",0,-'03_Investitori'!H34)</f>
        <v>0</v>
      </c>
      <c r="G34" s="34" t="str">
        <f>IFERROR(IF('10_NAV_Mensile'!O34="","",MAX(G33,'10_NAV_Mensile'!O34)),"")</f>
        <v/>
      </c>
      <c r="H34" s="11" t="str">
        <f>IFERROR(IF(OR(G34="",'10_NAV_Mensile'!O34=""),"",'10_NAV_Mensile'!O34/G34-1),"")</f>
        <v/>
      </c>
    </row>
    <row r="35" spans="1:8" x14ac:dyDescent="0.2">
      <c r="D35" s="37">
        <f ca="1">IF('03_Investitori'!C35="",DataOggi,'03_Investitori'!C35)</f>
        <v>46160</v>
      </c>
      <c r="E35" s="10">
        <f>IF('03_Investitori'!H35="",0,-'03_Investitori'!H35)</f>
        <v>0</v>
      </c>
      <c r="G35" s="34" t="str">
        <f>IFERROR(IF('10_NAV_Mensile'!O35="","",MAX(G34,'10_NAV_Mensile'!O35)),"")</f>
        <v/>
      </c>
      <c r="H35" s="11" t="str">
        <f>IFERROR(IF(OR(G35="",'10_NAV_Mensile'!O35=""),"",'10_NAV_Mensile'!O35/G35-1),"")</f>
        <v/>
      </c>
    </row>
    <row r="36" spans="1:8" x14ac:dyDescent="0.2">
      <c r="D36" s="37">
        <f ca="1">IF('03_Investitori'!C36="",DataOggi,'03_Investitori'!C36)</f>
        <v>46160</v>
      </c>
      <c r="E36" s="10">
        <f>IF('03_Investitori'!H36="",0,-'03_Investitori'!H36)</f>
        <v>0</v>
      </c>
      <c r="G36" s="34" t="str">
        <f>IFERROR(IF('10_NAV_Mensile'!O36="","",MAX(G35,'10_NAV_Mensile'!O36)),"")</f>
        <v/>
      </c>
      <c r="H36" s="11" t="str">
        <f>IFERROR(IF(OR(G36="",'10_NAV_Mensile'!O36=""),"",'10_NAV_Mensile'!O36/G36-1),"")</f>
        <v/>
      </c>
    </row>
    <row r="37" spans="1:8" x14ac:dyDescent="0.2">
      <c r="D37" s="37">
        <f ca="1">IF('03_Investitori'!C37="",DataOggi,'03_Investitori'!C37)</f>
        <v>46160</v>
      </c>
      <c r="E37" s="10">
        <f>IF('03_Investitori'!H37="",0,-'03_Investitori'!H37)</f>
        <v>0</v>
      </c>
      <c r="G37" s="34" t="str">
        <f>IFERROR(IF('10_NAV_Mensile'!O37="","",MAX(G36,'10_NAV_Mensile'!O37)),"")</f>
        <v/>
      </c>
      <c r="H37" s="11" t="str">
        <f>IFERROR(IF(OR(G37="",'10_NAV_Mensile'!O37=""),"",'10_NAV_Mensile'!O37/G37-1),"")</f>
        <v/>
      </c>
    </row>
    <row r="38" spans="1:8" x14ac:dyDescent="0.2">
      <c r="D38" s="37">
        <f ca="1">IF('03_Investitori'!C38="",DataOggi,'03_Investitori'!C38)</f>
        <v>46160</v>
      </c>
      <c r="E38" s="10">
        <f>IF('03_Investitori'!H38="",0,-'03_Investitori'!H38)</f>
        <v>0</v>
      </c>
      <c r="G38" s="34" t="str">
        <f>IFERROR(IF('10_NAV_Mensile'!O38="","",MAX(G37,'10_NAV_Mensile'!O38)),"")</f>
        <v/>
      </c>
      <c r="H38" s="11" t="str">
        <f>IFERROR(IF(OR(G38="",'10_NAV_Mensile'!O38=""),"",'10_NAV_Mensile'!O38/G38-1),"")</f>
        <v/>
      </c>
    </row>
    <row r="39" spans="1:8" x14ac:dyDescent="0.2">
      <c r="D39" s="37">
        <f ca="1">IF('03_Investitori'!C39="",DataOggi,'03_Investitori'!C39)</f>
        <v>46160</v>
      </c>
      <c r="E39" s="10">
        <f>IF('03_Investitori'!H39="",0,-'03_Investitori'!H39)</f>
        <v>0</v>
      </c>
      <c r="G39" s="34" t="str">
        <f>IFERROR(IF('10_NAV_Mensile'!O39="","",MAX(G38,'10_NAV_Mensile'!O39)),"")</f>
        <v/>
      </c>
      <c r="H39" s="11" t="str">
        <f>IFERROR(IF(OR(G39="",'10_NAV_Mensile'!O39=""),"",'10_NAV_Mensile'!O39/G39-1),"")</f>
        <v/>
      </c>
    </row>
    <row r="40" spans="1:8" x14ac:dyDescent="0.2">
      <c r="D40" s="37">
        <f ca="1">IF('03_Investitori'!C40="",DataOggi,'03_Investitori'!C40)</f>
        <v>46160</v>
      </c>
      <c r="E40" s="10">
        <f>IF('03_Investitori'!H40="",0,-'03_Investitori'!H40)</f>
        <v>0</v>
      </c>
      <c r="G40" s="34" t="str">
        <f>IFERROR(IF('10_NAV_Mensile'!O40="","",MAX(G39,'10_NAV_Mensile'!O40)),"")</f>
        <v/>
      </c>
      <c r="H40" s="11" t="str">
        <f>IFERROR(IF(OR(G40="",'10_NAV_Mensile'!O40=""),"",'10_NAV_Mensile'!O40/G40-1),"")</f>
        <v/>
      </c>
    </row>
    <row r="41" spans="1:8" x14ac:dyDescent="0.2">
      <c r="D41" s="37">
        <f ca="1">IF('03_Investitori'!C41="",DataOggi,'03_Investitori'!C41)</f>
        <v>46160</v>
      </c>
      <c r="E41" s="10">
        <f>IF('03_Investitori'!H41="",0,-'03_Investitori'!H41)</f>
        <v>0</v>
      </c>
      <c r="G41" s="34" t="str">
        <f>IFERROR(IF('10_NAV_Mensile'!O41="","",MAX(G40,'10_NAV_Mensile'!O41)),"")</f>
        <v/>
      </c>
      <c r="H41" s="11" t="str">
        <f>IFERROR(IF(OR(G41="",'10_NAV_Mensile'!O41=""),"",'10_NAV_Mensile'!O41/G41-1),"")</f>
        <v/>
      </c>
    </row>
    <row r="42" spans="1:8" x14ac:dyDescent="0.2">
      <c r="D42" s="37">
        <f ca="1">IF('03_Investitori'!C42="",DataOggi,'03_Investitori'!C42)</f>
        <v>46160</v>
      </c>
      <c r="E42" s="10">
        <f>IF('03_Investitori'!H42="",0,-'03_Investitori'!H42)</f>
        <v>0</v>
      </c>
      <c r="G42" s="34" t="str">
        <f>IFERROR(IF('10_NAV_Mensile'!O42="","",MAX(G41,'10_NAV_Mensile'!O42)),"")</f>
        <v/>
      </c>
      <c r="H42" s="11" t="str">
        <f>IFERROR(IF(OR(G42="",'10_NAV_Mensile'!O42=""),"",'10_NAV_Mensile'!O42/G42-1),"")</f>
        <v/>
      </c>
    </row>
    <row r="43" spans="1:8" x14ac:dyDescent="0.2">
      <c r="D43" s="37">
        <f ca="1">IF('03_Investitori'!C43="",DataOggi,'03_Investitori'!C43)</f>
        <v>46160</v>
      </c>
      <c r="E43" s="10">
        <f>IF('03_Investitori'!H43="",0,-'03_Investitori'!H43)</f>
        <v>0</v>
      </c>
      <c r="G43" s="34" t="str">
        <f>IFERROR(IF('10_NAV_Mensile'!O43="","",MAX(G42,'10_NAV_Mensile'!O43)),"")</f>
        <v/>
      </c>
      <c r="H43" s="11" t="str">
        <f>IFERROR(IF(OR(G43="",'10_NAV_Mensile'!O43=""),"",'10_NAV_Mensile'!O43/G43-1),"")</f>
        <v/>
      </c>
    </row>
    <row r="44" spans="1:8" x14ac:dyDescent="0.2">
      <c r="D44" s="37">
        <f ca="1">IF('03_Investitori'!C44="",DataOggi,'03_Investitori'!C44)</f>
        <v>46160</v>
      </c>
      <c r="E44" s="10">
        <f>IF('03_Investitori'!H44="",0,-'03_Investitori'!H44)</f>
        <v>0</v>
      </c>
      <c r="G44" s="34" t="str">
        <f>IFERROR(IF('10_NAV_Mensile'!O44="","",MAX(G43,'10_NAV_Mensile'!O44)),"")</f>
        <v/>
      </c>
      <c r="H44" s="11" t="str">
        <f>IFERROR(IF(OR(G44="",'10_NAV_Mensile'!O44=""),"",'10_NAV_Mensile'!O44/G44-1),"")</f>
        <v/>
      </c>
    </row>
    <row r="45" spans="1:8" x14ac:dyDescent="0.2">
      <c r="D45" s="37">
        <f ca="1">IF('03_Investitori'!C45="",DataOggi,'03_Investitori'!C45)</f>
        <v>46160</v>
      </c>
      <c r="E45" s="10">
        <f>IF('03_Investitori'!H45="",0,-'03_Investitori'!H45)</f>
        <v>0</v>
      </c>
      <c r="G45" s="34" t="str">
        <f>IFERROR(IF('10_NAV_Mensile'!O45="","",MAX(G44,'10_NAV_Mensile'!O45)),"")</f>
        <v/>
      </c>
      <c r="H45" s="11" t="str">
        <f>IFERROR(IF(OR(G45="",'10_NAV_Mensile'!O45=""),"",'10_NAV_Mensile'!O45/G45-1),"")</f>
        <v/>
      </c>
    </row>
    <row r="46" spans="1:8" x14ac:dyDescent="0.2">
      <c r="D46" s="37">
        <f ca="1">IF('03_Investitori'!C46="",DataOggi,'03_Investitori'!C46)</f>
        <v>46160</v>
      </c>
      <c r="E46" s="10">
        <f>IF('03_Investitori'!H46="",0,-'03_Investitori'!H46)</f>
        <v>0</v>
      </c>
      <c r="G46" s="34" t="str">
        <f>IFERROR(IF('10_NAV_Mensile'!O46="","",MAX(G45,'10_NAV_Mensile'!O46)),"")</f>
        <v/>
      </c>
      <c r="H46" s="11" t="str">
        <f>IFERROR(IF(OR(G46="",'10_NAV_Mensile'!O46=""),"",'10_NAV_Mensile'!O46/G46-1),"")</f>
        <v/>
      </c>
    </row>
    <row r="47" spans="1:8" x14ac:dyDescent="0.2">
      <c r="D47" s="37">
        <f ca="1">IF('03_Investitori'!C47="",DataOggi,'03_Investitori'!C47)</f>
        <v>46160</v>
      </c>
      <c r="E47" s="10">
        <f>IF('03_Investitori'!H47="",0,-'03_Investitori'!H47)</f>
        <v>0</v>
      </c>
      <c r="G47" s="34" t="str">
        <f>IFERROR(IF('10_NAV_Mensile'!O47="","",MAX(G46,'10_NAV_Mensile'!O47)),"")</f>
        <v/>
      </c>
      <c r="H47" s="11" t="str">
        <f>IFERROR(IF(OR(G47="",'10_NAV_Mensile'!O47=""),"",'10_NAV_Mensile'!O47/G47-1),"")</f>
        <v/>
      </c>
    </row>
    <row r="48" spans="1:8" x14ac:dyDescent="0.2">
      <c r="D48" s="37">
        <f ca="1">IF('03_Investitori'!C48="",DataOggi,'03_Investitori'!C48)</f>
        <v>46160</v>
      </c>
      <c r="E48" s="10">
        <f>IF('03_Investitori'!H48="",0,-'03_Investitori'!H48)</f>
        <v>0</v>
      </c>
      <c r="G48" s="34" t="str">
        <f>IFERROR(IF('10_NAV_Mensile'!O48="","",MAX(G47,'10_NAV_Mensile'!O48)),"")</f>
        <v/>
      </c>
      <c r="H48" s="11" t="str">
        <f>IFERROR(IF(OR(G48="",'10_NAV_Mensile'!O48=""),"",'10_NAV_Mensile'!O48/G48-1),"")</f>
        <v/>
      </c>
    </row>
    <row r="49" spans="4:8" x14ac:dyDescent="0.2">
      <c r="D49" s="37">
        <f ca="1">IF('03_Investitori'!C49="",DataOggi,'03_Investitori'!C49)</f>
        <v>46160</v>
      </c>
      <c r="E49" s="10">
        <f>IF('03_Investitori'!H49="",0,-'03_Investitori'!H49)</f>
        <v>0</v>
      </c>
      <c r="G49" s="34" t="str">
        <f>IFERROR(IF('10_NAV_Mensile'!O49="","",MAX(G48,'10_NAV_Mensile'!O49)),"")</f>
        <v/>
      </c>
      <c r="H49" s="11" t="str">
        <f>IFERROR(IF(OR(G49="",'10_NAV_Mensile'!O49=""),"",'10_NAV_Mensile'!O49/G49-1),"")</f>
        <v/>
      </c>
    </row>
    <row r="50" spans="4:8" x14ac:dyDescent="0.2">
      <c r="D50" s="37">
        <f ca="1">IF('03_Investitori'!C50="",DataOggi,'03_Investitori'!C50)</f>
        <v>46160</v>
      </c>
      <c r="E50" s="10">
        <f>IF('03_Investitori'!H50="",0,-'03_Investitori'!H50)</f>
        <v>0</v>
      </c>
      <c r="G50" s="34" t="str">
        <f>IFERROR(IF('10_NAV_Mensile'!O50="","",MAX(G49,'10_NAV_Mensile'!O50)),"")</f>
        <v/>
      </c>
      <c r="H50" s="11" t="str">
        <f>IFERROR(IF(OR(G50="",'10_NAV_Mensile'!O50=""),"",'10_NAV_Mensile'!O50/G50-1),"")</f>
        <v/>
      </c>
    </row>
    <row r="51" spans="4:8" x14ac:dyDescent="0.2">
      <c r="D51" s="37">
        <f ca="1">IF('03_Investitori'!C51="",DataOggi,'03_Investitori'!C51)</f>
        <v>46160</v>
      </c>
      <c r="E51" s="10">
        <f>IF('03_Investitori'!H51="",0,-'03_Investitori'!H51)</f>
        <v>0</v>
      </c>
      <c r="G51" s="34" t="str">
        <f>IFERROR(IF('10_NAV_Mensile'!O51="","",MAX(G50,'10_NAV_Mensile'!O51)),"")</f>
        <v/>
      </c>
      <c r="H51" s="11" t="str">
        <f>IFERROR(IF(OR(G51="",'10_NAV_Mensile'!O51=""),"",'10_NAV_Mensile'!O51/G51-1),"")</f>
        <v/>
      </c>
    </row>
    <row r="52" spans="4:8" x14ac:dyDescent="0.2">
      <c r="D52" s="37">
        <f ca="1">IF('03_Investitori'!C52="",DataOggi,'03_Investitori'!C52)</f>
        <v>46160</v>
      </c>
      <c r="E52" s="10">
        <f>IF('03_Investitori'!H52="",0,-'03_Investitori'!H52)</f>
        <v>0</v>
      </c>
      <c r="G52" s="34" t="str">
        <f>IFERROR(IF('10_NAV_Mensile'!O52="","",MAX(G51,'10_NAV_Mensile'!O52)),"")</f>
        <v/>
      </c>
      <c r="H52" s="11" t="str">
        <f>IFERROR(IF(OR(G52="",'10_NAV_Mensile'!O52=""),"",'10_NAV_Mensile'!O52/G52-1),"")</f>
        <v/>
      </c>
    </row>
    <row r="53" spans="4:8" x14ac:dyDescent="0.2">
      <c r="D53" s="37">
        <f ca="1">IF('03_Investitori'!C53="",DataOggi,'03_Investitori'!C53)</f>
        <v>46160</v>
      </c>
      <c r="E53" s="10">
        <f>IF('03_Investitori'!H53="",0,-'03_Investitori'!H53)</f>
        <v>0</v>
      </c>
      <c r="G53" s="34" t="str">
        <f>IFERROR(IF('10_NAV_Mensile'!O53="","",MAX(G52,'10_NAV_Mensile'!O53)),"")</f>
        <v/>
      </c>
      <c r="H53" s="11" t="str">
        <f>IFERROR(IF(OR(G53="",'10_NAV_Mensile'!O53=""),"",'10_NAV_Mensile'!O53/G53-1),"")</f>
        <v/>
      </c>
    </row>
    <row r="54" spans="4:8" x14ac:dyDescent="0.2">
      <c r="D54" s="37">
        <f ca="1">IF('03_Investitori'!C54="",DataOggi,'03_Investitori'!C54)</f>
        <v>46160</v>
      </c>
      <c r="E54" s="10">
        <f>IF('03_Investitori'!H54="",0,-'03_Investitori'!H54)</f>
        <v>0</v>
      </c>
      <c r="G54" s="34" t="str">
        <f>IFERROR(IF('10_NAV_Mensile'!O54="","",MAX(G53,'10_NAV_Mensile'!O54)),"")</f>
        <v/>
      </c>
      <c r="H54" s="11" t="str">
        <f>IFERROR(IF(OR(G54="",'10_NAV_Mensile'!O54=""),"",'10_NAV_Mensile'!O54/G54-1),"")</f>
        <v/>
      </c>
    </row>
    <row r="55" spans="4:8" x14ac:dyDescent="0.2">
      <c r="D55" s="37">
        <f ca="1">IF('03_Investitori'!C55="",DataOggi,'03_Investitori'!C55)</f>
        <v>46160</v>
      </c>
      <c r="E55" s="10">
        <f>IF('03_Investitori'!H55="",0,-'03_Investitori'!H55)</f>
        <v>0</v>
      </c>
      <c r="G55" s="34" t="str">
        <f>IFERROR(IF('10_NAV_Mensile'!O55="","",MAX(G54,'10_NAV_Mensile'!O55)),"")</f>
        <v/>
      </c>
      <c r="H55" s="11" t="str">
        <f>IFERROR(IF(OR(G55="",'10_NAV_Mensile'!O55=""),"",'10_NAV_Mensile'!O55/G55-1),"")</f>
        <v/>
      </c>
    </row>
    <row r="56" spans="4:8" x14ac:dyDescent="0.2">
      <c r="D56" s="37">
        <f ca="1">IF('03_Investitori'!C56="",DataOggi,'03_Investitori'!C56)</f>
        <v>46160</v>
      </c>
      <c r="E56" s="10">
        <f>IF('03_Investitori'!H56="",0,-'03_Investitori'!H56)</f>
        <v>0</v>
      </c>
      <c r="G56" s="34" t="str">
        <f>IFERROR(IF('10_NAV_Mensile'!O56="","",MAX(G55,'10_NAV_Mensile'!O56)),"")</f>
        <v/>
      </c>
      <c r="H56" s="11" t="str">
        <f>IFERROR(IF(OR(G56="",'10_NAV_Mensile'!O56=""),"",'10_NAV_Mensile'!O56/G56-1),"")</f>
        <v/>
      </c>
    </row>
    <row r="57" spans="4:8" x14ac:dyDescent="0.2">
      <c r="D57" s="37">
        <f ca="1">IF('03_Investitori'!C57="",DataOggi,'03_Investitori'!C57)</f>
        <v>46160</v>
      </c>
      <c r="E57" s="10">
        <f>IF('03_Investitori'!H57="",0,-'03_Investitori'!H57)</f>
        <v>0</v>
      </c>
      <c r="G57" s="34" t="str">
        <f>IFERROR(IF('10_NAV_Mensile'!O57="","",MAX(G56,'10_NAV_Mensile'!O57)),"")</f>
        <v/>
      </c>
      <c r="H57" s="11" t="str">
        <f>IFERROR(IF(OR(G57="",'10_NAV_Mensile'!O57=""),"",'10_NAV_Mensile'!O57/G57-1),"")</f>
        <v/>
      </c>
    </row>
    <row r="58" spans="4:8" x14ac:dyDescent="0.2">
      <c r="D58" s="37">
        <f ca="1">IF('03_Investitori'!C58="",DataOggi,'03_Investitori'!C58)</f>
        <v>46160</v>
      </c>
      <c r="E58" s="10">
        <f>IF('03_Investitori'!H58="",0,-'03_Investitori'!H58)</f>
        <v>0</v>
      </c>
      <c r="G58" s="34" t="str">
        <f>IFERROR(IF('10_NAV_Mensile'!O58="","",MAX(G57,'10_NAV_Mensile'!O58)),"")</f>
        <v/>
      </c>
      <c r="H58" s="11" t="str">
        <f>IFERROR(IF(OR(G58="",'10_NAV_Mensile'!O58=""),"",'10_NAV_Mensile'!O58/G58-1),"")</f>
        <v/>
      </c>
    </row>
    <row r="59" spans="4:8" x14ac:dyDescent="0.2">
      <c r="D59" s="37">
        <f ca="1">IF('03_Investitori'!C59="",DataOggi,'03_Investitori'!C59)</f>
        <v>46160</v>
      </c>
      <c r="E59" s="10">
        <f>IF('03_Investitori'!H59="",0,-'03_Investitori'!H59)</f>
        <v>0</v>
      </c>
      <c r="G59" s="34" t="str">
        <f>IFERROR(IF('10_NAV_Mensile'!O59="","",MAX(G58,'10_NAV_Mensile'!O59)),"")</f>
        <v/>
      </c>
      <c r="H59" s="11" t="str">
        <f>IFERROR(IF(OR(G59="",'10_NAV_Mensile'!O59=""),"",'10_NAV_Mensile'!O59/G59-1),"")</f>
        <v/>
      </c>
    </row>
    <row r="60" spans="4:8" x14ac:dyDescent="0.2">
      <c r="D60" s="37">
        <f ca="1">IF('03_Investitori'!C60="",DataOggi,'03_Investitori'!C60)</f>
        <v>46160</v>
      </c>
      <c r="E60" s="10">
        <f>IF('03_Investitori'!H60="",0,-'03_Investitori'!H60)</f>
        <v>0</v>
      </c>
      <c r="G60" s="34" t="str">
        <f>IFERROR(IF('10_NAV_Mensile'!O60="","",MAX(G59,'10_NAV_Mensile'!O60)),"")</f>
        <v/>
      </c>
      <c r="H60" s="11" t="str">
        <f>IFERROR(IF(OR(G60="",'10_NAV_Mensile'!O60=""),"",'10_NAV_Mensile'!O60/G60-1),"")</f>
        <v/>
      </c>
    </row>
    <row r="61" spans="4:8" x14ac:dyDescent="0.2">
      <c r="D61" s="37">
        <f ca="1">IF('03_Investitori'!C61="",DataOggi,'03_Investitori'!C61)</f>
        <v>46160</v>
      </c>
      <c r="E61" s="10">
        <f>IF('03_Investitori'!H61="",0,-'03_Investitori'!H61)</f>
        <v>0</v>
      </c>
      <c r="G61" s="34" t="str">
        <f>IFERROR(IF('10_NAV_Mensile'!O61="","",MAX(G60,'10_NAV_Mensile'!O61)),"")</f>
        <v/>
      </c>
      <c r="H61" s="11" t="str">
        <f>IFERROR(IF(OR(G61="",'10_NAV_Mensile'!O61=""),"",'10_NAV_Mensile'!O61/G61-1),"")</f>
        <v/>
      </c>
    </row>
    <row r="62" spans="4:8" x14ac:dyDescent="0.2">
      <c r="D62" s="37">
        <f ca="1">IF('03_Investitori'!C62="",DataOggi,'03_Investitori'!C62)</f>
        <v>46160</v>
      </c>
      <c r="E62" s="10">
        <f>IF('03_Investitori'!H62="",0,-'03_Investitori'!H62)</f>
        <v>0</v>
      </c>
      <c r="G62" s="34" t="str">
        <f>IFERROR(IF('10_NAV_Mensile'!O62="","",MAX(G61,'10_NAV_Mensile'!O62)),"")</f>
        <v/>
      </c>
      <c r="H62" s="11" t="str">
        <f>IFERROR(IF(OR(G62="",'10_NAV_Mensile'!O62=""),"",'10_NAV_Mensile'!O62/G62-1),"")</f>
        <v/>
      </c>
    </row>
    <row r="63" spans="4:8" x14ac:dyDescent="0.2">
      <c r="D63" s="37">
        <f ca="1">IF('03_Investitori'!C63="",DataOggi,'03_Investitori'!C63)</f>
        <v>46160</v>
      </c>
      <c r="E63" s="10">
        <f>IF('03_Investitori'!H63="",0,-'03_Investitori'!H63)</f>
        <v>0</v>
      </c>
      <c r="G63" s="34" t="str">
        <f>IFERROR(IF('10_NAV_Mensile'!O63="","",MAX(G62,'10_NAV_Mensile'!O63)),"")</f>
        <v/>
      </c>
      <c r="H63" s="11" t="str">
        <f>IFERROR(IF(OR(G63="",'10_NAV_Mensile'!O63=""),"",'10_NAV_Mensile'!O63/G63-1),"")</f>
        <v/>
      </c>
    </row>
    <row r="64" spans="4:8" x14ac:dyDescent="0.2">
      <c r="D64" s="37">
        <f ca="1">IF('03_Investitori'!C64="",DataOggi,'03_Investitori'!C64)</f>
        <v>46160</v>
      </c>
      <c r="E64" s="10">
        <f>IF('03_Investitori'!H64="",0,-'03_Investitori'!H64)</f>
        <v>0</v>
      </c>
      <c r="G64" s="34" t="str">
        <f>IFERROR(IF('10_NAV_Mensile'!O64="","",MAX(G63,'10_NAV_Mensile'!O64)),"")</f>
        <v/>
      </c>
      <c r="H64" s="11" t="str">
        <f>IFERROR(IF(OR(G64="",'10_NAV_Mensile'!O64=""),"",'10_NAV_Mensile'!O64/G64-1),"")</f>
        <v/>
      </c>
    </row>
    <row r="65" spans="4:8" x14ac:dyDescent="0.2">
      <c r="D65" s="37">
        <f ca="1">IF('03_Investitori'!C65="",DataOggi,'03_Investitori'!C65)</f>
        <v>46160</v>
      </c>
      <c r="E65" s="10">
        <f>IF('03_Investitori'!H65="",0,-'03_Investitori'!H65)</f>
        <v>0</v>
      </c>
      <c r="G65" s="34" t="str">
        <f>IFERROR(IF('10_NAV_Mensile'!O65="","",MAX(G64,'10_NAV_Mensile'!O65)),"")</f>
        <v/>
      </c>
      <c r="H65" s="11" t="str">
        <f>IFERROR(IF(OR(G65="",'10_NAV_Mensile'!O65=""),"",'10_NAV_Mensile'!O65/G65-1),"")</f>
        <v/>
      </c>
    </row>
    <row r="66" spans="4:8" x14ac:dyDescent="0.2">
      <c r="D66" s="37">
        <f ca="1">IF('03_Investitori'!C66="",DataOggi,'03_Investitori'!C66)</f>
        <v>46160</v>
      </c>
      <c r="E66" s="10">
        <f>IF('03_Investitori'!H66="",0,-'03_Investitori'!H66)</f>
        <v>0</v>
      </c>
      <c r="G66" s="34" t="str">
        <f>IFERROR(IF('10_NAV_Mensile'!O66="","",MAX(G65,'10_NAV_Mensile'!O66)),"")</f>
        <v/>
      </c>
      <c r="H66" s="11" t="str">
        <f>IFERROR(IF(OR(G66="",'10_NAV_Mensile'!O66=""),"",'10_NAV_Mensile'!O66/G66-1),"")</f>
        <v/>
      </c>
    </row>
    <row r="67" spans="4:8" x14ac:dyDescent="0.2">
      <c r="D67" s="37">
        <f ca="1">IF('03_Investitori'!C67="",DataOggi,'03_Investitori'!C67)</f>
        <v>46160</v>
      </c>
      <c r="E67" s="10">
        <f>IF('03_Investitori'!H67="",0,-'03_Investitori'!H67)</f>
        <v>0</v>
      </c>
      <c r="G67" s="34" t="str">
        <f>IFERROR(IF('10_NAV_Mensile'!O67="","",MAX(G66,'10_NAV_Mensile'!O67)),"")</f>
        <v/>
      </c>
      <c r="H67" s="11" t="str">
        <f>IFERROR(IF(OR(G67="",'10_NAV_Mensile'!O67=""),"",'10_NAV_Mensile'!O67/G67-1),"")</f>
        <v/>
      </c>
    </row>
    <row r="68" spans="4:8" x14ac:dyDescent="0.2">
      <c r="D68" s="37">
        <f ca="1">IF('03_Investitori'!C68="",DataOggi,'03_Investitori'!C68)</f>
        <v>46160</v>
      </c>
      <c r="E68" s="10">
        <f>IF('03_Investitori'!H68="",0,-'03_Investitori'!H68)</f>
        <v>0</v>
      </c>
      <c r="G68" s="34" t="str">
        <f>IFERROR(IF('10_NAV_Mensile'!O68="","",MAX(G67,'10_NAV_Mensile'!O68)),"")</f>
        <v/>
      </c>
      <c r="H68" s="11" t="str">
        <f>IFERROR(IF(OR(G68="",'10_NAV_Mensile'!O68=""),"",'10_NAV_Mensile'!O68/G68-1),"")</f>
        <v/>
      </c>
    </row>
    <row r="69" spans="4:8" x14ac:dyDescent="0.2">
      <c r="D69" s="37">
        <f ca="1">IF('03_Investitori'!C69="",DataOggi,'03_Investitori'!C69)</f>
        <v>46160</v>
      </c>
      <c r="E69" s="10">
        <f>IF('03_Investitori'!H69="",0,-'03_Investitori'!H69)</f>
        <v>0</v>
      </c>
      <c r="G69" s="34" t="str">
        <f>IFERROR(IF('10_NAV_Mensile'!O69="","",MAX(G68,'10_NAV_Mensile'!O69)),"")</f>
        <v/>
      </c>
      <c r="H69" s="11" t="str">
        <f>IFERROR(IF(OR(G69="",'10_NAV_Mensile'!O69=""),"",'10_NAV_Mensile'!O69/G69-1),"")</f>
        <v/>
      </c>
    </row>
    <row r="70" spans="4:8" x14ac:dyDescent="0.2">
      <c r="D70" s="37">
        <f ca="1">IF('03_Investitori'!C70="",DataOggi,'03_Investitori'!C70)</f>
        <v>46160</v>
      </c>
      <c r="E70" s="10">
        <f>IF('03_Investitori'!H70="",0,-'03_Investitori'!H70)</f>
        <v>0</v>
      </c>
      <c r="G70" s="34" t="str">
        <f>IFERROR(IF('10_NAV_Mensile'!O70="","",MAX(G69,'10_NAV_Mensile'!O70)),"")</f>
        <v/>
      </c>
      <c r="H70" s="11" t="str">
        <f>IFERROR(IF(OR(G70="",'10_NAV_Mensile'!O70=""),"",'10_NAV_Mensile'!O70/G70-1),"")</f>
        <v/>
      </c>
    </row>
    <row r="71" spans="4:8" x14ac:dyDescent="0.2">
      <c r="D71" s="37">
        <f ca="1">IF('03_Investitori'!C71="",DataOggi,'03_Investitori'!C71)</f>
        <v>46160</v>
      </c>
      <c r="E71" s="10">
        <f>IF('03_Investitori'!H71="",0,-'03_Investitori'!H71)</f>
        <v>0</v>
      </c>
      <c r="G71" s="34" t="str">
        <f>IFERROR(IF('10_NAV_Mensile'!O71="","",MAX(G70,'10_NAV_Mensile'!O71)),"")</f>
        <v/>
      </c>
      <c r="H71" s="11" t="str">
        <f>IFERROR(IF(OR(G71="",'10_NAV_Mensile'!O71=""),"",'10_NAV_Mensile'!O71/G71-1),"")</f>
        <v/>
      </c>
    </row>
    <row r="72" spans="4:8" x14ac:dyDescent="0.2">
      <c r="D72" s="37">
        <f ca="1">IF('03_Investitori'!C72="",DataOggi,'03_Investitori'!C72)</f>
        <v>46160</v>
      </c>
      <c r="E72" s="10">
        <f>IF('03_Investitori'!H72="",0,-'03_Investitori'!H72)</f>
        <v>0</v>
      </c>
      <c r="G72" s="34" t="str">
        <f>IFERROR(IF('10_NAV_Mensile'!O72="","",MAX(G71,'10_NAV_Mensile'!O72)),"")</f>
        <v/>
      </c>
      <c r="H72" s="11" t="str">
        <f>IFERROR(IF(OR(G72="",'10_NAV_Mensile'!O72=""),"",'10_NAV_Mensile'!O72/G72-1),"")</f>
        <v/>
      </c>
    </row>
    <row r="73" spans="4:8" x14ac:dyDescent="0.2">
      <c r="D73" s="37">
        <f ca="1">IF('03_Investitori'!C73="",DataOggi,'03_Investitori'!C73)</f>
        <v>46160</v>
      </c>
      <c r="E73" s="10">
        <f>IF('03_Investitori'!H73="",0,-'03_Investitori'!H73)</f>
        <v>0</v>
      </c>
      <c r="G73" s="34" t="str">
        <f>IFERROR(IF('10_NAV_Mensile'!O73="","",MAX(G72,'10_NAV_Mensile'!O73)),"")</f>
        <v/>
      </c>
      <c r="H73" s="11" t="str">
        <f>IFERROR(IF(OR(G73="",'10_NAV_Mensile'!O73=""),"",'10_NAV_Mensile'!O73/G73-1),"")</f>
        <v/>
      </c>
    </row>
    <row r="74" spans="4:8" x14ac:dyDescent="0.2">
      <c r="D74" s="37">
        <f ca="1">IF('03_Investitori'!C74="",DataOggi,'03_Investitori'!C74)</f>
        <v>46160</v>
      </c>
      <c r="E74" s="10">
        <f>IF('03_Investitori'!H74="",0,-'03_Investitori'!H74)</f>
        <v>0</v>
      </c>
      <c r="G74" s="34" t="str">
        <f>IFERROR(IF('10_NAV_Mensile'!O74="","",MAX(G73,'10_NAV_Mensile'!O74)),"")</f>
        <v/>
      </c>
      <c r="H74" s="11" t="str">
        <f>IFERROR(IF(OR(G74="",'10_NAV_Mensile'!O74=""),"",'10_NAV_Mensile'!O74/G74-1),"")</f>
        <v/>
      </c>
    </row>
    <row r="75" spans="4:8" x14ac:dyDescent="0.2">
      <c r="D75" s="37">
        <f ca="1">IF('03_Investitori'!C75="",DataOggi,'03_Investitori'!C75)</f>
        <v>46160</v>
      </c>
      <c r="E75" s="10">
        <f>IF('03_Investitori'!H75="",0,-'03_Investitori'!H75)</f>
        <v>0</v>
      </c>
      <c r="G75" s="34" t="str">
        <f>IFERROR(IF('10_NAV_Mensile'!O75="","",MAX(G74,'10_NAV_Mensile'!O75)),"")</f>
        <v/>
      </c>
      <c r="H75" s="11" t="str">
        <f>IFERROR(IF(OR(G75="",'10_NAV_Mensile'!O75=""),"",'10_NAV_Mensile'!O75/G75-1),"")</f>
        <v/>
      </c>
    </row>
    <row r="76" spans="4:8" x14ac:dyDescent="0.2">
      <c r="D76" s="37">
        <f ca="1">IF('03_Investitori'!C76="",DataOggi,'03_Investitori'!C76)</f>
        <v>46160</v>
      </c>
      <c r="E76" s="10">
        <f>IF('03_Investitori'!H76="",0,-'03_Investitori'!H76)</f>
        <v>0</v>
      </c>
      <c r="G76" s="34" t="str">
        <f>IFERROR(IF('10_NAV_Mensile'!O76="","",MAX(G75,'10_NAV_Mensile'!O76)),"")</f>
        <v/>
      </c>
      <c r="H76" s="11" t="str">
        <f>IFERROR(IF(OR(G76="",'10_NAV_Mensile'!O76=""),"",'10_NAV_Mensile'!O76/G76-1),"")</f>
        <v/>
      </c>
    </row>
    <row r="77" spans="4:8" x14ac:dyDescent="0.2">
      <c r="D77" s="37">
        <f ca="1">IF('03_Investitori'!C77="",DataOggi,'03_Investitori'!C77)</f>
        <v>46160</v>
      </c>
      <c r="E77" s="10">
        <f>IF('03_Investitori'!H77="",0,-'03_Investitori'!H77)</f>
        <v>0</v>
      </c>
      <c r="G77" s="34" t="str">
        <f>IFERROR(IF('10_NAV_Mensile'!O77="","",MAX(G76,'10_NAV_Mensile'!O77)),"")</f>
        <v/>
      </c>
      <c r="H77" s="11" t="str">
        <f>IFERROR(IF(OR(G77="",'10_NAV_Mensile'!O77=""),"",'10_NAV_Mensile'!O77/G77-1),"")</f>
        <v/>
      </c>
    </row>
    <row r="78" spans="4:8" x14ac:dyDescent="0.2">
      <c r="D78" s="37">
        <f ca="1">IF('03_Investitori'!C78="",DataOggi,'03_Investitori'!C78)</f>
        <v>46160</v>
      </c>
      <c r="E78" s="10">
        <f>IF('03_Investitori'!H78="",0,-'03_Investitori'!H78)</f>
        <v>0</v>
      </c>
      <c r="G78" s="34" t="str">
        <f>IFERROR(IF('10_NAV_Mensile'!O78="","",MAX(G77,'10_NAV_Mensile'!O78)),"")</f>
        <v/>
      </c>
      <c r="H78" s="11" t="str">
        <f>IFERROR(IF(OR(G78="",'10_NAV_Mensile'!O78=""),"",'10_NAV_Mensile'!O78/G78-1),"")</f>
        <v/>
      </c>
    </row>
    <row r="79" spans="4:8" x14ac:dyDescent="0.2">
      <c r="D79" s="37">
        <f ca="1">IF('03_Investitori'!C79="",DataOggi,'03_Investitori'!C79)</f>
        <v>46160</v>
      </c>
      <c r="E79" s="10">
        <f>IF('03_Investitori'!H79="",0,-'03_Investitori'!H79)</f>
        <v>0</v>
      </c>
      <c r="G79" s="34" t="str">
        <f>IFERROR(IF('10_NAV_Mensile'!O79="","",MAX(G78,'10_NAV_Mensile'!O79)),"")</f>
        <v/>
      </c>
      <c r="H79" s="11" t="str">
        <f>IFERROR(IF(OR(G79="",'10_NAV_Mensile'!O79=""),"",'10_NAV_Mensile'!O79/G79-1),"")</f>
        <v/>
      </c>
    </row>
    <row r="80" spans="4:8" x14ac:dyDescent="0.2">
      <c r="D80" s="37">
        <f ca="1">IF('03_Investitori'!C80="",DataOggi,'03_Investitori'!C80)</f>
        <v>46160</v>
      </c>
      <c r="E80" s="10">
        <f>IF('03_Investitori'!H80="",0,-'03_Investitori'!H80)</f>
        <v>0</v>
      </c>
      <c r="G80" s="34" t="str">
        <f>IFERROR(IF('10_NAV_Mensile'!O80="","",MAX(G79,'10_NAV_Mensile'!O80)),"")</f>
        <v/>
      </c>
      <c r="H80" s="11" t="str">
        <f>IFERROR(IF(OR(G80="",'10_NAV_Mensile'!O80=""),"",'10_NAV_Mensile'!O80/G80-1),"")</f>
        <v/>
      </c>
    </row>
    <row r="81" spans="4:8" x14ac:dyDescent="0.2">
      <c r="D81" s="37">
        <f ca="1">IF('03_Investitori'!C81="",DataOggi,'03_Investitori'!C81)</f>
        <v>46160</v>
      </c>
      <c r="E81" s="10">
        <f>IF('03_Investitori'!H81="",0,-'03_Investitori'!H81)</f>
        <v>0</v>
      </c>
      <c r="G81" s="34" t="str">
        <f>IFERROR(IF('10_NAV_Mensile'!O81="","",MAX(G80,'10_NAV_Mensile'!O81)),"")</f>
        <v/>
      </c>
      <c r="H81" s="11" t="str">
        <f>IFERROR(IF(OR(G81="",'10_NAV_Mensile'!O81=""),"",'10_NAV_Mensile'!O81/G81-1),"")</f>
        <v/>
      </c>
    </row>
    <row r="82" spans="4:8" x14ac:dyDescent="0.2">
      <c r="D82" s="37">
        <f ca="1">IF('03_Investitori'!C82="",DataOggi,'03_Investitori'!C82)</f>
        <v>46160</v>
      </c>
      <c r="E82" s="10">
        <f>IF('03_Investitori'!H82="",0,-'03_Investitori'!H82)</f>
        <v>0</v>
      </c>
      <c r="G82" s="34" t="str">
        <f>IFERROR(IF('10_NAV_Mensile'!O82="","",MAX(G81,'10_NAV_Mensile'!O82)),"")</f>
        <v/>
      </c>
      <c r="H82" s="11" t="str">
        <f>IFERROR(IF(OR(G82="",'10_NAV_Mensile'!O82=""),"",'10_NAV_Mensile'!O82/G82-1),"")</f>
        <v/>
      </c>
    </row>
    <row r="83" spans="4:8" x14ac:dyDescent="0.2">
      <c r="D83" s="37">
        <f ca="1">IF('03_Investitori'!C83="",DataOggi,'03_Investitori'!C83)</f>
        <v>46160</v>
      </c>
      <c r="E83" s="10">
        <f>IF('03_Investitori'!H83="",0,-'03_Investitori'!H83)</f>
        <v>0</v>
      </c>
      <c r="G83" s="34" t="str">
        <f>IFERROR(IF('10_NAV_Mensile'!O83="","",MAX(G82,'10_NAV_Mensile'!O83)),"")</f>
        <v/>
      </c>
      <c r="H83" s="11" t="str">
        <f>IFERROR(IF(OR(G83="",'10_NAV_Mensile'!O83=""),"",'10_NAV_Mensile'!O83/G83-1),"")</f>
        <v/>
      </c>
    </row>
    <row r="84" spans="4:8" x14ac:dyDescent="0.2">
      <c r="D84" s="37">
        <f ca="1">IF('03_Investitori'!C84="",DataOggi,'03_Investitori'!C84)</f>
        <v>46160</v>
      </c>
      <c r="E84" s="10">
        <f>IF('03_Investitori'!H84="",0,-'03_Investitori'!H84)</f>
        <v>0</v>
      </c>
      <c r="G84" s="34" t="str">
        <f>IFERROR(IF('10_NAV_Mensile'!O84="","",MAX(G83,'10_NAV_Mensile'!O84)),"")</f>
        <v/>
      </c>
      <c r="H84" s="11" t="str">
        <f>IFERROR(IF(OR(G84="",'10_NAV_Mensile'!O84=""),"",'10_NAV_Mensile'!O84/G84-1),"")</f>
        <v/>
      </c>
    </row>
    <row r="85" spans="4:8" x14ac:dyDescent="0.2">
      <c r="D85" s="37">
        <f ca="1">IF('03_Investitori'!C85="",DataOggi,'03_Investitori'!C85)</f>
        <v>46160</v>
      </c>
      <c r="E85" s="10">
        <f>IF('03_Investitori'!H85="",0,-'03_Investitori'!H85)</f>
        <v>0</v>
      </c>
      <c r="G85" s="34" t="str">
        <f>IFERROR(IF('10_NAV_Mensile'!O85="","",MAX(G84,'10_NAV_Mensile'!O85)),"")</f>
        <v/>
      </c>
      <c r="H85" s="11" t="str">
        <f>IFERROR(IF(OR(G85="",'10_NAV_Mensile'!O85=""),"",'10_NAV_Mensile'!O85/G85-1),"")</f>
        <v/>
      </c>
    </row>
    <row r="86" spans="4:8" x14ac:dyDescent="0.2">
      <c r="D86" s="37">
        <f ca="1">IF('03_Investitori'!C86="",DataOggi,'03_Investitori'!C86)</f>
        <v>46160</v>
      </c>
      <c r="E86" s="10">
        <f>IF('03_Investitori'!H86="",0,-'03_Investitori'!H86)</f>
        <v>0</v>
      </c>
      <c r="G86" s="34" t="str">
        <f>IFERROR(IF('10_NAV_Mensile'!O86="","",MAX(G85,'10_NAV_Mensile'!O86)),"")</f>
        <v/>
      </c>
      <c r="H86" s="11" t="str">
        <f>IFERROR(IF(OR(G86="",'10_NAV_Mensile'!O86=""),"",'10_NAV_Mensile'!O86/G86-1),"")</f>
        <v/>
      </c>
    </row>
    <row r="87" spans="4:8" x14ac:dyDescent="0.2">
      <c r="D87" s="37">
        <f ca="1">IF('03_Investitori'!C87="",DataOggi,'03_Investitori'!C87)</f>
        <v>46160</v>
      </c>
      <c r="E87" s="10">
        <f>IF('03_Investitori'!H87="",0,-'03_Investitori'!H87)</f>
        <v>0</v>
      </c>
      <c r="G87" s="34" t="str">
        <f>IFERROR(IF('10_NAV_Mensile'!O87="","",MAX(G86,'10_NAV_Mensile'!O87)),"")</f>
        <v/>
      </c>
      <c r="H87" s="11" t="str">
        <f>IFERROR(IF(OR(G87="",'10_NAV_Mensile'!O87=""),"",'10_NAV_Mensile'!O87/G87-1),"")</f>
        <v/>
      </c>
    </row>
    <row r="88" spans="4:8" x14ac:dyDescent="0.2">
      <c r="D88" s="37">
        <f ca="1">IF('03_Investitori'!C88="",DataOggi,'03_Investitori'!C88)</f>
        <v>46160</v>
      </c>
      <c r="E88" s="10">
        <f>IF('03_Investitori'!H88="",0,-'03_Investitori'!H88)</f>
        <v>0</v>
      </c>
      <c r="G88" s="34" t="str">
        <f>IFERROR(IF('10_NAV_Mensile'!O88="","",MAX(G87,'10_NAV_Mensile'!O88)),"")</f>
        <v/>
      </c>
      <c r="H88" s="11" t="str">
        <f>IFERROR(IF(OR(G88="",'10_NAV_Mensile'!O88=""),"",'10_NAV_Mensile'!O88/G88-1),"")</f>
        <v/>
      </c>
    </row>
    <row r="89" spans="4:8" x14ac:dyDescent="0.2">
      <c r="D89" s="37">
        <f ca="1">IF('03_Investitori'!C89="",DataOggi,'03_Investitori'!C89)</f>
        <v>46160</v>
      </c>
      <c r="E89" s="10">
        <f>IF('03_Investitori'!H89="",0,-'03_Investitori'!H89)</f>
        <v>0</v>
      </c>
      <c r="G89" s="34" t="str">
        <f>IFERROR(IF('10_NAV_Mensile'!O89="","",MAX(G88,'10_NAV_Mensile'!O89)),"")</f>
        <v/>
      </c>
      <c r="H89" s="11" t="str">
        <f>IFERROR(IF(OR(G89="",'10_NAV_Mensile'!O89=""),"",'10_NAV_Mensile'!O89/G89-1),"")</f>
        <v/>
      </c>
    </row>
    <row r="90" spans="4:8" x14ac:dyDescent="0.2">
      <c r="D90" s="37">
        <f ca="1">IF('03_Investitori'!C90="",DataOggi,'03_Investitori'!C90)</f>
        <v>46160</v>
      </c>
      <c r="E90" s="10">
        <f>IF('03_Investitori'!H90="",0,-'03_Investitori'!H90)</f>
        <v>0</v>
      </c>
      <c r="G90" s="34" t="str">
        <f>IFERROR(IF('10_NAV_Mensile'!O90="","",MAX(G89,'10_NAV_Mensile'!O90)),"")</f>
        <v/>
      </c>
      <c r="H90" s="11" t="str">
        <f>IFERROR(IF(OR(G90="",'10_NAV_Mensile'!O90=""),"",'10_NAV_Mensile'!O90/G90-1),"")</f>
        <v/>
      </c>
    </row>
    <row r="91" spans="4:8" x14ac:dyDescent="0.2">
      <c r="D91" s="37">
        <f ca="1">IF('03_Investitori'!C91="",DataOggi,'03_Investitori'!C91)</f>
        <v>46160</v>
      </c>
      <c r="E91" s="10">
        <f>IF('03_Investitori'!H91="",0,-'03_Investitori'!H91)</f>
        <v>0</v>
      </c>
      <c r="G91" s="34" t="str">
        <f>IFERROR(IF('10_NAV_Mensile'!O91="","",MAX(G90,'10_NAV_Mensile'!O91)),"")</f>
        <v/>
      </c>
      <c r="H91" s="11" t="str">
        <f>IFERROR(IF(OR(G91="",'10_NAV_Mensile'!O91=""),"",'10_NAV_Mensile'!O91/G91-1),"")</f>
        <v/>
      </c>
    </row>
    <row r="92" spans="4:8" x14ac:dyDescent="0.2">
      <c r="D92" s="37">
        <f ca="1">IF('03_Investitori'!C92="",DataOggi,'03_Investitori'!C92)</f>
        <v>46160</v>
      </c>
      <c r="E92" s="10">
        <f>IF('03_Investitori'!H92="",0,-'03_Investitori'!H92)</f>
        <v>0</v>
      </c>
      <c r="G92" s="34" t="str">
        <f>IFERROR(IF('10_NAV_Mensile'!O92="","",MAX(G91,'10_NAV_Mensile'!O92)),"")</f>
        <v/>
      </c>
      <c r="H92" s="11" t="str">
        <f>IFERROR(IF(OR(G92="",'10_NAV_Mensile'!O92=""),"",'10_NAV_Mensile'!O92/G92-1),"")</f>
        <v/>
      </c>
    </row>
    <row r="93" spans="4:8" x14ac:dyDescent="0.2">
      <c r="D93" s="37">
        <f ca="1">IF('03_Investitori'!C93="",DataOggi,'03_Investitori'!C93)</f>
        <v>46160</v>
      </c>
      <c r="E93" s="10">
        <f>IF('03_Investitori'!H93="",0,-'03_Investitori'!H93)</f>
        <v>0</v>
      </c>
      <c r="G93" s="34" t="str">
        <f>IFERROR(IF('10_NAV_Mensile'!O93="","",MAX(G92,'10_NAV_Mensile'!O93)),"")</f>
        <v/>
      </c>
      <c r="H93" s="11" t="str">
        <f>IFERROR(IF(OR(G93="",'10_NAV_Mensile'!O93=""),"",'10_NAV_Mensile'!O93/G93-1),"")</f>
        <v/>
      </c>
    </row>
    <row r="94" spans="4:8" x14ac:dyDescent="0.2">
      <c r="D94" s="37">
        <f ca="1">IF('03_Investitori'!C94="",DataOggi,'03_Investitori'!C94)</f>
        <v>46160</v>
      </c>
      <c r="E94" s="10">
        <f>IF('03_Investitori'!H94="",0,-'03_Investitori'!H94)</f>
        <v>0</v>
      </c>
      <c r="G94" s="34" t="str">
        <f>IFERROR(IF('10_NAV_Mensile'!O94="","",MAX(G93,'10_NAV_Mensile'!O94)),"")</f>
        <v/>
      </c>
      <c r="H94" s="11" t="str">
        <f>IFERROR(IF(OR(G94="",'10_NAV_Mensile'!O94=""),"",'10_NAV_Mensile'!O94/G94-1),"")</f>
        <v/>
      </c>
    </row>
    <row r="95" spans="4:8" x14ac:dyDescent="0.2">
      <c r="D95" s="37">
        <f ca="1">IF('03_Investitori'!C95="",DataOggi,'03_Investitori'!C95)</f>
        <v>46160</v>
      </c>
      <c r="E95" s="10">
        <f>IF('03_Investitori'!H95="",0,-'03_Investitori'!H95)</f>
        <v>0</v>
      </c>
      <c r="G95" s="34" t="str">
        <f>IFERROR(IF('10_NAV_Mensile'!O95="","",MAX(G94,'10_NAV_Mensile'!O95)),"")</f>
        <v/>
      </c>
      <c r="H95" s="11" t="str">
        <f>IFERROR(IF(OR(G95="",'10_NAV_Mensile'!O95=""),"",'10_NAV_Mensile'!O95/G95-1),"")</f>
        <v/>
      </c>
    </row>
    <row r="96" spans="4:8" x14ac:dyDescent="0.2">
      <c r="D96" s="37">
        <f ca="1">IF('03_Investitori'!C96="",DataOggi,'03_Investitori'!C96)</f>
        <v>46160</v>
      </c>
      <c r="E96" s="10">
        <f>IF('03_Investitori'!H96="",0,-'03_Investitori'!H96)</f>
        <v>0</v>
      </c>
      <c r="G96" s="34" t="str">
        <f>IFERROR(IF('10_NAV_Mensile'!O96="","",MAX(G95,'10_NAV_Mensile'!O96)),"")</f>
        <v/>
      </c>
      <c r="H96" s="11" t="str">
        <f>IFERROR(IF(OR(G96="",'10_NAV_Mensile'!O96=""),"",'10_NAV_Mensile'!O96/G96-1),"")</f>
        <v/>
      </c>
    </row>
    <row r="97" spans="4:8" x14ac:dyDescent="0.2">
      <c r="D97" s="37">
        <f ca="1">IF('03_Investitori'!C97="",DataOggi,'03_Investitori'!C97)</f>
        <v>46160</v>
      </c>
      <c r="E97" s="10">
        <f>IF('03_Investitori'!H97="",0,-'03_Investitori'!H97)</f>
        <v>0</v>
      </c>
      <c r="G97" s="34" t="str">
        <f>IFERROR(IF('10_NAV_Mensile'!O97="","",MAX(G96,'10_NAV_Mensile'!O97)),"")</f>
        <v/>
      </c>
      <c r="H97" s="11" t="str">
        <f>IFERROR(IF(OR(G97="",'10_NAV_Mensile'!O97=""),"",'10_NAV_Mensile'!O97/G97-1),"")</f>
        <v/>
      </c>
    </row>
    <row r="98" spans="4:8" x14ac:dyDescent="0.2">
      <c r="D98" s="37">
        <f ca="1">IF('03_Investitori'!C98="",DataOggi,'03_Investitori'!C98)</f>
        <v>46160</v>
      </c>
      <c r="E98" s="10">
        <f>IF('03_Investitori'!H98="",0,-'03_Investitori'!H98)</f>
        <v>0</v>
      </c>
      <c r="G98" s="34" t="str">
        <f>IFERROR(IF('10_NAV_Mensile'!O98="","",MAX(G97,'10_NAV_Mensile'!O98)),"")</f>
        <v/>
      </c>
      <c r="H98" s="11" t="str">
        <f>IFERROR(IF(OR(G98="",'10_NAV_Mensile'!O98=""),"",'10_NAV_Mensile'!O98/G98-1),"")</f>
        <v/>
      </c>
    </row>
    <row r="99" spans="4:8" x14ac:dyDescent="0.2">
      <c r="D99" s="37">
        <f ca="1">IF('03_Investitori'!C99="",DataOggi,'03_Investitori'!C99)</f>
        <v>46160</v>
      </c>
      <c r="E99" s="10">
        <f>IF('03_Investitori'!H99="",0,-'03_Investitori'!H99)</f>
        <v>0</v>
      </c>
      <c r="G99" s="34" t="str">
        <f>IFERROR(IF('10_NAV_Mensile'!O99="","",MAX(G98,'10_NAV_Mensile'!O99)),"")</f>
        <v/>
      </c>
      <c r="H99" s="11" t="str">
        <f>IFERROR(IF(OR(G99="",'10_NAV_Mensile'!O99=""),"",'10_NAV_Mensile'!O99/G99-1),"")</f>
        <v/>
      </c>
    </row>
    <row r="100" spans="4:8" x14ac:dyDescent="0.2">
      <c r="D100" s="37">
        <f ca="1">IF('03_Investitori'!C100="",DataOggi,'03_Investitori'!C100)</f>
        <v>46160</v>
      </c>
      <c r="E100" s="10">
        <f>IF('03_Investitori'!H100="",0,-'03_Investitori'!H100)</f>
        <v>0</v>
      </c>
      <c r="G100" s="34" t="str">
        <f>IFERROR(IF('10_NAV_Mensile'!O100="","",MAX(G99,'10_NAV_Mensile'!O100)),"")</f>
        <v/>
      </c>
      <c r="H100" s="11" t="str">
        <f>IFERROR(IF(OR(G100="",'10_NAV_Mensile'!O100=""),"",'10_NAV_Mensile'!O100/G100-1),"")</f>
        <v/>
      </c>
    </row>
    <row r="101" spans="4:8" x14ac:dyDescent="0.2">
      <c r="D101" s="37">
        <f ca="1">IF('03_Investitori'!C101="",DataOggi,'03_Investitori'!C101)</f>
        <v>46160</v>
      </c>
      <c r="E101" s="10">
        <f>IF('03_Investitori'!H101="",0,-'03_Investitori'!H101)</f>
        <v>0</v>
      </c>
      <c r="G101" s="34" t="str">
        <f>IFERROR(IF('10_NAV_Mensile'!O101="","",MAX(G100,'10_NAV_Mensile'!O101)),"")</f>
        <v/>
      </c>
      <c r="H101" s="11" t="str">
        <f>IFERROR(IF(OR(G101="",'10_NAV_Mensile'!O101=""),"",'10_NAV_Mensile'!O101/G101-1),"")</f>
        <v/>
      </c>
    </row>
    <row r="102" spans="4:8" x14ac:dyDescent="0.2">
      <c r="D102" s="37">
        <f ca="1">IF('03_Investitori'!C102="",DataOggi,'03_Investitori'!C102)</f>
        <v>46160</v>
      </c>
      <c r="E102" s="10">
        <f>IF('03_Investitori'!H102="",0,-'03_Investitori'!H102)</f>
        <v>0</v>
      </c>
      <c r="G102" s="34" t="str">
        <f>IFERROR(IF('10_NAV_Mensile'!O102="","",MAX(G101,'10_NAV_Mensile'!O102)),"")</f>
        <v/>
      </c>
      <c r="H102" s="11" t="str">
        <f>IFERROR(IF(OR(G102="",'10_NAV_Mensile'!O102=""),"",'10_NAV_Mensile'!O102/G102-1),"")</f>
        <v/>
      </c>
    </row>
    <row r="103" spans="4:8" x14ac:dyDescent="0.2">
      <c r="D103" s="37">
        <f ca="1">IF('03_Investitori'!C103="",DataOggi,'03_Investitori'!C103)</f>
        <v>46160</v>
      </c>
      <c r="E103" s="10">
        <f>IF('03_Investitori'!H103="",0,-'03_Investitori'!H103)</f>
        <v>0</v>
      </c>
      <c r="G103" s="34" t="str">
        <f>IFERROR(IF('10_NAV_Mensile'!O103="","",MAX(G102,'10_NAV_Mensile'!O103)),"")</f>
        <v/>
      </c>
      <c r="H103" s="11" t="str">
        <f>IFERROR(IF(OR(G103="",'10_NAV_Mensile'!O103=""),"",'10_NAV_Mensile'!O103/G103-1),"")</f>
        <v/>
      </c>
    </row>
    <row r="104" spans="4:8" x14ac:dyDescent="0.2">
      <c r="D104" s="37">
        <f ca="1">IF('03_Investitori'!C104="",DataOggi,'03_Investitori'!C104)</f>
        <v>46160</v>
      </c>
      <c r="E104" s="10">
        <f>IF('03_Investitori'!H104="",0,-'03_Investitori'!H104)</f>
        <v>0</v>
      </c>
      <c r="G104" s="34" t="str">
        <f>IFERROR(IF('10_NAV_Mensile'!O104="","",MAX(G103,'10_NAV_Mensile'!O104)),"")</f>
        <v/>
      </c>
      <c r="H104" s="11" t="str">
        <f>IFERROR(IF(OR(G104="",'10_NAV_Mensile'!O104=""),"",'10_NAV_Mensile'!O104/G104-1),"")</f>
        <v/>
      </c>
    </row>
    <row r="105" spans="4:8" x14ac:dyDescent="0.2">
      <c r="D105" s="16">
        <f ca="1">DataOggi</f>
        <v>46160</v>
      </c>
      <c r="E105" s="10">
        <f ca="1">NAV_Curr</f>
        <v>1971514.4958473404</v>
      </c>
      <c r="G105" s="34" t="str">
        <f>IFERROR(IF('10_NAV_Mensile'!O105="","",MAX(G104,'10_NAV_Mensile'!O105)),"")</f>
        <v/>
      </c>
      <c r="H105" s="11" t="str">
        <f>IFERROR(IF(OR(G105="",'10_NAV_Mensile'!O105=""),"",'10_NAV_Mensile'!O105/G105-1),"")</f>
        <v/>
      </c>
    </row>
    <row r="106" spans="4:8" x14ac:dyDescent="0.2">
      <c r="G106" s="34" t="str">
        <f>IFERROR(IF('10_NAV_Mensile'!O106="","",MAX(G105,'10_NAV_Mensile'!O106)),"")</f>
        <v/>
      </c>
      <c r="H106" s="11" t="str">
        <f>IFERROR(IF(OR(G106="",'10_NAV_Mensile'!O106=""),"",'10_NAV_Mensile'!O106/G106-1),"")</f>
        <v/>
      </c>
    </row>
    <row r="107" spans="4:8" x14ac:dyDescent="0.2">
      <c r="G107" s="34" t="str">
        <f>IFERROR(IF('10_NAV_Mensile'!O107="","",MAX(G106,'10_NAV_Mensile'!O107)),"")</f>
        <v/>
      </c>
      <c r="H107" s="11" t="str">
        <f>IFERROR(IF(OR(G107="",'10_NAV_Mensile'!O107=""),"",'10_NAV_Mensile'!O107/G107-1),"")</f>
        <v/>
      </c>
    </row>
    <row r="108" spans="4:8" x14ac:dyDescent="0.2">
      <c r="G108" s="34" t="str">
        <f>IFERROR(IF('10_NAV_Mensile'!O108="","",MAX(G107,'10_NAV_Mensile'!O108)),"")</f>
        <v/>
      </c>
      <c r="H108" s="11" t="str">
        <f>IFERROR(IF(OR(G108="",'10_NAV_Mensile'!O108=""),"",'10_NAV_Mensile'!O108/G108-1),"")</f>
        <v/>
      </c>
    </row>
    <row r="109" spans="4:8" x14ac:dyDescent="0.2">
      <c r="G109" s="34" t="str">
        <f>IFERROR(IF('10_NAV_Mensile'!O109="","",MAX(G108,'10_NAV_Mensile'!O109)),"")</f>
        <v/>
      </c>
      <c r="H109" s="11" t="str">
        <f>IFERROR(IF(OR(G109="",'10_NAV_Mensile'!O109=""),"",'10_NAV_Mensile'!O109/G109-1),"")</f>
        <v/>
      </c>
    </row>
    <row r="110" spans="4:8" x14ac:dyDescent="0.2">
      <c r="G110" s="34" t="str">
        <f>IFERROR(IF('10_NAV_Mensile'!O110="","",MAX(G109,'10_NAV_Mensile'!O110)),"")</f>
        <v/>
      </c>
      <c r="H110" s="11" t="str">
        <f>IFERROR(IF(OR(G110="",'10_NAV_Mensile'!O110=""),"",'10_NAV_Mensile'!O110/G110-1),"")</f>
        <v/>
      </c>
    </row>
    <row r="111" spans="4:8" x14ac:dyDescent="0.2">
      <c r="G111" s="34" t="str">
        <f>IFERROR(IF('10_NAV_Mensile'!O111="","",MAX(G110,'10_NAV_Mensile'!O111)),"")</f>
        <v/>
      </c>
      <c r="H111" s="11" t="str">
        <f>IFERROR(IF(OR(G111="",'10_NAV_Mensile'!O111=""),"",'10_NAV_Mensile'!O111/G111-1),"")</f>
        <v/>
      </c>
    </row>
    <row r="112" spans="4:8" x14ac:dyDescent="0.2">
      <c r="G112" s="34" t="str">
        <f>IFERROR(IF('10_NAV_Mensile'!O112="","",MAX(G111,'10_NAV_Mensile'!O112)),"")</f>
        <v/>
      </c>
      <c r="H112" s="11" t="str">
        <f>IFERROR(IF(OR(G112="",'10_NAV_Mensile'!O112=""),"",'10_NAV_Mensile'!O112/G112-1),"")</f>
        <v/>
      </c>
    </row>
    <row r="113" spans="7:8" x14ac:dyDescent="0.2">
      <c r="G113" s="34" t="str">
        <f>IFERROR(IF('10_NAV_Mensile'!O113="","",MAX(G112,'10_NAV_Mensile'!O113)),"")</f>
        <v/>
      </c>
      <c r="H113" s="11" t="str">
        <f>IFERROR(IF(OR(G113="",'10_NAV_Mensile'!O113=""),"",'10_NAV_Mensile'!O113/G113-1),"")</f>
        <v/>
      </c>
    </row>
    <row r="114" spans="7:8" x14ac:dyDescent="0.2">
      <c r="G114" s="34" t="str">
        <f>IFERROR(IF('10_NAV_Mensile'!O114="","",MAX(G113,'10_NAV_Mensile'!O114)),"")</f>
        <v/>
      </c>
      <c r="H114" s="11" t="str">
        <f>IFERROR(IF(OR(G114="",'10_NAV_Mensile'!O114=""),"",'10_NAV_Mensile'!O114/G114-1),"")</f>
        <v/>
      </c>
    </row>
    <row r="115" spans="7:8" x14ac:dyDescent="0.2">
      <c r="G115" s="34" t="str">
        <f>IFERROR(IF('10_NAV_Mensile'!O115="","",MAX(G114,'10_NAV_Mensile'!O115)),"")</f>
        <v/>
      </c>
      <c r="H115" s="11" t="str">
        <f>IFERROR(IF(OR(G115="",'10_NAV_Mensile'!O115=""),"",'10_NAV_Mensile'!O115/G115-1),"")</f>
        <v/>
      </c>
    </row>
    <row r="116" spans="7:8" x14ac:dyDescent="0.2">
      <c r="G116" s="34" t="str">
        <f>IFERROR(IF('10_NAV_Mensile'!O116="","",MAX(G115,'10_NAV_Mensile'!O116)),"")</f>
        <v/>
      </c>
      <c r="H116" s="11" t="str">
        <f>IFERROR(IF(OR(G116="",'10_NAV_Mensile'!O116=""),"",'10_NAV_Mensile'!O116/G116-1),"")</f>
        <v/>
      </c>
    </row>
    <row r="117" spans="7:8" x14ac:dyDescent="0.2">
      <c r="G117" s="34" t="str">
        <f>IFERROR(IF('10_NAV_Mensile'!O117="","",MAX(G116,'10_NAV_Mensile'!O117)),"")</f>
        <v/>
      </c>
      <c r="H117" s="11" t="str">
        <f>IFERROR(IF(OR(G117="",'10_NAV_Mensile'!O117=""),"",'10_NAV_Mensile'!O117/G117-1),"")</f>
        <v/>
      </c>
    </row>
    <row r="118" spans="7:8" x14ac:dyDescent="0.2">
      <c r="G118" s="34" t="str">
        <f>IFERROR(IF('10_NAV_Mensile'!O118="","",MAX(G117,'10_NAV_Mensile'!O118)),"")</f>
        <v/>
      </c>
      <c r="H118" s="11" t="str">
        <f>IFERROR(IF(OR(G118="",'10_NAV_Mensile'!O118=""),"",'10_NAV_Mensile'!O118/G118-1),"")</f>
        <v/>
      </c>
    </row>
    <row r="119" spans="7:8" x14ac:dyDescent="0.2">
      <c r="G119" s="34" t="str">
        <f>IFERROR(IF('10_NAV_Mensile'!O119="","",MAX(G118,'10_NAV_Mensile'!O119)),"")</f>
        <v/>
      </c>
      <c r="H119" s="11" t="str">
        <f>IFERROR(IF(OR(G119="",'10_NAV_Mensile'!O119=""),"",'10_NAV_Mensile'!O119/G119-1),"")</f>
        <v/>
      </c>
    </row>
    <row r="120" spans="7:8" x14ac:dyDescent="0.2">
      <c r="G120" s="34" t="str">
        <f>IFERROR(IF('10_NAV_Mensile'!O120="","",MAX(G119,'10_NAV_Mensile'!O120)),"")</f>
        <v/>
      </c>
      <c r="H120" s="11" t="str">
        <f>IFERROR(IF(OR(G120="",'10_NAV_Mensile'!O120=""),"",'10_NAV_Mensile'!O120/G120-1),"")</f>
        <v/>
      </c>
    </row>
    <row r="121" spans="7:8" x14ac:dyDescent="0.2">
      <c r="G121" s="34" t="str">
        <f>IFERROR(IF('10_NAV_Mensile'!O121="","",MAX(G120,'10_NAV_Mensile'!O121)),"")</f>
        <v/>
      </c>
      <c r="H121" s="11" t="str">
        <f>IFERROR(IF(OR(G121="",'10_NAV_Mensile'!O121=""),"",'10_NAV_Mensile'!O121/G121-1),"")</f>
        <v/>
      </c>
    </row>
    <row r="122" spans="7:8" x14ac:dyDescent="0.2">
      <c r="G122" s="34" t="str">
        <f>IFERROR(IF('10_NAV_Mensile'!O122="","",MAX(G121,'10_NAV_Mensile'!O122)),"")</f>
        <v/>
      </c>
      <c r="H122" s="11" t="str">
        <f>IFERROR(IF(OR(G122="",'10_NAV_Mensile'!O122=""),"",'10_NAV_Mensile'!O122/G122-1),"")</f>
        <v/>
      </c>
    </row>
    <row r="123" spans="7:8" x14ac:dyDescent="0.2">
      <c r="G123" s="34" t="str">
        <f>IFERROR(IF('10_NAV_Mensile'!O123="","",MAX(G122,'10_NAV_Mensile'!O123)),"")</f>
        <v/>
      </c>
      <c r="H123" s="11" t="str">
        <f>IFERROR(IF(OR(G123="",'10_NAV_Mensile'!O123=""),"",'10_NAV_Mensile'!O123/G123-1),"")</f>
        <v/>
      </c>
    </row>
    <row r="124" spans="7:8" x14ac:dyDescent="0.2">
      <c r="G124" s="34" t="str">
        <f>IFERROR(IF('10_NAV_Mensile'!O124="","",MAX(G123,'10_NAV_Mensile'!O124)),"")</f>
        <v/>
      </c>
      <c r="H124" s="11" t="str">
        <f>IFERROR(IF(OR(G124="",'10_NAV_Mensile'!O124=""),"",'10_NAV_Mensile'!O124/G124-1),"")</f>
        <v/>
      </c>
    </row>
  </sheetData>
  <mergeCells count="4">
    <mergeCell ref="A4:B4"/>
    <mergeCell ref="A21:B21"/>
    <mergeCell ref="A2:H2"/>
    <mergeCell ref="A1:H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00000"/>
  </sheetPr>
  <dimension ref="A1:K10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8" sqref="K8"/>
    </sheetView>
  </sheetViews>
  <sheetFormatPr baseColWidth="10" defaultColWidth="8.6640625" defaultRowHeight="15" x14ac:dyDescent="0.2"/>
  <cols>
    <col min="1" max="1" width="5" customWidth="1"/>
    <col min="2" max="2" width="28" customWidth="1"/>
    <col min="3" max="3" width="8" customWidth="1"/>
    <col min="4" max="6" width="14" customWidth="1"/>
    <col min="7" max="7" width="12" customWidth="1"/>
    <col min="8" max="8" width="14" customWidth="1"/>
    <col min="9" max="9" width="16" customWidth="1"/>
    <col min="10" max="10" width="10" customWidth="1"/>
    <col min="11" max="11" width="14" customWidth="1"/>
  </cols>
  <sheetData>
    <row r="1" spans="1:11" ht="27.75" customHeight="1" x14ac:dyDescent="0.2">
      <c r="A1" s="85" t="s">
        <v>423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ht="15" customHeight="1" x14ac:dyDescent="0.2">
      <c r="A2" s="87" t="s">
        <v>424</v>
      </c>
      <c r="B2" s="86"/>
      <c r="C2" s="86"/>
      <c r="D2" s="86"/>
      <c r="E2" s="86"/>
      <c r="F2" s="86"/>
      <c r="G2" s="86"/>
      <c r="H2" s="86"/>
      <c r="I2" s="86"/>
      <c r="J2" s="86"/>
      <c r="K2" s="86"/>
    </row>
    <row r="4" spans="1:11" ht="31.5" customHeight="1" x14ac:dyDescent="0.2">
      <c r="A4" s="19" t="s">
        <v>2</v>
      </c>
      <c r="B4" s="19" t="s">
        <v>425</v>
      </c>
      <c r="C4" s="19" t="s">
        <v>115</v>
      </c>
      <c r="D4" s="19" t="s">
        <v>426</v>
      </c>
      <c r="E4" s="19" t="s">
        <v>427</v>
      </c>
      <c r="F4" s="19" t="s">
        <v>428</v>
      </c>
      <c r="G4" s="19" t="s">
        <v>429</v>
      </c>
      <c r="H4" s="19" t="s">
        <v>119</v>
      </c>
      <c r="I4" s="19" t="s">
        <v>430</v>
      </c>
      <c r="J4" s="19" t="s">
        <v>29</v>
      </c>
      <c r="K4" s="19" t="s">
        <v>431</v>
      </c>
    </row>
    <row r="5" spans="1:11" x14ac:dyDescent="0.2">
      <c r="A5" s="32">
        <f>IF('03_Investitori'!B5="","",ROW()-4)</f>
        <v>1</v>
      </c>
      <c r="B5" s="31" t="str">
        <f>'03_Investitori'!B5</f>
        <v>Osy Harrison</v>
      </c>
      <c r="C5" s="32" t="str">
        <f>IF('03_Investitori'!D5="","",'03_Investitori'!D5)</f>
        <v>LP</v>
      </c>
      <c r="D5" s="37">
        <f>IF('03_Investitori'!C5="","",'03_Investitori'!C5)</f>
        <v>45736</v>
      </c>
      <c r="E5" s="10">
        <f>IF('03_Investitori'!H5="","",'03_Investitori'!H5)</f>
        <v>500000</v>
      </c>
      <c r="F5" s="33">
        <f>IF('03_Investitori'!J5="","",'03_Investitori'!J5)</f>
        <v>500000</v>
      </c>
      <c r="G5" s="41">
        <f ca="1">IF('03_Investitori'!C5="","",(DataOggi-'03_Investitori'!C5)/365.25)</f>
        <v>1.160848733744011</v>
      </c>
      <c r="H5" s="34">
        <f>IF('03_Investitori'!I5="","",'03_Investitori'!I5)</f>
        <v>1</v>
      </c>
      <c r="I5" s="26">
        <f t="shared" ref="I5:I36" ca="1" si="0">IF(F5="","",F5*NAVperUnit_Curr)</f>
        <v>492878.62396183511</v>
      </c>
      <c r="J5" s="42">
        <f t="shared" ref="J5:J36" ca="1" si="1">IFERROR(IF(E5=0,"",I5/E5),"")</f>
        <v>0.98575724792367025</v>
      </c>
      <c r="K5" s="11">
        <f t="shared" ref="K5:K36" ca="1" si="2">IFERROR(IF(OR(E5="",E5=0,G5=0,G5=""),"",(I5/E5)^(1/G5)-1),"")</f>
        <v>-1.2281430138153193E-2</v>
      </c>
    </row>
    <row r="6" spans="1:11" x14ac:dyDescent="0.2">
      <c r="A6" s="32">
        <f>IF('03_Investitori'!B6="","",ROW()-4)</f>
        <v>2</v>
      </c>
      <c r="B6" s="31" t="str">
        <f>'03_Investitori'!B6</f>
        <v>Bradley Jackson</v>
      </c>
      <c r="C6" s="32" t="str">
        <f>IF('03_Investitori'!D6="","",'03_Investitori'!D6)</f>
        <v>LP</v>
      </c>
      <c r="D6" s="37">
        <f>IF('03_Investitori'!C6="","",'03_Investitori'!C6)</f>
        <v>45904</v>
      </c>
      <c r="E6" s="10">
        <f>IF('03_Investitori'!H6="","",'03_Investitori'!H6)</f>
        <v>500000</v>
      </c>
      <c r="F6" s="33">
        <f>IF('03_Investitori'!J6="","",'03_Investitori'!J6)</f>
        <v>500000</v>
      </c>
      <c r="G6" s="41">
        <f ca="1">IF('03_Investitori'!C6="","",(DataOggi-'03_Investitori'!C6)/365.25)</f>
        <v>0.70088980150581792</v>
      </c>
      <c r="H6" s="34">
        <f>IF('03_Investitori'!I6="","",'03_Investitori'!I6)</f>
        <v>1</v>
      </c>
      <c r="I6" s="26">
        <f t="shared" ca="1" si="0"/>
        <v>492878.62396183511</v>
      </c>
      <c r="J6" s="42">
        <f t="shared" ca="1" si="1"/>
        <v>0.98575724792367025</v>
      </c>
      <c r="K6" s="11">
        <f t="shared" ca="1" si="2"/>
        <v>-2.0259031293026419E-2</v>
      </c>
    </row>
    <row r="7" spans="1:11" x14ac:dyDescent="0.2">
      <c r="A7" s="32">
        <f>IF('03_Investitori'!B7="","",ROW()-4)</f>
        <v>3</v>
      </c>
      <c r="B7" s="31" t="str">
        <f>'03_Investitori'!B7</f>
        <v>Grant Kauffman</v>
      </c>
      <c r="C7" s="32" t="str">
        <f>IF('03_Investitori'!D7="","",'03_Investitori'!D7)</f>
        <v>LP</v>
      </c>
      <c r="D7" s="37">
        <f>IF('03_Investitori'!C7="","",'03_Investitori'!C7)</f>
        <v>45910</v>
      </c>
      <c r="E7" s="10">
        <f>IF('03_Investitori'!H7="","",'03_Investitori'!H7)</f>
        <v>500000</v>
      </c>
      <c r="F7" s="33">
        <f>IF('03_Investitori'!J7="","",'03_Investitori'!J7)</f>
        <v>500000</v>
      </c>
      <c r="G7" s="41">
        <f ca="1">IF('03_Investitori'!C7="","",(DataOggi-'03_Investitori'!C7)/365.25)</f>
        <v>0.68446269678302529</v>
      </c>
      <c r="H7" s="34">
        <f>IF('03_Investitori'!I7="","",'03_Investitori'!I7)</f>
        <v>1</v>
      </c>
      <c r="I7" s="26">
        <f t="shared" ca="1" si="0"/>
        <v>492878.62396183511</v>
      </c>
      <c r="J7" s="42">
        <f t="shared" ca="1" si="1"/>
        <v>0.98575724792367025</v>
      </c>
      <c r="K7" s="11">
        <f t="shared" ca="1" si="2"/>
        <v>-2.0740171123407536E-2</v>
      </c>
    </row>
    <row r="8" spans="1:11" x14ac:dyDescent="0.2">
      <c r="A8" s="32">
        <f>IF('03_Investitori'!B8="","",ROW()-4)</f>
        <v>4</v>
      </c>
      <c r="B8" s="31" t="str">
        <f>'03_Investitori'!B8</f>
        <v>Esra Sertoglu</v>
      </c>
      <c r="C8" s="32" t="str">
        <f>IF('03_Investitori'!D8="","",'03_Investitori'!D8)</f>
        <v>LP</v>
      </c>
      <c r="D8" s="37">
        <f>IF('03_Investitori'!C8="","",'03_Investitori'!C8)</f>
        <v>46097</v>
      </c>
      <c r="E8" s="10">
        <f>IF('03_Investitori'!H8="","",'03_Investitori'!H8)</f>
        <v>500000</v>
      </c>
      <c r="F8" s="33">
        <f>IF('03_Investitori'!J8="","",'03_Investitori'!J8)</f>
        <v>500000</v>
      </c>
      <c r="G8" s="41">
        <f ca="1">IF('03_Investitori'!C8="","",(DataOggi-'03_Investitori'!C8)/365.25)</f>
        <v>0.17248459958932238</v>
      </c>
      <c r="H8" s="34">
        <f>IF('03_Investitori'!I8="","",'03_Investitori'!I8)</f>
        <v>1</v>
      </c>
      <c r="I8" s="26">
        <f t="shared" ca="1" si="0"/>
        <v>492878.62396183511</v>
      </c>
      <c r="J8" s="42">
        <f t="shared" ca="1" si="1"/>
        <v>0.98575724792367025</v>
      </c>
      <c r="K8" s="11">
        <f t="shared" ca="1" si="2"/>
        <v>-7.9803215368372094E-2</v>
      </c>
    </row>
    <row r="9" spans="1:11" x14ac:dyDescent="0.2">
      <c r="A9" s="32" t="str">
        <f>IF('03_Investitori'!B9="","",ROW()-4)</f>
        <v/>
      </c>
      <c r="B9" s="31">
        <f>'03_Investitori'!B9</f>
        <v>0</v>
      </c>
      <c r="C9" s="32" t="str">
        <f>IF('03_Investitori'!D9="","",'03_Investitori'!D9)</f>
        <v/>
      </c>
      <c r="D9" s="37" t="str">
        <f>IF('03_Investitori'!C9="","",'03_Investitori'!C9)</f>
        <v/>
      </c>
      <c r="E9" s="10" t="str">
        <f>IF('03_Investitori'!H9="","",'03_Investitori'!H9)</f>
        <v/>
      </c>
      <c r="F9" s="33" t="str">
        <f>IF('03_Investitori'!J9="","",'03_Investitori'!J9)</f>
        <v/>
      </c>
      <c r="G9" s="41" t="str">
        <f>IF('03_Investitori'!C9="","",(DataOggi-'03_Investitori'!C9)/365.25)</f>
        <v/>
      </c>
      <c r="H9" s="34" t="str">
        <f>IF('03_Investitori'!I9="","",'03_Investitori'!I9)</f>
        <v/>
      </c>
      <c r="I9" s="26" t="str">
        <f t="shared" si="0"/>
        <v/>
      </c>
      <c r="J9" s="42" t="str">
        <f t="shared" si="1"/>
        <v/>
      </c>
      <c r="K9" s="11" t="str">
        <f t="shared" si="2"/>
        <v/>
      </c>
    </row>
    <row r="10" spans="1:11" x14ac:dyDescent="0.2">
      <c r="A10" s="32" t="str">
        <f>IF('03_Investitori'!B10="","",ROW()-4)</f>
        <v/>
      </c>
      <c r="B10" s="31">
        <f>'03_Investitori'!B10</f>
        <v>0</v>
      </c>
      <c r="C10" s="32" t="str">
        <f>IF('03_Investitori'!D10="","",'03_Investitori'!D10)</f>
        <v/>
      </c>
      <c r="D10" s="37" t="str">
        <f>IF('03_Investitori'!C10="","",'03_Investitori'!C10)</f>
        <v/>
      </c>
      <c r="E10" s="10" t="str">
        <f>IF('03_Investitori'!H10="","",'03_Investitori'!H10)</f>
        <v/>
      </c>
      <c r="F10" s="33" t="str">
        <f>IF('03_Investitori'!J10="","",'03_Investitori'!J10)</f>
        <v/>
      </c>
      <c r="G10" s="41" t="str">
        <f>IF('03_Investitori'!C10="","",(DataOggi-'03_Investitori'!C10)/365.25)</f>
        <v/>
      </c>
      <c r="H10" s="34" t="str">
        <f>IF('03_Investitori'!I10="","",'03_Investitori'!I10)</f>
        <v/>
      </c>
      <c r="I10" s="26" t="str">
        <f t="shared" si="0"/>
        <v/>
      </c>
      <c r="J10" s="42" t="str">
        <f t="shared" si="1"/>
        <v/>
      </c>
      <c r="K10" s="11" t="str">
        <f t="shared" si="2"/>
        <v/>
      </c>
    </row>
    <row r="11" spans="1:11" x14ac:dyDescent="0.2">
      <c r="A11" s="32" t="str">
        <f>IF('03_Investitori'!B11="","",ROW()-4)</f>
        <v/>
      </c>
      <c r="B11" s="31">
        <f>'03_Investitori'!B11</f>
        <v>0</v>
      </c>
      <c r="C11" s="32" t="str">
        <f>IF('03_Investitori'!D11="","",'03_Investitori'!D11)</f>
        <v/>
      </c>
      <c r="D11" s="37" t="str">
        <f>IF('03_Investitori'!C11="","",'03_Investitori'!C11)</f>
        <v/>
      </c>
      <c r="E11" s="10" t="str">
        <f>IF('03_Investitori'!H11="","",'03_Investitori'!H11)</f>
        <v/>
      </c>
      <c r="F11" s="33" t="str">
        <f>IF('03_Investitori'!J11="","",'03_Investitori'!J11)</f>
        <v/>
      </c>
      <c r="G11" s="41" t="str">
        <f>IF('03_Investitori'!C11="","",(DataOggi-'03_Investitori'!C11)/365.25)</f>
        <v/>
      </c>
      <c r="H11" s="34" t="str">
        <f>IF('03_Investitori'!I11="","",'03_Investitori'!I11)</f>
        <v/>
      </c>
      <c r="I11" s="26" t="str">
        <f t="shared" si="0"/>
        <v/>
      </c>
      <c r="J11" s="42" t="str">
        <f t="shared" si="1"/>
        <v/>
      </c>
      <c r="K11" s="11" t="str">
        <f t="shared" si="2"/>
        <v/>
      </c>
    </row>
    <row r="12" spans="1:11" x14ac:dyDescent="0.2">
      <c r="A12" s="32" t="str">
        <f>IF('03_Investitori'!B12="","",ROW()-4)</f>
        <v/>
      </c>
      <c r="B12" s="31">
        <f>'03_Investitori'!B12</f>
        <v>0</v>
      </c>
      <c r="C12" s="32" t="str">
        <f>IF('03_Investitori'!D12="","",'03_Investitori'!D12)</f>
        <v/>
      </c>
      <c r="D12" s="37" t="str">
        <f>IF('03_Investitori'!C12="","",'03_Investitori'!C12)</f>
        <v/>
      </c>
      <c r="E12" s="10" t="str">
        <f>IF('03_Investitori'!H12="","",'03_Investitori'!H12)</f>
        <v/>
      </c>
      <c r="F12" s="33" t="str">
        <f>IF('03_Investitori'!J12="","",'03_Investitori'!J12)</f>
        <v/>
      </c>
      <c r="G12" s="41" t="str">
        <f>IF('03_Investitori'!C12="","",(DataOggi-'03_Investitori'!C12)/365.25)</f>
        <v/>
      </c>
      <c r="H12" s="34" t="str">
        <f>IF('03_Investitori'!I12="","",'03_Investitori'!I12)</f>
        <v/>
      </c>
      <c r="I12" s="26" t="str">
        <f t="shared" si="0"/>
        <v/>
      </c>
      <c r="J12" s="42" t="str">
        <f t="shared" si="1"/>
        <v/>
      </c>
      <c r="K12" s="11" t="str">
        <f t="shared" si="2"/>
        <v/>
      </c>
    </row>
    <row r="13" spans="1:11" x14ac:dyDescent="0.2">
      <c r="A13" s="32" t="str">
        <f>IF('03_Investitori'!B13="","",ROW()-4)</f>
        <v/>
      </c>
      <c r="B13" s="31">
        <f>'03_Investitori'!B13</f>
        <v>0</v>
      </c>
      <c r="C13" s="32" t="str">
        <f>IF('03_Investitori'!D13="","",'03_Investitori'!D13)</f>
        <v/>
      </c>
      <c r="D13" s="37" t="str">
        <f>IF('03_Investitori'!C13="","",'03_Investitori'!C13)</f>
        <v/>
      </c>
      <c r="E13" s="10" t="str">
        <f>IF('03_Investitori'!H13="","",'03_Investitori'!H13)</f>
        <v/>
      </c>
      <c r="F13" s="33" t="str">
        <f>IF('03_Investitori'!J13="","",'03_Investitori'!J13)</f>
        <v/>
      </c>
      <c r="G13" s="41" t="str">
        <f>IF('03_Investitori'!C13="","",(DataOggi-'03_Investitori'!C13)/365.25)</f>
        <v/>
      </c>
      <c r="H13" s="34" t="str">
        <f>IF('03_Investitori'!I13="","",'03_Investitori'!I13)</f>
        <v/>
      </c>
      <c r="I13" s="26" t="str">
        <f t="shared" si="0"/>
        <v/>
      </c>
      <c r="J13" s="42" t="str">
        <f t="shared" si="1"/>
        <v/>
      </c>
      <c r="K13" s="11" t="str">
        <f t="shared" si="2"/>
        <v/>
      </c>
    </row>
    <row r="14" spans="1:11" x14ac:dyDescent="0.2">
      <c r="A14" s="32" t="str">
        <f>IF('03_Investitori'!B14="","",ROW()-4)</f>
        <v/>
      </c>
      <c r="B14" s="31">
        <f>'03_Investitori'!B14</f>
        <v>0</v>
      </c>
      <c r="C14" s="32" t="str">
        <f>IF('03_Investitori'!D14="","",'03_Investitori'!D14)</f>
        <v/>
      </c>
      <c r="D14" s="37" t="str">
        <f>IF('03_Investitori'!C14="","",'03_Investitori'!C14)</f>
        <v/>
      </c>
      <c r="E14" s="10" t="str">
        <f>IF('03_Investitori'!H14="","",'03_Investitori'!H14)</f>
        <v/>
      </c>
      <c r="F14" s="33" t="str">
        <f>IF('03_Investitori'!J14="","",'03_Investitori'!J14)</f>
        <v/>
      </c>
      <c r="G14" s="41" t="str">
        <f>IF('03_Investitori'!C14="","",(DataOggi-'03_Investitori'!C14)/365.25)</f>
        <v/>
      </c>
      <c r="H14" s="34" t="str">
        <f>IF('03_Investitori'!I14="","",'03_Investitori'!I14)</f>
        <v/>
      </c>
      <c r="I14" s="26" t="str">
        <f t="shared" si="0"/>
        <v/>
      </c>
      <c r="J14" s="42" t="str">
        <f t="shared" si="1"/>
        <v/>
      </c>
      <c r="K14" s="11" t="str">
        <f t="shared" si="2"/>
        <v/>
      </c>
    </row>
    <row r="15" spans="1:11" x14ac:dyDescent="0.2">
      <c r="A15" s="32" t="str">
        <f>IF('03_Investitori'!B15="","",ROW()-4)</f>
        <v/>
      </c>
      <c r="B15" s="31">
        <f>'03_Investitori'!B15</f>
        <v>0</v>
      </c>
      <c r="C15" s="32" t="str">
        <f>IF('03_Investitori'!D15="","",'03_Investitori'!D15)</f>
        <v/>
      </c>
      <c r="D15" s="37" t="str">
        <f>IF('03_Investitori'!C15="","",'03_Investitori'!C15)</f>
        <v/>
      </c>
      <c r="E15" s="10" t="str">
        <f>IF('03_Investitori'!H15="","",'03_Investitori'!H15)</f>
        <v/>
      </c>
      <c r="F15" s="33" t="str">
        <f>IF('03_Investitori'!J15="","",'03_Investitori'!J15)</f>
        <v/>
      </c>
      <c r="G15" s="41" t="str">
        <f>IF('03_Investitori'!C15="","",(DataOggi-'03_Investitori'!C15)/365.25)</f>
        <v/>
      </c>
      <c r="H15" s="34" t="str">
        <f>IF('03_Investitori'!I15="","",'03_Investitori'!I15)</f>
        <v/>
      </c>
      <c r="I15" s="26" t="str">
        <f t="shared" si="0"/>
        <v/>
      </c>
      <c r="J15" s="42" t="str">
        <f t="shared" si="1"/>
        <v/>
      </c>
      <c r="K15" s="11" t="str">
        <f t="shared" si="2"/>
        <v/>
      </c>
    </row>
    <row r="16" spans="1:11" x14ac:dyDescent="0.2">
      <c r="A16" s="32" t="str">
        <f>IF('03_Investitori'!B16="","",ROW()-4)</f>
        <v/>
      </c>
      <c r="B16" s="31">
        <f>'03_Investitori'!B16</f>
        <v>0</v>
      </c>
      <c r="C16" s="32" t="str">
        <f>IF('03_Investitori'!D16="","",'03_Investitori'!D16)</f>
        <v/>
      </c>
      <c r="D16" s="37" t="str">
        <f>IF('03_Investitori'!C16="","",'03_Investitori'!C16)</f>
        <v/>
      </c>
      <c r="E16" s="10" t="str">
        <f>IF('03_Investitori'!H16="","",'03_Investitori'!H16)</f>
        <v/>
      </c>
      <c r="F16" s="33" t="str">
        <f>IF('03_Investitori'!J16="","",'03_Investitori'!J16)</f>
        <v/>
      </c>
      <c r="G16" s="41" t="str">
        <f>IF('03_Investitori'!C16="","",(DataOggi-'03_Investitori'!C16)/365.25)</f>
        <v/>
      </c>
      <c r="H16" s="34" t="str">
        <f>IF('03_Investitori'!I16="","",'03_Investitori'!I16)</f>
        <v/>
      </c>
      <c r="I16" s="26" t="str">
        <f t="shared" si="0"/>
        <v/>
      </c>
      <c r="J16" s="42" t="str">
        <f t="shared" si="1"/>
        <v/>
      </c>
      <c r="K16" s="11" t="str">
        <f t="shared" si="2"/>
        <v/>
      </c>
    </row>
    <row r="17" spans="1:11" x14ac:dyDescent="0.2">
      <c r="A17" s="32" t="str">
        <f>IF('03_Investitori'!B17="","",ROW()-4)</f>
        <v/>
      </c>
      <c r="B17" s="31">
        <f>'03_Investitori'!B17</f>
        <v>0</v>
      </c>
      <c r="C17" s="32" t="str">
        <f>IF('03_Investitori'!D17="","",'03_Investitori'!D17)</f>
        <v/>
      </c>
      <c r="D17" s="37" t="str">
        <f>IF('03_Investitori'!C17="","",'03_Investitori'!C17)</f>
        <v/>
      </c>
      <c r="E17" s="10" t="str">
        <f>IF('03_Investitori'!H17="","",'03_Investitori'!H17)</f>
        <v/>
      </c>
      <c r="F17" s="33" t="str">
        <f>IF('03_Investitori'!J17="","",'03_Investitori'!J17)</f>
        <v/>
      </c>
      <c r="G17" s="41" t="str">
        <f>IF('03_Investitori'!C17="","",(DataOggi-'03_Investitori'!C17)/365.25)</f>
        <v/>
      </c>
      <c r="H17" s="34" t="str">
        <f>IF('03_Investitori'!I17="","",'03_Investitori'!I17)</f>
        <v/>
      </c>
      <c r="I17" s="26" t="str">
        <f t="shared" si="0"/>
        <v/>
      </c>
      <c r="J17" s="42" t="str">
        <f t="shared" si="1"/>
        <v/>
      </c>
      <c r="K17" s="11" t="str">
        <f t="shared" si="2"/>
        <v/>
      </c>
    </row>
    <row r="18" spans="1:11" x14ac:dyDescent="0.2">
      <c r="A18" s="32" t="str">
        <f>IF('03_Investitori'!B18="","",ROW()-4)</f>
        <v/>
      </c>
      <c r="B18" s="31">
        <f>'03_Investitori'!B18</f>
        <v>0</v>
      </c>
      <c r="C18" s="32" t="str">
        <f>IF('03_Investitori'!D18="","",'03_Investitori'!D18)</f>
        <v/>
      </c>
      <c r="D18" s="37" t="str">
        <f>IF('03_Investitori'!C18="","",'03_Investitori'!C18)</f>
        <v/>
      </c>
      <c r="E18" s="10" t="str">
        <f>IF('03_Investitori'!H18="","",'03_Investitori'!H18)</f>
        <v/>
      </c>
      <c r="F18" s="33" t="str">
        <f>IF('03_Investitori'!J18="","",'03_Investitori'!J18)</f>
        <v/>
      </c>
      <c r="G18" s="41" t="str">
        <f>IF('03_Investitori'!C18="","",(DataOggi-'03_Investitori'!C18)/365.25)</f>
        <v/>
      </c>
      <c r="H18" s="34" t="str">
        <f>IF('03_Investitori'!I18="","",'03_Investitori'!I18)</f>
        <v/>
      </c>
      <c r="I18" s="26" t="str">
        <f t="shared" si="0"/>
        <v/>
      </c>
      <c r="J18" s="42" t="str">
        <f t="shared" si="1"/>
        <v/>
      </c>
      <c r="K18" s="11" t="str">
        <f t="shared" si="2"/>
        <v/>
      </c>
    </row>
    <row r="19" spans="1:11" x14ac:dyDescent="0.2">
      <c r="A19" s="32" t="str">
        <f>IF('03_Investitori'!B19="","",ROW()-4)</f>
        <v/>
      </c>
      <c r="B19" s="31">
        <f>'03_Investitori'!B19</f>
        <v>0</v>
      </c>
      <c r="C19" s="32" t="str">
        <f>IF('03_Investitori'!D19="","",'03_Investitori'!D19)</f>
        <v/>
      </c>
      <c r="D19" s="37" t="str">
        <f>IF('03_Investitori'!C19="","",'03_Investitori'!C19)</f>
        <v/>
      </c>
      <c r="E19" s="10" t="str">
        <f>IF('03_Investitori'!H19="","",'03_Investitori'!H19)</f>
        <v/>
      </c>
      <c r="F19" s="33" t="str">
        <f>IF('03_Investitori'!J19="","",'03_Investitori'!J19)</f>
        <v/>
      </c>
      <c r="G19" s="41" t="str">
        <f>IF('03_Investitori'!C19="","",(DataOggi-'03_Investitori'!C19)/365.25)</f>
        <v/>
      </c>
      <c r="H19" s="34" t="str">
        <f>IF('03_Investitori'!I19="","",'03_Investitori'!I19)</f>
        <v/>
      </c>
      <c r="I19" s="26" t="str">
        <f t="shared" si="0"/>
        <v/>
      </c>
      <c r="J19" s="42" t="str">
        <f t="shared" si="1"/>
        <v/>
      </c>
      <c r="K19" s="11" t="str">
        <f t="shared" si="2"/>
        <v/>
      </c>
    </row>
    <row r="20" spans="1:11" x14ac:dyDescent="0.2">
      <c r="A20" s="32" t="str">
        <f>IF('03_Investitori'!B20="","",ROW()-4)</f>
        <v/>
      </c>
      <c r="B20" s="31">
        <f>'03_Investitori'!B20</f>
        <v>0</v>
      </c>
      <c r="C20" s="32" t="str">
        <f>IF('03_Investitori'!D20="","",'03_Investitori'!D20)</f>
        <v/>
      </c>
      <c r="D20" s="37" t="str">
        <f>IF('03_Investitori'!C20="","",'03_Investitori'!C20)</f>
        <v/>
      </c>
      <c r="E20" s="10" t="str">
        <f>IF('03_Investitori'!H20="","",'03_Investitori'!H20)</f>
        <v/>
      </c>
      <c r="F20" s="33" t="str">
        <f>IF('03_Investitori'!J20="","",'03_Investitori'!J20)</f>
        <v/>
      </c>
      <c r="G20" s="41" t="str">
        <f>IF('03_Investitori'!C20="","",(DataOggi-'03_Investitori'!C20)/365.25)</f>
        <v/>
      </c>
      <c r="H20" s="34" t="str">
        <f>IF('03_Investitori'!I20="","",'03_Investitori'!I20)</f>
        <v/>
      </c>
      <c r="I20" s="26" t="str">
        <f t="shared" si="0"/>
        <v/>
      </c>
      <c r="J20" s="42" t="str">
        <f t="shared" si="1"/>
        <v/>
      </c>
      <c r="K20" s="11" t="str">
        <f t="shared" si="2"/>
        <v/>
      </c>
    </row>
    <row r="21" spans="1:11" x14ac:dyDescent="0.2">
      <c r="A21" s="32" t="str">
        <f>IF('03_Investitori'!B21="","",ROW()-4)</f>
        <v/>
      </c>
      <c r="B21" s="31">
        <f>'03_Investitori'!B21</f>
        <v>0</v>
      </c>
      <c r="C21" s="32" t="str">
        <f>IF('03_Investitori'!D21="","",'03_Investitori'!D21)</f>
        <v/>
      </c>
      <c r="D21" s="37" t="str">
        <f>IF('03_Investitori'!C21="","",'03_Investitori'!C21)</f>
        <v/>
      </c>
      <c r="E21" s="10" t="str">
        <f>IF('03_Investitori'!H21="","",'03_Investitori'!H21)</f>
        <v/>
      </c>
      <c r="F21" s="33" t="str">
        <f>IF('03_Investitori'!J21="","",'03_Investitori'!J21)</f>
        <v/>
      </c>
      <c r="G21" s="41" t="str">
        <f>IF('03_Investitori'!C21="","",(DataOggi-'03_Investitori'!C21)/365.25)</f>
        <v/>
      </c>
      <c r="H21" s="34" t="str">
        <f>IF('03_Investitori'!I21="","",'03_Investitori'!I21)</f>
        <v/>
      </c>
      <c r="I21" s="26" t="str">
        <f t="shared" si="0"/>
        <v/>
      </c>
      <c r="J21" s="42" t="str">
        <f t="shared" si="1"/>
        <v/>
      </c>
      <c r="K21" s="11" t="str">
        <f t="shared" si="2"/>
        <v/>
      </c>
    </row>
    <row r="22" spans="1:11" x14ac:dyDescent="0.2">
      <c r="A22" s="32" t="str">
        <f>IF('03_Investitori'!B22="","",ROW()-4)</f>
        <v/>
      </c>
      <c r="B22" s="31">
        <f>'03_Investitori'!B22</f>
        <v>0</v>
      </c>
      <c r="C22" s="32" t="str">
        <f>IF('03_Investitori'!D22="","",'03_Investitori'!D22)</f>
        <v/>
      </c>
      <c r="D22" s="37" t="str">
        <f>IF('03_Investitori'!C22="","",'03_Investitori'!C22)</f>
        <v/>
      </c>
      <c r="E22" s="10" t="str">
        <f>IF('03_Investitori'!H22="","",'03_Investitori'!H22)</f>
        <v/>
      </c>
      <c r="F22" s="33" t="str">
        <f>IF('03_Investitori'!J22="","",'03_Investitori'!J22)</f>
        <v/>
      </c>
      <c r="G22" s="41" t="str">
        <f>IF('03_Investitori'!C22="","",(DataOggi-'03_Investitori'!C22)/365.25)</f>
        <v/>
      </c>
      <c r="H22" s="34" t="str">
        <f>IF('03_Investitori'!I22="","",'03_Investitori'!I22)</f>
        <v/>
      </c>
      <c r="I22" s="26" t="str">
        <f t="shared" si="0"/>
        <v/>
      </c>
      <c r="J22" s="42" t="str">
        <f t="shared" si="1"/>
        <v/>
      </c>
      <c r="K22" s="11" t="str">
        <f t="shared" si="2"/>
        <v/>
      </c>
    </row>
    <row r="23" spans="1:11" x14ac:dyDescent="0.2">
      <c r="A23" s="32" t="str">
        <f>IF('03_Investitori'!B23="","",ROW()-4)</f>
        <v/>
      </c>
      <c r="B23" s="31">
        <f>'03_Investitori'!B23</f>
        <v>0</v>
      </c>
      <c r="C23" s="32" t="str">
        <f>IF('03_Investitori'!D23="","",'03_Investitori'!D23)</f>
        <v/>
      </c>
      <c r="D23" s="37" t="str">
        <f>IF('03_Investitori'!C23="","",'03_Investitori'!C23)</f>
        <v/>
      </c>
      <c r="E23" s="10" t="str">
        <f>IF('03_Investitori'!H23="","",'03_Investitori'!H23)</f>
        <v/>
      </c>
      <c r="F23" s="33" t="str">
        <f>IF('03_Investitori'!J23="","",'03_Investitori'!J23)</f>
        <v/>
      </c>
      <c r="G23" s="41" t="str">
        <f>IF('03_Investitori'!C23="","",(DataOggi-'03_Investitori'!C23)/365.25)</f>
        <v/>
      </c>
      <c r="H23" s="34" t="str">
        <f>IF('03_Investitori'!I23="","",'03_Investitori'!I23)</f>
        <v/>
      </c>
      <c r="I23" s="26" t="str">
        <f t="shared" si="0"/>
        <v/>
      </c>
      <c r="J23" s="42" t="str">
        <f t="shared" si="1"/>
        <v/>
      </c>
      <c r="K23" s="11" t="str">
        <f t="shared" si="2"/>
        <v/>
      </c>
    </row>
    <row r="24" spans="1:11" x14ac:dyDescent="0.2">
      <c r="A24" s="32" t="str">
        <f>IF('03_Investitori'!B24="","",ROW()-4)</f>
        <v/>
      </c>
      <c r="B24" s="31">
        <f>'03_Investitori'!B24</f>
        <v>0</v>
      </c>
      <c r="C24" s="32" t="str">
        <f>IF('03_Investitori'!D24="","",'03_Investitori'!D24)</f>
        <v/>
      </c>
      <c r="D24" s="37" t="str">
        <f>IF('03_Investitori'!C24="","",'03_Investitori'!C24)</f>
        <v/>
      </c>
      <c r="E24" s="10" t="str">
        <f>IF('03_Investitori'!H24="","",'03_Investitori'!H24)</f>
        <v/>
      </c>
      <c r="F24" s="33" t="str">
        <f>IF('03_Investitori'!J24="","",'03_Investitori'!J24)</f>
        <v/>
      </c>
      <c r="G24" s="41" t="str">
        <f>IF('03_Investitori'!C24="","",(DataOggi-'03_Investitori'!C24)/365.25)</f>
        <v/>
      </c>
      <c r="H24" s="34" t="str">
        <f>IF('03_Investitori'!I24="","",'03_Investitori'!I24)</f>
        <v/>
      </c>
      <c r="I24" s="26" t="str">
        <f t="shared" si="0"/>
        <v/>
      </c>
      <c r="J24" s="42" t="str">
        <f t="shared" si="1"/>
        <v/>
      </c>
      <c r="K24" s="11" t="str">
        <f t="shared" si="2"/>
        <v/>
      </c>
    </row>
    <row r="25" spans="1:11" x14ac:dyDescent="0.2">
      <c r="A25" s="32" t="str">
        <f>IF('03_Investitori'!B25="","",ROW()-4)</f>
        <v/>
      </c>
      <c r="B25" s="31">
        <f>'03_Investitori'!B25</f>
        <v>0</v>
      </c>
      <c r="C25" s="32" t="str">
        <f>IF('03_Investitori'!D25="","",'03_Investitori'!D25)</f>
        <v/>
      </c>
      <c r="D25" s="37" t="str">
        <f>IF('03_Investitori'!C25="","",'03_Investitori'!C25)</f>
        <v/>
      </c>
      <c r="E25" s="10" t="str">
        <f>IF('03_Investitori'!H25="","",'03_Investitori'!H25)</f>
        <v/>
      </c>
      <c r="F25" s="33" t="str">
        <f>IF('03_Investitori'!J25="","",'03_Investitori'!J25)</f>
        <v/>
      </c>
      <c r="G25" s="41" t="str">
        <f>IF('03_Investitori'!C25="","",(DataOggi-'03_Investitori'!C25)/365.25)</f>
        <v/>
      </c>
      <c r="H25" s="34" t="str">
        <f>IF('03_Investitori'!I25="","",'03_Investitori'!I25)</f>
        <v/>
      </c>
      <c r="I25" s="26" t="str">
        <f t="shared" si="0"/>
        <v/>
      </c>
      <c r="J25" s="42" t="str">
        <f t="shared" si="1"/>
        <v/>
      </c>
      <c r="K25" s="11" t="str">
        <f t="shared" si="2"/>
        <v/>
      </c>
    </row>
    <row r="26" spans="1:11" x14ac:dyDescent="0.2">
      <c r="A26" s="32" t="str">
        <f>IF('03_Investitori'!B26="","",ROW()-4)</f>
        <v/>
      </c>
      <c r="B26" s="31">
        <f>'03_Investitori'!B26</f>
        <v>0</v>
      </c>
      <c r="C26" s="32" t="str">
        <f>IF('03_Investitori'!D26="","",'03_Investitori'!D26)</f>
        <v/>
      </c>
      <c r="D26" s="37" t="str">
        <f>IF('03_Investitori'!C26="","",'03_Investitori'!C26)</f>
        <v/>
      </c>
      <c r="E26" s="10" t="str">
        <f>IF('03_Investitori'!H26="","",'03_Investitori'!H26)</f>
        <v/>
      </c>
      <c r="F26" s="33" t="str">
        <f>IF('03_Investitori'!J26="","",'03_Investitori'!J26)</f>
        <v/>
      </c>
      <c r="G26" s="41" t="str">
        <f>IF('03_Investitori'!C26="","",(DataOggi-'03_Investitori'!C26)/365.25)</f>
        <v/>
      </c>
      <c r="H26" s="34" t="str">
        <f>IF('03_Investitori'!I26="","",'03_Investitori'!I26)</f>
        <v/>
      </c>
      <c r="I26" s="26" t="str">
        <f t="shared" si="0"/>
        <v/>
      </c>
      <c r="J26" s="42" t="str">
        <f t="shared" si="1"/>
        <v/>
      </c>
      <c r="K26" s="11" t="str">
        <f t="shared" si="2"/>
        <v/>
      </c>
    </row>
    <row r="27" spans="1:11" x14ac:dyDescent="0.2">
      <c r="A27" s="32" t="str">
        <f>IF('03_Investitori'!B27="","",ROW()-4)</f>
        <v/>
      </c>
      <c r="B27" s="31">
        <f>'03_Investitori'!B27</f>
        <v>0</v>
      </c>
      <c r="C27" s="32" t="str">
        <f>IF('03_Investitori'!D27="","",'03_Investitori'!D27)</f>
        <v/>
      </c>
      <c r="D27" s="37" t="str">
        <f>IF('03_Investitori'!C27="","",'03_Investitori'!C27)</f>
        <v/>
      </c>
      <c r="E27" s="10" t="str">
        <f>IF('03_Investitori'!H27="","",'03_Investitori'!H27)</f>
        <v/>
      </c>
      <c r="F27" s="33" t="str">
        <f>IF('03_Investitori'!J27="","",'03_Investitori'!J27)</f>
        <v/>
      </c>
      <c r="G27" s="41" t="str">
        <f>IF('03_Investitori'!C27="","",(DataOggi-'03_Investitori'!C27)/365.25)</f>
        <v/>
      </c>
      <c r="H27" s="34" t="str">
        <f>IF('03_Investitori'!I27="","",'03_Investitori'!I27)</f>
        <v/>
      </c>
      <c r="I27" s="26" t="str">
        <f t="shared" si="0"/>
        <v/>
      </c>
      <c r="J27" s="42" t="str">
        <f t="shared" si="1"/>
        <v/>
      </c>
      <c r="K27" s="11" t="str">
        <f t="shared" si="2"/>
        <v/>
      </c>
    </row>
    <row r="28" spans="1:11" x14ac:dyDescent="0.2">
      <c r="A28" s="32" t="str">
        <f>IF('03_Investitori'!B28="","",ROW()-4)</f>
        <v/>
      </c>
      <c r="B28" s="31">
        <f>'03_Investitori'!B28</f>
        <v>0</v>
      </c>
      <c r="C28" s="32" t="str">
        <f>IF('03_Investitori'!D28="","",'03_Investitori'!D28)</f>
        <v/>
      </c>
      <c r="D28" s="37" t="str">
        <f>IF('03_Investitori'!C28="","",'03_Investitori'!C28)</f>
        <v/>
      </c>
      <c r="E28" s="10" t="str">
        <f>IF('03_Investitori'!H28="","",'03_Investitori'!H28)</f>
        <v/>
      </c>
      <c r="F28" s="33" t="str">
        <f>IF('03_Investitori'!J28="","",'03_Investitori'!J28)</f>
        <v/>
      </c>
      <c r="G28" s="41" t="str">
        <f>IF('03_Investitori'!C28="","",(DataOggi-'03_Investitori'!C28)/365.25)</f>
        <v/>
      </c>
      <c r="H28" s="34" t="str">
        <f>IF('03_Investitori'!I28="","",'03_Investitori'!I28)</f>
        <v/>
      </c>
      <c r="I28" s="26" t="str">
        <f t="shared" si="0"/>
        <v/>
      </c>
      <c r="J28" s="42" t="str">
        <f t="shared" si="1"/>
        <v/>
      </c>
      <c r="K28" s="11" t="str">
        <f t="shared" si="2"/>
        <v/>
      </c>
    </row>
    <row r="29" spans="1:11" x14ac:dyDescent="0.2">
      <c r="A29" s="32" t="str">
        <f>IF('03_Investitori'!B29="","",ROW()-4)</f>
        <v/>
      </c>
      <c r="B29" s="31">
        <f>'03_Investitori'!B29</f>
        <v>0</v>
      </c>
      <c r="C29" s="32" t="str">
        <f>IF('03_Investitori'!D29="","",'03_Investitori'!D29)</f>
        <v/>
      </c>
      <c r="D29" s="37" t="str">
        <f>IF('03_Investitori'!C29="","",'03_Investitori'!C29)</f>
        <v/>
      </c>
      <c r="E29" s="10" t="str">
        <f>IF('03_Investitori'!H29="","",'03_Investitori'!H29)</f>
        <v/>
      </c>
      <c r="F29" s="33" t="str">
        <f>IF('03_Investitori'!J29="","",'03_Investitori'!J29)</f>
        <v/>
      </c>
      <c r="G29" s="41" t="str">
        <f>IF('03_Investitori'!C29="","",(DataOggi-'03_Investitori'!C29)/365.25)</f>
        <v/>
      </c>
      <c r="H29" s="34" t="str">
        <f>IF('03_Investitori'!I29="","",'03_Investitori'!I29)</f>
        <v/>
      </c>
      <c r="I29" s="26" t="str">
        <f t="shared" si="0"/>
        <v/>
      </c>
      <c r="J29" s="42" t="str">
        <f t="shared" si="1"/>
        <v/>
      </c>
      <c r="K29" s="11" t="str">
        <f t="shared" si="2"/>
        <v/>
      </c>
    </row>
    <row r="30" spans="1:11" x14ac:dyDescent="0.2">
      <c r="A30" s="32" t="str">
        <f>IF('03_Investitori'!B30="","",ROW()-4)</f>
        <v/>
      </c>
      <c r="B30" s="31">
        <f>'03_Investitori'!B30</f>
        <v>0</v>
      </c>
      <c r="C30" s="32" t="str">
        <f>IF('03_Investitori'!D30="","",'03_Investitori'!D30)</f>
        <v/>
      </c>
      <c r="D30" s="37" t="str">
        <f>IF('03_Investitori'!C30="","",'03_Investitori'!C30)</f>
        <v/>
      </c>
      <c r="E30" s="10" t="str">
        <f>IF('03_Investitori'!H30="","",'03_Investitori'!H30)</f>
        <v/>
      </c>
      <c r="F30" s="33" t="str">
        <f>IF('03_Investitori'!J30="","",'03_Investitori'!J30)</f>
        <v/>
      </c>
      <c r="G30" s="41" t="str">
        <f>IF('03_Investitori'!C30="","",(DataOggi-'03_Investitori'!C30)/365.25)</f>
        <v/>
      </c>
      <c r="H30" s="34" t="str">
        <f>IF('03_Investitori'!I30="","",'03_Investitori'!I30)</f>
        <v/>
      </c>
      <c r="I30" s="26" t="str">
        <f t="shared" si="0"/>
        <v/>
      </c>
      <c r="J30" s="42" t="str">
        <f t="shared" si="1"/>
        <v/>
      </c>
      <c r="K30" s="11" t="str">
        <f t="shared" si="2"/>
        <v/>
      </c>
    </row>
    <row r="31" spans="1:11" x14ac:dyDescent="0.2">
      <c r="A31" s="32" t="str">
        <f>IF('03_Investitori'!B31="","",ROW()-4)</f>
        <v/>
      </c>
      <c r="B31" s="31">
        <f>'03_Investitori'!B31</f>
        <v>0</v>
      </c>
      <c r="C31" s="32" t="str">
        <f>IF('03_Investitori'!D31="","",'03_Investitori'!D31)</f>
        <v/>
      </c>
      <c r="D31" s="37" t="str">
        <f>IF('03_Investitori'!C31="","",'03_Investitori'!C31)</f>
        <v/>
      </c>
      <c r="E31" s="10" t="str">
        <f>IF('03_Investitori'!H31="","",'03_Investitori'!H31)</f>
        <v/>
      </c>
      <c r="F31" s="33" t="str">
        <f>IF('03_Investitori'!J31="","",'03_Investitori'!J31)</f>
        <v/>
      </c>
      <c r="G31" s="41" t="str">
        <f>IF('03_Investitori'!C31="","",(DataOggi-'03_Investitori'!C31)/365.25)</f>
        <v/>
      </c>
      <c r="H31" s="34" t="str">
        <f>IF('03_Investitori'!I31="","",'03_Investitori'!I31)</f>
        <v/>
      </c>
      <c r="I31" s="26" t="str">
        <f t="shared" si="0"/>
        <v/>
      </c>
      <c r="J31" s="42" t="str">
        <f t="shared" si="1"/>
        <v/>
      </c>
      <c r="K31" s="11" t="str">
        <f t="shared" si="2"/>
        <v/>
      </c>
    </row>
    <row r="32" spans="1:11" x14ac:dyDescent="0.2">
      <c r="A32" s="32" t="str">
        <f>IF('03_Investitori'!B32="","",ROW()-4)</f>
        <v/>
      </c>
      <c r="B32" s="31">
        <f>'03_Investitori'!B32</f>
        <v>0</v>
      </c>
      <c r="C32" s="32" t="str">
        <f>IF('03_Investitori'!D32="","",'03_Investitori'!D32)</f>
        <v/>
      </c>
      <c r="D32" s="37" t="str">
        <f>IF('03_Investitori'!C32="","",'03_Investitori'!C32)</f>
        <v/>
      </c>
      <c r="E32" s="10" t="str">
        <f>IF('03_Investitori'!H32="","",'03_Investitori'!H32)</f>
        <v/>
      </c>
      <c r="F32" s="33" t="str">
        <f>IF('03_Investitori'!J32="","",'03_Investitori'!J32)</f>
        <v/>
      </c>
      <c r="G32" s="41" t="str">
        <f>IF('03_Investitori'!C32="","",(DataOggi-'03_Investitori'!C32)/365.25)</f>
        <v/>
      </c>
      <c r="H32" s="34" t="str">
        <f>IF('03_Investitori'!I32="","",'03_Investitori'!I32)</f>
        <v/>
      </c>
      <c r="I32" s="26" t="str">
        <f t="shared" si="0"/>
        <v/>
      </c>
      <c r="J32" s="42" t="str">
        <f t="shared" si="1"/>
        <v/>
      </c>
      <c r="K32" s="11" t="str">
        <f t="shared" si="2"/>
        <v/>
      </c>
    </row>
    <row r="33" spans="1:11" x14ac:dyDescent="0.2">
      <c r="A33" s="32" t="str">
        <f>IF('03_Investitori'!B33="","",ROW()-4)</f>
        <v/>
      </c>
      <c r="B33" s="31">
        <f>'03_Investitori'!B33</f>
        <v>0</v>
      </c>
      <c r="C33" s="32" t="str">
        <f>IF('03_Investitori'!D33="","",'03_Investitori'!D33)</f>
        <v/>
      </c>
      <c r="D33" s="37" t="str">
        <f>IF('03_Investitori'!C33="","",'03_Investitori'!C33)</f>
        <v/>
      </c>
      <c r="E33" s="10" t="str">
        <f>IF('03_Investitori'!H33="","",'03_Investitori'!H33)</f>
        <v/>
      </c>
      <c r="F33" s="33" t="str">
        <f>IF('03_Investitori'!J33="","",'03_Investitori'!J33)</f>
        <v/>
      </c>
      <c r="G33" s="41" t="str">
        <f>IF('03_Investitori'!C33="","",(DataOggi-'03_Investitori'!C33)/365.25)</f>
        <v/>
      </c>
      <c r="H33" s="34" t="str">
        <f>IF('03_Investitori'!I33="","",'03_Investitori'!I33)</f>
        <v/>
      </c>
      <c r="I33" s="26" t="str">
        <f t="shared" si="0"/>
        <v/>
      </c>
      <c r="J33" s="42" t="str">
        <f t="shared" si="1"/>
        <v/>
      </c>
      <c r="K33" s="11" t="str">
        <f t="shared" si="2"/>
        <v/>
      </c>
    </row>
    <row r="34" spans="1:11" x14ac:dyDescent="0.2">
      <c r="A34" s="32" t="str">
        <f>IF('03_Investitori'!B34="","",ROW()-4)</f>
        <v/>
      </c>
      <c r="B34" s="31">
        <f>'03_Investitori'!B34</f>
        <v>0</v>
      </c>
      <c r="C34" s="32" t="str">
        <f>IF('03_Investitori'!D34="","",'03_Investitori'!D34)</f>
        <v/>
      </c>
      <c r="D34" s="37" t="str">
        <f>IF('03_Investitori'!C34="","",'03_Investitori'!C34)</f>
        <v/>
      </c>
      <c r="E34" s="10" t="str">
        <f>IF('03_Investitori'!H34="","",'03_Investitori'!H34)</f>
        <v/>
      </c>
      <c r="F34" s="33" t="str">
        <f>IF('03_Investitori'!J34="","",'03_Investitori'!J34)</f>
        <v/>
      </c>
      <c r="G34" s="41" t="str">
        <f>IF('03_Investitori'!C34="","",(DataOggi-'03_Investitori'!C34)/365.25)</f>
        <v/>
      </c>
      <c r="H34" s="34" t="str">
        <f>IF('03_Investitori'!I34="","",'03_Investitori'!I34)</f>
        <v/>
      </c>
      <c r="I34" s="26" t="str">
        <f t="shared" si="0"/>
        <v/>
      </c>
      <c r="J34" s="42" t="str">
        <f t="shared" si="1"/>
        <v/>
      </c>
      <c r="K34" s="11" t="str">
        <f t="shared" si="2"/>
        <v/>
      </c>
    </row>
    <row r="35" spans="1:11" x14ac:dyDescent="0.2">
      <c r="A35" s="32" t="str">
        <f>IF('03_Investitori'!B35="","",ROW()-4)</f>
        <v/>
      </c>
      <c r="B35" s="31">
        <f>'03_Investitori'!B35</f>
        <v>0</v>
      </c>
      <c r="C35" s="32" t="str">
        <f>IF('03_Investitori'!D35="","",'03_Investitori'!D35)</f>
        <v/>
      </c>
      <c r="D35" s="37" t="str">
        <f>IF('03_Investitori'!C35="","",'03_Investitori'!C35)</f>
        <v/>
      </c>
      <c r="E35" s="10" t="str">
        <f>IF('03_Investitori'!H35="","",'03_Investitori'!H35)</f>
        <v/>
      </c>
      <c r="F35" s="33" t="str">
        <f>IF('03_Investitori'!J35="","",'03_Investitori'!J35)</f>
        <v/>
      </c>
      <c r="G35" s="41" t="str">
        <f>IF('03_Investitori'!C35="","",(DataOggi-'03_Investitori'!C35)/365.25)</f>
        <v/>
      </c>
      <c r="H35" s="34" t="str">
        <f>IF('03_Investitori'!I35="","",'03_Investitori'!I35)</f>
        <v/>
      </c>
      <c r="I35" s="26" t="str">
        <f t="shared" si="0"/>
        <v/>
      </c>
      <c r="J35" s="42" t="str">
        <f t="shared" si="1"/>
        <v/>
      </c>
      <c r="K35" s="11" t="str">
        <f t="shared" si="2"/>
        <v/>
      </c>
    </row>
    <row r="36" spans="1:11" x14ac:dyDescent="0.2">
      <c r="A36" s="32" t="str">
        <f>IF('03_Investitori'!B36="","",ROW()-4)</f>
        <v/>
      </c>
      <c r="B36" s="31">
        <f>'03_Investitori'!B36</f>
        <v>0</v>
      </c>
      <c r="C36" s="32" t="str">
        <f>IF('03_Investitori'!D36="","",'03_Investitori'!D36)</f>
        <v/>
      </c>
      <c r="D36" s="37" t="str">
        <f>IF('03_Investitori'!C36="","",'03_Investitori'!C36)</f>
        <v/>
      </c>
      <c r="E36" s="10" t="str">
        <f>IF('03_Investitori'!H36="","",'03_Investitori'!H36)</f>
        <v/>
      </c>
      <c r="F36" s="33" t="str">
        <f>IF('03_Investitori'!J36="","",'03_Investitori'!J36)</f>
        <v/>
      </c>
      <c r="G36" s="41" t="str">
        <f>IF('03_Investitori'!C36="","",(DataOggi-'03_Investitori'!C36)/365.25)</f>
        <v/>
      </c>
      <c r="H36" s="34" t="str">
        <f>IF('03_Investitori'!I36="","",'03_Investitori'!I36)</f>
        <v/>
      </c>
      <c r="I36" s="26" t="str">
        <f t="shared" si="0"/>
        <v/>
      </c>
      <c r="J36" s="42" t="str">
        <f t="shared" si="1"/>
        <v/>
      </c>
      <c r="K36" s="11" t="str">
        <f t="shared" si="2"/>
        <v/>
      </c>
    </row>
    <row r="37" spans="1:11" x14ac:dyDescent="0.2">
      <c r="A37" s="32" t="str">
        <f>IF('03_Investitori'!B37="","",ROW()-4)</f>
        <v/>
      </c>
      <c r="B37" s="31">
        <f>'03_Investitori'!B37</f>
        <v>0</v>
      </c>
      <c r="C37" s="32" t="str">
        <f>IF('03_Investitori'!D37="","",'03_Investitori'!D37)</f>
        <v/>
      </c>
      <c r="D37" s="37" t="str">
        <f>IF('03_Investitori'!C37="","",'03_Investitori'!C37)</f>
        <v/>
      </c>
      <c r="E37" s="10" t="str">
        <f>IF('03_Investitori'!H37="","",'03_Investitori'!H37)</f>
        <v/>
      </c>
      <c r="F37" s="33" t="str">
        <f>IF('03_Investitori'!J37="","",'03_Investitori'!J37)</f>
        <v/>
      </c>
      <c r="G37" s="41" t="str">
        <f>IF('03_Investitori'!C37="","",(DataOggi-'03_Investitori'!C37)/365.25)</f>
        <v/>
      </c>
      <c r="H37" s="34" t="str">
        <f>IF('03_Investitori'!I37="","",'03_Investitori'!I37)</f>
        <v/>
      </c>
      <c r="I37" s="26" t="str">
        <f t="shared" ref="I37:I68" si="3">IF(F37="","",F37*NAVperUnit_Curr)</f>
        <v/>
      </c>
      <c r="J37" s="42" t="str">
        <f t="shared" ref="J37:J68" si="4">IFERROR(IF(E37=0,"",I37/E37),"")</f>
        <v/>
      </c>
      <c r="K37" s="11" t="str">
        <f t="shared" ref="K37:K68" si="5">IFERROR(IF(OR(E37="",E37=0,G37=0,G37=""),"",(I37/E37)^(1/G37)-1),"")</f>
        <v/>
      </c>
    </row>
    <row r="38" spans="1:11" x14ac:dyDescent="0.2">
      <c r="A38" s="32" t="str">
        <f>IF('03_Investitori'!B38="","",ROW()-4)</f>
        <v/>
      </c>
      <c r="B38" s="31">
        <f>'03_Investitori'!B38</f>
        <v>0</v>
      </c>
      <c r="C38" s="32" t="str">
        <f>IF('03_Investitori'!D38="","",'03_Investitori'!D38)</f>
        <v/>
      </c>
      <c r="D38" s="37" t="str">
        <f>IF('03_Investitori'!C38="","",'03_Investitori'!C38)</f>
        <v/>
      </c>
      <c r="E38" s="10" t="str">
        <f>IF('03_Investitori'!H38="","",'03_Investitori'!H38)</f>
        <v/>
      </c>
      <c r="F38" s="33" t="str">
        <f>IF('03_Investitori'!J38="","",'03_Investitori'!J38)</f>
        <v/>
      </c>
      <c r="G38" s="41" t="str">
        <f>IF('03_Investitori'!C38="","",(DataOggi-'03_Investitori'!C38)/365.25)</f>
        <v/>
      </c>
      <c r="H38" s="34" t="str">
        <f>IF('03_Investitori'!I38="","",'03_Investitori'!I38)</f>
        <v/>
      </c>
      <c r="I38" s="26" t="str">
        <f t="shared" si="3"/>
        <v/>
      </c>
      <c r="J38" s="42" t="str">
        <f t="shared" si="4"/>
        <v/>
      </c>
      <c r="K38" s="11" t="str">
        <f t="shared" si="5"/>
        <v/>
      </c>
    </row>
    <row r="39" spans="1:11" x14ac:dyDescent="0.2">
      <c r="A39" s="32" t="str">
        <f>IF('03_Investitori'!B39="","",ROW()-4)</f>
        <v/>
      </c>
      <c r="B39" s="31">
        <f>'03_Investitori'!B39</f>
        <v>0</v>
      </c>
      <c r="C39" s="32" t="str">
        <f>IF('03_Investitori'!D39="","",'03_Investitori'!D39)</f>
        <v/>
      </c>
      <c r="D39" s="37" t="str">
        <f>IF('03_Investitori'!C39="","",'03_Investitori'!C39)</f>
        <v/>
      </c>
      <c r="E39" s="10" t="str">
        <f>IF('03_Investitori'!H39="","",'03_Investitori'!H39)</f>
        <v/>
      </c>
      <c r="F39" s="33" t="str">
        <f>IF('03_Investitori'!J39="","",'03_Investitori'!J39)</f>
        <v/>
      </c>
      <c r="G39" s="41" t="str">
        <f>IF('03_Investitori'!C39="","",(DataOggi-'03_Investitori'!C39)/365.25)</f>
        <v/>
      </c>
      <c r="H39" s="34" t="str">
        <f>IF('03_Investitori'!I39="","",'03_Investitori'!I39)</f>
        <v/>
      </c>
      <c r="I39" s="26" t="str">
        <f t="shared" si="3"/>
        <v/>
      </c>
      <c r="J39" s="42" t="str">
        <f t="shared" si="4"/>
        <v/>
      </c>
      <c r="K39" s="11" t="str">
        <f t="shared" si="5"/>
        <v/>
      </c>
    </row>
    <row r="40" spans="1:11" x14ac:dyDescent="0.2">
      <c r="A40" s="32" t="str">
        <f>IF('03_Investitori'!B40="","",ROW()-4)</f>
        <v/>
      </c>
      <c r="B40" s="31">
        <f>'03_Investitori'!B40</f>
        <v>0</v>
      </c>
      <c r="C40" s="32" t="str">
        <f>IF('03_Investitori'!D40="","",'03_Investitori'!D40)</f>
        <v/>
      </c>
      <c r="D40" s="37" t="str">
        <f>IF('03_Investitori'!C40="","",'03_Investitori'!C40)</f>
        <v/>
      </c>
      <c r="E40" s="10" t="str">
        <f>IF('03_Investitori'!H40="","",'03_Investitori'!H40)</f>
        <v/>
      </c>
      <c r="F40" s="33" t="str">
        <f>IF('03_Investitori'!J40="","",'03_Investitori'!J40)</f>
        <v/>
      </c>
      <c r="G40" s="41" t="str">
        <f>IF('03_Investitori'!C40="","",(DataOggi-'03_Investitori'!C40)/365.25)</f>
        <v/>
      </c>
      <c r="H40" s="34" t="str">
        <f>IF('03_Investitori'!I40="","",'03_Investitori'!I40)</f>
        <v/>
      </c>
      <c r="I40" s="26" t="str">
        <f t="shared" si="3"/>
        <v/>
      </c>
      <c r="J40" s="42" t="str">
        <f t="shared" si="4"/>
        <v/>
      </c>
      <c r="K40" s="11" t="str">
        <f t="shared" si="5"/>
        <v/>
      </c>
    </row>
    <row r="41" spans="1:11" x14ac:dyDescent="0.2">
      <c r="A41" s="32" t="str">
        <f>IF('03_Investitori'!B41="","",ROW()-4)</f>
        <v/>
      </c>
      <c r="B41" s="31">
        <f>'03_Investitori'!B41</f>
        <v>0</v>
      </c>
      <c r="C41" s="32" t="str">
        <f>IF('03_Investitori'!D41="","",'03_Investitori'!D41)</f>
        <v/>
      </c>
      <c r="D41" s="37" t="str">
        <f>IF('03_Investitori'!C41="","",'03_Investitori'!C41)</f>
        <v/>
      </c>
      <c r="E41" s="10" t="str">
        <f>IF('03_Investitori'!H41="","",'03_Investitori'!H41)</f>
        <v/>
      </c>
      <c r="F41" s="33" t="str">
        <f>IF('03_Investitori'!J41="","",'03_Investitori'!J41)</f>
        <v/>
      </c>
      <c r="G41" s="41" t="str">
        <f>IF('03_Investitori'!C41="","",(DataOggi-'03_Investitori'!C41)/365.25)</f>
        <v/>
      </c>
      <c r="H41" s="34" t="str">
        <f>IF('03_Investitori'!I41="","",'03_Investitori'!I41)</f>
        <v/>
      </c>
      <c r="I41" s="26" t="str">
        <f t="shared" si="3"/>
        <v/>
      </c>
      <c r="J41" s="42" t="str">
        <f t="shared" si="4"/>
        <v/>
      </c>
      <c r="K41" s="11" t="str">
        <f t="shared" si="5"/>
        <v/>
      </c>
    </row>
    <row r="42" spans="1:11" x14ac:dyDescent="0.2">
      <c r="A42" s="32" t="str">
        <f>IF('03_Investitori'!B42="","",ROW()-4)</f>
        <v/>
      </c>
      <c r="B42" s="31">
        <f>'03_Investitori'!B42</f>
        <v>0</v>
      </c>
      <c r="C42" s="32" t="str">
        <f>IF('03_Investitori'!D42="","",'03_Investitori'!D42)</f>
        <v/>
      </c>
      <c r="D42" s="37" t="str">
        <f>IF('03_Investitori'!C42="","",'03_Investitori'!C42)</f>
        <v/>
      </c>
      <c r="E42" s="10" t="str">
        <f>IF('03_Investitori'!H42="","",'03_Investitori'!H42)</f>
        <v/>
      </c>
      <c r="F42" s="33" t="str">
        <f>IF('03_Investitori'!J42="","",'03_Investitori'!J42)</f>
        <v/>
      </c>
      <c r="G42" s="41" t="str">
        <f>IF('03_Investitori'!C42="","",(DataOggi-'03_Investitori'!C42)/365.25)</f>
        <v/>
      </c>
      <c r="H42" s="34" t="str">
        <f>IF('03_Investitori'!I42="","",'03_Investitori'!I42)</f>
        <v/>
      </c>
      <c r="I42" s="26" t="str">
        <f t="shared" si="3"/>
        <v/>
      </c>
      <c r="J42" s="42" t="str">
        <f t="shared" si="4"/>
        <v/>
      </c>
      <c r="K42" s="11" t="str">
        <f t="shared" si="5"/>
        <v/>
      </c>
    </row>
    <row r="43" spans="1:11" x14ac:dyDescent="0.2">
      <c r="A43" s="32" t="str">
        <f>IF('03_Investitori'!B43="","",ROW()-4)</f>
        <v/>
      </c>
      <c r="B43" s="31">
        <f>'03_Investitori'!B43</f>
        <v>0</v>
      </c>
      <c r="C43" s="32" t="str">
        <f>IF('03_Investitori'!D43="","",'03_Investitori'!D43)</f>
        <v/>
      </c>
      <c r="D43" s="37" t="str">
        <f>IF('03_Investitori'!C43="","",'03_Investitori'!C43)</f>
        <v/>
      </c>
      <c r="E43" s="10" t="str">
        <f>IF('03_Investitori'!H43="","",'03_Investitori'!H43)</f>
        <v/>
      </c>
      <c r="F43" s="33" t="str">
        <f>IF('03_Investitori'!J43="","",'03_Investitori'!J43)</f>
        <v/>
      </c>
      <c r="G43" s="41" t="str">
        <f>IF('03_Investitori'!C43="","",(DataOggi-'03_Investitori'!C43)/365.25)</f>
        <v/>
      </c>
      <c r="H43" s="34" t="str">
        <f>IF('03_Investitori'!I43="","",'03_Investitori'!I43)</f>
        <v/>
      </c>
      <c r="I43" s="26" t="str">
        <f t="shared" si="3"/>
        <v/>
      </c>
      <c r="J43" s="42" t="str">
        <f t="shared" si="4"/>
        <v/>
      </c>
      <c r="K43" s="11" t="str">
        <f t="shared" si="5"/>
        <v/>
      </c>
    </row>
    <row r="44" spans="1:11" x14ac:dyDescent="0.2">
      <c r="A44" s="32" t="str">
        <f>IF('03_Investitori'!B44="","",ROW()-4)</f>
        <v/>
      </c>
      <c r="B44" s="31">
        <f>'03_Investitori'!B44</f>
        <v>0</v>
      </c>
      <c r="C44" s="32" t="str">
        <f>IF('03_Investitori'!D44="","",'03_Investitori'!D44)</f>
        <v/>
      </c>
      <c r="D44" s="37" t="str">
        <f>IF('03_Investitori'!C44="","",'03_Investitori'!C44)</f>
        <v/>
      </c>
      <c r="E44" s="10" t="str">
        <f>IF('03_Investitori'!H44="","",'03_Investitori'!H44)</f>
        <v/>
      </c>
      <c r="F44" s="33" t="str">
        <f>IF('03_Investitori'!J44="","",'03_Investitori'!J44)</f>
        <v/>
      </c>
      <c r="G44" s="41" t="str">
        <f>IF('03_Investitori'!C44="","",(DataOggi-'03_Investitori'!C44)/365.25)</f>
        <v/>
      </c>
      <c r="H44" s="34" t="str">
        <f>IF('03_Investitori'!I44="","",'03_Investitori'!I44)</f>
        <v/>
      </c>
      <c r="I44" s="26" t="str">
        <f t="shared" si="3"/>
        <v/>
      </c>
      <c r="J44" s="42" t="str">
        <f t="shared" si="4"/>
        <v/>
      </c>
      <c r="K44" s="11" t="str">
        <f t="shared" si="5"/>
        <v/>
      </c>
    </row>
    <row r="45" spans="1:11" x14ac:dyDescent="0.2">
      <c r="A45" s="32" t="str">
        <f>IF('03_Investitori'!B45="","",ROW()-4)</f>
        <v/>
      </c>
      <c r="B45" s="31">
        <f>'03_Investitori'!B45</f>
        <v>0</v>
      </c>
      <c r="C45" s="32" t="str">
        <f>IF('03_Investitori'!D45="","",'03_Investitori'!D45)</f>
        <v/>
      </c>
      <c r="D45" s="37" t="str">
        <f>IF('03_Investitori'!C45="","",'03_Investitori'!C45)</f>
        <v/>
      </c>
      <c r="E45" s="10" t="str">
        <f>IF('03_Investitori'!H45="","",'03_Investitori'!H45)</f>
        <v/>
      </c>
      <c r="F45" s="33" t="str">
        <f>IF('03_Investitori'!J45="","",'03_Investitori'!J45)</f>
        <v/>
      </c>
      <c r="G45" s="41" t="str">
        <f>IF('03_Investitori'!C45="","",(DataOggi-'03_Investitori'!C45)/365.25)</f>
        <v/>
      </c>
      <c r="H45" s="34" t="str">
        <f>IF('03_Investitori'!I45="","",'03_Investitori'!I45)</f>
        <v/>
      </c>
      <c r="I45" s="26" t="str">
        <f t="shared" si="3"/>
        <v/>
      </c>
      <c r="J45" s="42" t="str">
        <f t="shared" si="4"/>
        <v/>
      </c>
      <c r="K45" s="11" t="str">
        <f t="shared" si="5"/>
        <v/>
      </c>
    </row>
    <row r="46" spans="1:11" x14ac:dyDescent="0.2">
      <c r="A46" s="32" t="str">
        <f>IF('03_Investitori'!B46="","",ROW()-4)</f>
        <v/>
      </c>
      <c r="B46" s="31">
        <f>'03_Investitori'!B46</f>
        <v>0</v>
      </c>
      <c r="C46" s="32" t="str">
        <f>IF('03_Investitori'!D46="","",'03_Investitori'!D46)</f>
        <v/>
      </c>
      <c r="D46" s="37" t="str">
        <f>IF('03_Investitori'!C46="","",'03_Investitori'!C46)</f>
        <v/>
      </c>
      <c r="E46" s="10" t="str">
        <f>IF('03_Investitori'!H46="","",'03_Investitori'!H46)</f>
        <v/>
      </c>
      <c r="F46" s="33" t="str">
        <f>IF('03_Investitori'!J46="","",'03_Investitori'!J46)</f>
        <v/>
      </c>
      <c r="G46" s="41" t="str">
        <f>IF('03_Investitori'!C46="","",(DataOggi-'03_Investitori'!C46)/365.25)</f>
        <v/>
      </c>
      <c r="H46" s="34" t="str">
        <f>IF('03_Investitori'!I46="","",'03_Investitori'!I46)</f>
        <v/>
      </c>
      <c r="I46" s="26" t="str">
        <f t="shared" si="3"/>
        <v/>
      </c>
      <c r="J46" s="42" t="str">
        <f t="shared" si="4"/>
        <v/>
      </c>
      <c r="K46" s="11" t="str">
        <f t="shared" si="5"/>
        <v/>
      </c>
    </row>
    <row r="47" spans="1:11" x14ac:dyDescent="0.2">
      <c r="A47" s="32" t="str">
        <f>IF('03_Investitori'!B47="","",ROW()-4)</f>
        <v/>
      </c>
      <c r="B47" s="31">
        <f>'03_Investitori'!B47</f>
        <v>0</v>
      </c>
      <c r="C47" s="32" t="str">
        <f>IF('03_Investitori'!D47="","",'03_Investitori'!D47)</f>
        <v/>
      </c>
      <c r="D47" s="37" t="str">
        <f>IF('03_Investitori'!C47="","",'03_Investitori'!C47)</f>
        <v/>
      </c>
      <c r="E47" s="10" t="str">
        <f>IF('03_Investitori'!H47="","",'03_Investitori'!H47)</f>
        <v/>
      </c>
      <c r="F47" s="33" t="str">
        <f>IF('03_Investitori'!J47="","",'03_Investitori'!J47)</f>
        <v/>
      </c>
      <c r="G47" s="41" t="str">
        <f>IF('03_Investitori'!C47="","",(DataOggi-'03_Investitori'!C47)/365.25)</f>
        <v/>
      </c>
      <c r="H47" s="34" t="str">
        <f>IF('03_Investitori'!I47="","",'03_Investitori'!I47)</f>
        <v/>
      </c>
      <c r="I47" s="26" t="str">
        <f t="shared" si="3"/>
        <v/>
      </c>
      <c r="J47" s="42" t="str">
        <f t="shared" si="4"/>
        <v/>
      </c>
      <c r="K47" s="11" t="str">
        <f t="shared" si="5"/>
        <v/>
      </c>
    </row>
    <row r="48" spans="1:11" x14ac:dyDescent="0.2">
      <c r="A48" s="32" t="str">
        <f>IF('03_Investitori'!B48="","",ROW()-4)</f>
        <v/>
      </c>
      <c r="B48" s="31">
        <f>'03_Investitori'!B48</f>
        <v>0</v>
      </c>
      <c r="C48" s="32" t="str">
        <f>IF('03_Investitori'!D48="","",'03_Investitori'!D48)</f>
        <v/>
      </c>
      <c r="D48" s="37" t="str">
        <f>IF('03_Investitori'!C48="","",'03_Investitori'!C48)</f>
        <v/>
      </c>
      <c r="E48" s="10" t="str">
        <f>IF('03_Investitori'!H48="","",'03_Investitori'!H48)</f>
        <v/>
      </c>
      <c r="F48" s="33" t="str">
        <f>IF('03_Investitori'!J48="","",'03_Investitori'!J48)</f>
        <v/>
      </c>
      <c r="G48" s="41" t="str">
        <f>IF('03_Investitori'!C48="","",(DataOggi-'03_Investitori'!C48)/365.25)</f>
        <v/>
      </c>
      <c r="H48" s="34" t="str">
        <f>IF('03_Investitori'!I48="","",'03_Investitori'!I48)</f>
        <v/>
      </c>
      <c r="I48" s="26" t="str">
        <f t="shared" si="3"/>
        <v/>
      </c>
      <c r="J48" s="42" t="str">
        <f t="shared" si="4"/>
        <v/>
      </c>
      <c r="K48" s="11" t="str">
        <f t="shared" si="5"/>
        <v/>
      </c>
    </row>
    <row r="49" spans="1:11" x14ac:dyDescent="0.2">
      <c r="A49" s="32" t="str">
        <f>IF('03_Investitori'!B49="","",ROW()-4)</f>
        <v/>
      </c>
      <c r="B49" s="31">
        <f>'03_Investitori'!B49</f>
        <v>0</v>
      </c>
      <c r="C49" s="32" t="str">
        <f>IF('03_Investitori'!D49="","",'03_Investitori'!D49)</f>
        <v/>
      </c>
      <c r="D49" s="37" t="str">
        <f>IF('03_Investitori'!C49="","",'03_Investitori'!C49)</f>
        <v/>
      </c>
      <c r="E49" s="10" t="str">
        <f>IF('03_Investitori'!H49="","",'03_Investitori'!H49)</f>
        <v/>
      </c>
      <c r="F49" s="33" t="str">
        <f>IF('03_Investitori'!J49="","",'03_Investitori'!J49)</f>
        <v/>
      </c>
      <c r="G49" s="41" t="str">
        <f>IF('03_Investitori'!C49="","",(DataOggi-'03_Investitori'!C49)/365.25)</f>
        <v/>
      </c>
      <c r="H49" s="34" t="str">
        <f>IF('03_Investitori'!I49="","",'03_Investitori'!I49)</f>
        <v/>
      </c>
      <c r="I49" s="26" t="str">
        <f t="shared" si="3"/>
        <v/>
      </c>
      <c r="J49" s="42" t="str">
        <f t="shared" si="4"/>
        <v/>
      </c>
      <c r="K49" s="11" t="str">
        <f t="shared" si="5"/>
        <v/>
      </c>
    </row>
    <row r="50" spans="1:11" x14ac:dyDescent="0.2">
      <c r="A50" s="32" t="str">
        <f>IF('03_Investitori'!B50="","",ROW()-4)</f>
        <v/>
      </c>
      <c r="B50" s="31">
        <f>'03_Investitori'!B50</f>
        <v>0</v>
      </c>
      <c r="C50" s="32" t="str">
        <f>IF('03_Investitori'!D50="","",'03_Investitori'!D50)</f>
        <v/>
      </c>
      <c r="D50" s="37" t="str">
        <f>IF('03_Investitori'!C50="","",'03_Investitori'!C50)</f>
        <v/>
      </c>
      <c r="E50" s="10" t="str">
        <f>IF('03_Investitori'!H50="","",'03_Investitori'!H50)</f>
        <v/>
      </c>
      <c r="F50" s="33" t="str">
        <f>IF('03_Investitori'!J50="","",'03_Investitori'!J50)</f>
        <v/>
      </c>
      <c r="G50" s="41" t="str">
        <f>IF('03_Investitori'!C50="","",(DataOggi-'03_Investitori'!C50)/365.25)</f>
        <v/>
      </c>
      <c r="H50" s="34" t="str">
        <f>IF('03_Investitori'!I50="","",'03_Investitori'!I50)</f>
        <v/>
      </c>
      <c r="I50" s="26" t="str">
        <f t="shared" si="3"/>
        <v/>
      </c>
      <c r="J50" s="42" t="str">
        <f t="shared" si="4"/>
        <v/>
      </c>
      <c r="K50" s="11" t="str">
        <f t="shared" si="5"/>
        <v/>
      </c>
    </row>
    <row r="51" spans="1:11" x14ac:dyDescent="0.2">
      <c r="A51" s="32" t="str">
        <f>IF('03_Investitori'!B51="","",ROW()-4)</f>
        <v/>
      </c>
      <c r="B51" s="31">
        <f>'03_Investitori'!B51</f>
        <v>0</v>
      </c>
      <c r="C51" s="32" t="str">
        <f>IF('03_Investitori'!D51="","",'03_Investitori'!D51)</f>
        <v/>
      </c>
      <c r="D51" s="37" t="str">
        <f>IF('03_Investitori'!C51="","",'03_Investitori'!C51)</f>
        <v/>
      </c>
      <c r="E51" s="10" t="str">
        <f>IF('03_Investitori'!H51="","",'03_Investitori'!H51)</f>
        <v/>
      </c>
      <c r="F51" s="33" t="str">
        <f>IF('03_Investitori'!J51="","",'03_Investitori'!J51)</f>
        <v/>
      </c>
      <c r="G51" s="41" t="str">
        <f>IF('03_Investitori'!C51="","",(DataOggi-'03_Investitori'!C51)/365.25)</f>
        <v/>
      </c>
      <c r="H51" s="34" t="str">
        <f>IF('03_Investitori'!I51="","",'03_Investitori'!I51)</f>
        <v/>
      </c>
      <c r="I51" s="26" t="str">
        <f t="shared" si="3"/>
        <v/>
      </c>
      <c r="J51" s="42" t="str">
        <f t="shared" si="4"/>
        <v/>
      </c>
      <c r="K51" s="11" t="str">
        <f t="shared" si="5"/>
        <v/>
      </c>
    </row>
    <row r="52" spans="1:11" x14ac:dyDescent="0.2">
      <c r="A52" s="32" t="str">
        <f>IF('03_Investitori'!B52="","",ROW()-4)</f>
        <v/>
      </c>
      <c r="B52" s="31">
        <f>'03_Investitori'!B52</f>
        <v>0</v>
      </c>
      <c r="C52" s="32" t="str">
        <f>IF('03_Investitori'!D52="","",'03_Investitori'!D52)</f>
        <v/>
      </c>
      <c r="D52" s="37" t="str">
        <f>IF('03_Investitori'!C52="","",'03_Investitori'!C52)</f>
        <v/>
      </c>
      <c r="E52" s="10" t="str">
        <f>IF('03_Investitori'!H52="","",'03_Investitori'!H52)</f>
        <v/>
      </c>
      <c r="F52" s="33" t="str">
        <f>IF('03_Investitori'!J52="","",'03_Investitori'!J52)</f>
        <v/>
      </c>
      <c r="G52" s="41" t="str">
        <f>IF('03_Investitori'!C52="","",(DataOggi-'03_Investitori'!C52)/365.25)</f>
        <v/>
      </c>
      <c r="H52" s="34" t="str">
        <f>IF('03_Investitori'!I52="","",'03_Investitori'!I52)</f>
        <v/>
      </c>
      <c r="I52" s="26" t="str">
        <f t="shared" si="3"/>
        <v/>
      </c>
      <c r="J52" s="42" t="str">
        <f t="shared" si="4"/>
        <v/>
      </c>
      <c r="K52" s="11" t="str">
        <f t="shared" si="5"/>
        <v/>
      </c>
    </row>
    <row r="53" spans="1:11" x14ac:dyDescent="0.2">
      <c r="A53" s="32" t="str">
        <f>IF('03_Investitori'!B53="","",ROW()-4)</f>
        <v/>
      </c>
      <c r="B53" s="31">
        <f>'03_Investitori'!B53</f>
        <v>0</v>
      </c>
      <c r="C53" s="32" t="str">
        <f>IF('03_Investitori'!D53="","",'03_Investitori'!D53)</f>
        <v/>
      </c>
      <c r="D53" s="37" t="str">
        <f>IF('03_Investitori'!C53="","",'03_Investitori'!C53)</f>
        <v/>
      </c>
      <c r="E53" s="10" t="str">
        <f>IF('03_Investitori'!H53="","",'03_Investitori'!H53)</f>
        <v/>
      </c>
      <c r="F53" s="33" t="str">
        <f>IF('03_Investitori'!J53="","",'03_Investitori'!J53)</f>
        <v/>
      </c>
      <c r="G53" s="41" t="str">
        <f>IF('03_Investitori'!C53="","",(DataOggi-'03_Investitori'!C53)/365.25)</f>
        <v/>
      </c>
      <c r="H53" s="34" t="str">
        <f>IF('03_Investitori'!I53="","",'03_Investitori'!I53)</f>
        <v/>
      </c>
      <c r="I53" s="26" t="str">
        <f t="shared" si="3"/>
        <v/>
      </c>
      <c r="J53" s="42" t="str">
        <f t="shared" si="4"/>
        <v/>
      </c>
      <c r="K53" s="11" t="str">
        <f t="shared" si="5"/>
        <v/>
      </c>
    </row>
    <row r="54" spans="1:11" x14ac:dyDescent="0.2">
      <c r="A54" s="32" t="str">
        <f>IF('03_Investitori'!B54="","",ROW()-4)</f>
        <v/>
      </c>
      <c r="B54" s="31">
        <f>'03_Investitori'!B54</f>
        <v>0</v>
      </c>
      <c r="C54" s="32" t="str">
        <f>IF('03_Investitori'!D54="","",'03_Investitori'!D54)</f>
        <v/>
      </c>
      <c r="D54" s="37" t="str">
        <f>IF('03_Investitori'!C54="","",'03_Investitori'!C54)</f>
        <v/>
      </c>
      <c r="E54" s="10" t="str">
        <f>IF('03_Investitori'!H54="","",'03_Investitori'!H54)</f>
        <v/>
      </c>
      <c r="F54" s="33" t="str">
        <f>IF('03_Investitori'!J54="","",'03_Investitori'!J54)</f>
        <v/>
      </c>
      <c r="G54" s="41" t="str">
        <f>IF('03_Investitori'!C54="","",(DataOggi-'03_Investitori'!C54)/365.25)</f>
        <v/>
      </c>
      <c r="H54" s="34" t="str">
        <f>IF('03_Investitori'!I54="","",'03_Investitori'!I54)</f>
        <v/>
      </c>
      <c r="I54" s="26" t="str">
        <f t="shared" si="3"/>
        <v/>
      </c>
      <c r="J54" s="42" t="str">
        <f t="shared" si="4"/>
        <v/>
      </c>
      <c r="K54" s="11" t="str">
        <f t="shared" si="5"/>
        <v/>
      </c>
    </row>
    <row r="55" spans="1:11" x14ac:dyDescent="0.2">
      <c r="A55" s="32" t="str">
        <f>IF('03_Investitori'!B55="","",ROW()-4)</f>
        <v/>
      </c>
      <c r="B55" s="31">
        <f>'03_Investitori'!B55</f>
        <v>0</v>
      </c>
      <c r="C55" s="32" t="str">
        <f>IF('03_Investitori'!D55="","",'03_Investitori'!D55)</f>
        <v/>
      </c>
      <c r="D55" s="37" t="str">
        <f>IF('03_Investitori'!C55="","",'03_Investitori'!C55)</f>
        <v/>
      </c>
      <c r="E55" s="10" t="str">
        <f>IF('03_Investitori'!H55="","",'03_Investitori'!H55)</f>
        <v/>
      </c>
      <c r="F55" s="33" t="str">
        <f>IF('03_Investitori'!J55="","",'03_Investitori'!J55)</f>
        <v/>
      </c>
      <c r="G55" s="41" t="str">
        <f>IF('03_Investitori'!C55="","",(DataOggi-'03_Investitori'!C55)/365.25)</f>
        <v/>
      </c>
      <c r="H55" s="34" t="str">
        <f>IF('03_Investitori'!I55="","",'03_Investitori'!I55)</f>
        <v/>
      </c>
      <c r="I55" s="26" t="str">
        <f t="shared" si="3"/>
        <v/>
      </c>
      <c r="J55" s="42" t="str">
        <f t="shared" si="4"/>
        <v/>
      </c>
      <c r="K55" s="11" t="str">
        <f t="shared" si="5"/>
        <v/>
      </c>
    </row>
    <row r="56" spans="1:11" x14ac:dyDescent="0.2">
      <c r="A56" s="32" t="str">
        <f>IF('03_Investitori'!B56="","",ROW()-4)</f>
        <v/>
      </c>
      <c r="B56" s="31">
        <f>'03_Investitori'!B56</f>
        <v>0</v>
      </c>
      <c r="C56" s="32" t="str">
        <f>IF('03_Investitori'!D56="","",'03_Investitori'!D56)</f>
        <v/>
      </c>
      <c r="D56" s="37" t="str">
        <f>IF('03_Investitori'!C56="","",'03_Investitori'!C56)</f>
        <v/>
      </c>
      <c r="E56" s="10" t="str">
        <f>IF('03_Investitori'!H56="","",'03_Investitori'!H56)</f>
        <v/>
      </c>
      <c r="F56" s="33" t="str">
        <f>IF('03_Investitori'!J56="","",'03_Investitori'!J56)</f>
        <v/>
      </c>
      <c r="G56" s="41" t="str">
        <f>IF('03_Investitori'!C56="","",(DataOggi-'03_Investitori'!C56)/365.25)</f>
        <v/>
      </c>
      <c r="H56" s="34" t="str">
        <f>IF('03_Investitori'!I56="","",'03_Investitori'!I56)</f>
        <v/>
      </c>
      <c r="I56" s="26" t="str">
        <f t="shared" si="3"/>
        <v/>
      </c>
      <c r="J56" s="42" t="str">
        <f t="shared" si="4"/>
        <v/>
      </c>
      <c r="K56" s="11" t="str">
        <f t="shared" si="5"/>
        <v/>
      </c>
    </row>
    <row r="57" spans="1:11" x14ac:dyDescent="0.2">
      <c r="A57" s="32" t="str">
        <f>IF('03_Investitori'!B57="","",ROW()-4)</f>
        <v/>
      </c>
      <c r="B57" s="31">
        <f>'03_Investitori'!B57</f>
        <v>0</v>
      </c>
      <c r="C57" s="32" t="str">
        <f>IF('03_Investitori'!D57="","",'03_Investitori'!D57)</f>
        <v/>
      </c>
      <c r="D57" s="37" t="str">
        <f>IF('03_Investitori'!C57="","",'03_Investitori'!C57)</f>
        <v/>
      </c>
      <c r="E57" s="10" t="str">
        <f>IF('03_Investitori'!H57="","",'03_Investitori'!H57)</f>
        <v/>
      </c>
      <c r="F57" s="33" t="str">
        <f>IF('03_Investitori'!J57="","",'03_Investitori'!J57)</f>
        <v/>
      </c>
      <c r="G57" s="41" t="str">
        <f>IF('03_Investitori'!C57="","",(DataOggi-'03_Investitori'!C57)/365.25)</f>
        <v/>
      </c>
      <c r="H57" s="34" t="str">
        <f>IF('03_Investitori'!I57="","",'03_Investitori'!I57)</f>
        <v/>
      </c>
      <c r="I57" s="26" t="str">
        <f t="shared" si="3"/>
        <v/>
      </c>
      <c r="J57" s="42" t="str">
        <f t="shared" si="4"/>
        <v/>
      </c>
      <c r="K57" s="11" t="str">
        <f t="shared" si="5"/>
        <v/>
      </c>
    </row>
    <row r="58" spans="1:11" x14ac:dyDescent="0.2">
      <c r="A58" s="32" t="str">
        <f>IF('03_Investitori'!B58="","",ROW()-4)</f>
        <v/>
      </c>
      <c r="B58" s="31">
        <f>'03_Investitori'!B58</f>
        <v>0</v>
      </c>
      <c r="C58" s="32" t="str">
        <f>IF('03_Investitori'!D58="","",'03_Investitori'!D58)</f>
        <v/>
      </c>
      <c r="D58" s="37" t="str">
        <f>IF('03_Investitori'!C58="","",'03_Investitori'!C58)</f>
        <v/>
      </c>
      <c r="E58" s="10" t="str">
        <f>IF('03_Investitori'!H58="","",'03_Investitori'!H58)</f>
        <v/>
      </c>
      <c r="F58" s="33" t="str">
        <f>IF('03_Investitori'!J58="","",'03_Investitori'!J58)</f>
        <v/>
      </c>
      <c r="G58" s="41" t="str">
        <f>IF('03_Investitori'!C58="","",(DataOggi-'03_Investitori'!C58)/365.25)</f>
        <v/>
      </c>
      <c r="H58" s="34" t="str">
        <f>IF('03_Investitori'!I58="","",'03_Investitori'!I58)</f>
        <v/>
      </c>
      <c r="I58" s="26" t="str">
        <f t="shared" si="3"/>
        <v/>
      </c>
      <c r="J58" s="42" t="str">
        <f t="shared" si="4"/>
        <v/>
      </c>
      <c r="K58" s="11" t="str">
        <f t="shared" si="5"/>
        <v/>
      </c>
    </row>
    <row r="59" spans="1:11" x14ac:dyDescent="0.2">
      <c r="A59" s="32" t="str">
        <f>IF('03_Investitori'!B59="","",ROW()-4)</f>
        <v/>
      </c>
      <c r="B59" s="31">
        <f>'03_Investitori'!B59</f>
        <v>0</v>
      </c>
      <c r="C59" s="32" t="str">
        <f>IF('03_Investitori'!D59="","",'03_Investitori'!D59)</f>
        <v/>
      </c>
      <c r="D59" s="37" t="str">
        <f>IF('03_Investitori'!C59="","",'03_Investitori'!C59)</f>
        <v/>
      </c>
      <c r="E59" s="10" t="str">
        <f>IF('03_Investitori'!H59="","",'03_Investitori'!H59)</f>
        <v/>
      </c>
      <c r="F59" s="33" t="str">
        <f>IF('03_Investitori'!J59="","",'03_Investitori'!J59)</f>
        <v/>
      </c>
      <c r="G59" s="41" t="str">
        <f>IF('03_Investitori'!C59="","",(DataOggi-'03_Investitori'!C59)/365.25)</f>
        <v/>
      </c>
      <c r="H59" s="34" t="str">
        <f>IF('03_Investitori'!I59="","",'03_Investitori'!I59)</f>
        <v/>
      </c>
      <c r="I59" s="26" t="str">
        <f t="shared" si="3"/>
        <v/>
      </c>
      <c r="J59" s="42" t="str">
        <f t="shared" si="4"/>
        <v/>
      </c>
      <c r="K59" s="11" t="str">
        <f t="shared" si="5"/>
        <v/>
      </c>
    </row>
    <row r="60" spans="1:11" x14ac:dyDescent="0.2">
      <c r="A60" s="32" t="str">
        <f>IF('03_Investitori'!B60="","",ROW()-4)</f>
        <v/>
      </c>
      <c r="B60" s="31">
        <f>'03_Investitori'!B60</f>
        <v>0</v>
      </c>
      <c r="C60" s="32" t="str">
        <f>IF('03_Investitori'!D60="","",'03_Investitori'!D60)</f>
        <v/>
      </c>
      <c r="D60" s="37" t="str">
        <f>IF('03_Investitori'!C60="","",'03_Investitori'!C60)</f>
        <v/>
      </c>
      <c r="E60" s="10" t="str">
        <f>IF('03_Investitori'!H60="","",'03_Investitori'!H60)</f>
        <v/>
      </c>
      <c r="F60" s="33" t="str">
        <f>IF('03_Investitori'!J60="","",'03_Investitori'!J60)</f>
        <v/>
      </c>
      <c r="G60" s="41" t="str">
        <f>IF('03_Investitori'!C60="","",(DataOggi-'03_Investitori'!C60)/365.25)</f>
        <v/>
      </c>
      <c r="H60" s="34" t="str">
        <f>IF('03_Investitori'!I60="","",'03_Investitori'!I60)</f>
        <v/>
      </c>
      <c r="I60" s="26" t="str">
        <f t="shared" si="3"/>
        <v/>
      </c>
      <c r="J60" s="42" t="str">
        <f t="shared" si="4"/>
        <v/>
      </c>
      <c r="K60" s="11" t="str">
        <f t="shared" si="5"/>
        <v/>
      </c>
    </row>
    <row r="61" spans="1:11" x14ac:dyDescent="0.2">
      <c r="A61" s="32" t="str">
        <f>IF('03_Investitori'!B61="","",ROW()-4)</f>
        <v/>
      </c>
      <c r="B61" s="31">
        <f>'03_Investitori'!B61</f>
        <v>0</v>
      </c>
      <c r="C61" s="32" t="str">
        <f>IF('03_Investitori'!D61="","",'03_Investitori'!D61)</f>
        <v/>
      </c>
      <c r="D61" s="37" t="str">
        <f>IF('03_Investitori'!C61="","",'03_Investitori'!C61)</f>
        <v/>
      </c>
      <c r="E61" s="10" t="str">
        <f>IF('03_Investitori'!H61="","",'03_Investitori'!H61)</f>
        <v/>
      </c>
      <c r="F61" s="33" t="str">
        <f>IF('03_Investitori'!J61="","",'03_Investitori'!J61)</f>
        <v/>
      </c>
      <c r="G61" s="41" t="str">
        <f>IF('03_Investitori'!C61="","",(DataOggi-'03_Investitori'!C61)/365.25)</f>
        <v/>
      </c>
      <c r="H61" s="34" t="str">
        <f>IF('03_Investitori'!I61="","",'03_Investitori'!I61)</f>
        <v/>
      </c>
      <c r="I61" s="26" t="str">
        <f t="shared" si="3"/>
        <v/>
      </c>
      <c r="J61" s="42" t="str">
        <f t="shared" si="4"/>
        <v/>
      </c>
      <c r="K61" s="11" t="str">
        <f t="shared" si="5"/>
        <v/>
      </c>
    </row>
    <row r="62" spans="1:11" x14ac:dyDescent="0.2">
      <c r="A62" s="32" t="str">
        <f>IF('03_Investitori'!B62="","",ROW()-4)</f>
        <v/>
      </c>
      <c r="B62" s="31">
        <f>'03_Investitori'!B62</f>
        <v>0</v>
      </c>
      <c r="C62" s="32" t="str">
        <f>IF('03_Investitori'!D62="","",'03_Investitori'!D62)</f>
        <v/>
      </c>
      <c r="D62" s="37" t="str">
        <f>IF('03_Investitori'!C62="","",'03_Investitori'!C62)</f>
        <v/>
      </c>
      <c r="E62" s="10" t="str">
        <f>IF('03_Investitori'!H62="","",'03_Investitori'!H62)</f>
        <v/>
      </c>
      <c r="F62" s="33" t="str">
        <f>IF('03_Investitori'!J62="","",'03_Investitori'!J62)</f>
        <v/>
      </c>
      <c r="G62" s="41" t="str">
        <f>IF('03_Investitori'!C62="","",(DataOggi-'03_Investitori'!C62)/365.25)</f>
        <v/>
      </c>
      <c r="H62" s="34" t="str">
        <f>IF('03_Investitori'!I62="","",'03_Investitori'!I62)</f>
        <v/>
      </c>
      <c r="I62" s="26" t="str">
        <f t="shared" si="3"/>
        <v/>
      </c>
      <c r="J62" s="42" t="str">
        <f t="shared" si="4"/>
        <v/>
      </c>
      <c r="K62" s="11" t="str">
        <f t="shared" si="5"/>
        <v/>
      </c>
    </row>
    <row r="63" spans="1:11" x14ac:dyDescent="0.2">
      <c r="A63" s="32" t="str">
        <f>IF('03_Investitori'!B63="","",ROW()-4)</f>
        <v/>
      </c>
      <c r="B63" s="31">
        <f>'03_Investitori'!B63</f>
        <v>0</v>
      </c>
      <c r="C63" s="32" t="str">
        <f>IF('03_Investitori'!D63="","",'03_Investitori'!D63)</f>
        <v/>
      </c>
      <c r="D63" s="37" t="str">
        <f>IF('03_Investitori'!C63="","",'03_Investitori'!C63)</f>
        <v/>
      </c>
      <c r="E63" s="10" t="str">
        <f>IF('03_Investitori'!H63="","",'03_Investitori'!H63)</f>
        <v/>
      </c>
      <c r="F63" s="33" t="str">
        <f>IF('03_Investitori'!J63="","",'03_Investitori'!J63)</f>
        <v/>
      </c>
      <c r="G63" s="41" t="str">
        <f>IF('03_Investitori'!C63="","",(DataOggi-'03_Investitori'!C63)/365.25)</f>
        <v/>
      </c>
      <c r="H63" s="34" t="str">
        <f>IF('03_Investitori'!I63="","",'03_Investitori'!I63)</f>
        <v/>
      </c>
      <c r="I63" s="26" t="str">
        <f t="shared" si="3"/>
        <v/>
      </c>
      <c r="J63" s="42" t="str">
        <f t="shared" si="4"/>
        <v/>
      </c>
      <c r="K63" s="11" t="str">
        <f t="shared" si="5"/>
        <v/>
      </c>
    </row>
    <row r="64" spans="1:11" x14ac:dyDescent="0.2">
      <c r="A64" s="32" t="str">
        <f>IF('03_Investitori'!B64="","",ROW()-4)</f>
        <v/>
      </c>
      <c r="B64" s="31">
        <f>'03_Investitori'!B64</f>
        <v>0</v>
      </c>
      <c r="C64" s="32" t="str">
        <f>IF('03_Investitori'!D64="","",'03_Investitori'!D64)</f>
        <v/>
      </c>
      <c r="D64" s="37" t="str">
        <f>IF('03_Investitori'!C64="","",'03_Investitori'!C64)</f>
        <v/>
      </c>
      <c r="E64" s="10" t="str">
        <f>IF('03_Investitori'!H64="","",'03_Investitori'!H64)</f>
        <v/>
      </c>
      <c r="F64" s="33" t="str">
        <f>IF('03_Investitori'!J64="","",'03_Investitori'!J64)</f>
        <v/>
      </c>
      <c r="G64" s="41" t="str">
        <f>IF('03_Investitori'!C64="","",(DataOggi-'03_Investitori'!C64)/365.25)</f>
        <v/>
      </c>
      <c r="H64" s="34" t="str">
        <f>IF('03_Investitori'!I64="","",'03_Investitori'!I64)</f>
        <v/>
      </c>
      <c r="I64" s="26" t="str">
        <f t="shared" si="3"/>
        <v/>
      </c>
      <c r="J64" s="42" t="str">
        <f t="shared" si="4"/>
        <v/>
      </c>
      <c r="K64" s="11" t="str">
        <f t="shared" si="5"/>
        <v/>
      </c>
    </row>
    <row r="65" spans="1:11" x14ac:dyDescent="0.2">
      <c r="A65" s="32" t="str">
        <f>IF('03_Investitori'!B65="","",ROW()-4)</f>
        <v/>
      </c>
      <c r="B65" s="31">
        <f>'03_Investitori'!B65</f>
        <v>0</v>
      </c>
      <c r="C65" s="32" t="str">
        <f>IF('03_Investitori'!D65="","",'03_Investitori'!D65)</f>
        <v/>
      </c>
      <c r="D65" s="37" t="str">
        <f>IF('03_Investitori'!C65="","",'03_Investitori'!C65)</f>
        <v/>
      </c>
      <c r="E65" s="10" t="str">
        <f>IF('03_Investitori'!H65="","",'03_Investitori'!H65)</f>
        <v/>
      </c>
      <c r="F65" s="33" t="str">
        <f>IF('03_Investitori'!J65="","",'03_Investitori'!J65)</f>
        <v/>
      </c>
      <c r="G65" s="41" t="str">
        <f>IF('03_Investitori'!C65="","",(DataOggi-'03_Investitori'!C65)/365.25)</f>
        <v/>
      </c>
      <c r="H65" s="34" t="str">
        <f>IF('03_Investitori'!I65="","",'03_Investitori'!I65)</f>
        <v/>
      </c>
      <c r="I65" s="26" t="str">
        <f t="shared" si="3"/>
        <v/>
      </c>
      <c r="J65" s="42" t="str">
        <f t="shared" si="4"/>
        <v/>
      </c>
      <c r="K65" s="11" t="str">
        <f t="shared" si="5"/>
        <v/>
      </c>
    </row>
    <row r="66" spans="1:11" x14ac:dyDescent="0.2">
      <c r="A66" s="32" t="str">
        <f>IF('03_Investitori'!B66="","",ROW()-4)</f>
        <v/>
      </c>
      <c r="B66" s="31">
        <f>'03_Investitori'!B66</f>
        <v>0</v>
      </c>
      <c r="C66" s="32" t="str">
        <f>IF('03_Investitori'!D66="","",'03_Investitori'!D66)</f>
        <v/>
      </c>
      <c r="D66" s="37" t="str">
        <f>IF('03_Investitori'!C66="","",'03_Investitori'!C66)</f>
        <v/>
      </c>
      <c r="E66" s="10" t="str">
        <f>IF('03_Investitori'!H66="","",'03_Investitori'!H66)</f>
        <v/>
      </c>
      <c r="F66" s="33" t="str">
        <f>IF('03_Investitori'!J66="","",'03_Investitori'!J66)</f>
        <v/>
      </c>
      <c r="G66" s="41" t="str">
        <f>IF('03_Investitori'!C66="","",(DataOggi-'03_Investitori'!C66)/365.25)</f>
        <v/>
      </c>
      <c r="H66" s="34" t="str">
        <f>IF('03_Investitori'!I66="","",'03_Investitori'!I66)</f>
        <v/>
      </c>
      <c r="I66" s="26" t="str">
        <f t="shared" si="3"/>
        <v/>
      </c>
      <c r="J66" s="42" t="str">
        <f t="shared" si="4"/>
        <v/>
      </c>
      <c r="K66" s="11" t="str">
        <f t="shared" si="5"/>
        <v/>
      </c>
    </row>
    <row r="67" spans="1:11" x14ac:dyDescent="0.2">
      <c r="A67" s="32" t="str">
        <f>IF('03_Investitori'!B67="","",ROW()-4)</f>
        <v/>
      </c>
      <c r="B67" s="31">
        <f>'03_Investitori'!B67</f>
        <v>0</v>
      </c>
      <c r="C67" s="32" t="str">
        <f>IF('03_Investitori'!D67="","",'03_Investitori'!D67)</f>
        <v/>
      </c>
      <c r="D67" s="37" t="str">
        <f>IF('03_Investitori'!C67="","",'03_Investitori'!C67)</f>
        <v/>
      </c>
      <c r="E67" s="10" t="str">
        <f>IF('03_Investitori'!H67="","",'03_Investitori'!H67)</f>
        <v/>
      </c>
      <c r="F67" s="33" t="str">
        <f>IF('03_Investitori'!J67="","",'03_Investitori'!J67)</f>
        <v/>
      </c>
      <c r="G67" s="41" t="str">
        <f>IF('03_Investitori'!C67="","",(DataOggi-'03_Investitori'!C67)/365.25)</f>
        <v/>
      </c>
      <c r="H67" s="34" t="str">
        <f>IF('03_Investitori'!I67="","",'03_Investitori'!I67)</f>
        <v/>
      </c>
      <c r="I67" s="26" t="str">
        <f t="shared" si="3"/>
        <v/>
      </c>
      <c r="J67" s="42" t="str">
        <f t="shared" si="4"/>
        <v/>
      </c>
      <c r="K67" s="11" t="str">
        <f t="shared" si="5"/>
        <v/>
      </c>
    </row>
    <row r="68" spans="1:11" x14ac:dyDescent="0.2">
      <c r="A68" s="32" t="str">
        <f>IF('03_Investitori'!B68="","",ROW()-4)</f>
        <v/>
      </c>
      <c r="B68" s="31">
        <f>'03_Investitori'!B68</f>
        <v>0</v>
      </c>
      <c r="C68" s="32" t="str">
        <f>IF('03_Investitori'!D68="","",'03_Investitori'!D68)</f>
        <v/>
      </c>
      <c r="D68" s="37" t="str">
        <f>IF('03_Investitori'!C68="","",'03_Investitori'!C68)</f>
        <v/>
      </c>
      <c r="E68" s="10" t="str">
        <f>IF('03_Investitori'!H68="","",'03_Investitori'!H68)</f>
        <v/>
      </c>
      <c r="F68" s="33" t="str">
        <f>IF('03_Investitori'!J68="","",'03_Investitori'!J68)</f>
        <v/>
      </c>
      <c r="G68" s="41" t="str">
        <f>IF('03_Investitori'!C68="","",(DataOggi-'03_Investitori'!C68)/365.25)</f>
        <v/>
      </c>
      <c r="H68" s="34" t="str">
        <f>IF('03_Investitori'!I68="","",'03_Investitori'!I68)</f>
        <v/>
      </c>
      <c r="I68" s="26" t="str">
        <f t="shared" si="3"/>
        <v/>
      </c>
      <c r="J68" s="42" t="str">
        <f t="shared" si="4"/>
        <v/>
      </c>
      <c r="K68" s="11" t="str">
        <f t="shared" si="5"/>
        <v/>
      </c>
    </row>
    <row r="69" spans="1:11" x14ac:dyDescent="0.2">
      <c r="A69" s="32" t="str">
        <f>IF('03_Investitori'!B69="","",ROW()-4)</f>
        <v/>
      </c>
      <c r="B69" s="31">
        <f>'03_Investitori'!B69</f>
        <v>0</v>
      </c>
      <c r="C69" s="32" t="str">
        <f>IF('03_Investitori'!D69="","",'03_Investitori'!D69)</f>
        <v/>
      </c>
      <c r="D69" s="37" t="str">
        <f>IF('03_Investitori'!C69="","",'03_Investitori'!C69)</f>
        <v/>
      </c>
      <c r="E69" s="10" t="str">
        <f>IF('03_Investitori'!H69="","",'03_Investitori'!H69)</f>
        <v/>
      </c>
      <c r="F69" s="33" t="str">
        <f>IF('03_Investitori'!J69="","",'03_Investitori'!J69)</f>
        <v/>
      </c>
      <c r="G69" s="41" t="str">
        <f>IF('03_Investitori'!C69="","",(DataOggi-'03_Investitori'!C69)/365.25)</f>
        <v/>
      </c>
      <c r="H69" s="34" t="str">
        <f>IF('03_Investitori'!I69="","",'03_Investitori'!I69)</f>
        <v/>
      </c>
      <c r="I69" s="26" t="str">
        <f t="shared" ref="I69:I104" si="6">IF(F69="","",F69*NAVperUnit_Curr)</f>
        <v/>
      </c>
      <c r="J69" s="42" t="str">
        <f t="shared" ref="J69:J100" si="7">IFERROR(IF(E69=0,"",I69/E69),"")</f>
        <v/>
      </c>
      <c r="K69" s="11" t="str">
        <f t="shared" ref="K69:K104" si="8">IFERROR(IF(OR(E69="",E69=0,G69=0,G69=""),"",(I69/E69)^(1/G69)-1),"")</f>
        <v/>
      </c>
    </row>
    <row r="70" spans="1:11" x14ac:dyDescent="0.2">
      <c r="A70" s="32" t="str">
        <f>IF('03_Investitori'!B70="","",ROW()-4)</f>
        <v/>
      </c>
      <c r="B70" s="31">
        <f>'03_Investitori'!B70</f>
        <v>0</v>
      </c>
      <c r="C70" s="32" t="str">
        <f>IF('03_Investitori'!D70="","",'03_Investitori'!D70)</f>
        <v/>
      </c>
      <c r="D70" s="37" t="str">
        <f>IF('03_Investitori'!C70="","",'03_Investitori'!C70)</f>
        <v/>
      </c>
      <c r="E70" s="10" t="str">
        <f>IF('03_Investitori'!H70="","",'03_Investitori'!H70)</f>
        <v/>
      </c>
      <c r="F70" s="33" t="str">
        <f>IF('03_Investitori'!J70="","",'03_Investitori'!J70)</f>
        <v/>
      </c>
      <c r="G70" s="41" t="str">
        <f>IF('03_Investitori'!C70="","",(DataOggi-'03_Investitori'!C70)/365.25)</f>
        <v/>
      </c>
      <c r="H70" s="34" t="str">
        <f>IF('03_Investitori'!I70="","",'03_Investitori'!I70)</f>
        <v/>
      </c>
      <c r="I70" s="26" t="str">
        <f t="shared" si="6"/>
        <v/>
      </c>
      <c r="J70" s="42" t="str">
        <f t="shared" si="7"/>
        <v/>
      </c>
      <c r="K70" s="11" t="str">
        <f t="shared" si="8"/>
        <v/>
      </c>
    </row>
    <row r="71" spans="1:11" x14ac:dyDescent="0.2">
      <c r="A71" s="32" t="str">
        <f>IF('03_Investitori'!B71="","",ROW()-4)</f>
        <v/>
      </c>
      <c r="B71" s="31">
        <f>'03_Investitori'!B71</f>
        <v>0</v>
      </c>
      <c r="C71" s="32" t="str">
        <f>IF('03_Investitori'!D71="","",'03_Investitori'!D71)</f>
        <v/>
      </c>
      <c r="D71" s="37" t="str">
        <f>IF('03_Investitori'!C71="","",'03_Investitori'!C71)</f>
        <v/>
      </c>
      <c r="E71" s="10" t="str">
        <f>IF('03_Investitori'!H71="","",'03_Investitori'!H71)</f>
        <v/>
      </c>
      <c r="F71" s="33" t="str">
        <f>IF('03_Investitori'!J71="","",'03_Investitori'!J71)</f>
        <v/>
      </c>
      <c r="G71" s="41" t="str">
        <f>IF('03_Investitori'!C71="","",(DataOggi-'03_Investitori'!C71)/365.25)</f>
        <v/>
      </c>
      <c r="H71" s="34" t="str">
        <f>IF('03_Investitori'!I71="","",'03_Investitori'!I71)</f>
        <v/>
      </c>
      <c r="I71" s="26" t="str">
        <f t="shared" si="6"/>
        <v/>
      </c>
      <c r="J71" s="42" t="str">
        <f t="shared" si="7"/>
        <v/>
      </c>
      <c r="K71" s="11" t="str">
        <f t="shared" si="8"/>
        <v/>
      </c>
    </row>
    <row r="72" spans="1:11" x14ac:dyDescent="0.2">
      <c r="A72" s="32" t="str">
        <f>IF('03_Investitori'!B72="","",ROW()-4)</f>
        <v/>
      </c>
      <c r="B72" s="31">
        <f>'03_Investitori'!B72</f>
        <v>0</v>
      </c>
      <c r="C72" s="32" t="str">
        <f>IF('03_Investitori'!D72="","",'03_Investitori'!D72)</f>
        <v/>
      </c>
      <c r="D72" s="37" t="str">
        <f>IF('03_Investitori'!C72="","",'03_Investitori'!C72)</f>
        <v/>
      </c>
      <c r="E72" s="10" t="str">
        <f>IF('03_Investitori'!H72="","",'03_Investitori'!H72)</f>
        <v/>
      </c>
      <c r="F72" s="33" t="str">
        <f>IF('03_Investitori'!J72="","",'03_Investitori'!J72)</f>
        <v/>
      </c>
      <c r="G72" s="41" t="str">
        <f>IF('03_Investitori'!C72="","",(DataOggi-'03_Investitori'!C72)/365.25)</f>
        <v/>
      </c>
      <c r="H72" s="34" t="str">
        <f>IF('03_Investitori'!I72="","",'03_Investitori'!I72)</f>
        <v/>
      </c>
      <c r="I72" s="26" t="str">
        <f t="shared" si="6"/>
        <v/>
      </c>
      <c r="J72" s="42" t="str">
        <f t="shared" si="7"/>
        <v/>
      </c>
      <c r="K72" s="11" t="str">
        <f t="shared" si="8"/>
        <v/>
      </c>
    </row>
    <row r="73" spans="1:11" x14ac:dyDescent="0.2">
      <c r="A73" s="32" t="str">
        <f>IF('03_Investitori'!B73="","",ROW()-4)</f>
        <v/>
      </c>
      <c r="B73" s="31">
        <f>'03_Investitori'!B73</f>
        <v>0</v>
      </c>
      <c r="C73" s="32" t="str">
        <f>IF('03_Investitori'!D73="","",'03_Investitori'!D73)</f>
        <v/>
      </c>
      <c r="D73" s="37" t="str">
        <f>IF('03_Investitori'!C73="","",'03_Investitori'!C73)</f>
        <v/>
      </c>
      <c r="E73" s="10" t="str">
        <f>IF('03_Investitori'!H73="","",'03_Investitori'!H73)</f>
        <v/>
      </c>
      <c r="F73" s="33" t="str">
        <f>IF('03_Investitori'!J73="","",'03_Investitori'!J73)</f>
        <v/>
      </c>
      <c r="G73" s="41" t="str">
        <f>IF('03_Investitori'!C73="","",(DataOggi-'03_Investitori'!C73)/365.25)</f>
        <v/>
      </c>
      <c r="H73" s="34" t="str">
        <f>IF('03_Investitori'!I73="","",'03_Investitori'!I73)</f>
        <v/>
      </c>
      <c r="I73" s="26" t="str">
        <f t="shared" si="6"/>
        <v/>
      </c>
      <c r="J73" s="42" t="str">
        <f t="shared" si="7"/>
        <v/>
      </c>
      <c r="K73" s="11" t="str">
        <f t="shared" si="8"/>
        <v/>
      </c>
    </row>
    <row r="74" spans="1:11" x14ac:dyDescent="0.2">
      <c r="A74" s="32" t="str">
        <f>IF('03_Investitori'!B74="","",ROW()-4)</f>
        <v/>
      </c>
      <c r="B74" s="31">
        <f>'03_Investitori'!B74</f>
        <v>0</v>
      </c>
      <c r="C74" s="32" t="str">
        <f>IF('03_Investitori'!D74="","",'03_Investitori'!D74)</f>
        <v/>
      </c>
      <c r="D74" s="37" t="str">
        <f>IF('03_Investitori'!C74="","",'03_Investitori'!C74)</f>
        <v/>
      </c>
      <c r="E74" s="10" t="str">
        <f>IF('03_Investitori'!H74="","",'03_Investitori'!H74)</f>
        <v/>
      </c>
      <c r="F74" s="33" t="str">
        <f>IF('03_Investitori'!J74="","",'03_Investitori'!J74)</f>
        <v/>
      </c>
      <c r="G74" s="41" t="str">
        <f>IF('03_Investitori'!C74="","",(DataOggi-'03_Investitori'!C74)/365.25)</f>
        <v/>
      </c>
      <c r="H74" s="34" t="str">
        <f>IF('03_Investitori'!I74="","",'03_Investitori'!I74)</f>
        <v/>
      </c>
      <c r="I74" s="26" t="str">
        <f t="shared" si="6"/>
        <v/>
      </c>
      <c r="J74" s="42" t="str">
        <f t="shared" si="7"/>
        <v/>
      </c>
      <c r="K74" s="11" t="str">
        <f t="shared" si="8"/>
        <v/>
      </c>
    </row>
    <row r="75" spans="1:11" x14ac:dyDescent="0.2">
      <c r="A75" s="32" t="str">
        <f>IF('03_Investitori'!B75="","",ROW()-4)</f>
        <v/>
      </c>
      <c r="B75" s="31">
        <f>'03_Investitori'!B75</f>
        <v>0</v>
      </c>
      <c r="C75" s="32" t="str">
        <f>IF('03_Investitori'!D75="","",'03_Investitori'!D75)</f>
        <v/>
      </c>
      <c r="D75" s="37" t="str">
        <f>IF('03_Investitori'!C75="","",'03_Investitori'!C75)</f>
        <v/>
      </c>
      <c r="E75" s="10" t="str">
        <f>IF('03_Investitori'!H75="","",'03_Investitori'!H75)</f>
        <v/>
      </c>
      <c r="F75" s="33" t="str">
        <f>IF('03_Investitori'!J75="","",'03_Investitori'!J75)</f>
        <v/>
      </c>
      <c r="G75" s="41" t="str">
        <f>IF('03_Investitori'!C75="","",(DataOggi-'03_Investitori'!C75)/365.25)</f>
        <v/>
      </c>
      <c r="H75" s="34" t="str">
        <f>IF('03_Investitori'!I75="","",'03_Investitori'!I75)</f>
        <v/>
      </c>
      <c r="I75" s="26" t="str">
        <f t="shared" si="6"/>
        <v/>
      </c>
      <c r="J75" s="42" t="str">
        <f t="shared" si="7"/>
        <v/>
      </c>
      <c r="K75" s="11" t="str">
        <f t="shared" si="8"/>
        <v/>
      </c>
    </row>
    <row r="76" spans="1:11" x14ac:dyDescent="0.2">
      <c r="A76" s="32" t="str">
        <f>IF('03_Investitori'!B76="","",ROW()-4)</f>
        <v/>
      </c>
      <c r="B76" s="31">
        <f>'03_Investitori'!B76</f>
        <v>0</v>
      </c>
      <c r="C76" s="32" t="str">
        <f>IF('03_Investitori'!D76="","",'03_Investitori'!D76)</f>
        <v/>
      </c>
      <c r="D76" s="37" t="str">
        <f>IF('03_Investitori'!C76="","",'03_Investitori'!C76)</f>
        <v/>
      </c>
      <c r="E76" s="10" t="str">
        <f>IF('03_Investitori'!H76="","",'03_Investitori'!H76)</f>
        <v/>
      </c>
      <c r="F76" s="33" t="str">
        <f>IF('03_Investitori'!J76="","",'03_Investitori'!J76)</f>
        <v/>
      </c>
      <c r="G76" s="41" t="str">
        <f>IF('03_Investitori'!C76="","",(DataOggi-'03_Investitori'!C76)/365.25)</f>
        <v/>
      </c>
      <c r="H76" s="34" t="str">
        <f>IF('03_Investitori'!I76="","",'03_Investitori'!I76)</f>
        <v/>
      </c>
      <c r="I76" s="26" t="str">
        <f t="shared" si="6"/>
        <v/>
      </c>
      <c r="J76" s="42" t="str">
        <f t="shared" si="7"/>
        <v/>
      </c>
      <c r="K76" s="11" t="str">
        <f t="shared" si="8"/>
        <v/>
      </c>
    </row>
    <row r="77" spans="1:11" x14ac:dyDescent="0.2">
      <c r="A77" s="32" t="str">
        <f>IF('03_Investitori'!B77="","",ROW()-4)</f>
        <v/>
      </c>
      <c r="B77" s="31">
        <f>'03_Investitori'!B77</f>
        <v>0</v>
      </c>
      <c r="C77" s="32" t="str">
        <f>IF('03_Investitori'!D77="","",'03_Investitori'!D77)</f>
        <v/>
      </c>
      <c r="D77" s="37" t="str">
        <f>IF('03_Investitori'!C77="","",'03_Investitori'!C77)</f>
        <v/>
      </c>
      <c r="E77" s="10" t="str">
        <f>IF('03_Investitori'!H77="","",'03_Investitori'!H77)</f>
        <v/>
      </c>
      <c r="F77" s="33" t="str">
        <f>IF('03_Investitori'!J77="","",'03_Investitori'!J77)</f>
        <v/>
      </c>
      <c r="G77" s="41" t="str">
        <f>IF('03_Investitori'!C77="","",(DataOggi-'03_Investitori'!C77)/365.25)</f>
        <v/>
      </c>
      <c r="H77" s="34" t="str">
        <f>IF('03_Investitori'!I77="","",'03_Investitori'!I77)</f>
        <v/>
      </c>
      <c r="I77" s="26" t="str">
        <f t="shared" si="6"/>
        <v/>
      </c>
      <c r="J77" s="42" t="str">
        <f t="shared" si="7"/>
        <v/>
      </c>
      <c r="K77" s="11" t="str">
        <f t="shared" si="8"/>
        <v/>
      </c>
    </row>
    <row r="78" spans="1:11" x14ac:dyDescent="0.2">
      <c r="A78" s="32" t="str">
        <f>IF('03_Investitori'!B78="","",ROW()-4)</f>
        <v/>
      </c>
      <c r="B78" s="31">
        <f>'03_Investitori'!B78</f>
        <v>0</v>
      </c>
      <c r="C78" s="32" t="str">
        <f>IF('03_Investitori'!D78="","",'03_Investitori'!D78)</f>
        <v/>
      </c>
      <c r="D78" s="37" t="str">
        <f>IF('03_Investitori'!C78="","",'03_Investitori'!C78)</f>
        <v/>
      </c>
      <c r="E78" s="10" t="str">
        <f>IF('03_Investitori'!H78="","",'03_Investitori'!H78)</f>
        <v/>
      </c>
      <c r="F78" s="33" t="str">
        <f>IF('03_Investitori'!J78="","",'03_Investitori'!J78)</f>
        <v/>
      </c>
      <c r="G78" s="41" t="str">
        <f>IF('03_Investitori'!C78="","",(DataOggi-'03_Investitori'!C78)/365.25)</f>
        <v/>
      </c>
      <c r="H78" s="34" t="str">
        <f>IF('03_Investitori'!I78="","",'03_Investitori'!I78)</f>
        <v/>
      </c>
      <c r="I78" s="26" t="str">
        <f t="shared" si="6"/>
        <v/>
      </c>
      <c r="J78" s="42" t="str">
        <f t="shared" si="7"/>
        <v/>
      </c>
      <c r="K78" s="11" t="str">
        <f t="shared" si="8"/>
        <v/>
      </c>
    </row>
    <row r="79" spans="1:11" x14ac:dyDescent="0.2">
      <c r="A79" s="32" t="str">
        <f>IF('03_Investitori'!B79="","",ROW()-4)</f>
        <v/>
      </c>
      <c r="B79" s="31">
        <f>'03_Investitori'!B79</f>
        <v>0</v>
      </c>
      <c r="C79" s="32" t="str">
        <f>IF('03_Investitori'!D79="","",'03_Investitori'!D79)</f>
        <v/>
      </c>
      <c r="D79" s="37" t="str">
        <f>IF('03_Investitori'!C79="","",'03_Investitori'!C79)</f>
        <v/>
      </c>
      <c r="E79" s="10" t="str">
        <f>IF('03_Investitori'!H79="","",'03_Investitori'!H79)</f>
        <v/>
      </c>
      <c r="F79" s="33" t="str">
        <f>IF('03_Investitori'!J79="","",'03_Investitori'!J79)</f>
        <v/>
      </c>
      <c r="G79" s="41" t="str">
        <f>IF('03_Investitori'!C79="","",(DataOggi-'03_Investitori'!C79)/365.25)</f>
        <v/>
      </c>
      <c r="H79" s="34" t="str">
        <f>IF('03_Investitori'!I79="","",'03_Investitori'!I79)</f>
        <v/>
      </c>
      <c r="I79" s="26" t="str">
        <f t="shared" si="6"/>
        <v/>
      </c>
      <c r="J79" s="42" t="str">
        <f t="shared" si="7"/>
        <v/>
      </c>
      <c r="K79" s="11" t="str">
        <f t="shared" si="8"/>
        <v/>
      </c>
    </row>
    <row r="80" spans="1:11" x14ac:dyDescent="0.2">
      <c r="A80" s="32" t="str">
        <f>IF('03_Investitori'!B80="","",ROW()-4)</f>
        <v/>
      </c>
      <c r="B80" s="31">
        <f>'03_Investitori'!B80</f>
        <v>0</v>
      </c>
      <c r="C80" s="32" t="str">
        <f>IF('03_Investitori'!D80="","",'03_Investitori'!D80)</f>
        <v/>
      </c>
      <c r="D80" s="37" t="str">
        <f>IF('03_Investitori'!C80="","",'03_Investitori'!C80)</f>
        <v/>
      </c>
      <c r="E80" s="10" t="str">
        <f>IF('03_Investitori'!H80="","",'03_Investitori'!H80)</f>
        <v/>
      </c>
      <c r="F80" s="33" t="str">
        <f>IF('03_Investitori'!J80="","",'03_Investitori'!J80)</f>
        <v/>
      </c>
      <c r="G80" s="41" t="str">
        <f>IF('03_Investitori'!C80="","",(DataOggi-'03_Investitori'!C80)/365.25)</f>
        <v/>
      </c>
      <c r="H80" s="34" t="str">
        <f>IF('03_Investitori'!I80="","",'03_Investitori'!I80)</f>
        <v/>
      </c>
      <c r="I80" s="26" t="str">
        <f t="shared" si="6"/>
        <v/>
      </c>
      <c r="J80" s="42" t="str">
        <f t="shared" si="7"/>
        <v/>
      </c>
      <c r="K80" s="11" t="str">
        <f t="shared" si="8"/>
        <v/>
      </c>
    </row>
    <row r="81" spans="1:11" x14ac:dyDescent="0.2">
      <c r="A81" s="32" t="str">
        <f>IF('03_Investitori'!B81="","",ROW()-4)</f>
        <v/>
      </c>
      <c r="B81" s="31">
        <f>'03_Investitori'!B81</f>
        <v>0</v>
      </c>
      <c r="C81" s="32" t="str">
        <f>IF('03_Investitori'!D81="","",'03_Investitori'!D81)</f>
        <v/>
      </c>
      <c r="D81" s="37" t="str">
        <f>IF('03_Investitori'!C81="","",'03_Investitori'!C81)</f>
        <v/>
      </c>
      <c r="E81" s="10" t="str">
        <f>IF('03_Investitori'!H81="","",'03_Investitori'!H81)</f>
        <v/>
      </c>
      <c r="F81" s="33" t="str">
        <f>IF('03_Investitori'!J81="","",'03_Investitori'!J81)</f>
        <v/>
      </c>
      <c r="G81" s="41" t="str">
        <f>IF('03_Investitori'!C81="","",(DataOggi-'03_Investitori'!C81)/365.25)</f>
        <v/>
      </c>
      <c r="H81" s="34" t="str">
        <f>IF('03_Investitori'!I81="","",'03_Investitori'!I81)</f>
        <v/>
      </c>
      <c r="I81" s="26" t="str">
        <f t="shared" si="6"/>
        <v/>
      </c>
      <c r="J81" s="42" t="str">
        <f t="shared" si="7"/>
        <v/>
      </c>
      <c r="K81" s="11" t="str">
        <f t="shared" si="8"/>
        <v/>
      </c>
    </row>
    <row r="82" spans="1:11" x14ac:dyDescent="0.2">
      <c r="A82" s="32" t="str">
        <f>IF('03_Investitori'!B82="","",ROW()-4)</f>
        <v/>
      </c>
      <c r="B82" s="31">
        <f>'03_Investitori'!B82</f>
        <v>0</v>
      </c>
      <c r="C82" s="32" t="str">
        <f>IF('03_Investitori'!D82="","",'03_Investitori'!D82)</f>
        <v/>
      </c>
      <c r="D82" s="37" t="str">
        <f>IF('03_Investitori'!C82="","",'03_Investitori'!C82)</f>
        <v/>
      </c>
      <c r="E82" s="10" t="str">
        <f>IF('03_Investitori'!H82="","",'03_Investitori'!H82)</f>
        <v/>
      </c>
      <c r="F82" s="33" t="str">
        <f>IF('03_Investitori'!J82="","",'03_Investitori'!J82)</f>
        <v/>
      </c>
      <c r="G82" s="41" t="str">
        <f>IF('03_Investitori'!C82="","",(DataOggi-'03_Investitori'!C82)/365.25)</f>
        <v/>
      </c>
      <c r="H82" s="34" t="str">
        <f>IF('03_Investitori'!I82="","",'03_Investitori'!I82)</f>
        <v/>
      </c>
      <c r="I82" s="26" t="str">
        <f t="shared" si="6"/>
        <v/>
      </c>
      <c r="J82" s="42" t="str">
        <f t="shared" si="7"/>
        <v/>
      </c>
      <c r="K82" s="11" t="str">
        <f t="shared" si="8"/>
        <v/>
      </c>
    </row>
    <row r="83" spans="1:11" x14ac:dyDescent="0.2">
      <c r="A83" s="32" t="str">
        <f>IF('03_Investitori'!B83="","",ROW()-4)</f>
        <v/>
      </c>
      <c r="B83" s="31">
        <f>'03_Investitori'!B83</f>
        <v>0</v>
      </c>
      <c r="C83" s="32" t="str">
        <f>IF('03_Investitori'!D83="","",'03_Investitori'!D83)</f>
        <v/>
      </c>
      <c r="D83" s="37" t="str">
        <f>IF('03_Investitori'!C83="","",'03_Investitori'!C83)</f>
        <v/>
      </c>
      <c r="E83" s="10" t="str">
        <f>IF('03_Investitori'!H83="","",'03_Investitori'!H83)</f>
        <v/>
      </c>
      <c r="F83" s="33" t="str">
        <f>IF('03_Investitori'!J83="","",'03_Investitori'!J83)</f>
        <v/>
      </c>
      <c r="G83" s="41" t="str">
        <f>IF('03_Investitori'!C83="","",(DataOggi-'03_Investitori'!C83)/365.25)</f>
        <v/>
      </c>
      <c r="H83" s="34" t="str">
        <f>IF('03_Investitori'!I83="","",'03_Investitori'!I83)</f>
        <v/>
      </c>
      <c r="I83" s="26" t="str">
        <f t="shared" si="6"/>
        <v/>
      </c>
      <c r="J83" s="42" t="str">
        <f t="shared" si="7"/>
        <v/>
      </c>
      <c r="K83" s="11" t="str">
        <f t="shared" si="8"/>
        <v/>
      </c>
    </row>
    <row r="84" spans="1:11" x14ac:dyDescent="0.2">
      <c r="A84" s="32" t="str">
        <f>IF('03_Investitori'!B84="","",ROW()-4)</f>
        <v/>
      </c>
      <c r="B84" s="31">
        <f>'03_Investitori'!B84</f>
        <v>0</v>
      </c>
      <c r="C84" s="32" t="str">
        <f>IF('03_Investitori'!D84="","",'03_Investitori'!D84)</f>
        <v/>
      </c>
      <c r="D84" s="37" t="str">
        <f>IF('03_Investitori'!C84="","",'03_Investitori'!C84)</f>
        <v/>
      </c>
      <c r="E84" s="10" t="str">
        <f>IF('03_Investitori'!H84="","",'03_Investitori'!H84)</f>
        <v/>
      </c>
      <c r="F84" s="33" t="str">
        <f>IF('03_Investitori'!J84="","",'03_Investitori'!J84)</f>
        <v/>
      </c>
      <c r="G84" s="41" t="str">
        <f>IF('03_Investitori'!C84="","",(DataOggi-'03_Investitori'!C84)/365.25)</f>
        <v/>
      </c>
      <c r="H84" s="34" t="str">
        <f>IF('03_Investitori'!I84="","",'03_Investitori'!I84)</f>
        <v/>
      </c>
      <c r="I84" s="26" t="str">
        <f t="shared" si="6"/>
        <v/>
      </c>
      <c r="J84" s="42" t="str">
        <f t="shared" si="7"/>
        <v/>
      </c>
      <c r="K84" s="11" t="str">
        <f t="shared" si="8"/>
        <v/>
      </c>
    </row>
    <row r="85" spans="1:11" x14ac:dyDescent="0.2">
      <c r="A85" s="32" t="str">
        <f>IF('03_Investitori'!B85="","",ROW()-4)</f>
        <v/>
      </c>
      <c r="B85" s="31">
        <f>'03_Investitori'!B85</f>
        <v>0</v>
      </c>
      <c r="C85" s="32" t="str">
        <f>IF('03_Investitori'!D85="","",'03_Investitori'!D85)</f>
        <v/>
      </c>
      <c r="D85" s="37" t="str">
        <f>IF('03_Investitori'!C85="","",'03_Investitori'!C85)</f>
        <v/>
      </c>
      <c r="E85" s="10" t="str">
        <f>IF('03_Investitori'!H85="","",'03_Investitori'!H85)</f>
        <v/>
      </c>
      <c r="F85" s="33" t="str">
        <f>IF('03_Investitori'!J85="","",'03_Investitori'!J85)</f>
        <v/>
      </c>
      <c r="G85" s="41" t="str">
        <f>IF('03_Investitori'!C85="","",(DataOggi-'03_Investitori'!C85)/365.25)</f>
        <v/>
      </c>
      <c r="H85" s="34" t="str">
        <f>IF('03_Investitori'!I85="","",'03_Investitori'!I85)</f>
        <v/>
      </c>
      <c r="I85" s="26" t="str">
        <f t="shared" si="6"/>
        <v/>
      </c>
      <c r="J85" s="42" t="str">
        <f t="shared" si="7"/>
        <v/>
      </c>
      <c r="K85" s="11" t="str">
        <f t="shared" si="8"/>
        <v/>
      </c>
    </row>
    <row r="86" spans="1:11" x14ac:dyDescent="0.2">
      <c r="A86" s="32" t="str">
        <f>IF('03_Investitori'!B86="","",ROW()-4)</f>
        <v/>
      </c>
      <c r="B86" s="31">
        <f>'03_Investitori'!B86</f>
        <v>0</v>
      </c>
      <c r="C86" s="32" t="str">
        <f>IF('03_Investitori'!D86="","",'03_Investitori'!D86)</f>
        <v/>
      </c>
      <c r="D86" s="37" t="str">
        <f>IF('03_Investitori'!C86="","",'03_Investitori'!C86)</f>
        <v/>
      </c>
      <c r="E86" s="10" t="str">
        <f>IF('03_Investitori'!H86="","",'03_Investitori'!H86)</f>
        <v/>
      </c>
      <c r="F86" s="33" t="str">
        <f>IF('03_Investitori'!J86="","",'03_Investitori'!J86)</f>
        <v/>
      </c>
      <c r="G86" s="41" t="str">
        <f>IF('03_Investitori'!C86="","",(DataOggi-'03_Investitori'!C86)/365.25)</f>
        <v/>
      </c>
      <c r="H86" s="34" t="str">
        <f>IF('03_Investitori'!I86="","",'03_Investitori'!I86)</f>
        <v/>
      </c>
      <c r="I86" s="26" t="str">
        <f t="shared" si="6"/>
        <v/>
      </c>
      <c r="J86" s="42" t="str">
        <f t="shared" si="7"/>
        <v/>
      </c>
      <c r="K86" s="11" t="str">
        <f t="shared" si="8"/>
        <v/>
      </c>
    </row>
    <row r="87" spans="1:11" x14ac:dyDescent="0.2">
      <c r="A87" s="32" t="str">
        <f>IF('03_Investitori'!B87="","",ROW()-4)</f>
        <v/>
      </c>
      <c r="B87" s="31">
        <f>'03_Investitori'!B87</f>
        <v>0</v>
      </c>
      <c r="C87" s="32" t="str">
        <f>IF('03_Investitori'!D87="","",'03_Investitori'!D87)</f>
        <v/>
      </c>
      <c r="D87" s="37" t="str">
        <f>IF('03_Investitori'!C87="","",'03_Investitori'!C87)</f>
        <v/>
      </c>
      <c r="E87" s="10" t="str">
        <f>IF('03_Investitori'!H87="","",'03_Investitori'!H87)</f>
        <v/>
      </c>
      <c r="F87" s="33" t="str">
        <f>IF('03_Investitori'!J87="","",'03_Investitori'!J87)</f>
        <v/>
      </c>
      <c r="G87" s="41" t="str">
        <f>IF('03_Investitori'!C87="","",(DataOggi-'03_Investitori'!C87)/365.25)</f>
        <v/>
      </c>
      <c r="H87" s="34" t="str">
        <f>IF('03_Investitori'!I87="","",'03_Investitori'!I87)</f>
        <v/>
      </c>
      <c r="I87" s="26" t="str">
        <f t="shared" si="6"/>
        <v/>
      </c>
      <c r="J87" s="42" t="str">
        <f t="shared" si="7"/>
        <v/>
      </c>
      <c r="K87" s="11" t="str">
        <f t="shared" si="8"/>
        <v/>
      </c>
    </row>
    <row r="88" spans="1:11" x14ac:dyDescent="0.2">
      <c r="A88" s="32" t="str">
        <f>IF('03_Investitori'!B88="","",ROW()-4)</f>
        <v/>
      </c>
      <c r="B88" s="31">
        <f>'03_Investitori'!B88</f>
        <v>0</v>
      </c>
      <c r="C88" s="32" t="str">
        <f>IF('03_Investitori'!D88="","",'03_Investitori'!D88)</f>
        <v/>
      </c>
      <c r="D88" s="37" t="str">
        <f>IF('03_Investitori'!C88="","",'03_Investitori'!C88)</f>
        <v/>
      </c>
      <c r="E88" s="10" t="str">
        <f>IF('03_Investitori'!H88="","",'03_Investitori'!H88)</f>
        <v/>
      </c>
      <c r="F88" s="33" t="str">
        <f>IF('03_Investitori'!J88="","",'03_Investitori'!J88)</f>
        <v/>
      </c>
      <c r="G88" s="41" t="str">
        <f>IF('03_Investitori'!C88="","",(DataOggi-'03_Investitori'!C88)/365.25)</f>
        <v/>
      </c>
      <c r="H88" s="34" t="str">
        <f>IF('03_Investitori'!I88="","",'03_Investitori'!I88)</f>
        <v/>
      </c>
      <c r="I88" s="26" t="str">
        <f t="shared" si="6"/>
        <v/>
      </c>
      <c r="J88" s="42" t="str">
        <f t="shared" si="7"/>
        <v/>
      </c>
      <c r="K88" s="11" t="str">
        <f t="shared" si="8"/>
        <v/>
      </c>
    </row>
    <row r="89" spans="1:11" x14ac:dyDescent="0.2">
      <c r="A89" s="32" t="str">
        <f>IF('03_Investitori'!B89="","",ROW()-4)</f>
        <v/>
      </c>
      <c r="B89" s="31">
        <f>'03_Investitori'!B89</f>
        <v>0</v>
      </c>
      <c r="C89" s="32" t="str">
        <f>IF('03_Investitori'!D89="","",'03_Investitori'!D89)</f>
        <v/>
      </c>
      <c r="D89" s="37" t="str">
        <f>IF('03_Investitori'!C89="","",'03_Investitori'!C89)</f>
        <v/>
      </c>
      <c r="E89" s="10" t="str">
        <f>IF('03_Investitori'!H89="","",'03_Investitori'!H89)</f>
        <v/>
      </c>
      <c r="F89" s="33" t="str">
        <f>IF('03_Investitori'!J89="","",'03_Investitori'!J89)</f>
        <v/>
      </c>
      <c r="G89" s="41" t="str">
        <f>IF('03_Investitori'!C89="","",(DataOggi-'03_Investitori'!C89)/365.25)</f>
        <v/>
      </c>
      <c r="H89" s="34" t="str">
        <f>IF('03_Investitori'!I89="","",'03_Investitori'!I89)</f>
        <v/>
      </c>
      <c r="I89" s="26" t="str">
        <f t="shared" si="6"/>
        <v/>
      </c>
      <c r="J89" s="42" t="str">
        <f t="shared" si="7"/>
        <v/>
      </c>
      <c r="K89" s="11" t="str">
        <f t="shared" si="8"/>
        <v/>
      </c>
    </row>
    <row r="90" spans="1:11" x14ac:dyDescent="0.2">
      <c r="A90" s="32" t="str">
        <f>IF('03_Investitori'!B90="","",ROW()-4)</f>
        <v/>
      </c>
      <c r="B90" s="31">
        <f>'03_Investitori'!B90</f>
        <v>0</v>
      </c>
      <c r="C90" s="32" t="str">
        <f>IF('03_Investitori'!D90="","",'03_Investitori'!D90)</f>
        <v/>
      </c>
      <c r="D90" s="37" t="str">
        <f>IF('03_Investitori'!C90="","",'03_Investitori'!C90)</f>
        <v/>
      </c>
      <c r="E90" s="10" t="str">
        <f>IF('03_Investitori'!H90="","",'03_Investitori'!H90)</f>
        <v/>
      </c>
      <c r="F90" s="33" t="str">
        <f>IF('03_Investitori'!J90="","",'03_Investitori'!J90)</f>
        <v/>
      </c>
      <c r="G90" s="41" t="str">
        <f>IF('03_Investitori'!C90="","",(DataOggi-'03_Investitori'!C90)/365.25)</f>
        <v/>
      </c>
      <c r="H90" s="34" t="str">
        <f>IF('03_Investitori'!I90="","",'03_Investitori'!I90)</f>
        <v/>
      </c>
      <c r="I90" s="26" t="str">
        <f t="shared" si="6"/>
        <v/>
      </c>
      <c r="J90" s="42" t="str">
        <f t="shared" si="7"/>
        <v/>
      </c>
      <c r="K90" s="11" t="str">
        <f t="shared" si="8"/>
        <v/>
      </c>
    </row>
    <row r="91" spans="1:11" x14ac:dyDescent="0.2">
      <c r="A91" s="32" t="str">
        <f>IF('03_Investitori'!B91="","",ROW()-4)</f>
        <v/>
      </c>
      <c r="B91" s="31">
        <f>'03_Investitori'!B91</f>
        <v>0</v>
      </c>
      <c r="C91" s="32" t="str">
        <f>IF('03_Investitori'!D91="","",'03_Investitori'!D91)</f>
        <v/>
      </c>
      <c r="D91" s="37" t="str">
        <f>IF('03_Investitori'!C91="","",'03_Investitori'!C91)</f>
        <v/>
      </c>
      <c r="E91" s="10" t="str">
        <f>IF('03_Investitori'!H91="","",'03_Investitori'!H91)</f>
        <v/>
      </c>
      <c r="F91" s="33" t="str">
        <f>IF('03_Investitori'!J91="","",'03_Investitori'!J91)</f>
        <v/>
      </c>
      <c r="G91" s="41" t="str">
        <f>IF('03_Investitori'!C91="","",(DataOggi-'03_Investitori'!C91)/365.25)</f>
        <v/>
      </c>
      <c r="H91" s="34" t="str">
        <f>IF('03_Investitori'!I91="","",'03_Investitori'!I91)</f>
        <v/>
      </c>
      <c r="I91" s="26" t="str">
        <f t="shared" si="6"/>
        <v/>
      </c>
      <c r="J91" s="42" t="str">
        <f t="shared" si="7"/>
        <v/>
      </c>
      <c r="K91" s="11" t="str">
        <f t="shared" si="8"/>
        <v/>
      </c>
    </row>
    <row r="92" spans="1:11" x14ac:dyDescent="0.2">
      <c r="A92" s="32" t="str">
        <f>IF('03_Investitori'!B92="","",ROW()-4)</f>
        <v/>
      </c>
      <c r="B92" s="31">
        <f>'03_Investitori'!B92</f>
        <v>0</v>
      </c>
      <c r="C92" s="32" t="str">
        <f>IF('03_Investitori'!D92="","",'03_Investitori'!D92)</f>
        <v/>
      </c>
      <c r="D92" s="37" t="str">
        <f>IF('03_Investitori'!C92="","",'03_Investitori'!C92)</f>
        <v/>
      </c>
      <c r="E92" s="10" t="str">
        <f>IF('03_Investitori'!H92="","",'03_Investitori'!H92)</f>
        <v/>
      </c>
      <c r="F92" s="33" t="str">
        <f>IF('03_Investitori'!J92="","",'03_Investitori'!J92)</f>
        <v/>
      </c>
      <c r="G92" s="41" t="str">
        <f>IF('03_Investitori'!C92="","",(DataOggi-'03_Investitori'!C92)/365.25)</f>
        <v/>
      </c>
      <c r="H92" s="34" t="str">
        <f>IF('03_Investitori'!I92="","",'03_Investitori'!I92)</f>
        <v/>
      </c>
      <c r="I92" s="26" t="str">
        <f t="shared" si="6"/>
        <v/>
      </c>
      <c r="J92" s="42" t="str">
        <f t="shared" si="7"/>
        <v/>
      </c>
      <c r="K92" s="11" t="str">
        <f t="shared" si="8"/>
        <v/>
      </c>
    </row>
    <row r="93" spans="1:11" x14ac:dyDescent="0.2">
      <c r="A93" s="32" t="str">
        <f>IF('03_Investitori'!B93="","",ROW()-4)</f>
        <v/>
      </c>
      <c r="B93" s="31">
        <f>'03_Investitori'!B93</f>
        <v>0</v>
      </c>
      <c r="C93" s="32" t="str">
        <f>IF('03_Investitori'!D93="","",'03_Investitori'!D93)</f>
        <v/>
      </c>
      <c r="D93" s="37" t="str">
        <f>IF('03_Investitori'!C93="","",'03_Investitori'!C93)</f>
        <v/>
      </c>
      <c r="E93" s="10" t="str">
        <f>IF('03_Investitori'!H93="","",'03_Investitori'!H93)</f>
        <v/>
      </c>
      <c r="F93" s="33" t="str">
        <f>IF('03_Investitori'!J93="","",'03_Investitori'!J93)</f>
        <v/>
      </c>
      <c r="G93" s="41" t="str">
        <f>IF('03_Investitori'!C93="","",(DataOggi-'03_Investitori'!C93)/365.25)</f>
        <v/>
      </c>
      <c r="H93" s="34" t="str">
        <f>IF('03_Investitori'!I93="","",'03_Investitori'!I93)</f>
        <v/>
      </c>
      <c r="I93" s="26" t="str">
        <f t="shared" si="6"/>
        <v/>
      </c>
      <c r="J93" s="42" t="str">
        <f t="shared" si="7"/>
        <v/>
      </c>
      <c r="K93" s="11" t="str">
        <f t="shared" si="8"/>
        <v/>
      </c>
    </row>
    <row r="94" spans="1:11" x14ac:dyDescent="0.2">
      <c r="A94" s="32" t="str">
        <f>IF('03_Investitori'!B94="","",ROW()-4)</f>
        <v/>
      </c>
      <c r="B94" s="31">
        <f>'03_Investitori'!B94</f>
        <v>0</v>
      </c>
      <c r="C94" s="32" t="str">
        <f>IF('03_Investitori'!D94="","",'03_Investitori'!D94)</f>
        <v/>
      </c>
      <c r="D94" s="37" t="str">
        <f>IF('03_Investitori'!C94="","",'03_Investitori'!C94)</f>
        <v/>
      </c>
      <c r="E94" s="10" t="str">
        <f>IF('03_Investitori'!H94="","",'03_Investitori'!H94)</f>
        <v/>
      </c>
      <c r="F94" s="33" t="str">
        <f>IF('03_Investitori'!J94="","",'03_Investitori'!J94)</f>
        <v/>
      </c>
      <c r="G94" s="41" t="str">
        <f>IF('03_Investitori'!C94="","",(DataOggi-'03_Investitori'!C94)/365.25)</f>
        <v/>
      </c>
      <c r="H94" s="34" t="str">
        <f>IF('03_Investitori'!I94="","",'03_Investitori'!I94)</f>
        <v/>
      </c>
      <c r="I94" s="26" t="str">
        <f t="shared" si="6"/>
        <v/>
      </c>
      <c r="J94" s="42" t="str">
        <f t="shared" si="7"/>
        <v/>
      </c>
      <c r="K94" s="11" t="str">
        <f t="shared" si="8"/>
        <v/>
      </c>
    </row>
    <row r="95" spans="1:11" x14ac:dyDescent="0.2">
      <c r="A95" s="32" t="str">
        <f>IF('03_Investitori'!B95="","",ROW()-4)</f>
        <v/>
      </c>
      <c r="B95" s="31">
        <f>'03_Investitori'!B95</f>
        <v>0</v>
      </c>
      <c r="C95" s="32" t="str">
        <f>IF('03_Investitori'!D95="","",'03_Investitori'!D95)</f>
        <v/>
      </c>
      <c r="D95" s="37" t="str">
        <f>IF('03_Investitori'!C95="","",'03_Investitori'!C95)</f>
        <v/>
      </c>
      <c r="E95" s="10" t="str">
        <f>IF('03_Investitori'!H95="","",'03_Investitori'!H95)</f>
        <v/>
      </c>
      <c r="F95" s="33" t="str">
        <f>IF('03_Investitori'!J95="","",'03_Investitori'!J95)</f>
        <v/>
      </c>
      <c r="G95" s="41" t="str">
        <f>IF('03_Investitori'!C95="","",(DataOggi-'03_Investitori'!C95)/365.25)</f>
        <v/>
      </c>
      <c r="H95" s="34" t="str">
        <f>IF('03_Investitori'!I95="","",'03_Investitori'!I95)</f>
        <v/>
      </c>
      <c r="I95" s="26" t="str">
        <f t="shared" si="6"/>
        <v/>
      </c>
      <c r="J95" s="42" t="str">
        <f t="shared" si="7"/>
        <v/>
      </c>
      <c r="K95" s="11" t="str">
        <f t="shared" si="8"/>
        <v/>
      </c>
    </row>
    <row r="96" spans="1:11" x14ac:dyDescent="0.2">
      <c r="A96" s="32" t="str">
        <f>IF('03_Investitori'!B96="","",ROW()-4)</f>
        <v/>
      </c>
      <c r="B96" s="31">
        <f>'03_Investitori'!B96</f>
        <v>0</v>
      </c>
      <c r="C96" s="32" t="str">
        <f>IF('03_Investitori'!D96="","",'03_Investitori'!D96)</f>
        <v/>
      </c>
      <c r="D96" s="37" t="str">
        <f>IF('03_Investitori'!C96="","",'03_Investitori'!C96)</f>
        <v/>
      </c>
      <c r="E96" s="10" t="str">
        <f>IF('03_Investitori'!H96="","",'03_Investitori'!H96)</f>
        <v/>
      </c>
      <c r="F96" s="33" t="str">
        <f>IF('03_Investitori'!J96="","",'03_Investitori'!J96)</f>
        <v/>
      </c>
      <c r="G96" s="41" t="str">
        <f>IF('03_Investitori'!C96="","",(DataOggi-'03_Investitori'!C96)/365.25)</f>
        <v/>
      </c>
      <c r="H96" s="34" t="str">
        <f>IF('03_Investitori'!I96="","",'03_Investitori'!I96)</f>
        <v/>
      </c>
      <c r="I96" s="26" t="str">
        <f t="shared" si="6"/>
        <v/>
      </c>
      <c r="J96" s="42" t="str">
        <f t="shared" si="7"/>
        <v/>
      </c>
      <c r="K96" s="11" t="str">
        <f t="shared" si="8"/>
        <v/>
      </c>
    </row>
    <row r="97" spans="1:11" x14ac:dyDescent="0.2">
      <c r="A97" s="32" t="str">
        <f>IF('03_Investitori'!B97="","",ROW()-4)</f>
        <v/>
      </c>
      <c r="B97" s="31">
        <f>'03_Investitori'!B97</f>
        <v>0</v>
      </c>
      <c r="C97" s="32" t="str">
        <f>IF('03_Investitori'!D97="","",'03_Investitori'!D97)</f>
        <v/>
      </c>
      <c r="D97" s="37" t="str">
        <f>IF('03_Investitori'!C97="","",'03_Investitori'!C97)</f>
        <v/>
      </c>
      <c r="E97" s="10" t="str">
        <f>IF('03_Investitori'!H97="","",'03_Investitori'!H97)</f>
        <v/>
      </c>
      <c r="F97" s="33" t="str">
        <f>IF('03_Investitori'!J97="","",'03_Investitori'!J97)</f>
        <v/>
      </c>
      <c r="G97" s="41" t="str">
        <f>IF('03_Investitori'!C97="","",(DataOggi-'03_Investitori'!C97)/365.25)</f>
        <v/>
      </c>
      <c r="H97" s="34" t="str">
        <f>IF('03_Investitori'!I97="","",'03_Investitori'!I97)</f>
        <v/>
      </c>
      <c r="I97" s="26" t="str">
        <f t="shared" si="6"/>
        <v/>
      </c>
      <c r="J97" s="42" t="str">
        <f t="shared" si="7"/>
        <v/>
      </c>
      <c r="K97" s="11" t="str">
        <f t="shared" si="8"/>
        <v/>
      </c>
    </row>
    <row r="98" spans="1:11" x14ac:dyDescent="0.2">
      <c r="A98" s="32" t="str">
        <f>IF('03_Investitori'!B98="","",ROW()-4)</f>
        <v/>
      </c>
      <c r="B98" s="31">
        <f>'03_Investitori'!B98</f>
        <v>0</v>
      </c>
      <c r="C98" s="32" t="str">
        <f>IF('03_Investitori'!D98="","",'03_Investitori'!D98)</f>
        <v/>
      </c>
      <c r="D98" s="37" t="str">
        <f>IF('03_Investitori'!C98="","",'03_Investitori'!C98)</f>
        <v/>
      </c>
      <c r="E98" s="10" t="str">
        <f>IF('03_Investitori'!H98="","",'03_Investitori'!H98)</f>
        <v/>
      </c>
      <c r="F98" s="33" t="str">
        <f>IF('03_Investitori'!J98="","",'03_Investitori'!J98)</f>
        <v/>
      </c>
      <c r="G98" s="41" t="str">
        <f>IF('03_Investitori'!C98="","",(DataOggi-'03_Investitori'!C98)/365.25)</f>
        <v/>
      </c>
      <c r="H98" s="34" t="str">
        <f>IF('03_Investitori'!I98="","",'03_Investitori'!I98)</f>
        <v/>
      </c>
      <c r="I98" s="26" t="str">
        <f t="shared" si="6"/>
        <v/>
      </c>
      <c r="J98" s="42" t="str">
        <f t="shared" si="7"/>
        <v/>
      </c>
      <c r="K98" s="11" t="str">
        <f t="shared" si="8"/>
        <v/>
      </c>
    </row>
    <row r="99" spans="1:11" x14ac:dyDescent="0.2">
      <c r="A99" s="32" t="str">
        <f>IF('03_Investitori'!B99="","",ROW()-4)</f>
        <v/>
      </c>
      <c r="B99" s="31">
        <f>'03_Investitori'!B99</f>
        <v>0</v>
      </c>
      <c r="C99" s="32" t="str">
        <f>IF('03_Investitori'!D99="","",'03_Investitori'!D99)</f>
        <v/>
      </c>
      <c r="D99" s="37" t="str">
        <f>IF('03_Investitori'!C99="","",'03_Investitori'!C99)</f>
        <v/>
      </c>
      <c r="E99" s="10" t="str">
        <f>IF('03_Investitori'!H99="","",'03_Investitori'!H99)</f>
        <v/>
      </c>
      <c r="F99" s="33" t="str">
        <f>IF('03_Investitori'!J99="","",'03_Investitori'!J99)</f>
        <v/>
      </c>
      <c r="G99" s="41" t="str">
        <f>IF('03_Investitori'!C99="","",(DataOggi-'03_Investitori'!C99)/365.25)</f>
        <v/>
      </c>
      <c r="H99" s="34" t="str">
        <f>IF('03_Investitori'!I99="","",'03_Investitori'!I99)</f>
        <v/>
      </c>
      <c r="I99" s="26" t="str">
        <f t="shared" si="6"/>
        <v/>
      </c>
      <c r="J99" s="42" t="str">
        <f t="shared" si="7"/>
        <v/>
      </c>
      <c r="K99" s="11" t="str">
        <f t="shared" si="8"/>
        <v/>
      </c>
    </row>
    <row r="100" spans="1:11" x14ac:dyDescent="0.2">
      <c r="A100" s="32" t="str">
        <f>IF('03_Investitori'!B100="","",ROW()-4)</f>
        <v/>
      </c>
      <c r="B100" s="31">
        <f>'03_Investitori'!B100</f>
        <v>0</v>
      </c>
      <c r="C100" s="32" t="str">
        <f>IF('03_Investitori'!D100="","",'03_Investitori'!D100)</f>
        <v/>
      </c>
      <c r="D100" s="37" t="str">
        <f>IF('03_Investitori'!C100="","",'03_Investitori'!C100)</f>
        <v/>
      </c>
      <c r="E100" s="10" t="str">
        <f>IF('03_Investitori'!H100="","",'03_Investitori'!H100)</f>
        <v/>
      </c>
      <c r="F100" s="33" t="str">
        <f>IF('03_Investitori'!J100="","",'03_Investitori'!J100)</f>
        <v/>
      </c>
      <c r="G100" s="41" t="str">
        <f>IF('03_Investitori'!C100="","",(DataOggi-'03_Investitori'!C100)/365.25)</f>
        <v/>
      </c>
      <c r="H100" s="34" t="str">
        <f>IF('03_Investitori'!I100="","",'03_Investitori'!I100)</f>
        <v/>
      </c>
      <c r="I100" s="26" t="str">
        <f t="shared" si="6"/>
        <v/>
      </c>
      <c r="J100" s="42" t="str">
        <f t="shared" si="7"/>
        <v/>
      </c>
      <c r="K100" s="11" t="str">
        <f t="shared" si="8"/>
        <v/>
      </c>
    </row>
    <row r="101" spans="1:11" x14ac:dyDescent="0.2">
      <c r="A101" s="32" t="str">
        <f>IF('03_Investitori'!B101="","",ROW()-4)</f>
        <v/>
      </c>
      <c r="B101" s="31">
        <f>'03_Investitori'!B101</f>
        <v>0</v>
      </c>
      <c r="C101" s="32" t="str">
        <f>IF('03_Investitori'!D101="","",'03_Investitori'!D101)</f>
        <v/>
      </c>
      <c r="D101" s="37" t="str">
        <f>IF('03_Investitori'!C101="","",'03_Investitori'!C101)</f>
        <v/>
      </c>
      <c r="E101" s="10" t="str">
        <f>IF('03_Investitori'!H101="","",'03_Investitori'!H101)</f>
        <v/>
      </c>
      <c r="F101" s="33" t="str">
        <f>IF('03_Investitori'!J101="","",'03_Investitori'!J101)</f>
        <v/>
      </c>
      <c r="G101" s="41" t="str">
        <f>IF('03_Investitori'!C101="","",(DataOggi-'03_Investitori'!C101)/365.25)</f>
        <v/>
      </c>
      <c r="H101" s="34" t="str">
        <f>IF('03_Investitori'!I101="","",'03_Investitori'!I101)</f>
        <v/>
      </c>
      <c r="I101" s="26" t="str">
        <f t="shared" si="6"/>
        <v/>
      </c>
      <c r="J101" s="42" t="str">
        <f t="shared" ref="J101:J132" si="9">IFERROR(IF(E101=0,"",I101/E101),"")</f>
        <v/>
      </c>
      <c r="K101" s="11" t="str">
        <f t="shared" si="8"/>
        <v/>
      </c>
    </row>
    <row r="102" spans="1:11" x14ac:dyDescent="0.2">
      <c r="A102" s="32" t="str">
        <f>IF('03_Investitori'!B102="","",ROW()-4)</f>
        <v/>
      </c>
      <c r="B102" s="31">
        <f>'03_Investitori'!B102</f>
        <v>0</v>
      </c>
      <c r="C102" s="32" t="str">
        <f>IF('03_Investitori'!D102="","",'03_Investitori'!D102)</f>
        <v/>
      </c>
      <c r="D102" s="37" t="str">
        <f>IF('03_Investitori'!C102="","",'03_Investitori'!C102)</f>
        <v/>
      </c>
      <c r="E102" s="10" t="str">
        <f>IF('03_Investitori'!H102="","",'03_Investitori'!H102)</f>
        <v/>
      </c>
      <c r="F102" s="33" t="str">
        <f>IF('03_Investitori'!J102="","",'03_Investitori'!J102)</f>
        <v/>
      </c>
      <c r="G102" s="41" t="str">
        <f>IF('03_Investitori'!C102="","",(DataOggi-'03_Investitori'!C102)/365.25)</f>
        <v/>
      </c>
      <c r="H102" s="34" t="str">
        <f>IF('03_Investitori'!I102="","",'03_Investitori'!I102)</f>
        <v/>
      </c>
      <c r="I102" s="26" t="str">
        <f t="shared" si="6"/>
        <v/>
      </c>
      <c r="J102" s="42" t="str">
        <f t="shared" si="9"/>
        <v/>
      </c>
      <c r="K102" s="11" t="str">
        <f t="shared" si="8"/>
        <v/>
      </c>
    </row>
    <row r="103" spans="1:11" x14ac:dyDescent="0.2">
      <c r="A103" s="32" t="str">
        <f>IF('03_Investitori'!B103="","",ROW()-4)</f>
        <v/>
      </c>
      <c r="B103" s="31">
        <f>'03_Investitori'!B103</f>
        <v>0</v>
      </c>
      <c r="C103" s="32" t="str">
        <f>IF('03_Investitori'!D103="","",'03_Investitori'!D103)</f>
        <v/>
      </c>
      <c r="D103" s="37" t="str">
        <f>IF('03_Investitori'!C103="","",'03_Investitori'!C103)</f>
        <v/>
      </c>
      <c r="E103" s="10" t="str">
        <f>IF('03_Investitori'!H103="","",'03_Investitori'!H103)</f>
        <v/>
      </c>
      <c r="F103" s="33" t="str">
        <f>IF('03_Investitori'!J103="","",'03_Investitori'!J103)</f>
        <v/>
      </c>
      <c r="G103" s="41" t="str">
        <f>IF('03_Investitori'!C103="","",(DataOggi-'03_Investitori'!C103)/365.25)</f>
        <v/>
      </c>
      <c r="H103" s="34" t="str">
        <f>IF('03_Investitori'!I103="","",'03_Investitori'!I103)</f>
        <v/>
      </c>
      <c r="I103" s="26" t="str">
        <f t="shared" si="6"/>
        <v/>
      </c>
      <c r="J103" s="42" t="str">
        <f t="shared" si="9"/>
        <v/>
      </c>
      <c r="K103" s="11" t="str">
        <f t="shared" si="8"/>
        <v/>
      </c>
    </row>
    <row r="104" spans="1:11" x14ac:dyDescent="0.2">
      <c r="A104" s="32" t="str">
        <f>IF('03_Investitori'!B104="","",ROW()-4)</f>
        <v/>
      </c>
      <c r="B104" s="31">
        <f>'03_Investitori'!B104</f>
        <v>0</v>
      </c>
      <c r="C104" s="32" t="str">
        <f>IF('03_Investitori'!D104="","",'03_Investitori'!D104)</f>
        <v/>
      </c>
      <c r="D104" s="37" t="str">
        <f>IF('03_Investitori'!C104="","",'03_Investitori'!C104)</f>
        <v/>
      </c>
      <c r="E104" s="10" t="str">
        <f>IF('03_Investitori'!H104="","",'03_Investitori'!H104)</f>
        <v/>
      </c>
      <c r="F104" s="33" t="str">
        <f>IF('03_Investitori'!J104="","",'03_Investitori'!J104)</f>
        <v/>
      </c>
      <c r="G104" s="41" t="str">
        <f>IF('03_Investitori'!C104="","",(DataOggi-'03_Investitori'!C104)/365.25)</f>
        <v/>
      </c>
      <c r="H104" s="34" t="str">
        <f>IF('03_Investitori'!I104="","",'03_Investitori'!I104)</f>
        <v/>
      </c>
      <c r="I104" s="26" t="str">
        <f t="shared" si="6"/>
        <v/>
      </c>
      <c r="J104" s="42" t="str">
        <f t="shared" si="9"/>
        <v/>
      </c>
      <c r="K104" s="11" t="str">
        <f t="shared" si="8"/>
        <v/>
      </c>
    </row>
    <row r="106" spans="1:11" x14ac:dyDescent="0.2">
      <c r="B106" s="28" t="s">
        <v>432</v>
      </c>
      <c r="E106" s="13">
        <f>SUMIF(E5:E105,"&lt;&gt;")</f>
        <v>2000000</v>
      </c>
      <c r="F106" s="29">
        <f>SUMIF(F5:F105,"&lt;&gt;")</f>
        <v>2000000</v>
      </c>
      <c r="I106" s="13">
        <f ca="1">SUMIF(I5:I105,"&lt;&gt;")</f>
        <v>1971514.4958473404</v>
      </c>
      <c r="J106" s="43">
        <f ca="1">IFERROR(I106/E106,0)</f>
        <v>0.98575724792367025</v>
      </c>
    </row>
  </sheetData>
  <mergeCells count="2">
    <mergeCell ref="A2:K2"/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00000"/>
  </sheetPr>
  <dimension ref="A1:N127"/>
  <sheetViews>
    <sheetView zoomScaleNormal="100" workbookViewId="0">
      <pane ySplit="3" topLeftCell="A4" activePane="bottomLeft" state="frozen"/>
      <selection pane="bottomLeft" sqref="A1:I1"/>
    </sheetView>
  </sheetViews>
  <sheetFormatPr baseColWidth="10" defaultColWidth="8.6640625" defaultRowHeight="15" x14ac:dyDescent="0.2"/>
  <cols>
    <col min="1" max="1" width="38" customWidth="1"/>
    <col min="2" max="3" width="18" customWidth="1"/>
    <col min="4" max="4" width="16" customWidth="1"/>
    <col min="5" max="5" width="25" customWidth="1"/>
    <col min="6" max="7" width="16" customWidth="1"/>
    <col min="8" max="8" width="18" customWidth="1"/>
    <col min="11" max="14" width="13" hidden="1" customWidth="1"/>
  </cols>
  <sheetData>
    <row r="1" spans="1:14" ht="27.75" customHeight="1" x14ac:dyDescent="0.2">
      <c r="A1" s="85" t="s">
        <v>433</v>
      </c>
      <c r="B1" s="86"/>
      <c r="C1" s="86"/>
      <c r="D1" s="86"/>
      <c r="E1" s="86"/>
      <c r="F1" s="86"/>
      <c r="G1" s="86"/>
      <c r="H1" s="86"/>
      <c r="I1" s="86"/>
    </row>
    <row r="2" spans="1:14" ht="15" customHeight="1" x14ac:dyDescent="0.2">
      <c r="A2" s="87" t="s">
        <v>434</v>
      </c>
      <c r="B2" s="86"/>
      <c r="C2" s="86"/>
      <c r="D2" s="86"/>
      <c r="E2" s="86"/>
      <c r="F2" s="86"/>
      <c r="G2" s="86"/>
      <c r="H2" s="86"/>
      <c r="I2" s="86"/>
    </row>
    <row r="4" spans="1:14" ht="21.75" customHeight="1" x14ac:dyDescent="0.2">
      <c r="A4" s="88" t="s">
        <v>435</v>
      </c>
      <c r="B4" s="86"/>
      <c r="K4" s="19" t="s">
        <v>425</v>
      </c>
      <c r="L4" s="19" t="s">
        <v>436</v>
      </c>
      <c r="M4" s="19" t="s">
        <v>437</v>
      </c>
      <c r="N4" s="19" t="s">
        <v>438</v>
      </c>
    </row>
    <row r="5" spans="1:14" ht="18" customHeight="1" x14ac:dyDescent="0.2">
      <c r="A5" s="44" t="s">
        <v>439</v>
      </c>
      <c r="B5" s="45">
        <f ca="1">Capital_Tot</f>
        <v>2000000</v>
      </c>
      <c r="K5" s="31" t="str">
        <f>IF('03_Investitori'!B5="","",'03_Investitori'!B5)</f>
        <v>Osy Harrison</v>
      </c>
      <c r="L5" s="10">
        <f>IF('03_Investitori'!H5="",0,'03_Investitori'!H5)</f>
        <v>500000</v>
      </c>
      <c r="M5" s="41">
        <f ca="1">IF('03_Investitori'!C5="",0,(DataOggi-'03_Investitori'!C5)/365.25)</f>
        <v>1.160848733744011</v>
      </c>
      <c r="N5" s="26">
        <f t="shared" ref="N5:N36" ca="1" si="0">IF(L5=0,0,L5*((1+Hurdle)^M5-1))</f>
        <v>29136.323330733016</v>
      </c>
    </row>
    <row r="6" spans="1:14" ht="18" customHeight="1" x14ac:dyDescent="0.2">
      <c r="A6" s="44" t="s">
        <v>62</v>
      </c>
      <c r="B6" s="46">
        <f>Hurdle</f>
        <v>0.05</v>
      </c>
      <c r="K6" s="31" t="str">
        <f>IF('03_Investitori'!B6="","",'03_Investitori'!B6)</f>
        <v>Bradley Jackson</v>
      </c>
      <c r="L6" s="10">
        <f>IF('03_Investitori'!H6="",0,'03_Investitori'!H6)</f>
        <v>500000</v>
      </c>
      <c r="M6" s="41">
        <f ca="1">IF('03_Investitori'!C6="",0,(DataOggi-'03_Investitori'!C6)/365.25)</f>
        <v>0.70088980150581792</v>
      </c>
      <c r="N6" s="26">
        <f t="shared" ca="1" si="0"/>
        <v>17393.976024691616</v>
      </c>
    </row>
    <row r="7" spans="1:14" ht="18" customHeight="1" x14ac:dyDescent="0.2">
      <c r="A7" s="44" t="s">
        <v>47</v>
      </c>
      <c r="B7" s="45">
        <f ca="1">SUM(N5:N104)</f>
        <v>67735.291119057409</v>
      </c>
      <c r="K7" s="31" t="str">
        <f>IF('03_Investitori'!B7="","",'03_Investitori'!B7)</f>
        <v>Grant Kauffman</v>
      </c>
      <c r="L7" s="10">
        <f>IF('03_Investitori'!H7="",0,'03_Investitori'!H7)</f>
        <v>500000</v>
      </c>
      <c r="M7" s="41">
        <f ca="1">IF('03_Investitori'!C7="",0,(DataOggi-'03_Investitori'!C7)/365.25)</f>
        <v>0.68446269678302529</v>
      </c>
      <c r="N7" s="26">
        <f t="shared" ca="1" si="0"/>
        <v>16979.460648213539</v>
      </c>
    </row>
    <row r="8" spans="1:14" ht="18" customHeight="1" x14ac:dyDescent="0.2">
      <c r="A8" s="44" t="s">
        <v>25</v>
      </c>
      <c r="B8" s="45">
        <f ca="1">NAV_Curr</f>
        <v>1971514.4958473404</v>
      </c>
      <c r="K8" s="31" t="str">
        <f>IF('03_Investitori'!B8="","",'03_Investitori'!B8)</f>
        <v>Esra Sertoglu</v>
      </c>
      <c r="L8" s="10">
        <f>IF('03_Investitori'!H8="",0,'03_Investitori'!H8)</f>
        <v>500000</v>
      </c>
      <c r="M8" s="41">
        <f ca="1">IF('03_Investitori'!C8="",0,(DataOggi-'03_Investitori'!C8)/365.25)</f>
        <v>0.17248459958932238</v>
      </c>
      <c r="N8" s="26">
        <f t="shared" ca="1" si="0"/>
        <v>4225.5311154192341</v>
      </c>
    </row>
    <row r="9" spans="1:14" ht="18" customHeight="1" x14ac:dyDescent="0.2">
      <c r="A9" s="44" t="s">
        <v>27</v>
      </c>
      <c r="B9" s="45">
        <f ca="1">B8-B5</f>
        <v>-28485.50415265956</v>
      </c>
      <c r="K9" s="31" t="str">
        <f>IF('03_Investitori'!B9="","",'03_Investitori'!B9)</f>
        <v/>
      </c>
      <c r="L9" s="10">
        <f>IF('03_Investitori'!H9="",0,'03_Investitori'!H9)</f>
        <v>0</v>
      </c>
      <c r="M9" s="41">
        <f>IF('03_Investitori'!C9="",0,(DataOggi-'03_Investitori'!C9)/365.25)</f>
        <v>0</v>
      </c>
      <c r="N9" s="26">
        <f t="shared" si="0"/>
        <v>0</v>
      </c>
    </row>
    <row r="10" spans="1:14" x14ac:dyDescent="0.2">
      <c r="K10" s="31" t="str">
        <f>IF('03_Investitori'!B10="","",'03_Investitori'!B10)</f>
        <v/>
      </c>
      <c r="L10" s="10">
        <f>IF('03_Investitori'!H10="",0,'03_Investitori'!H10)</f>
        <v>0</v>
      </c>
      <c r="M10" s="41">
        <f>IF('03_Investitori'!C10="",0,(DataOggi-'03_Investitori'!C10)/365.25)</f>
        <v>0</v>
      </c>
      <c r="N10" s="26">
        <f t="shared" si="0"/>
        <v>0</v>
      </c>
    </row>
    <row r="11" spans="1:14" x14ac:dyDescent="0.2">
      <c r="K11" s="31" t="str">
        <f>IF('03_Investitori'!B11="","",'03_Investitori'!B11)</f>
        <v/>
      </c>
      <c r="L11" s="10">
        <f>IF('03_Investitori'!H11="",0,'03_Investitori'!H11)</f>
        <v>0</v>
      </c>
      <c r="M11" s="41">
        <f>IF('03_Investitori'!C11="",0,(DataOggi-'03_Investitori'!C11)/365.25)</f>
        <v>0</v>
      </c>
      <c r="N11" s="26">
        <f t="shared" si="0"/>
        <v>0</v>
      </c>
    </row>
    <row r="12" spans="1:14" ht="21.75" customHeight="1" x14ac:dyDescent="0.2">
      <c r="A12" s="88" t="s">
        <v>440</v>
      </c>
      <c r="B12" s="86"/>
      <c r="C12" s="86"/>
      <c r="D12" s="86"/>
      <c r="E12" s="86"/>
      <c r="F12" s="86"/>
      <c r="K12" s="31" t="str">
        <f>IF('03_Investitori'!B12="","",'03_Investitori'!B12)</f>
        <v/>
      </c>
      <c r="L12" s="10">
        <f>IF('03_Investitori'!H12="",0,'03_Investitori'!H12)</f>
        <v>0</v>
      </c>
      <c r="M12" s="41">
        <f>IF('03_Investitori'!C12="",0,(DataOggi-'03_Investitori'!C12)/365.25)</f>
        <v>0</v>
      </c>
      <c r="N12" s="26">
        <f t="shared" si="0"/>
        <v>0</v>
      </c>
    </row>
    <row r="13" spans="1:14" x14ac:dyDescent="0.2">
      <c r="A13" s="19" t="s">
        <v>441</v>
      </c>
      <c r="B13" s="19" t="s">
        <v>442</v>
      </c>
      <c r="C13" s="19" t="s">
        <v>443</v>
      </c>
      <c r="D13" s="19" t="s">
        <v>444</v>
      </c>
      <c r="K13" s="31" t="str">
        <f>IF('03_Investitori'!B13="","",'03_Investitori'!B13)</f>
        <v/>
      </c>
      <c r="L13" s="10">
        <f>IF('03_Investitori'!H13="",0,'03_Investitori'!H13)</f>
        <v>0</v>
      </c>
      <c r="M13" s="41">
        <f>IF('03_Investitori'!C13="",0,(DataOggi-'03_Investitori'!C13)/365.25)</f>
        <v>0</v>
      </c>
      <c r="N13" s="26">
        <f t="shared" si="0"/>
        <v>0</v>
      </c>
    </row>
    <row r="14" spans="1:14" x14ac:dyDescent="0.2">
      <c r="A14" s="9" t="s">
        <v>445</v>
      </c>
      <c r="B14" s="26">
        <f ca="1">MIN(NAV_Curr,B5)</f>
        <v>1971514.4958473404</v>
      </c>
      <c r="C14" s="26">
        <f>0</f>
        <v>0</v>
      </c>
      <c r="D14" s="23" t="s">
        <v>446</v>
      </c>
      <c r="K14" s="31" t="str">
        <f>IF('03_Investitori'!B14="","",'03_Investitori'!B14)</f>
        <v/>
      </c>
      <c r="L14" s="10">
        <f>IF('03_Investitori'!H14="",0,'03_Investitori'!H14)</f>
        <v>0</v>
      </c>
      <c r="M14" s="41">
        <f>IF('03_Investitori'!C14="",0,(DataOggi-'03_Investitori'!C14)/365.25)</f>
        <v>0</v>
      </c>
      <c r="N14" s="26">
        <f t="shared" si="0"/>
        <v>0</v>
      </c>
    </row>
    <row r="15" spans="1:14" x14ac:dyDescent="0.2">
      <c r="A15" s="47" t="s">
        <v>447</v>
      </c>
      <c r="B15" s="48">
        <f ca="1">NAV_Curr-B14</f>
        <v>0</v>
      </c>
      <c r="C15" s="48"/>
      <c r="D15" s="49"/>
      <c r="K15" s="31" t="str">
        <f>IF('03_Investitori'!B15="","",'03_Investitori'!B15)</f>
        <v/>
      </c>
      <c r="L15" s="10">
        <f>IF('03_Investitori'!H15="",0,'03_Investitori'!H15)</f>
        <v>0</v>
      </c>
      <c r="M15" s="41">
        <f>IF('03_Investitori'!C15="",0,(DataOggi-'03_Investitori'!C15)/365.25)</f>
        <v>0</v>
      </c>
      <c r="N15" s="26">
        <f t="shared" si="0"/>
        <v>0</v>
      </c>
    </row>
    <row r="16" spans="1:14" x14ac:dyDescent="0.2">
      <c r="A16" s="9" t="s">
        <v>448</v>
      </c>
      <c r="B16" s="26">
        <f ca="1">MIN(B15,B7)</f>
        <v>0</v>
      </c>
      <c r="C16" s="26">
        <f>0</f>
        <v>0</v>
      </c>
      <c r="D16" s="23" t="s">
        <v>449</v>
      </c>
      <c r="K16" s="31" t="str">
        <f>IF('03_Investitori'!B16="","",'03_Investitori'!B16)</f>
        <v/>
      </c>
      <c r="L16" s="10">
        <f>IF('03_Investitori'!H16="",0,'03_Investitori'!H16)</f>
        <v>0</v>
      </c>
      <c r="M16" s="41">
        <f>IF('03_Investitori'!C16="",0,(DataOggi-'03_Investitori'!C16)/365.25)</f>
        <v>0</v>
      </c>
      <c r="N16" s="26">
        <f t="shared" si="0"/>
        <v>0</v>
      </c>
    </row>
    <row r="17" spans="1:14" x14ac:dyDescent="0.2">
      <c r="A17" s="47" t="s">
        <v>450</v>
      </c>
      <c r="B17" s="48">
        <f ca="1">B15-B16</f>
        <v>0</v>
      </c>
      <c r="C17" s="48"/>
      <c r="D17" s="49"/>
      <c r="K17" s="31" t="str">
        <f>IF('03_Investitori'!B17="","",'03_Investitori'!B17)</f>
        <v/>
      </c>
      <c r="L17" s="10">
        <f>IF('03_Investitori'!H17="",0,'03_Investitori'!H17)</f>
        <v>0</v>
      </c>
      <c r="M17" s="41">
        <f>IF('03_Investitori'!C17="",0,(DataOggi-'03_Investitori'!C17)/365.25)</f>
        <v>0</v>
      </c>
      <c r="N17" s="26">
        <f t="shared" si="0"/>
        <v>0</v>
      </c>
    </row>
    <row r="18" spans="1:14" x14ac:dyDescent="0.2">
      <c r="A18" s="9" t="s">
        <v>451</v>
      </c>
      <c r="B18" s="26">
        <f>0</f>
        <v>0</v>
      </c>
      <c r="C18" s="26">
        <f ca="1">MIN(B17,B16*CatchUpPct/(1-CatchUpPct))</f>
        <v>0</v>
      </c>
      <c r="D18" s="23" t="s">
        <v>452</v>
      </c>
      <c r="K18" s="31" t="str">
        <f>IF('03_Investitori'!B18="","",'03_Investitori'!B18)</f>
        <v/>
      </c>
      <c r="L18" s="10">
        <f>IF('03_Investitori'!H18="",0,'03_Investitori'!H18)</f>
        <v>0</v>
      </c>
      <c r="M18" s="41">
        <f>IF('03_Investitori'!C18="",0,(DataOggi-'03_Investitori'!C18)/365.25)</f>
        <v>0</v>
      </c>
      <c r="N18" s="26">
        <f t="shared" si="0"/>
        <v>0</v>
      </c>
    </row>
    <row r="19" spans="1:14" x14ac:dyDescent="0.2">
      <c r="A19" s="47" t="s">
        <v>453</v>
      </c>
      <c r="B19" s="48">
        <f ca="1">B17-C18</f>
        <v>0</v>
      </c>
      <c r="C19" s="48"/>
      <c r="D19" s="49"/>
      <c r="K19" s="31" t="str">
        <f>IF('03_Investitori'!B19="","",'03_Investitori'!B19)</f>
        <v/>
      </c>
      <c r="L19" s="10">
        <f>IF('03_Investitori'!H19="",0,'03_Investitori'!H19)</f>
        <v>0</v>
      </c>
      <c r="M19" s="41">
        <f>IF('03_Investitori'!C19="",0,(DataOggi-'03_Investitori'!C19)/365.25)</f>
        <v>0</v>
      </c>
      <c r="N19" s="26">
        <f t="shared" si="0"/>
        <v>0</v>
      </c>
    </row>
    <row r="20" spans="1:14" x14ac:dyDescent="0.2">
      <c r="A20" s="9" t="s">
        <v>454</v>
      </c>
      <c r="B20" s="26">
        <f ca="1">B19*(1-GPCarry)</f>
        <v>0</v>
      </c>
      <c r="C20" s="26">
        <f ca="1">B19*GPCarry</f>
        <v>0</v>
      </c>
      <c r="D20" s="23" t="s">
        <v>455</v>
      </c>
      <c r="K20" s="31" t="str">
        <f>IF('03_Investitori'!B20="","",'03_Investitori'!B20)</f>
        <v/>
      </c>
      <c r="L20" s="10">
        <f>IF('03_Investitori'!H20="",0,'03_Investitori'!H20)</f>
        <v>0</v>
      </c>
      <c r="M20" s="41">
        <f>IF('03_Investitori'!C20="",0,(DataOggi-'03_Investitori'!C20)/365.25)</f>
        <v>0</v>
      </c>
      <c r="N20" s="26">
        <f t="shared" si="0"/>
        <v>0</v>
      </c>
    </row>
    <row r="21" spans="1:14" x14ac:dyDescent="0.2">
      <c r="K21" s="31" t="str">
        <f>IF('03_Investitori'!B21="","",'03_Investitori'!B21)</f>
        <v/>
      </c>
      <c r="L21" s="10">
        <f>IF('03_Investitori'!H21="",0,'03_Investitori'!H21)</f>
        <v>0</v>
      </c>
      <c r="M21" s="41">
        <f>IF('03_Investitori'!C21="",0,(DataOggi-'03_Investitori'!C21)/365.25)</f>
        <v>0</v>
      </c>
      <c r="N21" s="26">
        <f t="shared" si="0"/>
        <v>0</v>
      </c>
    </row>
    <row r="22" spans="1:14" x14ac:dyDescent="0.2">
      <c r="A22" s="50" t="s">
        <v>456</v>
      </c>
      <c r="B22" s="51">
        <f ca="1">B14+B16+B20</f>
        <v>1971514.4958473404</v>
      </c>
      <c r="C22" s="51">
        <f ca="1">C18+C20</f>
        <v>0</v>
      </c>
      <c r="K22" s="31" t="str">
        <f>IF('03_Investitori'!B22="","",'03_Investitori'!B22)</f>
        <v/>
      </c>
      <c r="L22" s="10">
        <f>IF('03_Investitori'!H22="",0,'03_Investitori'!H22)</f>
        <v>0</v>
      </c>
      <c r="M22" s="41">
        <f>IF('03_Investitori'!C22="",0,(DataOggi-'03_Investitori'!C22)/365.25)</f>
        <v>0</v>
      </c>
      <c r="N22" s="26">
        <f t="shared" si="0"/>
        <v>0</v>
      </c>
    </row>
    <row r="23" spans="1:14" x14ac:dyDescent="0.2">
      <c r="A23" t="s">
        <v>457</v>
      </c>
      <c r="B23" s="52">
        <f ca="1">B22+C22</f>
        <v>1971514.4958473404</v>
      </c>
      <c r="C23" s="53" t="str">
        <f ca="1">IF(ROUND(B23-NAV_Curr,2)=0,"OK ✓","DIFF: "&amp;ROUND(B23-NAV_Curr,2))</f>
        <v>OK ✓</v>
      </c>
      <c r="K23" s="31" t="str">
        <f>IF('03_Investitori'!B23="","",'03_Investitori'!B23)</f>
        <v/>
      </c>
      <c r="L23" s="10">
        <f>IF('03_Investitori'!H23="",0,'03_Investitori'!H23)</f>
        <v>0</v>
      </c>
      <c r="M23" s="41">
        <f>IF('03_Investitori'!C23="",0,(DataOggi-'03_Investitori'!C23)/365.25)</f>
        <v>0</v>
      </c>
      <c r="N23" s="26">
        <f t="shared" si="0"/>
        <v>0</v>
      </c>
    </row>
    <row r="24" spans="1:14" x14ac:dyDescent="0.2">
      <c r="K24" s="31" t="str">
        <f>IF('03_Investitori'!B24="","",'03_Investitori'!B24)</f>
        <v/>
      </c>
      <c r="L24" s="10">
        <f>IF('03_Investitori'!H24="",0,'03_Investitori'!H24)</f>
        <v>0</v>
      </c>
      <c r="M24" s="41">
        <f>IF('03_Investitori'!C24="",0,(DataOggi-'03_Investitori'!C24)/365.25)</f>
        <v>0</v>
      </c>
      <c r="N24" s="26">
        <f t="shared" si="0"/>
        <v>0</v>
      </c>
    </row>
    <row r="25" spans="1:14" x14ac:dyDescent="0.2">
      <c r="K25" s="31" t="str">
        <f>IF('03_Investitori'!B25="","",'03_Investitori'!B25)</f>
        <v/>
      </c>
      <c r="L25" s="10">
        <f>IF('03_Investitori'!H25="",0,'03_Investitori'!H25)</f>
        <v>0</v>
      </c>
      <c r="M25" s="41">
        <f>IF('03_Investitori'!C25="",0,(DataOggi-'03_Investitori'!C25)/365.25)</f>
        <v>0</v>
      </c>
      <c r="N25" s="26">
        <f t="shared" si="0"/>
        <v>0</v>
      </c>
    </row>
    <row r="26" spans="1:14" ht="21.75" customHeight="1" x14ac:dyDescent="0.2">
      <c r="A26" s="88" t="s">
        <v>458</v>
      </c>
      <c r="B26" s="86"/>
      <c r="C26" s="86"/>
      <c r="D26" s="86"/>
      <c r="E26" s="86"/>
      <c r="F26" s="86"/>
      <c r="G26" s="86"/>
      <c r="K26" s="31" t="str">
        <f>IF('03_Investitori'!B26="","",'03_Investitori'!B26)</f>
        <v/>
      </c>
      <c r="L26" s="10">
        <f>IF('03_Investitori'!H26="",0,'03_Investitori'!H26)</f>
        <v>0</v>
      </c>
      <c r="M26" s="41">
        <f>IF('03_Investitori'!C26="",0,(DataOggi-'03_Investitori'!C26)/365.25)</f>
        <v>0</v>
      </c>
      <c r="N26" s="26">
        <f t="shared" si="0"/>
        <v>0</v>
      </c>
    </row>
    <row r="27" spans="1:14" x14ac:dyDescent="0.2">
      <c r="A27" s="19" t="s">
        <v>425</v>
      </c>
      <c r="B27" s="19" t="s">
        <v>115</v>
      </c>
      <c r="C27" s="19" t="s">
        <v>427</v>
      </c>
      <c r="D27" s="19" t="s">
        <v>438</v>
      </c>
      <c r="E27" s="19" t="s">
        <v>459</v>
      </c>
      <c r="F27" s="19" t="s">
        <v>460</v>
      </c>
      <c r="G27" s="19" t="s">
        <v>461</v>
      </c>
      <c r="H27" s="19" t="s">
        <v>462</v>
      </c>
      <c r="K27" s="31" t="str">
        <f>IF('03_Investitori'!B27="","",'03_Investitori'!B27)</f>
        <v/>
      </c>
      <c r="L27" s="10">
        <f>IF('03_Investitori'!H27="",0,'03_Investitori'!H27)</f>
        <v>0</v>
      </c>
      <c r="M27" s="41">
        <f>IF('03_Investitori'!C27="",0,(DataOggi-'03_Investitori'!C27)/365.25)</f>
        <v>0</v>
      </c>
      <c r="N27" s="26">
        <f t="shared" si="0"/>
        <v>0</v>
      </c>
    </row>
    <row r="28" spans="1:14" x14ac:dyDescent="0.2">
      <c r="A28" s="31" t="str">
        <f>IF('03_Investitori'!B5="","",'03_Investitori'!B5)</f>
        <v>Osy Harrison</v>
      </c>
      <c r="B28" s="32" t="str">
        <f>IF('03_Investitori'!D5="","",'03_Investitori'!D5)</f>
        <v>LP</v>
      </c>
      <c r="C28" s="10">
        <f>IF('03_Investitori'!H5="","",'03_Investitori'!H5)</f>
        <v>500000</v>
      </c>
      <c r="D28" s="26">
        <f t="shared" ref="D28:D59" ca="1" si="1">N5</f>
        <v>29136.323330733016</v>
      </c>
      <c r="E28" s="26">
        <f t="shared" ref="E28:E59" ca="1" si="2">IF(OR(C28="",$B$5=0),0,$B$14*C28/$B$5)</f>
        <v>492878.62396183511</v>
      </c>
      <c r="F28" s="26">
        <f t="shared" ref="F28:F59" ca="1" si="3">IF(OR($B$7=0,D28=""),0,$B$16*D28/$B$7)</f>
        <v>0</v>
      </c>
      <c r="G28" s="26">
        <f t="shared" ref="G28:G59" ca="1" si="4">IF(OR(C28="",$B$5=0),0,$B$20*C28/$B$5)</f>
        <v>0</v>
      </c>
      <c r="H28" s="26">
        <f t="shared" ref="H28:H59" ca="1" si="5">E28+F28+G28</f>
        <v>492878.62396183511</v>
      </c>
      <c r="K28" s="31" t="str">
        <f>IF('03_Investitori'!B28="","",'03_Investitori'!B28)</f>
        <v/>
      </c>
      <c r="L28" s="10">
        <f>IF('03_Investitori'!H28="",0,'03_Investitori'!H28)</f>
        <v>0</v>
      </c>
      <c r="M28" s="41">
        <f>IF('03_Investitori'!C28="",0,(DataOggi-'03_Investitori'!C28)/365.25)</f>
        <v>0</v>
      </c>
      <c r="N28" s="26">
        <f t="shared" si="0"/>
        <v>0</v>
      </c>
    </row>
    <row r="29" spans="1:14" x14ac:dyDescent="0.2">
      <c r="A29" s="31" t="str">
        <f>IF('03_Investitori'!B6="","",'03_Investitori'!B6)</f>
        <v>Bradley Jackson</v>
      </c>
      <c r="B29" s="32" t="str">
        <f>IF('03_Investitori'!D6="","",'03_Investitori'!D6)</f>
        <v>LP</v>
      </c>
      <c r="C29" s="10">
        <f>IF('03_Investitori'!H6="","",'03_Investitori'!H6)</f>
        <v>500000</v>
      </c>
      <c r="D29" s="26">
        <f t="shared" ca="1" si="1"/>
        <v>17393.976024691616</v>
      </c>
      <c r="E29" s="26">
        <f t="shared" ca="1" si="2"/>
        <v>492878.62396183511</v>
      </c>
      <c r="F29" s="26">
        <f t="shared" ca="1" si="3"/>
        <v>0</v>
      </c>
      <c r="G29" s="26">
        <f t="shared" ca="1" si="4"/>
        <v>0</v>
      </c>
      <c r="H29" s="26">
        <f t="shared" ca="1" si="5"/>
        <v>492878.62396183511</v>
      </c>
      <c r="K29" s="31" t="str">
        <f>IF('03_Investitori'!B29="","",'03_Investitori'!B29)</f>
        <v/>
      </c>
      <c r="L29" s="10">
        <f>IF('03_Investitori'!H29="",0,'03_Investitori'!H29)</f>
        <v>0</v>
      </c>
      <c r="M29" s="41">
        <f>IF('03_Investitori'!C29="",0,(DataOggi-'03_Investitori'!C29)/365.25)</f>
        <v>0</v>
      </c>
      <c r="N29" s="26">
        <f t="shared" si="0"/>
        <v>0</v>
      </c>
    </row>
    <row r="30" spans="1:14" x14ac:dyDescent="0.2">
      <c r="A30" s="31" t="str">
        <f>IF('03_Investitori'!B7="","",'03_Investitori'!B7)</f>
        <v>Grant Kauffman</v>
      </c>
      <c r="B30" s="32" t="str">
        <f>IF('03_Investitori'!D7="","",'03_Investitori'!D7)</f>
        <v>LP</v>
      </c>
      <c r="C30" s="10">
        <f>IF('03_Investitori'!H7="","",'03_Investitori'!H7)</f>
        <v>500000</v>
      </c>
      <c r="D30" s="26">
        <f t="shared" ca="1" si="1"/>
        <v>16979.460648213539</v>
      </c>
      <c r="E30" s="26">
        <f t="shared" ca="1" si="2"/>
        <v>492878.62396183511</v>
      </c>
      <c r="F30" s="26">
        <f t="shared" ca="1" si="3"/>
        <v>0</v>
      </c>
      <c r="G30" s="26">
        <f t="shared" ca="1" si="4"/>
        <v>0</v>
      </c>
      <c r="H30" s="26">
        <f t="shared" ca="1" si="5"/>
        <v>492878.62396183511</v>
      </c>
      <c r="K30" s="31" t="str">
        <f>IF('03_Investitori'!B30="","",'03_Investitori'!B30)</f>
        <v/>
      </c>
      <c r="L30" s="10">
        <f>IF('03_Investitori'!H30="",0,'03_Investitori'!H30)</f>
        <v>0</v>
      </c>
      <c r="M30" s="41">
        <f>IF('03_Investitori'!C30="",0,(DataOggi-'03_Investitori'!C30)/365.25)</f>
        <v>0</v>
      </c>
      <c r="N30" s="26">
        <f t="shared" si="0"/>
        <v>0</v>
      </c>
    </row>
    <row r="31" spans="1:14" x14ac:dyDescent="0.2">
      <c r="A31" s="31" t="str">
        <f>IF('03_Investitori'!B8="","",'03_Investitori'!B8)</f>
        <v>Esra Sertoglu</v>
      </c>
      <c r="B31" s="32" t="str">
        <f>IF('03_Investitori'!D8="","",'03_Investitori'!D8)</f>
        <v>LP</v>
      </c>
      <c r="C31" s="10">
        <f>IF('03_Investitori'!H8="","",'03_Investitori'!H8)</f>
        <v>500000</v>
      </c>
      <c r="D31" s="26">
        <f t="shared" ca="1" si="1"/>
        <v>4225.5311154192341</v>
      </c>
      <c r="E31" s="26">
        <f t="shared" ca="1" si="2"/>
        <v>492878.62396183511</v>
      </c>
      <c r="F31" s="26">
        <f t="shared" ca="1" si="3"/>
        <v>0</v>
      </c>
      <c r="G31" s="26">
        <f t="shared" ca="1" si="4"/>
        <v>0</v>
      </c>
      <c r="H31" s="26">
        <f t="shared" ca="1" si="5"/>
        <v>492878.62396183511</v>
      </c>
      <c r="K31" s="31" t="str">
        <f>IF('03_Investitori'!B31="","",'03_Investitori'!B31)</f>
        <v/>
      </c>
      <c r="L31" s="10">
        <f>IF('03_Investitori'!H31="",0,'03_Investitori'!H31)</f>
        <v>0</v>
      </c>
      <c r="M31" s="41">
        <f>IF('03_Investitori'!C31="",0,(DataOggi-'03_Investitori'!C31)/365.25)</f>
        <v>0</v>
      </c>
      <c r="N31" s="26">
        <f t="shared" si="0"/>
        <v>0</v>
      </c>
    </row>
    <row r="32" spans="1:14" x14ac:dyDescent="0.2">
      <c r="A32" s="31" t="str">
        <f>IF('03_Investitori'!B9="","",'03_Investitori'!B9)</f>
        <v/>
      </c>
      <c r="B32" s="32" t="str">
        <f>IF('03_Investitori'!D9="","",'03_Investitori'!D9)</f>
        <v/>
      </c>
      <c r="C32" s="10" t="str">
        <f>IF('03_Investitori'!H9="","",'03_Investitori'!H9)</f>
        <v/>
      </c>
      <c r="D32" s="26">
        <f t="shared" si="1"/>
        <v>0</v>
      </c>
      <c r="E32" s="26">
        <f t="shared" ca="1" si="2"/>
        <v>0</v>
      </c>
      <c r="F32" s="26">
        <f t="shared" ca="1" si="3"/>
        <v>0</v>
      </c>
      <c r="G32" s="26">
        <f t="shared" ca="1" si="4"/>
        <v>0</v>
      </c>
      <c r="H32" s="26">
        <f t="shared" ca="1" si="5"/>
        <v>0</v>
      </c>
      <c r="K32" s="31" t="str">
        <f>IF('03_Investitori'!B32="","",'03_Investitori'!B32)</f>
        <v/>
      </c>
      <c r="L32" s="10">
        <f>IF('03_Investitori'!H32="",0,'03_Investitori'!H32)</f>
        <v>0</v>
      </c>
      <c r="M32" s="41">
        <f>IF('03_Investitori'!C32="",0,(DataOggi-'03_Investitori'!C32)/365.25)</f>
        <v>0</v>
      </c>
      <c r="N32" s="26">
        <f t="shared" si="0"/>
        <v>0</v>
      </c>
    </row>
    <row r="33" spans="1:14" x14ac:dyDescent="0.2">
      <c r="A33" s="31" t="str">
        <f>IF('03_Investitori'!B10="","",'03_Investitori'!B10)</f>
        <v/>
      </c>
      <c r="B33" s="32" t="str">
        <f>IF('03_Investitori'!D10="","",'03_Investitori'!D10)</f>
        <v/>
      </c>
      <c r="C33" s="10" t="str">
        <f>IF('03_Investitori'!H10="","",'03_Investitori'!H10)</f>
        <v/>
      </c>
      <c r="D33" s="26">
        <f t="shared" si="1"/>
        <v>0</v>
      </c>
      <c r="E33" s="26">
        <f t="shared" ca="1" si="2"/>
        <v>0</v>
      </c>
      <c r="F33" s="26">
        <f t="shared" ca="1" si="3"/>
        <v>0</v>
      </c>
      <c r="G33" s="26">
        <f t="shared" ca="1" si="4"/>
        <v>0</v>
      </c>
      <c r="H33" s="26">
        <f t="shared" ca="1" si="5"/>
        <v>0</v>
      </c>
      <c r="K33" s="31" t="str">
        <f>IF('03_Investitori'!B33="","",'03_Investitori'!B33)</f>
        <v/>
      </c>
      <c r="L33" s="10">
        <f>IF('03_Investitori'!H33="",0,'03_Investitori'!H33)</f>
        <v>0</v>
      </c>
      <c r="M33" s="41">
        <f>IF('03_Investitori'!C33="",0,(DataOggi-'03_Investitori'!C33)/365.25)</f>
        <v>0</v>
      </c>
      <c r="N33" s="26">
        <f t="shared" si="0"/>
        <v>0</v>
      </c>
    </row>
    <row r="34" spans="1:14" x14ac:dyDescent="0.2">
      <c r="A34" s="31" t="str">
        <f>IF('03_Investitori'!B11="","",'03_Investitori'!B11)</f>
        <v/>
      </c>
      <c r="B34" s="32" t="str">
        <f>IF('03_Investitori'!D11="","",'03_Investitori'!D11)</f>
        <v/>
      </c>
      <c r="C34" s="10" t="str">
        <f>IF('03_Investitori'!H11="","",'03_Investitori'!H11)</f>
        <v/>
      </c>
      <c r="D34" s="26">
        <f t="shared" si="1"/>
        <v>0</v>
      </c>
      <c r="E34" s="26">
        <f t="shared" ca="1" si="2"/>
        <v>0</v>
      </c>
      <c r="F34" s="26">
        <f t="shared" ca="1" si="3"/>
        <v>0</v>
      </c>
      <c r="G34" s="26">
        <f t="shared" ca="1" si="4"/>
        <v>0</v>
      </c>
      <c r="H34" s="26">
        <f t="shared" ca="1" si="5"/>
        <v>0</v>
      </c>
      <c r="K34" s="31" t="str">
        <f>IF('03_Investitori'!B34="","",'03_Investitori'!B34)</f>
        <v/>
      </c>
      <c r="L34" s="10">
        <f>IF('03_Investitori'!H34="",0,'03_Investitori'!H34)</f>
        <v>0</v>
      </c>
      <c r="M34" s="41">
        <f>IF('03_Investitori'!C34="",0,(DataOggi-'03_Investitori'!C34)/365.25)</f>
        <v>0</v>
      </c>
      <c r="N34" s="26">
        <f t="shared" si="0"/>
        <v>0</v>
      </c>
    </row>
    <row r="35" spans="1:14" x14ac:dyDescent="0.2">
      <c r="A35" s="31" t="str">
        <f>IF('03_Investitori'!B12="","",'03_Investitori'!B12)</f>
        <v/>
      </c>
      <c r="B35" s="32" t="str">
        <f>IF('03_Investitori'!D12="","",'03_Investitori'!D12)</f>
        <v/>
      </c>
      <c r="C35" s="10" t="str">
        <f>IF('03_Investitori'!H12="","",'03_Investitori'!H12)</f>
        <v/>
      </c>
      <c r="D35" s="26">
        <f t="shared" si="1"/>
        <v>0</v>
      </c>
      <c r="E35" s="26">
        <f t="shared" ca="1" si="2"/>
        <v>0</v>
      </c>
      <c r="F35" s="26">
        <f t="shared" ca="1" si="3"/>
        <v>0</v>
      </c>
      <c r="G35" s="26">
        <f t="shared" ca="1" si="4"/>
        <v>0</v>
      </c>
      <c r="H35" s="26">
        <f t="shared" ca="1" si="5"/>
        <v>0</v>
      </c>
      <c r="K35" s="31" t="str">
        <f>IF('03_Investitori'!B35="","",'03_Investitori'!B35)</f>
        <v/>
      </c>
      <c r="L35" s="10">
        <f>IF('03_Investitori'!H35="",0,'03_Investitori'!H35)</f>
        <v>0</v>
      </c>
      <c r="M35" s="41">
        <f>IF('03_Investitori'!C35="",0,(DataOggi-'03_Investitori'!C35)/365.25)</f>
        <v>0</v>
      </c>
      <c r="N35" s="26">
        <f t="shared" si="0"/>
        <v>0</v>
      </c>
    </row>
    <row r="36" spans="1:14" x14ac:dyDescent="0.2">
      <c r="A36" s="31" t="str">
        <f>IF('03_Investitori'!B13="","",'03_Investitori'!B13)</f>
        <v/>
      </c>
      <c r="B36" s="32" t="str">
        <f>IF('03_Investitori'!D13="","",'03_Investitori'!D13)</f>
        <v/>
      </c>
      <c r="C36" s="10" t="str">
        <f>IF('03_Investitori'!H13="","",'03_Investitori'!H13)</f>
        <v/>
      </c>
      <c r="D36" s="26">
        <f t="shared" si="1"/>
        <v>0</v>
      </c>
      <c r="E36" s="26">
        <f t="shared" ca="1" si="2"/>
        <v>0</v>
      </c>
      <c r="F36" s="26">
        <f t="shared" ca="1" si="3"/>
        <v>0</v>
      </c>
      <c r="G36" s="26">
        <f t="shared" ca="1" si="4"/>
        <v>0</v>
      </c>
      <c r="H36" s="26">
        <f t="shared" ca="1" si="5"/>
        <v>0</v>
      </c>
      <c r="K36" s="31" t="str">
        <f>IF('03_Investitori'!B36="","",'03_Investitori'!B36)</f>
        <v/>
      </c>
      <c r="L36" s="10">
        <f>IF('03_Investitori'!H36="",0,'03_Investitori'!H36)</f>
        <v>0</v>
      </c>
      <c r="M36" s="41">
        <f>IF('03_Investitori'!C36="",0,(DataOggi-'03_Investitori'!C36)/365.25)</f>
        <v>0</v>
      </c>
      <c r="N36" s="26">
        <f t="shared" si="0"/>
        <v>0</v>
      </c>
    </row>
    <row r="37" spans="1:14" x14ac:dyDescent="0.2">
      <c r="A37" s="31" t="str">
        <f>IF('03_Investitori'!B14="","",'03_Investitori'!B14)</f>
        <v/>
      </c>
      <c r="B37" s="32" t="str">
        <f>IF('03_Investitori'!D14="","",'03_Investitori'!D14)</f>
        <v/>
      </c>
      <c r="C37" s="10" t="str">
        <f>IF('03_Investitori'!H14="","",'03_Investitori'!H14)</f>
        <v/>
      </c>
      <c r="D37" s="26">
        <f t="shared" si="1"/>
        <v>0</v>
      </c>
      <c r="E37" s="26">
        <f t="shared" ca="1" si="2"/>
        <v>0</v>
      </c>
      <c r="F37" s="26">
        <f t="shared" ca="1" si="3"/>
        <v>0</v>
      </c>
      <c r="G37" s="26">
        <f t="shared" ca="1" si="4"/>
        <v>0</v>
      </c>
      <c r="H37" s="26">
        <f t="shared" ca="1" si="5"/>
        <v>0</v>
      </c>
      <c r="K37" s="31" t="str">
        <f>IF('03_Investitori'!B37="","",'03_Investitori'!B37)</f>
        <v/>
      </c>
      <c r="L37" s="10">
        <f>IF('03_Investitori'!H37="",0,'03_Investitori'!H37)</f>
        <v>0</v>
      </c>
      <c r="M37" s="41">
        <f>IF('03_Investitori'!C37="",0,(DataOggi-'03_Investitori'!C37)/365.25)</f>
        <v>0</v>
      </c>
      <c r="N37" s="26">
        <f t="shared" ref="N37:N68" si="6">IF(L37=0,0,L37*((1+Hurdle)^M37-1))</f>
        <v>0</v>
      </c>
    </row>
    <row r="38" spans="1:14" x14ac:dyDescent="0.2">
      <c r="A38" s="31" t="str">
        <f>IF('03_Investitori'!B15="","",'03_Investitori'!B15)</f>
        <v/>
      </c>
      <c r="B38" s="32" t="str">
        <f>IF('03_Investitori'!D15="","",'03_Investitori'!D15)</f>
        <v/>
      </c>
      <c r="C38" s="10" t="str">
        <f>IF('03_Investitori'!H15="","",'03_Investitori'!H15)</f>
        <v/>
      </c>
      <c r="D38" s="26">
        <f t="shared" si="1"/>
        <v>0</v>
      </c>
      <c r="E38" s="26">
        <f t="shared" ca="1" si="2"/>
        <v>0</v>
      </c>
      <c r="F38" s="26">
        <f t="shared" ca="1" si="3"/>
        <v>0</v>
      </c>
      <c r="G38" s="26">
        <f t="shared" ca="1" si="4"/>
        <v>0</v>
      </c>
      <c r="H38" s="26">
        <f t="shared" ca="1" si="5"/>
        <v>0</v>
      </c>
      <c r="K38" s="31" t="str">
        <f>IF('03_Investitori'!B38="","",'03_Investitori'!B38)</f>
        <v/>
      </c>
      <c r="L38" s="10">
        <f>IF('03_Investitori'!H38="",0,'03_Investitori'!H38)</f>
        <v>0</v>
      </c>
      <c r="M38" s="41">
        <f>IF('03_Investitori'!C38="",0,(DataOggi-'03_Investitori'!C38)/365.25)</f>
        <v>0</v>
      </c>
      <c r="N38" s="26">
        <f t="shared" si="6"/>
        <v>0</v>
      </c>
    </row>
    <row r="39" spans="1:14" x14ac:dyDescent="0.2">
      <c r="A39" s="31" t="str">
        <f>IF('03_Investitori'!B16="","",'03_Investitori'!B16)</f>
        <v/>
      </c>
      <c r="B39" s="32" t="str">
        <f>IF('03_Investitori'!D16="","",'03_Investitori'!D16)</f>
        <v/>
      </c>
      <c r="C39" s="10" t="str">
        <f>IF('03_Investitori'!H16="","",'03_Investitori'!H16)</f>
        <v/>
      </c>
      <c r="D39" s="26">
        <f t="shared" si="1"/>
        <v>0</v>
      </c>
      <c r="E39" s="26">
        <f t="shared" ca="1" si="2"/>
        <v>0</v>
      </c>
      <c r="F39" s="26">
        <f t="shared" ca="1" si="3"/>
        <v>0</v>
      </c>
      <c r="G39" s="26">
        <f t="shared" ca="1" si="4"/>
        <v>0</v>
      </c>
      <c r="H39" s="26">
        <f t="shared" ca="1" si="5"/>
        <v>0</v>
      </c>
      <c r="K39" s="31" t="str">
        <f>IF('03_Investitori'!B39="","",'03_Investitori'!B39)</f>
        <v/>
      </c>
      <c r="L39" s="10">
        <f>IF('03_Investitori'!H39="",0,'03_Investitori'!H39)</f>
        <v>0</v>
      </c>
      <c r="M39" s="41">
        <f>IF('03_Investitori'!C39="",0,(DataOggi-'03_Investitori'!C39)/365.25)</f>
        <v>0</v>
      </c>
      <c r="N39" s="26">
        <f t="shared" si="6"/>
        <v>0</v>
      </c>
    </row>
    <row r="40" spans="1:14" x14ac:dyDescent="0.2">
      <c r="A40" s="31" t="str">
        <f>IF('03_Investitori'!B17="","",'03_Investitori'!B17)</f>
        <v/>
      </c>
      <c r="B40" s="32" t="str">
        <f>IF('03_Investitori'!D17="","",'03_Investitori'!D17)</f>
        <v/>
      </c>
      <c r="C40" s="10" t="str">
        <f>IF('03_Investitori'!H17="","",'03_Investitori'!H17)</f>
        <v/>
      </c>
      <c r="D40" s="26">
        <f t="shared" si="1"/>
        <v>0</v>
      </c>
      <c r="E40" s="26">
        <f t="shared" ca="1" si="2"/>
        <v>0</v>
      </c>
      <c r="F40" s="26">
        <f t="shared" ca="1" si="3"/>
        <v>0</v>
      </c>
      <c r="G40" s="26">
        <f t="shared" ca="1" si="4"/>
        <v>0</v>
      </c>
      <c r="H40" s="26">
        <f t="shared" ca="1" si="5"/>
        <v>0</v>
      </c>
      <c r="K40" s="31" t="str">
        <f>IF('03_Investitori'!B40="","",'03_Investitori'!B40)</f>
        <v/>
      </c>
      <c r="L40" s="10">
        <f>IF('03_Investitori'!H40="",0,'03_Investitori'!H40)</f>
        <v>0</v>
      </c>
      <c r="M40" s="41">
        <f>IF('03_Investitori'!C40="",0,(DataOggi-'03_Investitori'!C40)/365.25)</f>
        <v>0</v>
      </c>
      <c r="N40" s="26">
        <f t="shared" si="6"/>
        <v>0</v>
      </c>
    </row>
    <row r="41" spans="1:14" x14ac:dyDescent="0.2">
      <c r="A41" s="31" t="str">
        <f>IF('03_Investitori'!B18="","",'03_Investitori'!B18)</f>
        <v/>
      </c>
      <c r="B41" s="32" t="str">
        <f>IF('03_Investitori'!D18="","",'03_Investitori'!D18)</f>
        <v/>
      </c>
      <c r="C41" s="10" t="str">
        <f>IF('03_Investitori'!H18="","",'03_Investitori'!H18)</f>
        <v/>
      </c>
      <c r="D41" s="26">
        <f t="shared" si="1"/>
        <v>0</v>
      </c>
      <c r="E41" s="26">
        <f t="shared" ca="1" si="2"/>
        <v>0</v>
      </c>
      <c r="F41" s="26">
        <f t="shared" ca="1" si="3"/>
        <v>0</v>
      </c>
      <c r="G41" s="26">
        <f t="shared" ca="1" si="4"/>
        <v>0</v>
      </c>
      <c r="H41" s="26">
        <f t="shared" ca="1" si="5"/>
        <v>0</v>
      </c>
      <c r="K41" s="31" t="str">
        <f>IF('03_Investitori'!B41="","",'03_Investitori'!B41)</f>
        <v/>
      </c>
      <c r="L41" s="10">
        <f>IF('03_Investitori'!H41="",0,'03_Investitori'!H41)</f>
        <v>0</v>
      </c>
      <c r="M41" s="41">
        <f>IF('03_Investitori'!C41="",0,(DataOggi-'03_Investitori'!C41)/365.25)</f>
        <v>0</v>
      </c>
      <c r="N41" s="26">
        <f t="shared" si="6"/>
        <v>0</v>
      </c>
    </row>
    <row r="42" spans="1:14" x14ac:dyDescent="0.2">
      <c r="A42" s="31" t="str">
        <f>IF('03_Investitori'!B19="","",'03_Investitori'!B19)</f>
        <v/>
      </c>
      <c r="B42" s="32" t="str">
        <f>IF('03_Investitori'!D19="","",'03_Investitori'!D19)</f>
        <v/>
      </c>
      <c r="C42" s="10" t="str">
        <f>IF('03_Investitori'!H19="","",'03_Investitori'!H19)</f>
        <v/>
      </c>
      <c r="D42" s="26">
        <f t="shared" si="1"/>
        <v>0</v>
      </c>
      <c r="E42" s="26">
        <f t="shared" ca="1" si="2"/>
        <v>0</v>
      </c>
      <c r="F42" s="26">
        <f t="shared" ca="1" si="3"/>
        <v>0</v>
      </c>
      <c r="G42" s="26">
        <f t="shared" ca="1" si="4"/>
        <v>0</v>
      </c>
      <c r="H42" s="26">
        <f t="shared" ca="1" si="5"/>
        <v>0</v>
      </c>
      <c r="K42" s="31" t="str">
        <f>IF('03_Investitori'!B42="","",'03_Investitori'!B42)</f>
        <v/>
      </c>
      <c r="L42" s="10">
        <f>IF('03_Investitori'!H42="",0,'03_Investitori'!H42)</f>
        <v>0</v>
      </c>
      <c r="M42" s="41">
        <f>IF('03_Investitori'!C42="",0,(DataOggi-'03_Investitori'!C42)/365.25)</f>
        <v>0</v>
      </c>
      <c r="N42" s="26">
        <f t="shared" si="6"/>
        <v>0</v>
      </c>
    </row>
    <row r="43" spans="1:14" x14ac:dyDescent="0.2">
      <c r="A43" s="31" t="str">
        <f>IF('03_Investitori'!B20="","",'03_Investitori'!B20)</f>
        <v/>
      </c>
      <c r="B43" s="32" t="str">
        <f>IF('03_Investitori'!D20="","",'03_Investitori'!D20)</f>
        <v/>
      </c>
      <c r="C43" s="10" t="str">
        <f>IF('03_Investitori'!H20="","",'03_Investitori'!H20)</f>
        <v/>
      </c>
      <c r="D43" s="26">
        <f t="shared" si="1"/>
        <v>0</v>
      </c>
      <c r="E43" s="26">
        <f t="shared" ca="1" si="2"/>
        <v>0</v>
      </c>
      <c r="F43" s="26">
        <f t="shared" ca="1" si="3"/>
        <v>0</v>
      </c>
      <c r="G43" s="26">
        <f t="shared" ca="1" si="4"/>
        <v>0</v>
      </c>
      <c r="H43" s="26">
        <f t="shared" ca="1" si="5"/>
        <v>0</v>
      </c>
      <c r="K43" s="31" t="str">
        <f>IF('03_Investitori'!B43="","",'03_Investitori'!B43)</f>
        <v/>
      </c>
      <c r="L43" s="10">
        <f>IF('03_Investitori'!H43="",0,'03_Investitori'!H43)</f>
        <v>0</v>
      </c>
      <c r="M43" s="41">
        <f>IF('03_Investitori'!C43="",0,(DataOggi-'03_Investitori'!C43)/365.25)</f>
        <v>0</v>
      </c>
      <c r="N43" s="26">
        <f t="shared" si="6"/>
        <v>0</v>
      </c>
    </row>
    <row r="44" spans="1:14" x14ac:dyDescent="0.2">
      <c r="A44" s="31" t="str">
        <f>IF('03_Investitori'!B21="","",'03_Investitori'!B21)</f>
        <v/>
      </c>
      <c r="B44" s="32" t="str">
        <f>IF('03_Investitori'!D21="","",'03_Investitori'!D21)</f>
        <v/>
      </c>
      <c r="C44" s="10" t="str">
        <f>IF('03_Investitori'!H21="","",'03_Investitori'!H21)</f>
        <v/>
      </c>
      <c r="D44" s="26">
        <f t="shared" si="1"/>
        <v>0</v>
      </c>
      <c r="E44" s="26">
        <f t="shared" ca="1" si="2"/>
        <v>0</v>
      </c>
      <c r="F44" s="26">
        <f t="shared" ca="1" si="3"/>
        <v>0</v>
      </c>
      <c r="G44" s="26">
        <f t="shared" ca="1" si="4"/>
        <v>0</v>
      </c>
      <c r="H44" s="26">
        <f t="shared" ca="1" si="5"/>
        <v>0</v>
      </c>
      <c r="K44" s="31" t="str">
        <f>IF('03_Investitori'!B44="","",'03_Investitori'!B44)</f>
        <v/>
      </c>
      <c r="L44" s="10">
        <f>IF('03_Investitori'!H44="",0,'03_Investitori'!H44)</f>
        <v>0</v>
      </c>
      <c r="M44" s="41">
        <f>IF('03_Investitori'!C44="",0,(DataOggi-'03_Investitori'!C44)/365.25)</f>
        <v>0</v>
      </c>
      <c r="N44" s="26">
        <f t="shared" si="6"/>
        <v>0</v>
      </c>
    </row>
    <row r="45" spans="1:14" x14ac:dyDescent="0.2">
      <c r="A45" s="31" t="str">
        <f>IF('03_Investitori'!B22="","",'03_Investitori'!B22)</f>
        <v/>
      </c>
      <c r="B45" s="32" t="str">
        <f>IF('03_Investitori'!D22="","",'03_Investitori'!D22)</f>
        <v/>
      </c>
      <c r="C45" s="10" t="str">
        <f>IF('03_Investitori'!H22="","",'03_Investitori'!H22)</f>
        <v/>
      </c>
      <c r="D45" s="26">
        <f t="shared" si="1"/>
        <v>0</v>
      </c>
      <c r="E45" s="26">
        <f t="shared" ca="1" si="2"/>
        <v>0</v>
      </c>
      <c r="F45" s="26">
        <f t="shared" ca="1" si="3"/>
        <v>0</v>
      </c>
      <c r="G45" s="26">
        <f t="shared" ca="1" si="4"/>
        <v>0</v>
      </c>
      <c r="H45" s="26">
        <f t="shared" ca="1" si="5"/>
        <v>0</v>
      </c>
      <c r="K45" s="31" t="str">
        <f>IF('03_Investitori'!B45="","",'03_Investitori'!B45)</f>
        <v/>
      </c>
      <c r="L45" s="10">
        <f>IF('03_Investitori'!H45="",0,'03_Investitori'!H45)</f>
        <v>0</v>
      </c>
      <c r="M45" s="41">
        <f>IF('03_Investitori'!C45="",0,(DataOggi-'03_Investitori'!C45)/365.25)</f>
        <v>0</v>
      </c>
      <c r="N45" s="26">
        <f t="shared" si="6"/>
        <v>0</v>
      </c>
    </row>
    <row r="46" spans="1:14" x14ac:dyDescent="0.2">
      <c r="A46" s="31" t="str">
        <f>IF('03_Investitori'!B23="","",'03_Investitori'!B23)</f>
        <v/>
      </c>
      <c r="B46" s="32" t="str">
        <f>IF('03_Investitori'!D23="","",'03_Investitori'!D23)</f>
        <v/>
      </c>
      <c r="C46" s="10" t="str">
        <f>IF('03_Investitori'!H23="","",'03_Investitori'!H23)</f>
        <v/>
      </c>
      <c r="D46" s="26">
        <f t="shared" si="1"/>
        <v>0</v>
      </c>
      <c r="E46" s="26">
        <f t="shared" ca="1" si="2"/>
        <v>0</v>
      </c>
      <c r="F46" s="26">
        <f t="shared" ca="1" si="3"/>
        <v>0</v>
      </c>
      <c r="G46" s="26">
        <f t="shared" ca="1" si="4"/>
        <v>0</v>
      </c>
      <c r="H46" s="26">
        <f t="shared" ca="1" si="5"/>
        <v>0</v>
      </c>
      <c r="K46" s="31" t="str">
        <f>IF('03_Investitori'!B46="","",'03_Investitori'!B46)</f>
        <v/>
      </c>
      <c r="L46" s="10">
        <f>IF('03_Investitori'!H46="",0,'03_Investitori'!H46)</f>
        <v>0</v>
      </c>
      <c r="M46" s="41">
        <f>IF('03_Investitori'!C46="",0,(DataOggi-'03_Investitori'!C46)/365.25)</f>
        <v>0</v>
      </c>
      <c r="N46" s="26">
        <f t="shared" si="6"/>
        <v>0</v>
      </c>
    </row>
    <row r="47" spans="1:14" x14ac:dyDescent="0.2">
      <c r="A47" s="31" t="str">
        <f>IF('03_Investitori'!B24="","",'03_Investitori'!B24)</f>
        <v/>
      </c>
      <c r="B47" s="32" t="str">
        <f>IF('03_Investitori'!D24="","",'03_Investitori'!D24)</f>
        <v/>
      </c>
      <c r="C47" s="10" t="str">
        <f>IF('03_Investitori'!H24="","",'03_Investitori'!H24)</f>
        <v/>
      </c>
      <c r="D47" s="26">
        <f t="shared" si="1"/>
        <v>0</v>
      </c>
      <c r="E47" s="26">
        <f t="shared" ca="1" si="2"/>
        <v>0</v>
      </c>
      <c r="F47" s="26">
        <f t="shared" ca="1" si="3"/>
        <v>0</v>
      </c>
      <c r="G47" s="26">
        <f t="shared" ca="1" si="4"/>
        <v>0</v>
      </c>
      <c r="H47" s="26">
        <f t="shared" ca="1" si="5"/>
        <v>0</v>
      </c>
      <c r="K47" s="31" t="str">
        <f>IF('03_Investitori'!B47="","",'03_Investitori'!B47)</f>
        <v/>
      </c>
      <c r="L47" s="10">
        <f>IF('03_Investitori'!H47="",0,'03_Investitori'!H47)</f>
        <v>0</v>
      </c>
      <c r="M47" s="41">
        <f>IF('03_Investitori'!C47="",0,(DataOggi-'03_Investitori'!C47)/365.25)</f>
        <v>0</v>
      </c>
      <c r="N47" s="26">
        <f t="shared" si="6"/>
        <v>0</v>
      </c>
    </row>
    <row r="48" spans="1:14" x14ac:dyDescent="0.2">
      <c r="A48" s="31" t="str">
        <f>IF('03_Investitori'!B25="","",'03_Investitori'!B25)</f>
        <v/>
      </c>
      <c r="B48" s="32" t="str">
        <f>IF('03_Investitori'!D25="","",'03_Investitori'!D25)</f>
        <v/>
      </c>
      <c r="C48" s="10" t="str">
        <f>IF('03_Investitori'!H25="","",'03_Investitori'!H25)</f>
        <v/>
      </c>
      <c r="D48" s="26">
        <f t="shared" si="1"/>
        <v>0</v>
      </c>
      <c r="E48" s="26">
        <f t="shared" ca="1" si="2"/>
        <v>0</v>
      </c>
      <c r="F48" s="26">
        <f t="shared" ca="1" si="3"/>
        <v>0</v>
      </c>
      <c r="G48" s="26">
        <f t="shared" ca="1" si="4"/>
        <v>0</v>
      </c>
      <c r="H48" s="26">
        <f t="shared" ca="1" si="5"/>
        <v>0</v>
      </c>
      <c r="K48" s="31" t="str">
        <f>IF('03_Investitori'!B48="","",'03_Investitori'!B48)</f>
        <v/>
      </c>
      <c r="L48" s="10">
        <f>IF('03_Investitori'!H48="",0,'03_Investitori'!H48)</f>
        <v>0</v>
      </c>
      <c r="M48" s="41">
        <f>IF('03_Investitori'!C48="",0,(DataOggi-'03_Investitori'!C48)/365.25)</f>
        <v>0</v>
      </c>
      <c r="N48" s="26">
        <f t="shared" si="6"/>
        <v>0</v>
      </c>
    </row>
    <row r="49" spans="1:14" x14ac:dyDescent="0.2">
      <c r="A49" s="31" t="str">
        <f>IF('03_Investitori'!B26="","",'03_Investitori'!B26)</f>
        <v/>
      </c>
      <c r="B49" s="32" t="str">
        <f>IF('03_Investitori'!D26="","",'03_Investitori'!D26)</f>
        <v/>
      </c>
      <c r="C49" s="10" t="str">
        <f>IF('03_Investitori'!H26="","",'03_Investitori'!H26)</f>
        <v/>
      </c>
      <c r="D49" s="26">
        <f t="shared" si="1"/>
        <v>0</v>
      </c>
      <c r="E49" s="26">
        <f t="shared" ca="1" si="2"/>
        <v>0</v>
      </c>
      <c r="F49" s="26">
        <f t="shared" ca="1" si="3"/>
        <v>0</v>
      </c>
      <c r="G49" s="26">
        <f t="shared" ca="1" si="4"/>
        <v>0</v>
      </c>
      <c r="H49" s="26">
        <f t="shared" ca="1" si="5"/>
        <v>0</v>
      </c>
      <c r="K49" s="31" t="str">
        <f>IF('03_Investitori'!B49="","",'03_Investitori'!B49)</f>
        <v/>
      </c>
      <c r="L49" s="10">
        <f>IF('03_Investitori'!H49="",0,'03_Investitori'!H49)</f>
        <v>0</v>
      </c>
      <c r="M49" s="41">
        <f>IF('03_Investitori'!C49="",0,(DataOggi-'03_Investitori'!C49)/365.25)</f>
        <v>0</v>
      </c>
      <c r="N49" s="26">
        <f t="shared" si="6"/>
        <v>0</v>
      </c>
    </row>
    <row r="50" spans="1:14" x14ac:dyDescent="0.2">
      <c r="A50" s="31" t="str">
        <f>IF('03_Investitori'!B27="","",'03_Investitori'!B27)</f>
        <v/>
      </c>
      <c r="B50" s="32" t="str">
        <f>IF('03_Investitori'!D27="","",'03_Investitori'!D27)</f>
        <v/>
      </c>
      <c r="C50" s="10" t="str">
        <f>IF('03_Investitori'!H27="","",'03_Investitori'!H27)</f>
        <v/>
      </c>
      <c r="D50" s="26">
        <f t="shared" si="1"/>
        <v>0</v>
      </c>
      <c r="E50" s="26">
        <f t="shared" ca="1" si="2"/>
        <v>0</v>
      </c>
      <c r="F50" s="26">
        <f t="shared" ca="1" si="3"/>
        <v>0</v>
      </c>
      <c r="G50" s="26">
        <f t="shared" ca="1" si="4"/>
        <v>0</v>
      </c>
      <c r="H50" s="26">
        <f t="shared" ca="1" si="5"/>
        <v>0</v>
      </c>
      <c r="K50" s="31" t="str">
        <f>IF('03_Investitori'!B50="","",'03_Investitori'!B50)</f>
        <v/>
      </c>
      <c r="L50" s="10">
        <f>IF('03_Investitori'!H50="",0,'03_Investitori'!H50)</f>
        <v>0</v>
      </c>
      <c r="M50" s="41">
        <f>IF('03_Investitori'!C50="",0,(DataOggi-'03_Investitori'!C50)/365.25)</f>
        <v>0</v>
      </c>
      <c r="N50" s="26">
        <f t="shared" si="6"/>
        <v>0</v>
      </c>
    </row>
    <row r="51" spans="1:14" x14ac:dyDescent="0.2">
      <c r="A51" s="31" t="str">
        <f>IF('03_Investitori'!B28="","",'03_Investitori'!B28)</f>
        <v/>
      </c>
      <c r="B51" s="32" t="str">
        <f>IF('03_Investitori'!D28="","",'03_Investitori'!D28)</f>
        <v/>
      </c>
      <c r="C51" s="10" t="str">
        <f>IF('03_Investitori'!H28="","",'03_Investitori'!H28)</f>
        <v/>
      </c>
      <c r="D51" s="26">
        <f t="shared" si="1"/>
        <v>0</v>
      </c>
      <c r="E51" s="26">
        <f t="shared" ca="1" si="2"/>
        <v>0</v>
      </c>
      <c r="F51" s="26">
        <f t="shared" ca="1" si="3"/>
        <v>0</v>
      </c>
      <c r="G51" s="26">
        <f t="shared" ca="1" si="4"/>
        <v>0</v>
      </c>
      <c r="H51" s="26">
        <f t="shared" ca="1" si="5"/>
        <v>0</v>
      </c>
      <c r="K51" s="31" t="str">
        <f>IF('03_Investitori'!B51="","",'03_Investitori'!B51)</f>
        <v/>
      </c>
      <c r="L51" s="10">
        <f>IF('03_Investitori'!H51="",0,'03_Investitori'!H51)</f>
        <v>0</v>
      </c>
      <c r="M51" s="41">
        <f>IF('03_Investitori'!C51="",0,(DataOggi-'03_Investitori'!C51)/365.25)</f>
        <v>0</v>
      </c>
      <c r="N51" s="26">
        <f t="shared" si="6"/>
        <v>0</v>
      </c>
    </row>
    <row r="52" spans="1:14" x14ac:dyDescent="0.2">
      <c r="A52" s="31" t="str">
        <f>IF('03_Investitori'!B29="","",'03_Investitori'!B29)</f>
        <v/>
      </c>
      <c r="B52" s="32" t="str">
        <f>IF('03_Investitori'!D29="","",'03_Investitori'!D29)</f>
        <v/>
      </c>
      <c r="C52" s="10" t="str">
        <f>IF('03_Investitori'!H29="","",'03_Investitori'!H29)</f>
        <v/>
      </c>
      <c r="D52" s="26">
        <f t="shared" si="1"/>
        <v>0</v>
      </c>
      <c r="E52" s="26">
        <f t="shared" ca="1" si="2"/>
        <v>0</v>
      </c>
      <c r="F52" s="26">
        <f t="shared" ca="1" si="3"/>
        <v>0</v>
      </c>
      <c r="G52" s="26">
        <f t="shared" ca="1" si="4"/>
        <v>0</v>
      </c>
      <c r="H52" s="26">
        <f t="shared" ca="1" si="5"/>
        <v>0</v>
      </c>
      <c r="K52" s="31" t="str">
        <f>IF('03_Investitori'!B52="","",'03_Investitori'!B52)</f>
        <v/>
      </c>
      <c r="L52" s="10">
        <f>IF('03_Investitori'!H52="",0,'03_Investitori'!H52)</f>
        <v>0</v>
      </c>
      <c r="M52" s="41">
        <f>IF('03_Investitori'!C52="",0,(DataOggi-'03_Investitori'!C52)/365.25)</f>
        <v>0</v>
      </c>
      <c r="N52" s="26">
        <f t="shared" si="6"/>
        <v>0</v>
      </c>
    </row>
    <row r="53" spans="1:14" x14ac:dyDescent="0.2">
      <c r="A53" s="31" t="str">
        <f>IF('03_Investitori'!B30="","",'03_Investitori'!B30)</f>
        <v/>
      </c>
      <c r="B53" s="32" t="str">
        <f>IF('03_Investitori'!D30="","",'03_Investitori'!D30)</f>
        <v/>
      </c>
      <c r="C53" s="10" t="str">
        <f>IF('03_Investitori'!H30="","",'03_Investitori'!H30)</f>
        <v/>
      </c>
      <c r="D53" s="26">
        <f t="shared" si="1"/>
        <v>0</v>
      </c>
      <c r="E53" s="26">
        <f t="shared" ca="1" si="2"/>
        <v>0</v>
      </c>
      <c r="F53" s="26">
        <f t="shared" ca="1" si="3"/>
        <v>0</v>
      </c>
      <c r="G53" s="26">
        <f t="shared" ca="1" si="4"/>
        <v>0</v>
      </c>
      <c r="H53" s="26">
        <f t="shared" ca="1" si="5"/>
        <v>0</v>
      </c>
      <c r="K53" s="31" t="str">
        <f>IF('03_Investitori'!B53="","",'03_Investitori'!B53)</f>
        <v/>
      </c>
      <c r="L53" s="10">
        <f>IF('03_Investitori'!H53="",0,'03_Investitori'!H53)</f>
        <v>0</v>
      </c>
      <c r="M53" s="41">
        <f>IF('03_Investitori'!C53="",0,(DataOggi-'03_Investitori'!C53)/365.25)</f>
        <v>0</v>
      </c>
      <c r="N53" s="26">
        <f t="shared" si="6"/>
        <v>0</v>
      </c>
    </row>
    <row r="54" spans="1:14" x14ac:dyDescent="0.2">
      <c r="A54" s="31" t="str">
        <f>IF('03_Investitori'!B31="","",'03_Investitori'!B31)</f>
        <v/>
      </c>
      <c r="B54" s="32" t="str">
        <f>IF('03_Investitori'!D31="","",'03_Investitori'!D31)</f>
        <v/>
      </c>
      <c r="C54" s="10" t="str">
        <f>IF('03_Investitori'!H31="","",'03_Investitori'!H31)</f>
        <v/>
      </c>
      <c r="D54" s="26">
        <f t="shared" si="1"/>
        <v>0</v>
      </c>
      <c r="E54" s="26">
        <f t="shared" ca="1" si="2"/>
        <v>0</v>
      </c>
      <c r="F54" s="26">
        <f t="shared" ca="1" si="3"/>
        <v>0</v>
      </c>
      <c r="G54" s="26">
        <f t="shared" ca="1" si="4"/>
        <v>0</v>
      </c>
      <c r="H54" s="26">
        <f t="shared" ca="1" si="5"/>
        <v>0</v>
      </c>
      <c r="K54" s="31" t="str">
        <f>IF('03_Investitori'!B54="","",'03_Investitori'!B54)</f>
        <v/>
      </c>
      <c r="L54" s="10">
        <f>IF('03_Investitori'!H54="",0,'03_Investitori'!H54)</f>
        <v>0</v>
      </c>
      <c r="M54" s="41">
        <f>IF('03_Investitori'!C54="",0,(DataOggi-'03_Investitori'!C54)/365.25)</f>
        <v>0</v>
      </c>
      <c r="N54" s="26">
        <f t="shared" si="6"/>
        <v>0</v>
      </c>
    </row>
    <row r="55" spans="1:14" x14ac:dyDescent="0.2">
      <c r="A55" s="31" t="str">
        <f>IF('03_Investitori'!B32="","",'03_Investitori'!B32)</f>
        <v/>
      </c>
      <c r="B55" s="32" t="str">
        <f>IF('03_Investitori'!D32="","",'03_Investitori'!D32)</f>
        <v/>
      </c>
      <c r="C55" s="10" t="str">
        <f>IF('03_Investitori'!H32="","",'03_Investitori'!H32)</f>
        <v/>
      </c>
      <c r="D55" s="26">
        <f t="shared" si="1"/>
        <v>0</v>
      </c>
      <c r="E55" s="26">
        <f t="shared" ca="1" si="2"/>
        <v>0</v>
      </c>
      <c r="F55" s="26">
        <f t="shared" ca="1" si="3"/>
        <v>0</v>
      </c>
      <c r="G55" s="26">
        <f t="shared" ca="1" si="4"/>
        <v>0</v>
      </c>
      <c r="H55" s="26">
        <f t="shared" ca="1" si="5"/>
        <v>0</v>
      </c>
      <c r="K55" s="31" t="str">
        <f>IF('03_Investitori'!B55="","",'03_Investitori'!B55)</f>
        <v/>
      </c>
      <c r="L55" s="10">
        <f>IF('03_Investitori'!H55="",0,'03_Investitori'!H55)</f>
        <v>0</v>
      </c>
      <c r="M55" s="41">
        <f>IF('03_Investitori'!C55="",0,(DataOggi-'03_Investitori'!C55)/365.25)</f>
        <v>0</v>
      </c>
      <c r="N55" s="26">
        <f t="shared" si="6"/>
        <v>0</v>
      </c>
    </row>
    <row r="56" spans="1:14" x14ac:dyDescent="0.2">
      <c r="A56" s="31" t="str">
        <f>IF('03_Investitori'!B33="","",'03_Investitori'!B33)</f>
        <v/>
      </c>
      <c r="B56" s="32" t="str">
        <f>IF('03_Investitori'!D33="","",'03_Investitori'!D33)</f>
        <v/>
      </c>
      <c r="C56" s="10" t="str">
        <f>IF('03_Investitori'!H33="","",'03_Investitori'!H33)</f>
        <v/>
      </c>
      <c r="D56" s="26">
        <f t="shared" si="1"/>
        <v>0</v>
      </c>
      <c r="E56" s="26">
        <f t="shared" ca="1" si="2"/>
        <v>0</v>
      </c>
      <c r="F56" s="26">
        <f t="shared" ca="1" si="3"/>
        <v>0</v>
      </c>
      <c r="G56" s="26">
        <f t="shared" ca="1" si="4"/>
        <v>0</v>
      </c>
      <c r="H56" s="26">
        <f t="shared" ca="1" si="5"/>
        <v>0</v>
      </c>
      <c r="K56" s="31" t="str">
        <f>IF('03_Investitori'!B56="","",'03_Investitori'!B56)</f>
        <v/>
      </c>
      <c r="L56" s="10">
        <f>IF('03_Investitori'!H56="",0,'03_Investitori'!H56)</f>
        <v>0</v>
      </c>
      <c r="M56" s="41">
        <f>IF('03_Investitori'!C56="",0,(DataOggi-'03_Investitori'!C56)/365.25)</f>
        <v>0</v>
      </c>
      <c r="N56" s="26">
        <f t="shared" si="6"/>
        <v>0</v>
      </c>
    </row>
    <row r="57" spans="1:14" x14ac:dyDescent="0.2">
      <c r="A57" s="31" t="str">
        <f>IF('03_Investitori'!B34="","",'03_Investitori'!B34)</f>
        <v/>
      </c>
      <c r="B57" s="32" t="str">
        <f>IF('03_Investitori'!D34="","",'03_Investitori'!D34)</f>
        <v/>
      </c>
      <c r="C57" s="10" t="str">
        <f>IF('03_Investitori'!H34="","",'03_Investitori'!H34)</f>
        <v/>
      </c>
      <c r="D57" s="26">
        <f t="shared" si="1"/>
        <v>0</v>
      </c>
      <c r="E57" s="26">
        <f t="shared" ca="1" si="2"/>
        <v>0</v>
      </c>
      <c r="F57" s="26">
        <f t="shared" ca="1" si="3"/>
        <v>0</v>
      </c>
      <c r="G57" s="26">
        <f t="shared" ca="1" si="4"/>
        <v>0</v>
      </c>
      <c r="H57" s="26">
        <f t="shared" ca="1" si="5"/>
        <v>0</v>
      </c>
      <c r="K57" s="31" t="str">
        <f>IF('03_Investitori'!B57="","",'03_Investitori'!B57)</f>
        <v/>
      </c>
      <c r="L57" s="10">
        <f>IF('03_Investitori'!H57="",0,'03_Investitori'!H57)</f>
        <v>0</v>
      </c>
      <c r="M57" s="41">
        <f>IF('03_Investitori'!C57="",0,(DataOggi-'03_Investitori'!C57)/365.25)</f>
        <v>0</v>
      </c>
      <c r="N57" s="26">
        <f t="shared" si="6"/>
        <v>0</v>
      </c>
    </row>
    <row r="58" spans="1:14" x14ac:dyDescent="0.2">
      <c r="A58" s="31" t="str">
        <f>IF('03_Investitori'!B35="","",'03_Investitori'!B35)</f>
        <v/>
      </c>
      <c r="B58" s="32" t="str">
        <f>IF('03_Investitori'!D35="","",'03_Investitori'!D35)</f>
        <v/>
      </c>
      <c r="C58" s="10" t="str">
        <f>IF('03_Investitori'!H35="","",'03_Investitori'!H35)</f>
        <v/>
      </c>
      <c r="D58" s="26">
        <f t="shared" si="1"/>
        <v>0</v>
      </c>
      <c r="E58" s="26">
        <f t="shared" ca="1" si="2"/>
        <v>0</v>
      </c>
      <c r="F58" s="26">
        <f t="shared" ca="1" si="3"/>
        <v>0</v>
      </c>
      <c r="G58" s="26">
        <f t="shared" ca="1" si="4"/>
        <v>0</v>
      </c>
      <c r="H58" s="26">
        <f t="shared" ca="1" si="5"/>
        <v>0</v>
      </c>
      <c r="K58" s="31" t="str">
        <f>IF('03_Investitori'!B58="","",'03_Investitori'!B58)</f>
        <v/>
      </c>
      <c r="L58" s="10">
        <f>IF('03_Investitori'!H58="",0,'03_Investitori'!H58)</f>
        <v>0</v>
      </c>
      <c r="M58" s="41">
        <f>IF('03_Investitori'!C58="",0,(DataOggi-'03_Investitori'!C58)/365.25)</f>
        <v>0</v>
      </c>
      <c r="N58" s="26">
        <f t="shared" si="6"/>
        <v>0</v>
      </c>
    </row>
    <row r="59" spans="1:14" x14ac:dyDescent="0.2">
      <c r="A59" s="31" t="str">
        <f>IF('03_Investitori'!B36="","",'03_Investitori'!B36)</f>
        <v/>
      </c>
      <c r="B59" s="32" t="str">
        <f>IF('03_Investitori'!D36="","",'03_Investitori'!D36)</f>
        <v/>
      </c>
      <c r="C59" s="10" t="str">
        <f>IF('03_Investitori'!H36="","",'03_Investitori'!H36)</f>
        <v/>
      </c>
      <c r="D59" s="26">
        <f t="shared" si="1"/>
        <v>0</v>
      </c>
      <c r="E59" s="26">
        <f t="shared" ca="1" si="2"/>
        <v>0</v>
      </c>
      <c r="F59" s="26">
        <f t="shared" ca="1" si="3"/>
        <v>0</v>
      </c>
      <c r="G59" s="26">
        <f t="shared" ca="1" si="4"/>
        <v>0</v>
      </c>
      <c r="H59" s="26">
        <f t="shared" ca="1" si="5"/>
        <v>0</v>
      </c>
      <c r="K59" s="31" t="str">
        <f>IF('03_Investitori'!B59="","",'03_Investitori'!B59)</f>
        <v/>
      </c>
      <c r="L59" s="10">
        <f>IF('03_Investitori'!H59="",0,'03_Investitori'!H59)</f>
        <v>0</v>
      </c>
      <c r="M59" s="41">
        <f>IF('03_Investitori'!C59="",0,(DataOggi-'03_Investitori'!C59)/365.25)</f>
        <v>0</v>
      </c>
      <c r="N59" s="26">
        <f t="shared" si="6"/>
        <v>0</v>
      </c>
    </row>
    <row r="60" spans="1:14" x14ac:dyDescent="0.2">
      <c r="A60" s="31" t="str">
        <f>IF('03_Investitori'!B37="","",'03_Investitori'!B37)</f>
        <v/>
      </c>
      <c r="B60" s="32" t="str">
        <f>IF('03_Investitori'!D37="","",'03_Investitori'!D37)</f>
        <v/>
      </c>
      <c r="C60" s="10" t="str">
        <f>IF('03_Investitori'!H37="","",'03_Investitori'!H37)</f>
        <v/>
      </c>
      <c r="D60" s="26">
        <f t="shared" ref="D60:D91" si="7">N37</f>
        <v>0</v>
      </c>
      <c r="E60" s="26">
        <f t="shared" ref="E60:E91" ca="1" si="8">IF(OR(C60="",$B$5=0),0,$B$14*C60/$B$5)</f>
        <v>0</v>
      </c>
      <c r="F60" s="26">
        <f t="shared" ref="F60:F91" ca="1" si="9">IF(OR($B$7=0,D60=""),0,$B$16*D60/$B$7)</f>
        <v>0</v>
      </c>
      <c r="G60" s="26">
        <f t="shared" ref="G60:G91" ca="1" si="10">IF(OR(C60="",$B$5=0),0,$B$20*C60/$B$5)</f>
        <v>0</v>
      </c>
      <c r="H60" s="26">
        <f t="shared" ref="H60:H91" ca="1" si="11">E60+F60+G60</f>
        <v>0</v>
      </c>
      <c r="K60" s="31" t="str">
        <f>IF('03_Investitori'!B60="","",'03_Investitori'!B60)</f>
        <v/>
      </c>
      <c r="L60" s="10">
        <f>IF('03_Investitori'!H60="",0,'03_Investitori'!H60)</f>
        <v>0</v>
      </c>
      <c r="M60" s="41">
        <f>IF('03_Investitori'!C60="",0,(DataOggi-'03_Investitori'!C60)/365.25)</f>
        <v>0</v>
      </c>
      <c r="N60" s="26">
        <f t="shared" si="6"/>
        <v>0</v>
      </c>
    </row>
    <row r="61" spans="1:14" x14ac:dyDescent="0.2">
      <c r="A61" s="31" t="str">
        <f>IF('03_Investitori'!B38="","",'03_Investitori'!B38)</f>
        <v/>
      </c>
      <c r="B61" s="32" t="str">
        <f>IF('03_Investitori'!D38="","",'03_Investitori'!D38)</f>
        <v/>
      </c>
      <c r="C61" s="10" t="str">
        <f>IF('03_Investitori'!H38="","",'03_Investitori'!H38)</f>
        <v/>
      </c>
      <c r="D61" s="26">
        <f t="shared" si="7"/>
        <v>0</v>
      </c>
      <c r="E61" s="26">
        <f t="shared" ca="1" si="8"/>
        <v>0</v>
      </c>
      <c r="F61" s="26">
        <f t="shared" ca="1" si="9"/>
        <v>0</v>
      </c>
      <c r="G61" s="26">
        <f t="shared" ca="1" si="10"/>
        <v>0</v>
      </c>
      <c r="H61" s="26">
        <f t="shared" ca="1" si="11"/>
        <v>0</v>
      </c>
      <c r="K61" s="31" t="str">
        <f>IF('03_Investitori'!B61="","",'03_Investitori'!B61)</f>
        <v/>
      </c>
      <c r="L61" s="10">
        <f>IF('03_Investitori'!H61="",0,'03_Investitori'!H61)</f>
        <v>0</v>
      </c>
      <c r="M61" s="41">
        <f>IF('03_Investitori'!C61="",0,(DataOggi-'03_Investitori'!C61)/365.25)</f>
        <v>0</v>
      </c>
      <c r="N61" s="26">
        <f t="shared" si="6"/>
        <v>0</v>
      </c>
    </row>
    <row r="62" spans="1:14" x14ac:dyDescent="0.2">
      <c r="A62" s="31" t="str">
        <f>IF('03_Investitori'!B39="","",'03_Investitori'!B39)</f>
        <v/>
      </c>
      <c r="B62" s="32" t="str">
        <f>IF('03_Investitori'!D39="","",'03_Investitori'!D39)</f>
        <v/>
      </c>
      <c r="C62" s="10" t="str">
        <f>IF('03_Investitori'!H39="","",'03_Investitori'!H39)</f>
        <v/>
      </c>
      <c r="D62" s="26">
        <f t="shared" si="7"/>
        <v>0</v>
      </c>
      <c r="E62" s="26">
        <f t="shared" ca="1" si="8"/>
        <v>0</v>
      </c>
      <c r="F62" s="26">
        <f t="shared" ca="1" si="9"/>
        <v>0</v>
      </c>
      <c r="G62" s="26">
        <f t="shared" ca="1" si="10"/>
        <v>0</v>
      </c>
      <c r="H62" s="26">
        <f t="shared" ca="1" si="11"/>
        <v>0</v>
      </c>
      <c r="K62" s="31" t="str">
        <f>IF('03_Investitori'!B62="","",'03_Investitori'!B62)</f>
        <v/>
      </c>
      <c r="L62" s="10">
        <f>IF('03_Investitori'!H62="",0,'03_Investitori'!H62)</f>
        <v>0</v>
      </c>
      <c r="M62" s="41">
        <f>IF('03_Investitori'!C62="",0,(DataOggi-'03_Investitori'!C62)/365.25)</f>
        <v>0</v>
      </c>
      <c r="N62" s="26">
        <f t="shared" si="6"/>
        <v>0</v>
      </c>
    </row>
    <row r="63" spans="1:14" x14ac:dyDescent="0.2">
      <c r="A63" s="31" t="str">
        <f>IF('03_Investitori'!B40="","",'03_Investitori'!B40)</f>
        <v/>
      </c>
      <c r="B63" s="32" t="str">
        <f>IF('03_Investitori'!D40="","",'03_Investitori'!D40)</f>
        <v/>
      </c>
      <c r="C63" s="10" t="str">
        <f>IF('03_Investitori'!H40="","",'03_Investitori'!H40)</f>
        <v/>
      </c>
      <c r="D63" s="26">
        <f t="shared" si="7"/>
        <v>0</v>
      </c>
      <c r="E63" s="26">
        <f t="shared" ca="1" si="8"/>
        <v>0</v>
      </c>
      <c r="F63" s="26">
        <f t="shared" ca="1" si="9"/>
        <v>0</v>
      </c>
      <c r="G63" s="26">
        <f t="shared" ca="1" si="10"/>
        <v>0</v>
      </c>
      <c r="H63" s="26">
        <f t="shared" ca="1" si="11"/>
        <v>0</v>
      </c>
      <c r="K63" s="31" t="str">
        <f>IF('03_Investitori'!B63="","",'03_Investitori'!B63)</f>
        <v/>
      </c>
      <c r="L63" s="10">
        <f>IF('03_Investitori'!H63="",0,'03_Investitori'!H63)</f>
        <v>0</v>
      </c>
      <c r="M63" s="41">
        <f>IF('03_Investitori'!C63="",0,(DataOggi-'03_Investitori'!C63)/365.25)</f>
        <v>0</v>
      </c>
      <c r="N63" s="26">
        <f t="shared" si="6"/>
        <v>0</v>
      </c>
    </row>
    <row r="64" spans="1:14" x14ac:dyDescent="0.2">
      <c r="A64" s="31" t="str">
        <f>IF('03_Investitori'!B41="","",'03_Investitori'!B41)</f>
        <v/>
      </c>
      <c r="B64" s="32" t="str">
        <f>IF('03_Investitori'!D41="","",'03_Investitori'!D41)</f>
        <v/>
      </c>
      <c r="C64" s="10" t="str">
        <f>IF('03_Investitori'!H41="","",'03_Investitori'!H41)</f>
        <v/>
      </c>
      <c r="D64" s="26">
        <f t="shared" si="7"/>
        <v>0</v>
      </c>
      <c r="E64" s="26">
        <f t="shared" ca="1" si="8"/>
        <v>0</v>
      </c>
      <c r="F64" s="26">
        <f t="shared" ca="1" si="9"/>
        <v>0</v>
      </c>
      <c r="G64" s="26">
        <f t="shared" ca="1" si="10"/>
        <v>0</v>
      </c>
      <c r="H64" s="26">
        <f t="shared" ca="1" si="11"/>
        <v>0</v>
      </c>
      <c r="K64" s="31" t="str">
        <f>IF('03_Investitori'!B64="","",'03_Investitori'!B64)</f>
        <v/>
      </c>
      <c r="L64" s="10">
        <f>IF('03_Investitori'!H64="",0,'03_Investitori'!H64)</f>
        <v>0</v>
      </c>
      <c r="M64" s="41">
        <f>IF('03_Investitori'!C64="",0,(DataOggi-'03_Investitori'!C64)/365.25)</f>
        <v>0</v>
      </c>
      <c r="N64" s="26">
        <f t="shared" si="6"/>
        <v>0</v>
      </c>
    </row>
    <row r="65" spans="1:14" x14ac:dyDescent="0.2">
      <c r="A65" s="31" t="str">
        <f>IF('03_Investitori'!B42="","",'03_Investitori'!B42)</f>
        <v/>
      </c>
      <c r="B65" s="32" t="str">
        <f>IF('03_Investitori'!D42="","",'03_Investitori'!D42)</f>
        <v/>
      </c>
      <c r="C65" s="10" t="str">
        <f>IF('03_Investitori'!H42="","",'03_Investitori'!H42)</f>
        <v/>
      </c>
      <c r="D65" s="26">
        <f t="shared" si="7"/>
        <v>0</v>
      </c>
      <c r="E65" s="26">
        <f t="shared" ca="1" si="8"/>
        <v>0</v>
      </c>
      <c r="F65" s="26">
        <f t="shared" ca="1" si="9"/>
        <v>0</v>
      </c>
      <c r="G65" s="26">
        <f t="shared" ca="1" si="10"/>
        <v>0</v>
      </c>
      <c r="H65" s="26">
        <f t="shared" ca="1" si="11"/>
        <v>0</v>
      </c>
      <c r="K65" s="31" t="str">
        <f>IF('03_Investitori'!B65="","",'03_Investitori'!B65)</f>
        <v/>
      </c>
      <c r="L65" s="10">
        <f>IF('03_Investitori'!H65="",0,'03_Investitori'!H65)</f>
        <v>0</v>
      </c>
      <c r="M65" s="41">
        <f>IF('03_Investitori'!C65="",0,(DataOggi-'03_Investitori'!C65)/365.25)</f>
        <v>0</v>
      </c>
      <c r="N65" s="26">
        <f t="shared" si="6"/>
        <v>0</v>
      </c>
    </row>
    <row r="66" spans="1:14" x14ac:dyDescent="0.2">
      <c r="A66" s="31" t="str">
        <f>IF('03_Investitori'!B43="","",'03_Investitori'!B43)</f>
        <v/>
      </c>
      <c r="B66" s="32" t="str">
        <f>IF('03_Investitori'!D43="","",'03_Investitori'!D43)</f>
        <v/>
      </c>
      <c r="C66" s="10" t="str">
        <f>IF('03_Investitori'!H43="","",'03_Investitori'!H43)</f>
        <v/>
      </c>
      <c r="D66" s="26">
        <f t="shared" si="7"/>
        <v>0</v>
      </c>
      <c r="E66" s="26">
        <f t="shared" ca="1" si="8"/>
        <v>0</v>
      </c>
      <c r="F66" s="26">
        <f t="shared" ca="1" si="9"/>
        <v>0</v>
      </c>
      <c r="G66" s="26">
        <f t="shared" ca="1" si="10"/>
        <v>0</v>
      </c>
      <c r="H66" s="26">
        <f t="shared" ca="1" si="11"/>
        <v>0</v>
      </c>
      <c r="K66" s="31" t="str">
        <f>IF('03_Investitori'!B66="","",'03_Investitori'!B66)</f>
        <v/>
      </c>
      <c r="L66" s="10">
        <f>IF('03_Investitori'!H66="",0,'03_Investitori'!H66)</f>
        <v>0</v>
      </c>
      <c r="M66" s="41">
        <f>IF('03_Investitori'!C66="",0,(DataOggi-'03_Investitori'!C66)/365.25)</f>
        <v>0</v>
      </c>
      <c r="N66" s="26">
        <f t="shared" si="6"/>
        <v>0</v>
      </c>
    </row>
    <row r="67" spans="1:14" x14ac:dyDescent="0.2">
      <c r="A67" s="31" t="str">
        <f>IF('03_Investitori'!B44="","",'03_Investitori'!B44)</f>
        <v/>
      </c>
      <c r="B67" s="32" t="str">
        <f>IF('03_Investitori'!D44="","",'03_Investitori'!D44)</f>
        <v/>
      </c>
      <c r="C67" s="10" t="str">
        <f>IF('03_Investitori'!H44="","",'03_Investitori'!H44)</f>
        <v/>
      </c>
      <c r="D67" s="26">
        <f t="shared" si="7"/>
        <v>0</v>
      </c>
      <c r="E67" s="26">
        <f t="shared" ca="1" si="8"/>
        <v>0</v>
      </c>
      <c r="F67" s="26">
        <f t="shared" ca="1" si="9"/>
        <v>0</v>
      </c>
      <c r="G67" s="26">
        <f t="shared" ca="1" si="10"/>
        <v>0</v>
      </c>
      <c r="H67" s="26">
        <f t="shared" ca="1" si="11"/>
        <v>0</v>
      </c>
      <c r="K67" s="31" t="str">
        <f>IF('03_Investitori'!B67="","",'03_Investitori'!B67)</f>
        <v/>
      </c>
      <c r="L67" s="10">
        <f>IF('03_Investitori'!H67="",0,'03_Investitori'!H67)</f>
        <v>0</v>
      </c>
      <c r="M67" s="41">
        <f>IF('03_Investitori'!C67="",0,(DataOggi-'03_Investitori'!C67)/365.25)</f>
        <v>0</v>
      </c>
      <c r="N67" s="26">
        <f t="shared" si="6"/>
        <v>0</v>
      </c>
    </row>
    <row r="68" spans="1:14" x14ac:dyDescent="0.2">
      <c r="A68" s="31" t="str">
        <f>IF('03_Investitori'!B45="","",'03_Investitori'!B45)</f>
        <v/>
      </c>
      <c r="B68" s="32" t="str">
        <f>IF('03_Investitori'!D45="","",'03_Investitori'!D45)</f>
        <v/>
      </c>
      <c r="C68" s="10" t="str">
        <f>IF('03_Investitori'!H45="","",'03_Investitori'!H45)</f>
        <v/>
      </c>
      <c r="D68" s="26">
        <f t="shared" si="7"/>
        <v>0</v>
      </c>
      <c r="E68" s="26">
        <f t="shared" ca="1" si="8"/>
        <v>0</v>
      </c>
      <c r="F68" s="26">
        <f t="shared" ca="1" si="9"/>
        <v>0</v>
      </c>
      <c r="G68" s="26">
        <f t="shared" ca="1" si="10"/>
        <v>0</v>
      </c>
      <c r="H68" s="26">
        <f t="shared" ca="1" si="11"/>
        <v>0</v>
      </c>
      <c r="K68" s="31" t="str">
        <f>IF('03_Investitori'!B68="","",'03_Investitori'!B68)</f>
        <v/>
      </c>
      <c r="L68" s="10">
        <f>IF('03_Investitori'!H68="",0,'03_Investitori'!H68)</f>
        <v>0</v>
      </c>
      <c r="M68" s="41">
        <f>IF('03_Investitori'!C68="",0,(DataOggi-'03_Investitori'!C68)/365.25)</f>
        <v>0</v>
      </c>
      <c r="N68" s="26">
        <f t="shared" si="6"/>
        <v>0</v>
      </c>
    </row>
    <row r="69" spans="1:14" x14ac:dyDescent="0.2">
      <c r="A69" s="31" t="str">
        <f>IF('03_Investitori'!B46="","",'03_Investitori'!B46)</f>
        <v/>
      </c>
      <c r="B69" s="32" t="str">
        <f>IF('03_Investitori'!D46="","",'03_Investitori'!D46)</f>
        <v/>
      </c>
      <c r="C69" s="10" t="str">
        <f>IF('03_Investitori'!H46="","",'03_Investitori'!H46)</f>
        <v/>
      </c>
      <c r="D69" s="26">
        <f t="shared" si="7"/>
        <v>0</v>
      </c>
      <c r="E69" s="26">
        <f t="shared" ca="1" si="8"/>
        <v>0</v>
      </c>
      <c r="F69" s="26">
        <f t="shared" ca="1" si="9"/>
        <v>0</v>
      </c>
      <c r="G69" s="26">
        <f t="shared" ca="1" si="10"/>
        <v>0</v>
      </c>
      <c r="H69" s="26">
        <f t="shared" ca="1" si="11"/>
        <v>0</v>
      </c>
      <c r="K69" s="31" t="str">
        <f>IF('03_Investitori'!B69="","",'03_Investitori'!B69)</f>
        <v/>
      </c>
      <c r="L69" s="10">
        <f>IF('03_Investitori'!H69="",0,'03_Investitori'!H69)</f>
        <v>0</v>
      </c>
      <c r="M69" s="41">
        <f>IF('03_Investitori'!C69="",0,(DataOggi-'03_Investitori'!C69)/365.25)</f>
        <v>0</v>
      </c>
      <c r="N69" s="26">
        <f t="shared" ref="N69:N100" si="12">IF(L69=0,0,L69*((1+Hurdle)^M69-1))</f>
        <v>0</v>
      </c>
    </row>
    <row r="70" spans="1:14" x14ac:dyDescent="0.2">
      <c r="A70" s="31" t="str">
        <f>IF('03_Investitori'!B47="","",'03_Investitori'!B47)</f>
        <v/>
      </c>
      <c r="B70" s="32" t="str">
        <f>IF('03_Investitori'!D47="","",'03_Investitori'!D47)</f>
        <v/>
      </c>
      <c r="C70" s="10" t="str">
        <f>IF('03_Investitori'!H47="","",'03_Investitori'!H47)</f>
        <v/>
      </c>
      <c r="D70" s="26">
        <f t="shared" si="7"/>
        <v>0</v>
      </c>
      <c r="E70" s="26">
        <f t="shared" ca="1" si="8"/>
        <v>0</v>
      </c>
      <c r="F70" s="26">
        <f t="shared" ca="1" si="9"/>
        <v>0</v>
      </c>
      <c r="G70" s="26">
        <f t="shared" ca="1" si="10"/>
        <v>0</v>
      </c>
      <c r="H70" s="26">
        <f t="shared" ca="1" si="11"/>
        <v>0</v>
      </c>
      <c r="K70" s="31" t="str">
        <f>IF('03_Investitori'!B70="","",'03_Investitori'!B70)</f>
        <v/>
      </c>
      <c r="L70" s="10">
        <f>IF('03_Investitori'!H70="",0,'03_Investitori'!H70)</f>
        <v>0</v>
      </c>
      <c r="M70" s="41">
        <f>IF('03_Investitori'!C70="",0,(DataOggi-'03_Investitori'!C70)/365.25)</f>
        <v>0</v>
      </c>
      <c r="N70" s="26">
        <f t="shared" si="12"/>
        <v>0</v>
      </c>
    </row>
    <row r="71" spans="1:14" x14ac:dyDescent="0.2">
      <c r="A71" s="31" t="str">
        <f>IF('03_Investitori'!B48="","",'03_Investitori'!B48)</f>
        <v/>
      </c>
      <c r="B71" s="32" t="str">
        <f>IF('03_Investitori'!D48="","",'03_Investitori'!D48)</f>
        <v/>
      </c>
      <c r="C71" s="10" t="str">
        <f>IF('03_Investitori'!H48="","",'03_Investitori'!H48)</f>
        <v/>
      </c>
      <c r="D71" s="26">
        <f t="shared" si="7"/>
        <v>0</v>
      </c>
      <c r="E71" s="26">
        <f t="shared" ca="1" si="8"/>
        <v>0</v>
      </c>
      <c r="F71" s="26">
        <f t="shared" ca="1" si="9"/>
        <v>0</v>
      </c>
      <c r="G71" s="26">
        <f t="shared" ca="1" si="10"/>
        <v>0</v>
      </c>
      <c r="H71" s="26">
        <f t="shared" ca="1" si="11"/>
        <v>0</v>
      </c>
      <c r="K71" s="31" t="str">
        <f>IF('03_Investitori'!B71="","",'03_Investitori'!B71)</f>
        <v/>
      </c>
      <c r="L71" s="10">
        <f>IF('03_Investitori'!H71="",0,'03_Investitori'!H71)</f>
        <v>0</v>
      </c>
      <c r="M71" s="41">
        <f>IF('03_Investitori'!C71="",0,(DataOggi-'03_Investitori'!C71)/365.25)</f>
        <v>0</v>
      </c>
      <c r="N71" s="26">
        <f t="shared" si="12"/>
        <v>0</v>
      </c>
    </row>
    <row r="72" spans="1:14" x14ac:dyDescent="0.2">
      <c r="A72" s="31" t="str">
        <f>IF('03_Investitori'!B49="","",'03_Investitori'!B49)</f>
        <v/>
      </c>
      <c r="B72" s="32" t="str">
        <f>IF('03_Investitori'!D49="","",'03_Investitori'!D49)</f>
        <v/>
      </c>
      <c r="C72" s="10" t="str">
        <f>IF('03_Investitori'!H49="","",'03_Investitori'!H49)</f>
        <v/>
      </c>
      <c r="D72" s="26">
        <f t="shared" si="7"/>
        <v>0</v>
      </c>
      <c r="E72" s="26">
        <f t="shared" ca="1" si="8"/>
        <v>0</v>
      </c>
      <c r="F72" s="26">
        <f t="shared" ca="1" si="9"/>
        <v>0</v>
      </c>
      <c r="G72" s="26">
        <f t="shared" ca="1" si="10"/>
        <v>0</v>
      </c>
      <c r="H72" s="26">
        <f t="shared" ca="1" si="11"/>
        <v>0</v>
      </c>
      <c r="K72" s="31" t="str">
        <f>IF('03_Investitori'!B72="","",'03_Investitori'!B72)</f>
        <v/>
      </c>
      <c r="L72" s="10">
        <f>IF('03_Investitori'!H72="",0,'03_Investitori'!H72)</f>
        <v>0</v>
      </c>
      <c r="M72" s="41">
        <f>IF('03_Investitori'!C72="",0,(DataOggi-'03_Investitori'!C72)/365.25)</f>
        <v>0</v>
      </c>
      <c r="N72" s="26">
        <f t="shared" si="12"/>
        <v>0</v>
      </c>
    </row>
    <row r="73" spans="1:14" x14ac:dyDescent="0.2">
      <c r="A73" s="31" t="str">
        <f>IF('03_Investitori'!B50="","",'03_Investitori'!B50)</f>
        <v/>
      </c>
      <c r="B73" s="32" t="str">
        <f>IF('03_Investitori'!D50="","",'03_Investitori'!D50)</f>
        <v/>
      </c>
      <c r="C73" s="10" t="str">
        <f>IF('03_Investitori'!H50="","",'03_Investitori'!H50)</f>
        <v/>
      </c>
      <c r="D73" s="26">
        <f t="shared" si="7"/>
        <v>0</v>
      </c>
      <c r="E73" s="26">
        <f t="shared" ca="1" si="8"/>
        <v>0</v>
      </c>
      <c r="F73" s="26">
        <f t="shared" ca="1" si="9"/>
        <v>0</v>
      </c>
      <c r="G73" s="26">
        <f t="shared" ca="1" si="10"/>
        <v>0</v>
      </c>
      <c r="H73" s="26">
        <f t="shared" ca="1" si="11"/>
        <v>0</v>
      </c>
      <c r="K73" s="31" t="str">
        <f>IF('03_Investitori'!B73="","",'03_Investitori'!B73)</f>
        <v/>
      </c>
      <c r="L73" s="10">
        <f>IF('03_Investitori'!H73="",0,'03_Investitori'!H73)</f>
        <v>0</v>
      </c>
      <c r="M73" s="41">
        <f>IF('03_Investitori'!C73="",0,(DataOggi-'03_Investitori'!C73)/365.25)</f>
        <v>0</v>
      </c>
      <c r="N73" s="26">
        <f t="shared" si="12"/>
        <v>0</v>
      </c>
    </row>
    <row r="74" spans="1:14" x14ac:dyDescent="0.2">
      <c r="A74" s="31" t="str">
        <f>IF('03_Investitori'!B51="","",'03_Investitori'!B51)</f>
        <v/>
      </c>
      <c r="B74" s="32" t="str">
        <f>IF('03_Investitori'!D51="","",'03_Investitori'!D51)</f>
        <v/>
      </c>
      <c r="C74" s="10" t="str">
        <f>IF('03_Investitori'!H51="","",'03_Investitori'!H51)</f>
        <v/>
      </c>
      <c r="D74" s="26">
        <f t="shared" si="7"/>
        <v>0</v>
      </c>
      <c r="E74" s="26">
        <f t="shared" ca="1" si="8"/>
        <v>0</v>
      </c>
      <c r="F74" s="26">
        <f t="shared" ca="1" si="9"/>
        <v>0</v>
      </c>
      <c r="G74" s="26">
        <f t="shared" ca="1" si="10"/>
        <v>0</v>
      </c>
      <c r="H74" s="26">
        <f t="shared" ca="1" si="11"/>
        <v>0</v>
      </c>
      <c r="K74" s="31" t="str">
        <f>IF('03_Investitori'!B74="","",'03_Investitori'!B74)</f>
        <v/>
      </c>
      <c r="L74" s="10">
        <f>IF('03_Investitori'!H74="",0,'03_Investitori'!H74)</f>
        <v>0</v>
      </c>
      <c r="M74" s="41">
        <f>IF('03_Investitori'!C74="",0,(DataOggi-'03_Investitori'!C74)/365.25)</f>
        <v>0</v>
      </c>
      <c r="N74" s="26">
        <f t="shared" si="12"/>
        <v>0</v>
      </c>
    </row>
    <row r="75" spans="1:14" x14ac:dyDescent="0.2">
      <c r="A75" s="31" t="str">
        <f>IF('03_Investitori'!B52="","",'03_Investitori'!B52)</f>
        <v/>
      </c>
      <c r="B75" s="32" t="str">
        <f>IF('03_Investitori'!D52="","",'03_Investitori'!D52)</f>
        <v/>
      </c>
      <c r="C75" s="10" t="str">
        <f>IF('03_Investitori'!H52="","",'03_Investitori'!H52)</f>
        <v/>
      </c>
      <c r="D75" s="26">
        <f t="shared" si="7"/>
        <v>0</v>
      </c>
      <c r="E75" s="26">
        <f t="shared" ca="1" si="8"/>
        <v>0</v>
      </c>
      <c r="F75" s="26">
        <f t="shared" ca="1" si="9"/>
        <v>0</v>
      </c>
      <c r="G75" s="26">
        <f t="shared" ca="1" si="10"/>
        <v>0</v>
      </c>
      <c r="H75" s="26">
        <f t="shared" ca="1" si="11"/>
        <v>0</v>
      </c>
      <c r="K75" s="31" t="str">
        <f>IF('03_Investitori'!B75="","",'03_Investitori'!B75)</f>
        <v/>
      </c>
      <c r="L75" s="10">
        <f>IF('03_Investitori'!H75="",0,'03_Investitori'!H75)</f>
        <v>0</v>
      </c>
      <c r="M75" s="41">
        <f>IF('03_Investitori'!C75="",0,(DataOggi-'03_Investitori'!C75)/365.25)</f>
        <v>0</v>
      </c>
      <c r="N75" s="26">
        <f t="shared" si="12"/>
        <v>0</v>
      </c>
    </row>
    <row r="76" spans="1:14" x14ac:dyDescent="0.2">
      <c r="A76" s="31" t="str">
        <f>IF('03_Investitori'!B53="","",'03_Investitori'!B53)</f>
        <v/>
      </c>
      <c r="B76" s="32" t="str">
        <f>IF('03_Investitori'!D53="","",'03_Investitori'!D53)</f>
        <v/>
      </c>
      <c r="C76" s="10" t="str">
        <f>IF('03_Investitori'!H53="","",'03_Investitori'!H53)</f>
        <v/>
      </c>
      <c r="D76" s="26">
        <f t="shared" si="7"/>
        <v>0</v>
      </c>
      <c r="E76" s="26">
        <f t="shared" ca="1" si="8"/>
        <v>0</v>
      </c>
      <c r="F76" s="26">
        <f t="shared" ca="1" si="9"/>
        <v>0</v>
      </c>
      <c r="G76" s="26">
        <f t="shared" ca="1" si="10"/>
        <v>0</v>
      </c>
      <c r="H76" s="26">
        <f t="shared" ca="1" si="11"/>
        <v>0</v>
      </c>
      <c r="K76" s="31" t="str">
        <f>IF('03_Investitori'!B76="","",'03_Investitori'!B76)</f>
        <v/>
      </c>
      <c r="L76" s="10">
        <f>IF('03_Investitori'!H76="",0,'03_Investitori'!H76)</f>
        <v>0</v>
      </c>
      <c r="M76" s="41">
        <f>IF('03_Investitori'!C76="",0,(DataOggi-'03_Investitori'!C76)/365.25)</f>
        <v>0</v>
      </c>
      <c r="N76" s="26">
        <f t="shared" si="12"/>
        <v>0</v>
      </c>
    </row>
    <row r="77" spans="1:14" x14ac:dyDescent="0.2">
      <c r="A77" s="31" t="str">
        <f>IF('03_Investitori'!B54="","",'03_Investitori'!B54)</f>
        <v/>
      </c>
      <c r="B77" s="32" t="str">
        <f>IF('03_Investitori'!D54="","",'03_Investitori'!D54)</f>
        <v/>
      </c>
      <c r="C77" s="10" t="str">
        <f>IF('03_Investitori'!H54="","",'03_Investitori'!H54)</f>
        <v/>
      </c>
      <c r="D77" s="26">
        <f t="shared" si="7"/>
        <v>0</v>
      </c>
      <c r="E77" s="26">
        <f t="shared" ca="1" si="8"/>
        <v>0</v>
      </c>
      <c r="F77" s="26">
        <f t="shared" ca="1" si="9"/>
        <v>0</v>
      </c>
      <c r="G77" s="26">
        <f t="shared" ca="1" si="10"/>
        <v>0</v>
      </c>
      <c r="H77" s="26">
        <f t="shared" ca="1" si="11"/>
        <v>0</v>
      </c>
      <c r="K77" s="31" t="str">
        <f>IF('03_Investitori'!B77="","",'03_Investitori'!B77)</f>
        <v/>
      </c>
      <c r="L77" s="10">
        <f>IF('03_Investitori'!H77="",0,'03_Investitori'!H77)</f>
        <v>0</v>
      </c>
      <c r="M77" s="41">
        <f>IF('03_Investitori'!C77="",0,(DataOggi-'03_Investitori'!C77)/365.25)</f>
        <v>0</v>
      </c>
      <c r="N77" s="26">
        <f t="shared" si="12"/>
        <v>0</v>
      </c>
    </row>
    <row r="78" spans="1:14" x14ac:dyDescent="0.2">
      <c r="A78" s="31" t="str">
        <f>IF('03_Investitori'!B55="","",'03_Investitori'!B55)</f>
        <v/>
      </c>
      <c r="B78" s="32" t="str">
        <f>IF('03_Investitori'!D55="","",'03_Investitori'!D55)</f>
        <v/>
      </c>
      <c r="C78" s="10" t="str">
        <f>IF('03_Investitori'!H55="","",'03_Investitori'!H55)</f>
        <v/>
      </c>
      <c r="D78" s="26">
        <f t="shared" si="7"/>
        <v>0</v>
      </c>
      <c r="E78" s="26">
        <f t="shared" ca="1" si="8"/>
        <v>0</v>
      </c>
      <c r="F78" s="26">
        <f t="shared" ca="1" si="9"/>
        <v>0</v>
      </c>
      <c r="G78" s="26">
        <f t="shared" ca="1" si="10"/>
        <v>0</v>
      </c>
      <c r="H78" s="26">
        <f t="shared" ca="1" si="11"/>
        <v>0</v>
      </c>
      <c r="K78" s="31" t="str">
        <f>IF('03_Investitori'!B78="","",'03_Investitori'!B78)</f>
        <v/>
      </c>
      <c r="L78" s="10">
        <f>IF('03_Investitori'!H78="",0,'03_Investitori'!H78)</f>
        <v>0</v>
      </c>
      <c r="M78" s="41">
        <f>IF('03_Investitori'!C78="",0,(DataOggi-'03_Investitori'!C78)/365.25)</f>
        <v>0</v>
      </c>
      <c r="N78" s="26">
        <f t="shared" si="12"/>
        <v>0</v>
      </c>
    </row>
    <row r="79" spans="1:14" x14ac:dyDescent="0.2">
      <c r="A79" s="31" t="str">
        <f>IF('03_Investitori'!B56="","",'03_Investitori'!B56)</f>
        <v/>
      </c>
      <c r="B79" s="32" t="str">
        <f>IF('03_Investitori'!D56="","",'03_Investitori'!D56)</f>
        <v/>
      </c>
      <c r="C79" s="10" t="str">
        <f>IF('03_Investitori'!H56="","",'03_Investitori'!H56)</f>
        <v/>
      </c>
      <c r="D79" s="26">
        <f t="shared" si="7"/>
        <v>0</v>
      </c>
      <c r="E79" s="26">
        <f t="shared" ca="1" si="8"/>
        <v>0</v>
      </c>
      <c r="F79" s="26">
        <f t="shared" ca="1" si="9"/>
        <v>0</v>
      </c>
      <c r="G79" s="26">
        <f t="shared" ca="1" si="10"/>
        <v>0</v>
      </c>
      <c r="H79" s="26">
        <f t="shared" ca="1" si="11"/>
        <v>0</v>
      </c>
      <c r="K79" s="31" t="str">
        <f>IF('03_Investitori'!B79="","",'03_Investitori'!B79)</f>
        <v/>
      </c>
      <c r="L79" s="10">
        <f>IF('03_Investitori'!H79="",0,'03_Investitori'!H79)</f>
        <v>0</v>
      </c>
      <c r="M79" s="41">
        <f>IF('03_Investitori'!C79="",0,(DataOggi-'03_Investitori'!C79)/365.25)</f>
        <v>0</v>
      </c>
      <c r="N79" s="26">
        <f t="shared" si="12"/>
        <v>0</v>
      </c>
    </row>
    <row r="80" spans="1:14" x14ac:dyDescent="0.2">
      <c r="A80" s="31" t="str">
        <f>IF('03_Investitori'!B57="","",'03_Investitori'!B57)</f>
        <v/>
      </c>
      <c r="B80" s="32" t="str">
        <f>IF('03_Investitori'!D57="","",'03_Investitori'!D57)</f>
        <v/>
      </c>
      <c r="C80" s="10" t="str">
        <f>IF('03_Investitori'!H57="","",'03_Investitori'!H57)</f>
        <v/>
      </c>
      <c r="D80" s="26">
        <f t="shared" si="7"/>
        <v>0</v>
      </c>
      <c r="E80" s="26">
        <f t="shared" ca="1" si="8"/>
        <v>0</v>
      </c>
      <c r="F80" s="26">
        <f t="shared" ca="1" si="9"/>
        <v>0</v>
      </c>
      <c r="G80" s="26">
        <f t="shared" ca="1" si="10"/>
        <v>0</v>
      </c>
      <c r="H80" s="26">
        <f t="shared" ca="1" si="11"/>
        <v>0</v>
      </c>
      <c r="K80" s="31" t="str">
        <f>IF('03_Investitori'!B80="","",'03_Investitori'!B80)</f>
        <v/>
      </c>
      <c r="L80" s="10">
        <f>IF('03_Investitori'!H80="",0,'03_Investitori'!H80)</f>
        <v>0</v>
      </c>
      <c r="M80" s="41">
        <f>IF('03_Investitori'!C80="",0,(DataOggi-'03_Investitori'!C80)/365.25)</f>
        <v>0</v>
      </c>
      <c r="N80" s="26">
        <f t="shared" si="12"/>
        <v>0</v>
      </c>
    </row>
    <row r="81" spans="1:14" x14ac:dyDescent="0.2">
      <c r="A81" s="31" t="str">
        <f>IF('03_Investitori'!B58="","",'03_Investitori'!B58)</f>
        <v/>
      </c>
      <c r="B81" s="32" t="str">
        <f>IF('03_Investitori'!D58="","",'03_Investitori'!D58)</f>
        <v/>
      </c>
      <c r="C81" s="10" t="str">
        <f>IF('03_Investitori'!H58="","",'03_Investitori'!H58)</f>
        <v/>
      </c>
      <c r="D81" s="26">
        <f t="shared" si="7"/>
        <v>0</v>
      </c>
      <c r="E81" s="26">
        <f t="shared" ca="1" si="8"/>
        <v>0</v>
      </c>
      <c r="F81" s="26">
        <f t="shared" ca="1" si="9"/>
        <v>0</v>
      </c>
      <c r="G81" s="26">
        <f t="shared" ca="1" si="10"/>
        <v>0</v>
      </c>
      <c r="H81" s="26">
        <f t="shared" ca="1" si="11"/>
        <v>0</v>
      </c>
      <c r="K81" s="31" t="str">
        <f>IF('03_Investitori'!B81="","",'03_Investitori'!B81)</f>
        <v/>
      </c>
      <c r="L81" s="10">
        <f>IF('03_Investitori'!H81="",0,'03_Investitori'!H81)</f>
        <v>0</v>
      </c>
      <c r="M81" s="41">
        <f>IF('03_Investitori'!C81="",0,(DataOggi-'03_Investitori'!C81)/365.25)</f>
        <v>0</v>
      </c>
      <c r="N81" s="26">
        <f t="shared" si="12"/>
        <v>0</v>
      </c>
    </row>
    <row r="82" spans="1:14" x14ac:dyDescent="0.2">
      <c r="A82" s="31" t="str">
        <f>IF('03_Investitori'!B59="","",'03_Investitori'!B59)</f>
        <v/>
      </c>
      <c r="B82" s="32" t="str">
        <f>IF('03_Investitori'!D59="","",'03_Investitori'!D59)</f>
        <v/>
      </c>
      <c r="C82" s="10" t="str">
        <f>IF('03_Investitori'!H59="","",'03_Investitori'!H59)</f>
        <v/>
      </c>
      <c r="D82" s="26">
        <f t="shared" si="7"/>
        <v>0</v>
      </c>
      <c r="E82" s="26">
        <f t="shared" ca="1" si="8"/>
        <v>0</v>
      </c>
      <c r="F82" s="26">
        <f t="shared" ca="1" si="9"/>
        <v>0</v>
      </c>
      <c r="G82" s="26">
        <f t="shared" ca="1" si="10"/>
        <v>0</v>
      </c>
      <c r="H82" s="26">
        <f t="shared" ca="1" si="11"/>
        <v>0</v>
      </c>
      <c r="K82" s="31" t="str">
        <f>IF('03_Investitori'!B82="","",'03_Investitori'!B82)</f>
        <v/>
      </c>
      <c r="L82" s="10">
        <f>IF('03_Investitori'!H82="",0,'03_Investitori'!H82)</f>
        <v>0</v>
      </c>
      <c r="M82" s="41">
        <f>IF('03_Investitori'!C82="",0,(DataOggi-'03_Investitori'!C82)/365.25)</f>
        <v>0</v>
      </c>
      <c r="N82" s="26">
        <f t="shared" si="12"/>
        <v>0</v>
      </c>
    </row>
    <row r="83" spans="1:14" x14ac:dyDescent="0.2">
      <c r="A83" s="31" t="str">
        <f>IF('03_Investitori'!B60="","",'03_Investitori'!B60)</f>
        <v/>
      </c>
      <c r="B83" s="32" t="str">
        <f>IF('03_Investitori'!D60="","",'03_Investitori'!D60)</f>
        <v/>
      </c>
      <c r="C83" s="10" t="str">
        <f>IF('03_Investitori'!H60="","",'03_Investitori'!H60)</f>
        <v/>
      </c>
      <c r="D83" s="26">
        <f t="shared" si="7"/>
        <v>0</v>
      </c>
      <c r="E83" s="26">
        <f t="shared" ca="1" si="8"/>
        <v>0</v>
      </c>
      <c r="F83" s="26">
        <f t="shared" ca="1" si="9"/>
        <v>0</v>
      </c>
      <c r="G83" s="26">
        <f t="shared" ca="1" si="10"/>
        <v>0</v>
      </c>
      <c r="H83" s="26">
        <f t="shared" ca="1" si="11"/>
        <v>0</v>
      </c>
      <c r="K83" s="31" t="str">
        <f>IF('03_Investitori'!B83="","",'03_Investitori'!B83)</f>
        <v/>
      </c>
      <c r="L83" s="10">
        <f>IF('03_Investitori'!H83="",0,'03_Investitori'!H83)</f>
        <v>0</v>
      </c>
      <c r="M83" s="41">
        <f>IF('03_Investitori'!C83="",0,(DataOggi-'03_Investitori'!C83)/365.25)</f>
        <v>0</v>
      </c>
      <c r="N83" s="26">
        <f t="shared" si="12"/>
        <v>0</v>
      </c>
    </row>
    <row r="84" spans="1:14" x14ac:dyDescent="0.2">
      <c r="A84" s="31" t="str">
        <f>IF('03_Investitori'!B61="","",'03_Investitori'!B61)</f>
        <v/>
      </c>
      <c r="B84" s="32" t="str">
        <f>IF('03_Investitori'!D61="","",'03_Investitori'!D61)</f>
        <v/>
      </c>
      <c r="C84" s="10" t="str">
        <f>IF('03_Investitori'!H61="","",'03_Investitori'!H61)</f>
        <v/>
      </c>
      <c r="D84" s="26">
        <f t="shared" si="7"/>
        <v>0</v>
      </c>
      <c r="E84" s="26">
        <f t="shared" ca="1" si="8"/>
        <v>0</v>
      </c>
      <c r="F84" s="26">
        <f t="shared" ca="1" si="9"/>
        <v>0</v>
      </c>
      <c r="G84" s="26">
        <f t="shared" ca="1" si="10"/>
        <v>0</v>
      </c>
      <c r="H84" s="26">
        <f t="shared" ca="1" si="11"/>
        <v>0</v>
      </c>
      <c r="K84" s="31" t="str">
        <f>IF('03_Investitori'!B84="","",'03_Investitori'!B84)</f>
        <v/>
      </c>
      <c r="L84" s="10">
        <f>IF('03_Investitori'!H84="",0,'03_Investitori'!H84)</f>
        <v>0</v>
      </c>
      <c r="M84" s="41">
        <f>IF('03_Investitori'!C84="",0,(DataOggi-'03_Investitori'!C84)/365.25)</f>
        <v>0</v>
      </c>
      <c r="N84" s="26">
        <f t="shared" si="12"/>
        <v>0</v>
      </c>
    </row>
    <row r="85" spans="1:14" x14ac:dyDescent="0.2">
      <c r="A85" s="31" t="str">
        <f>IF('03_Investitori'!B62="","",'03_Investitori'!B62)</f>
        <v/>
      </c>
      <c r="B85" s="32" t="str">
        <f>IF('03_Investitori'!D62="","",'03_Investitori'!D62)</f>
        <v/>
      </c>
      <c r="C85" s="10" t="str">
        <f>IF('03_Investitori'!H62="","",'03_Investitori'!H62)</f>
        <v/>
      </c>
      <c r="D85" s="26">
        <f t="shared" si="7"/>
        <v>0</v>
      </c>
      <c r="E85" s="26">
        <f t="shared" ca="1" si="8"/>
        <v>0</v>
      </c>
      <c r="F85" s="26">
        <f t="shared" ca="1" si="9"/>
        <v>0</v>
      </c>
      <c r="G85" s="26">
        <f t="shared" ca="1" si="10"/>
        <v>0</v>
      </c>
      <c r="H85" s="26">
        <f t="shared" ca="1" si="11"/>
        <v>0</v>
      </c>
      <c r="K85" s="31" t="str">
        <f>IF('03_Investitori'!B85="","",'03_Investitori'!B85)</f>
        <v/>
      </c>
      <c r="L85" s="10">
        <f>IF('03_Investitori'!H85="",0,'03_Investitori'!H85)</f>
        <v>0</v>
      </c>
      <c r="M85" s="41">
        <f>IF('03_Investitori'!C85="",0,(DataOggi-'03_Investitori'!C85)/365.25)</f>
        <v>0</v>
      </c>
      <c r="N85" s="26">
        <f t="shared" si="12"/>
        <v>0</v>
      </c>
    </row>
    <row r="86" spans="1:14" x14ac:dyDescent="0.2">
      <c r="A86" s="31" t="str">
        <f>IF('03_Investitori'!B63="","",'03_Investitori'!B63)</f>
        <v/>
      </c>
      <c r="B86" s="32" t="str">
        <f>IF('03_Investitori'!D63="","",'03_Investitori'!D63)</f>
        <v/>
      </c>
      <c r="C86" s="10" t="str">
        <f>IF('03_Investitori'!H63="","",'03_Investitori'!H63)</f>
        <v/>
      </c>
      <c r="D86" s="26">
        <f t="shared" si="7"/>
        <v>0</v>
      </c>
      <c r="E86" s="26">
        <f t="shared" ca="1" si="8"/>
        <v>0</v>
      </c>
      <c r="F86" s="26">
        <f t="shared" ca="1" si="9"/>
        <v>0</v>
      </c>
      <c r="G86" s="26">
        <f t="shared" ca="1" si="10"/>
        <v>0</v>
      </c>
      <c r="H86" s="26">
        <f t="shared" ca="1" si="11"/>
        <v>0</v>
      </c>
      <c r="K86" s="31" t="str">
        <f>IF('03_Investitori'!B86="","",'03_Investitori'!B86)</f>
        <v/>
      </c>
      <c r="L86" s="10">
        <f>IF('03_Investitori'!H86="",0,'03_Investitori'!H86)</f>
        <v>0</v>
      </c>
      <c r="M86" s="41">
        <f>IF('03_Investitori'!C86="",0,(DataOggi-'03_Investitori'!C86)/365.25)</f>
        <v>0</v>
      </c>
      <c r="N86" s="26">
        <f t="shared" si="12"/>
        <v>0</v>
      </c>
    </row>
    <row r="87" spans="1:14" x14ac:dyDescent="0.2">
      <c r="A87" s="31" t="str">
        <f>IF('03_Investitori'!B64="","",'03_Investitori'!B64)</f>
        <v/>
      </c>
      <c r="B87" s="32" t="str">
        <f>IF('03_Investitori'!D64="","",'03_Investitori'!D64)</f>
        <v/>
      </c>
      <c r="C87" s="10" t="str">
        <f>IF('03_Investitori'!H64="","",'03_Investitori'!H64)</f>
        <v/>
      </c>
      <c r="D87" s="26">
        <f t="shared" si="7"/>
        <v>0</v>
      </c>
      <c r="E87" s="26">
        <f t="shared" ca="1" si="8"/>
        <v>0</v>
      </c>
      <c r="F87" s="26">
        <f t="shared" ca="1" si="9"/>
        <v>0</v>
      </c>
      <c r="G87" s="26">
        <f t="shared" ca="1" si="10"/>
        <v>0</v>
      </c>
      <c r="H87" s="26">
        <f t="shared" ca="1" si="11"/>
        <v>0</v>
      </c>
      <c r="K87" s="31" t="str">
        <f>IF('03_Investitori'!B87="","",'03_Investitori'!B87)</f>
        <v/>
      </c>
      <c r="L87" s="10">
        <f>IF('03_Investitori'!H87="",0,'03_Investitori'!H87)</f>
        <v>0</v>
      </c>
      <c r="M87" s="41">
        <f>IF('03_Investitori'!C87="",0,(DataOggi-'03_Investitori'!C87)/365.25)</f>
        <v>0</v>
      </c>
      <c r="N87" s="26">
        <f t="shared" si="12"/>
        <v>0</v>
      </c>
    </row>
    <row r="88" spans="1:14" x14ac:dyDescent="0.2">
      <c r="A88" s="31" t="str">
        <f>IF('03_Investitori'!B65="","",'03_Investitori'!B65)</f>
        <v/>
      </c>
      <c r="B88" s="32" t="str">
        <f>IF('03_Investitori'!D65="","",'03_Investitori'!D65)</f>
        <v/>
      </c>
      <c r="C88" s="10" t="str">
        <f>IF('03_Investitori'!H65="","",'03_Investitori'!H65)</f>
        <v/>
      </c>
      <c r="D88" s="26">
        <f t="shared" si="7"/>
        <v>0</v>
      </c>
      <c r="E88" s="26">
        <f t="shared" ca="1" si="8"/>
        <v>0</v>
      </c>
      <c r="F88" s="26">
        <f t="shared" ca="1" si="9"/>
        <v>0</v>
      </c>
      <c r="G88" s="26">
        <f t="shared" ca="1" si="10"/>
        <v>0</v>
      </c>
      <c r="H88" s="26">
        <f t="shared" ca="1" si="11"/>
        <v>0</v>
      </c>
      <c r="K88" s="31" t="str">
        <f>IF('03_Investitori'!B88="","",'03_Investitori'!B88)</f>
        <v/>
      </c>
      <c r="L88" s="10">
        <f>IF('03_Investitori'!H88="",0,'03_Investitori'!H88)</f>
        <v>0</v>
      </c>
      <c r="M88" s="41">
        <f>IF('03_Investitori'!C88="",0,(DataOggi-'03_Investitori'!C88)/365.25)</f>
        <v>0</v>
      </c>
      <c r="N88" s="26">
        <f t="shared" si="12"/>
        <v>0</v>
      </c>
    </row>
    <row r="89" spans="1:14" x14ac:dyDescent="0.2">
      <c r="A89" s="31" t="str">
        <f>IF('03_Investitori'!B66="","",'03_Investitori'!B66)</f>
        <v/>
      </c>
      <c r="B89" s="32" t="str">
        <f>IF('03_Investitori'!D66="","",'03_Investitori'!D66)</f>
        <v/>
      </c>
      <c r="C89" s="10" t="str">
        <f>IF('03_Investitori'!H66="","",'03_Investitori'!H66)</f>
        <v/>
      </c>
      <c r="D89" s="26">
        <f t="shared" si="7"/>
        <v>0</v>
      </c>
      <c r="E89" s="26">
        <f t="shared" ca="1" si="8"/>
        <v>0</v>
      </c>
      <c r="F89" s="26">
        <f t="shared" ca="1" si="9"/>
        <v>0</v>
      </c>
      <c r="G89" s="26">
        <f t="shared" ca="1" si="10"/>
        <v>0</v>
      </c>
      <c r="H89" s="26">
        <f t="shared" ca="1" si="11"/>
        <v>0</v>
      </c>
      <c r="K89" s="31" t="str">
        <f>IF('03_Investitori'!B89="","",'03_Investitori'!B89)</f>
        <v/>
      </c>
      <c r="L89" s="10">
        <f>IF('03_Investitori'!H89="",0,'03_Investitori'!H89)</f>
        <v>0</v>
      </c>
      <c r="M89" s="41">
        <f>IF('03_Investitori'!C89="",0,(DataOggi-'03_Investitori'!C89)/365.25)</f>
        <v>0</v>
      </c>
      <c r="N89" s="26">
        <f t="shared" si="12"/>
        <v>0</v>
      </c>
    </row>
    <row r="90" spans="1:14" x14ac:dyDescent="0.2">
      <c r="A90" s="31" t="str">
        <f>IF('03_Investitori'!B67="","",'03_Investitori'!B67)</f>
        <v/>
      </c>
      <c r="B90" s="32" t="str">
        <f>IF('03_Investitori'!D67="","",'03_Investitori'!D67)</f>
        <v/>
      </c>
      <c r="C90" s="10" t="str">
        <f>IF('03_Investitori'!H67="","",'03_Investitori'!H67)</f>
        <v/>
      </c>
      <c r="D90" s="26">
        <f t="shared" si="7"/>
        <v>0</v>
      </c>
      <c r="E90" s="26">
        <f t="shared" ca="1" si="8"/>
        <v>0</v>
      </c>
      <c r="F90" s="26">
        <f t="shared" ca="1" si="9"/>
        <v>0</v>
      </c>
      <c r="G90" s="26">
        <f t="shared" ca="1" si="10"/>
        <v>0</v>
      </c>
      <c r="H90" s="26">
        <f t="shared" ca="1" si="11"/>
        <v>0</v>
      </c>
      <c r="K90" s="31" t="str">
        <f>IF('03_Investitori'!B90="","",'03_Investitori'!B90)</f>
        <v/>
      </c>
      <c r="L90" s="10">
        <f>IF('03_Investitori'!H90="",0,'03_Investitori'!H90)</f>
        <v>0</v>
      </c>
      <c r="M90" s="41">
        <f>IF('03_Investitori'!C90="",0,(DataOggi-'03_Investitori'!C90)/365.25)</f>
        <v>0</v>
      </c>
      <c r="N90" s="26">
        <f t="shared" si="12"/>
        <v>0</v>
      </c>
    </row>
    <row r="91" spans="1:14" x14ac:dyDescent="0.2">
      <c r="A91" s="31" t="str">
        <f>IF('03_Investitori'!B68="","",'03_Investitori'!B68)</f>
        <v/>
      </c>
      <c r="B91" s="32" t="str">
        <f>IF('03_Investitori'!D68="","",'03_Investitori'!D68)</f>
        <v/>
      </c>
      <c r="C91" s="10" t="str">
        <f>IF('03_Investitori'!H68="","",'03_Investitori'!H68)</f>
        <v/>
      </c>
      <c r="D91" s="26">
        <f t="shared" si="7"/>
        <v>0</v>
      </c>
      <c r="E91" s="26">
        <f t="shared" ca="1" si="8"/>
        <v>0</v>
      </c>
      <c r="F91" s="26">
        <f t="shared" ca="1" si="9"/>
        <v>0</v>
      </c>
      <c r="G91" s="26">
        <f t="shared" ca="1" si="10"/>
        <v>0</v>
      </c>
      <c r="H91" s="26">
        <f t="shared" ca="1" si="11"/>
        <v>0</v>
      </c>
      <c r="K91" s="31" t="str">
        <f>IF('03_Investitori'!B91="","",'03_Investitori'!B91)</f>
        <v/>
      </c>
      <c r="L91" s="10">
        <f>IF('03_Investitori'!H91="",0,'03_Investitori'!H91)</f>
        <v>0</v>
      </c>
      <c r="M91" s="41">
        <f>IF('03_Investitori'!C91="",0,(DataOggi-'03_Investitori'!C91)/365.25)</f>
        <v>0</v>
      </c>
      <c r="N91" s="26">
        <f t="shared" si="12"/>
        <v>0</v>
      </c>
    </row>
    <row r="92" spans="1:14" x14ac:dyDescent="0.2">
      <c r="A92" s="31" t="str">
        <f>IF('03_Investitori'!B69="","",'03_Investitori'!B69)</f>
        <v/>
      </c>
      <c r="B92" s="32" t="str">
        <f>IF('03_Investitori'!D69="","",'03_Investitori'!D69)</f>
        <v/>
      </c>
      <c r="C92" s="10" t="str">
        <f>IF('03_Investitori'!H69="","",'03_Investitori'!H69)</f>
        <v/>
      </c>
      <c r="D92" s="26">
        <f t="shared" ref="D92:D123" si="13">N69</f>
        <v>0</v>
      </c>
      <c r="E92" s="26">
        <f t="shared" ref="E92:E127" ca="1" si="14">IF(OR(C92="",$B$5=0),0,$B$14*C92/$B$5)</f>
        <v>0</v>
      </c>
      <c r="F92" s="26">
        <f t="shared" ref="F92:F127" ca="1" si="15">IF(OR($B$7=0,D92=""),0,$B$16*D92/$B$7)</f>
        <v>0</v>
      </c>
      <c r="G92" s="26">
        <f t="shared" ref="G92:G127" ca="1" si="16">IF(OR(C92="",$B$5=0),0,$B$20*C92/$B$5)</f>
        <v>0</v>
      </c>
      <c r="H92" s="26">
        <f t="shared" ref="H92:H123" ca="1" si="17">E92+F92+G92</f>
        <v>0</v>
      </c>
      <c r="K92" s="31" t="str">
        <f>IF('03_Investitori'!B92="","",'03_Investitori'!B92)</f>
        <v/>
      </c>
      <c r="L92" s="10">
        <f>IF('03_Investitori'!H92="",0,'03_Investitori'!H92)</f>
        <v>0</v>
      </c>
      <c r="M92" s="41">
        <f>IF('03_Investitori'!C92="",0,(DataOggi-'03_Investitori'!C92)/365.25)</f>
        <v>0</v>
      </c>
      <c r="N92" s="26">
        <f t="shared" si="12"/>
        <v>0</v>
      </c>
    </row>
    <row r="93" spans="1:14" x14ac:dyDescent="0.2">
      <c r="A93" s="31" t="str">
        <f>IF('03_Investitori'!B70="","",'03_Investitori'!B70)</f>
        <v/>
      </c>
      <c r="B93" s="32" t="str">
        <f>IF('03_Investitori'!D70="","",'03_Investitori'!D70)</f>
        <v/>
      </c>
      <c r="C93" s="10" t="str">
        <f>IF('03_Investitori'!H70="","",'03_Investitori'!H70)</f>
        <v/>
      </c>
      <c r="D93" s="26">
        <f t="shared" si="13"/>
        <v>0</v>
      </c>
      <c r="E93" s="26">
        <f t="shared" ca="1" si="14"/>
        <v>0</v>
      </c>
      <c r="F93" s="26">
        <f t="shared" ca="1" si="15"/>
        <v>0</v>
      </c>
      <c r="G93" s="26">
        <f t="shared" ca="1" si="16"/>
        <v>0</v>
      </c>
      <c r="H93" s="26">
        <f t="shared" ca="1" si="17"/>
        <v>0</v>
      </c>
      <c r="K93" s="31" t="str">
        <f>IF('03_Investitori'!B93="","",'03_Investitori'!B93)</f>
        <v/>
      </c>
      <c r="L93" s="10">
        <f>IF('03_Investitori'!H93="",0,'03_Investitori'!H93)</f>
        <v>0</v>
      </c>
      <c r="M93" s="41">
        <f>IF('03_Investitori'!C93="",0,(DataOggi-'03_Investitori'!C93)/365.25)</f>
        <v>0</v>
      </c>
      <c r="N93" s="26">
        <f t="shared" si="12"/>
        <v>0</v>
      </c>
    </row>
    <row r="94" spans="1:14" x14ac:dyDescent="0.2">
      <c r="A94" s="31" t="str">
        <f>IF('03_Investitori'!B71="","",'03_Investitori'!B71)</f>
        <v/>
      </c>
      <c r="B94" s="32" t="str">
        <f>IF('03_Investitori'!D71="","",'03_Investitori'!D71)</f>
        <v/>
      </c>
      <c r="C94" s="10" t="str">
        <f>IF('03_Investitori'!H71="","",'03_Investitori'!H71)</f>
        <v/>
      </c>
      <c r="D94" s="26">
        <f t="shared" si="13"/>
        <v>0</v>
      </c>
      <c r="E94" s="26">
        <f t="shared" ca="1" si="14"/>
        <v>0</v>
      </c>
      <c r="F94" s="26">
        <f t="shared" ca="1" si="15"/>
        <v>0</v>
      </c>
      <c r="G94" s="26">
        <f t="shared" ca="1" si="16"/>
        <v>0</v>
      </c>
      <c r="H94" s="26">
        <f t="shared" ca="1" si="17"/>
        <v>0</v>
      </c>
      <c r="K94" s="31" t="str">
        <f>IF('03_Investitori'!B94="","",'03_Investitori'!B94)</f>
        <v/>
      </c>
      <c r="L94" s="10">
        <f>IF('03_Investitori'!H94="",0,'03_Investitori'!H94)</f>
        <v>0</v>
      </c>
      <c r="M94" s="41">
        <f>IF('03_Investitori'!C94="",0,(DataOggi-'03_Investitori'!C94)/365.25)</f>
        <v>0</v>
      </c>
      <c r="N94" s="26">
        <f t="shared" si="12"/>
        <v>0</v>
      </c>
    </row>
    <row r="95" spans="1:14" x14ac:dyDescent="0.2">
      <c r="A95" s="31" t="str">
        <f>IF('03_Investitori'!B72="","",'03_Investitori'!B72)</f>
        <v/>
      </c>
      <c r="B95" s="32" t="str">
        <f>IF('03_Investitori'!D72="","",'03_Investitori'!D72)</f>
        <v/>
      </c>
      <c r="C95" s="10" t="str">
        <f>IF('03_Investitori'!H72="","",'03_Investitori'!H72)</f>
        <v/>
      </c>
      <c r="D95" s="26">
        <f t="shared" si="13"/>
        <v>0</v>
      </c>
      <c r="E95" s="26">
        <f t="shared" ca="1" si="14"/>
        <v>0</v>
      </c>
      <c r="F95" s="26">
        <f t="shared" ca="1" si="15"/>
        <v>0</v>
      </c>
      <c r="G95" s="26">
        <f t="shared" ca="1" si="16"/>
        <v>0</v>
      </c>
      <c r="H95" s="26">
        <f t="shared" ca="1" si="17"/>
        <v>0</v>
      </c>
      <c r="K95" s="31" t="str">
        <f>IF('03_Investitori'!B95="","",'03_Investitori'!B95)</f>
        <v/>
      </c>
      <c r="L95" s="10">
        <f>IF('03_Investitori'!H95="",0,'03_Investitori'!H95)</f>
        <v>0</v>
      </c>
      <c r="M95" s="41">
        <f>IF('03_Investitori'!C95="",0,(DataOggi-'03_Investitori'!C95)/365.25)</f>
        <v>0</v>
      </c>
      <c r="N95" s="26">
        <f t="shared" si="12"/>
        <v>0</v>
      </c>
    </row>
    <row r="96" spans="1:14" x14ac:dyDescent="0.2">
      <c r="A96" s="31" t="str">
        <f>IF('03_Investitori'!B73="","",'03_Investitori'!B73)</f>
        <v/>
      </c>
      <c r="B96" s="32" t="str">
        <f>IF('03_Investitori'!D73="","",'03_Investitori'!D73)</f>
        <v/>
      </c>
      <c r="C96" s="10" t="str">
        <f>IF('03_Investitori'!H73="","",'03_Investitori'!H73)</f>
        <v/>
      </c>
      <c r="D96" s="26">
        <f t="shared" si="13"/>
        <v>0</v>
      </c>
      <c r="E96" s="26">
        <f t="shared" ca="1" si="14"/>
        <v>0</v>
      </c>
      <c r="F96" s="26">
        <f t="shared" ca="1" si="15"/>
        <v>0</v>
      </c>
      <c r="G96" s="26">
        <f t="shared" ca="1" si="16"/>
        <v>0</v>
      </c>
      <c r="H96" s="26">
        <f t="shared" ca="1" si="17"/>
        <v>0</v>
      </c>
      <c r="K96" s="31" t="str">
        <f>IF('03_Investitori'!B96="","",'03_Investitori'!B96)</f>
        <v/>
      </c>
      <c r="L96" s="10">
        <f>IF('03_Investitori'!H96="",0,'03_Investitori'!H96)</f>
        <v>0</v>
      </c>
      <c r="M96" s="41">
        <f>IF('03_Investitori'!C96="",0,(DataOggi-'03_Investitori'!C96)/365.25)</f>
        <v>0</v>
      </c>
      <c r="N96" s="26">
        <f t="shared" si="12"/>
        <v>0</v>
      </c>
    </row>
    <row r="97" spans="1:14" x14ac:dyDescent="0.2">
      <c r="A97" s="31" t="str">
        <f>IF('03_Investitori'!B74="","",'03_Investitori'!B74)</f>
        <v/>
      </c>
      <c r="B97" s="32" t="str">
        <f>IF('03_Investitori'!D74="","",'03_Investitori'!D74)</f>
        <v/>
      </c>
      <c r="C97" s="10" t="str">
        <f>IF('03_Investitori'!H74="","",'03_Investitori'!H74)</f>
        <v/>
      </c>
      <c r="D97" s="26">
        <f t="shared" si="13"/>
        <v>0</v>
      </c>
      <c r="E97" s="26">
        <f t="shared" ca="1" si="14"/>
        <v>0</v>
      </c>
      <c r="F97" s="26">
        <f t="shared" ca="1" si="15"/>
        <v>0</v>
      </c>
      <c r="G97" s="26">
        <f t="shared" ca="1" si="16"/>
        <v>0</v>
      </c>
      <c r="H97" s="26">
        <f t="shared" ca="1" si="17"/>
        <v>0</v>
      </c>
      <c r="K97" s="31" t="str">
        <f>IF('03_Investitori'!B97="","",'03_Investitori'!B97)</f>
        <v/>
      </c>
      <c r="L97" s="10">
        <f>IF('03_Investitori'!H97="",0,'03_Investitori'!H97)</f>
        <v>0</v>
      </c>
      <c r="M97" s="41">
        <f>IF('03_Investitori'!C97="",0,(DataOggi-'03_Investitori'!C97)/365.25)</f>
        <v>0</v>
      </c>
      <c r="N97" s="26">
        <f t="shared" si="12"/>
        <v>0</v>
      </c>
    </row>
    <row r="98" spans="1:14" x14ac:dyDescent="0.2">
      <c r="A98" s="31" t="str">
        <f>IF('03_Investitori'!B75="","",'03_Investitori'!B75)</f>
        <v/>
      </c>
      <c r="B98" s="32" t="str">
        <f>IF('03_Investitori'!D75="","",'03_Investitori'!D75)</f>
        <v/>
      </c>
      <c r="C98" s="10" t="str">
        <f>IF('03_Investitori'!H75="","",'03_Investitori'!H75)</f>
        <v/>
      </c>
      <c r="D98" s="26">
        <f t="shared" si="13"/>
        <v>0</v>
      </c>
      <c r="E98" s="26">
        <f t="shared" ca="1" si="14"/>
        <v>0</v>
      </c>
      <c r="F98" s="26">
        <f t="shared" ca="1" si="15"/>
        <v>0</v>
      </c>
      <c r="G98" s="26">
        <f t="shared" ca="1" si="16"/>
        <v>0</v>
      </c>
      <c r="H98" s="26">
        <f t="shared" ca="1" si="17"/>
        <v>0</v>
      </c>
      <c r="K98" s="31" t="str">
        <f>IF('03_Investitori'!B98="","",'03_Investitori'!B98)</f>
        <v/>
      </c>
      <c r="L98" s="10">
        <f>IF('03_Investitori'!H98="",0,'03_Investitori'!H98)</f>
        <v>0</v>
      </c>
      <c r="M98" s="41">
        <f>IF('03_Investitori'!C98="",0,(DataOggi-'03_Investitori'!C98)/365.25)</f>
        <v>0</v>
      </c>
      <c r="N98" s="26">
        <f t="shared" si="12"/>
        <v>0</v>
      </c>
    </row>
    <row r="99" spans="1:14" x14ac:dyDescent="0.2">
      <c r="A99" s="31" t="str">
        <f>IF('03_Investitori'!B76="","",'03_Investitori'!B76)</f>
        <v/>
      </c>
      <c r="B99" s="32" t="str">
        <f>IF('03_Investitori'!D76="","",'03_Investitori'!D76)</f>
        <v/>
      </c>
      <c r="C99" s="10" t="str">
        <f>IF('03_Investitori'!H76="","",'03_Investitori'!H76)</f>
        <v/>
      </c>
      <c r="D99" s="26">
        <f t="shared" si="13"/>
        <v>0</v>
      </c>
      <c r="E99" s="26">
        <f t="shared" ca="1" si="14"/>
        <v>0</v>
      </c>
      <c r="F99" s="26">
        <f t="shared" ca="1" si="15"/>
        <v>0</v>
      </c>
      <c r="G99" s="26">
        <f t="shared" ca="1" si="16"/>
        <v>0</v>
      </c>
      <c r="H99" s="26">
        <f t="shared" ca="1" si="17"/>
        <v>0</v>
      </c>
      <c r="K99" s="31" t="str">
        <f>IF('03_Investitori'!B99="","",'03_Investitori'!B99)</f>
        <v/>
      </c>
      <c r="L99" s="10">
        <f>IF('03_Investitori'!H99="",0,'03_Investitori'!H99)</f>
        <v>0</v>
      </c>
      <c r="M99" s="41">
        <f>IF('03_Investitori'!C99="",0,(DataOggi-'03_Investitori'!C99)/365.25)</f>
        <v>0</v>
      </c>
      <c r="N99" s="26">
        <f t="shared" si="12"/>
        <v>0</v>
      </c>
    </row>
    <row r="100" spans="1:14" x14ac:dyDescent="0.2">
      <c r="A100" s="31" t="str">
        <f>IF('03_Investitori'!B77="","",'03_Investitori'!B77)</f>
        <v/>
      </c>
      <c r="B100" s="32" t="str">
        <f>IF('03_Investitori'!D77="","",'03_Investitori'!D77)</f>
        <v/>
      </c>
      <c r="C100" s="10" t="str">
        <f>IF('03_Investitori'!H77="","",'03_Investitori'!H77)</f>
        <v/>
      </c>
      <c r="D100" s="26">
        <f t="shared" si="13"/>
        <v>0</v>
      </c>
      <c r="E100" s="26">
        <f t="shared" ca="1" si="14"/>
        <v>0</v>
      </c>
      <c r="F100" s="26">
        <f t="shared" ca="1" si="15"/>
        <v>0</v>
      </c>
      <c r="G100" s="26">
        <f t="shared" ca="1" si="16"/>
        <v>0</v>
      </c>
      <c r="H100" s="26">
        <f t="shared" ca="1" si="17"/>
        <v>0</v>
      </c>
      <c r="K100" s="31" t="str">
        <f>IF('03_Investitori'!B100="","",'03_Investitori'!B100)</f>
        <v/>
      </c>
      <c r="L100" s="10">
        <f>IF('03_Investitori'!H100="",0,'03_Investitori'!H100)</f>
        <v>0</v>
      </c>
      <c r="M100" s="41">
        <f>IF('03_Investitori'!C100="",0,(DataOggi-'03_Investitori'!C100)/365.25)</f>
        <v>0</v>
      </c>
      <c r="N100" s="26">
        <f t="shared" si="12"/>
        <v>0</v>
      </c>
    </row>
    <row r="101" spans="1:14" x14ac:dyDescent="0.2">
      <c r="A101" s="31" t="str">
        <f>IF('03_Investitori'!B78="","",'03_Investitori'!B78)</f>
        <v/>
      </c>
      <c r="B101" s="32" t="str">
        <f>IF('03_Investitori'!D78="","",'03_Investitori'!D78)</f>
        <v/>
      </c>
      <c r="C101" s="10" t="str">
        <f>IF('03_Investitori'!H78="","",'03_Investitori'!H78)</f>
        <v/>
      </c>
      <c r="D101" s="26">
        <f t="shared" si="13"/>
        <v>0</v>
      </c>
      <c r="E101" s="26">
        <f t="shared" ca="1" si="14"/>
        <v>0</v>
      </c>
      <c r="F101" s="26">
        <f t="shared" ca="1" si="15"/>
        <v>0</v>
      </c>
      <c r="G101" s="26">
        <f t="shared" ca="1" si="16"/>
        <v>0</v>
      </c>
      <c r="H101" s="26">
        <f t="shared" ca="1" si="17"/>
        <v>0</v>
      </c>
      <c r="K101" s="31" t="str">
        <f>IF('03_Investitori'!B101="","",'03_Investitori'!B101)</f>
        <v/>
      </c>
      <c r="L101" s="10">
        <f>IF('03_Investitori'!H101="",0,'03_Investitori'!H101)</f>
        <v>0</v>
      </c>
      <c r="M101" s="41">
        <f>IF('03_Investitori'!C101="",0,(DataOggi-'03_Investitori'!C101)/365.25)</f>
        <v>0</v>
      </c>
      <c r="N101" s="26">
        <f t="shared" ref="N101:N132" si="18">IF(L101=0,0,L101*((1+Hurdle)^M101-1))</f>
        <v>0</v>
      </c>
    </row>
    <row r="102" spans="1:14" x14ac:dyDescent="0.2">
      <c r="A102" s="31" t="str">
        <f>IF('03_Investitori'!B79="","",'03_Investitori'!B79)</f>
        <v/>
      </c>
      <c r="B102" s="32" t="str">
        <f>IF('03_Investitori'!D79="","",'03_Investitori'!D79)</f>
        <v/>
      </c>
      <c r="C102" s="10" t="str">
        <f>IF('03_Investitori'!H79="","",'03_Investitori'!H79)</f>
        <v/>
      </c>
      <c r="D102" s="26">
        <f t="shared" si="13"/>
        <v>0</v>
      </c>
      <c r="E102" s="26">
        <f t="shared" ca="1" si="14"/>
        <v>0</v>
      </c>
      <c r="F102" s="26">
        <f t="shared" ca="1" si="15"/>
        <v>0</v>
      </c>
      <c r="G102" s="26">
        <f t="shared" ca="1" si="16"/>
        <v>0</v>
      </c>
      <c r="H102" s="26">
        <f t="shared" ca="1" si="17"/>
        <v>0</v>
      </c>
      <c r="K102" s="31" t="str">
        <f>IF('03_Investitori'!B102="","",'03_Investitori'!B102)</f>
        <v/>
      </c>
      <c r="L102" s="10">
        <f>IF('03_Investitori'!H102="",0,'03_Investitori'!H102)</f>
        <v>0</v>
      </c>
      <c r="M102" s="41">
        <f>IF('03_Investitori'!C102="",0,(DataOggi-'03_Investitori'!C102)/365.25)</f>
        <v>0</v>
      </c>
      <c r="N102" s="26">
        <f t="shared" si="18"/>
        <v>0</v>
      </c>
    </row>
    <row r="103" spans="1:14" x14ac:dyDescent="0.2">
      <c r="A103" s="31" t="str">
        <f>IF('03_Investitori'!B80="","",'03_Investitori'!B80)</f>
        <v/>
      </c>
      <c r="B103" s="32" t="str">
        <f>IF('03_Investitori'!D80="","",'03_Investitori'!D80)</f>
        <v/>
      </c>
      <c r="C103" s="10" t="str">
        <f>IF('03_Investitori'!H80="","",'03_Investitori'!H80)</f>
        <v/>
      </c>
      <c r="D103" s="26">
        <f t="shared" si="13"/>
        <v>0</v>
      </c>
      <c r="E103" s="26">
        <f t="shared" ca="1" si="14"/>
        <v>0</v>
      </c>
      <c r="F103" s="26">
        <f t="shared" ca="1" si="15"/>
        <v>0</v>
      </c>
      <c r="G103" s="26">
        <f t="shared" ca="1" si="16"/>
        <v>0</v>
      </c>
      <c r="H103" s="26">
        <f t="shared" ca="1" si="17"/>
        <v>0</v>
      </c>
      <c r="K103" s="31" t="str">
        <f>IF('03_Investitori'!B103="","",'03_Investitori'!B103)</f>
        <v/>
      </c>
      <c r="L103" s="10">
        <f>IF('03_Investitori'!H103="",0,'03_Investitori'!H103)</f>
        <v>0</v>
      </c>
      <c r="M103" s="41">
        <f>IF('03_Investitori'!C103="",0,(DataOggi-'03_Investitori'!C103)/365.25)</f>
        <v>0</v>
      </c>
      <c r="N103" s="26">
        <f t="shared" si="18"/>
        <v>0</v>
      </c>
    </row>
    <row r="104" spans="1:14" x14ac:dyDescent="0.2">
      <c r="A104" s="31" t="str">
        <f>IF('03_Investitori'!B81="","",'03_Investitori'!B81)</f>
        <v/>
      </c>
      <c r="B104" s="32" t="str">
        <f>IF('03_Investitori'!D81="","",'03_Investitori'!D81)</f>
        <v/>
      </c>
      <c r="C104" s="10" t="str">
        <f>IF('03_Investitori'!H81="","",'03_Investitori'!H81)</f>
        <v/>
      </c>
      <c r="D104" s="26">
        <f t="shared" si="13"/>
        <v>0</v>
      </c>
      <c r="E104" s="26">
        <f t="shared" ca="1" si="14"/>
        <v>0</v>
      </c>
      <c r="F104" s="26">
        <f t="shared" ca="1" si="15"/>
        <v>0</v>
      </c>
      <c r="G104" s="26">
        <f t="shared" ca="1" si="16"/>
        <v>0</v>
      </c>
      <c r="H104" s="26">
        <f t="shared" ca="1" si="17"/>
        <v>0</v>
      </c>
      <c r="K104" s="31" t="str">
        <f>IF('03_Investitori'!B104="","",'03_Investitori'!B104)</f>
        <v/>
      </c>
      <c r="L104" s="10">
        <f>IF('03_Investitori'!H104="",0,'03_Investitori'!H104)</f>
        <v>0</v>
      </c>
      <c r="M104" s="41">
        <f>IF('03_Investitori'!C104="",0,(DataOggi-'03_Investitori'!C104)/365.25)</f>
        <v>0</v>
      </c>
      <c r="N104" s="26">
        <f t="shared" si="18"/>
        <v>0</v>
      </c>
    </row>
    <row r="105" spans="1:14" x14ac:dyDescent="0.2">
      <c r="A105" s="31" t="str">
        <f>IF('03_Investitori'!B82="","",'03_Investitori'!B82)</f>
        <v/>
      </c>
      <c r="B105" s="32" t="str">
        <f>IF('03_Investitori'!D82="","",'03_Investitori'!D82)</f>
        <v/>
      </c>
      <c r="C105" s="10" t="str">
        <f>IF('03_Investitori'!H82="","",'03_Investitori'!H82)</f>
        <v/>
      </c>
      <c r="D105" s="26">
        <f t="shared" si="13"/>
        <v>0</v>
      </c>
      <c r="E105" s="26">
        <f t="shared" ca="1" si="14"/>
        <v>0</v>
      </c>
      <c r="F105" s="26">
        <f t="shared" ca="1" si="15"/>
        <v>0</v>
      </c>
      <c r="G105" s="26">
        <f t="shared" ca="1" si="16"/>
        <v>0</v>
      </c>
      <c r="H105" s="26">
        <f t="shared" ca="1" si="17"/>
        <v>0</v>
      </c>
    </row>
    <row r="106" spans="1:14" x14ac:dyDescent="0.2">
      <c r="A106" s="31" t="str">
        <f>IF('03_Investitori'!B83="","",'03_Investitori'!B83)</f>
        <v/>
      </c>
      <c r="B106" s="32" t="str">
        <f>IF('03_Investitori'!D83="","",'03_Investitori'!D83)</f>
        <v/>
      </c>
      <c r="C106" s="10" t="str">
        <f>IF('03_Investitori'!H83="","",'03_Investitori'!H83)</f>
        <v/>
      </c>
      <c r="D106" s="26">
        <f t="shared" si="13"/>
        <v>0</v>
      </c>
      <c r="E106" s="26">
        <f t="shared" ca="1" si="14"/>
        <v>0</v>
      </c>
      <c r="F106" s="26">
        <f t="shared" ca="1" si="15"/>
        <v>0</v>
      </c>
      <c r="G106" s="26">
        <f t="shared" ca="1" si="16"/>
        <v>0</v>
      </c>
      <c r="H106" s="26">
        <f t="shared" ca="1" si="17"/>
        <v>0</v>
      </c>
    </row>
    <row r="107" spans="1:14" x14ac:dyDescent="0.2">
      <c r="A107" s="31" t="str">
        <f>IF('03_Investitori'!B84="","",'03_Investitori'!B84)</f>
        <v/>
      </c>
      <c r="B107" s="32" t="str">
        <f>IF('03_Investitori'!D84="","",'03_Investitori'!D84)</f>
        <v/>
      </c>
      <c r="C107" s="10" t="str">
        <f>IF('03_Investitori'!H84="","",'03_Investitori'!H84)</f>
        <v/>
      </c>
      <c r="D107" s="26">
        <f t="shared" si="13"/>
        <v>0</v>
      </c>
      <c r="E107" s="26">
        <f t="shared" ca="1" si="14"/>
        <v>0</v>
      </c>
      <c r="F107" s="26">
        <f t="shared" ca="1" si="15"/>
        <v>0</v>
      </c>
      <c r="G107" s="26">
        <f t="shared" ca="1" si="16"/>
        <v>0</v>
      </c>
      <c r="H107" s="26">
        <f t="shared" ca="1" si="17"/>
        <v>0</v>
      </c>
    </row>
    <row r="108" spans="1:14" x14ac:dyDescent="0.2">
      <c r="A108" s="31" t="str">
        <f>IF('03_Investitori'!B85="","",'03_Investitori'!B85)</f>
        <v/>
      </c>
      <c r="B108" s="32" t="str">
        <f>IF('03_Investitori'!D85="","",'03_Investitori'!D85)</f>
        <v/>
      </c>
      <c r="C108" s="10" t="str">
        <f>IF('03_Investitori'!H85="","",'03_Investitori'!H85)</f>
        <v/>
      </c>
      <c r="D108" s="26">
        <f t="shared" si="13"/>
        <v>0</v>
      </c>
      <c r="E108" s="26">
        <f t="shared" ca="1" si="14"/>
        <v>0</v>
      </c>
      <c r="F108" s="26">
        <f t="shared" ca="1" si="15"/>
        <v>0</v>
      </c>
      <c r="G108" s="26">
        <f t="shared" ca="1" si="16"/>
        <v>0</v>
      </c>
      <c r="H108" s="26">
        <f t="shared" ca="1" si="17"/>
        <v>0</v>
      </c>
    </row>
    <row r="109" spans="1:14" x14ac:dyDescent="0.2">
      <c r="A109" s="31" t="str">
        <f>IF('03_Investitori'!B86="","",'03_Investitori'!B86)</f>
        <v/>
      </c>
      <c r="B109" s="32" t="str">
        <f>IF('03_Investitori'!D86="","",'03_Investitori'!D86)</f>
        <v/>
      </c>
      <c r="C109" s="10" t="str">
        <f>IF('03_Investitori'!H86="","",'03_Investitori'!H86)</f>
        <v/>
      </c>
      <c r="D109" s="26">
        <f t="shared" si="13"/>
        <v>0</v>
      </c>
      <c r="E109" s="26">
        <f t="shared" ca="1" si="14"/>
        <v>0</v>
      </c>
      <c r="F109" s="26">
        <f t="shared" ca="1" si="15"/>
        <v>0</v>
      </c>
      <c r="G109" s="26">
        <f t="shared" ca="1" si="16"/>
        <v>0</v>
      </c>
      <c r="H109" s="26">
        <f t="shared" ca="1" si="17"/>
        <v>0</v>
      </c>
    </row>
    <row r="110" spans="1:14" x14ac:dyDescent="0.2">
      <c r="A110" s="31" t="str">
        <f>IF('03_Investitori'!B87="","",'03_Investitori'!B87)</f>
        <v/>
      </c>
      <c r="B110" s="32" t="str">
        <f>IF('03_Investitori'!D87="","",'03_Investitori'!D87)</f>
        <v/>
      </c>
      <c r="C110" s="10" t="str">
        <f>IF('03_Investitori'!H87="","",'03_Investitori'!H87)</f>
        <v/>
      </c>
      <c r="D110" s="26">
        <f t="shared" si="13"/>
        <v>0</v>
      </c>
      <c r="E110" s="26">
        <f t="shared" ca="1" si="14"/>
        <v>0</v>
      </c>
      <c r="F110" s="26">
        <f t="shared" ca="1" si="15"/>
        <v>0</v>
      </c>
      <c r="G110" s="26">
        <f t="shared" ca="1" si="16"/>
        <v>0</v>
      </c>
      <c r="H110" s="26">
        <f t="shared" ca="1" si="17"/>
        <v>0</v>
      </c>
    </row>
    <row r="111" spans="1:14" x14ac:dyDescent="0.2">
      <c r="A111" s="31" t="str">
        <f>IF('03_Investitori'!B88="","",'03_Investitori'!B88)</f>
        <v/>
      </c>
      <c r="B111" s="32" t="str">
        <f>IF('03_Investitori'!D88="","",'03_Investitori'!D88)</f>
        <v/>
      </c>
      <c r="C111" s="10" t="str">
        <f>IF('03_Investitori'!H88="","",'03_Investitori'!H88)</f>
        <v/>
      </c>
      <c r="D111" s="26">
        <f t="shared" si="13"/>
        <v>0</v>
      </c>
      <c r="E111" s="26">
        <f t="shared" ca="1" si="14"/>
        <v>0</v>
      </c>
      <c r="F111" s="26">
        <f t="shared" ca="1" si="15"/>
        <v>0</v>
      </c>
      <c r="G111" s="26">
        <f t="shared" ca="1" si="16"/>
        <v>0</v>
      </c>
      <c r="H111" s="26">
        <f t="shared" ca="1" si="17"/>
        <v>0</v>
      </c>
    </row>
    <row r="112" spans="1:14" x14ac:dyDescent="0.2">
      <c r="A112" s="31" t="str">
        <f>IF('03_Investitori'!B89="","",'03_Investitori'!B89)</f>
        <v/>
      </c>
      <c r="B112" s="32" t="str">
        <f>IF('03_Investitori'!D89="","",'03_Investitori'!D89)</f>
        <v/>
      </c>
      <c r="C112" s="10" t="str">
        <f>IF('03_Investitori'!H89="","",'03_Investitori'!H89)</f>
        <v/>
      </c>
      <c r="D112" s="26">
        <f t="shared" si="13"/>
        <v>0</v>
      </c>
      <c r="E112" s="26">
        <f t="shared" ca="1" si="14"/>
        <v>0</v>
      </c>
      <c r="F112" s="26">
        <f t="shared" ca="1" si="15"/>
        <v>0</v>
      </c>
      <c r="G112" s="26">
        <f t="shared" ca="1" si="16"/>
        <v>0</v>
      </c>
      <c r="H112" s="26">
        <f t="shared" ca="1" si="17"/>
        <v>0</v>
      </c>
    </row>
    <row r="113" spans="1:8" x14ac:dyDescent="0.2">
      <c r="A113" s="31" t="str">
        <f>IF('03_Investitori'!B90="","",'03_Investitori'!B90)</f>
        <v/>
      </c>
      <c r="B113" s="32" t="str">
        <f>IF('03_Investitori'!D90="","",'03_Investitori'!D90)</f>
        <v/>
      </c>
      <c r="C113" s="10" t="str">
        <f>IF('03_Investitori'!H90="","",'03_Investitori'!H90)</f>
        <v/>
      </c>
      <c r="D113" s="26">
        <f t="shared" si="13"/>
        <v>0</v>
      </c>
      <c r="E113" s="26">
        <f t="shared" ca="1" si="14"/>
        <v>0</v>
      </c>
      <c r="F113" s="26">
        <f t="shared" ca="1" si="15"/>
        <v>0</v>
      </c>
      <c r="G113" s="26">
        <f t="shared" ca="1" si="16"/>
        <v>0</v>
      </c>
      <c r="H113" s="26">
        <f t="shared" ca="1" si="17"/>
        <v>0</v>
      </c>
    </row>
    <row r="114" spans="1:8" x14ac:dyDescent="0.2">
      <c r="A114" s="31" t="str">
        <f>IF('03_Investitori'!B91="","",'03_Investitori'!B91)</f>
        <v/>
      </c>
      <c r="B114" s="32" t="str">
        <f>IF('03_Investitori'!D91="","",'03_Investitori'!D91)</f>
        <v/>
      </c>
      <c r="C114" s="10" t="str">
        <f>IF('03_Investitori'!H91="","",'03_Investitori'!H91)</f>
        <v/>
      </c>
      <c r="D114" s="26">
        <f t="shared" si="13"/>
        <v>0</v>
      </c>
      <c r="E114" s="26">
        <f t="shared" ca="1" si="14"/>
        <v>0</v>
      </c>
      <c r="F114" s="26">
        <f t="shared" ca="1" si="15"/>
        <v>0</v>
      </c>
      <c r="G114" s="26">
        <f t="shared" ca="1" si="16"/>
        <v>0</v>
      </c>
      <c r="H114" s="26">
        <f t="shared" ca="1" si="17"/>
        <v>0</v>
      </c>
    </row>
    <row r="115" spans="1:8" x14ac:dyDescent="0.2">
      <c r="A115" s="31" t="str">
        <f>IF('03_Investitori'!B92="","",'03_Investitori'!B92)</f>
        <v/>
      </c>
      <c r="B115" s="32" t="str">
        <f>IF('03_Investitori'!D92="","",'03_Investitori'!D92)</f>
        <v/>
      </c>
      <c r="C115" s="10" t="str">
        <f>IF('03_Investitori'!H92="","",'03_Investitori'!H92)</f>
        <v/>
      </c>
      <c r="D115" s="26">
        <f t="shared" si="13"/>
        <v>0</v>
      </c>
      <c r="E115" s="26">
        <f t="shared" ca="1" si="14"/>
        <v>0</v>
      </c>
      <c r="F115" s="26">
        <f t="shared" ca="1" si="15"/>
        <v>0</v>
      </c>
      <c r="G115" s="26">
        <f t="shared" ca="1" si="16"/>
        <v>0</v>
      </c>
      <c r="H115" s="26">
        <f t="shared" ca="1" si="17"/>
        <v>0</v>
      </c>
    </row>
    <row r="116" spans="1:8" x14ac:dyDescent="0.2">
      <c r="A116" s="31" t="str">
        <f>IF('03_Investitori'!B93="","",'03_Investitori'!B93)</f>
        <v/>
      </c>
      <c r="B116" s="32" t="str">
        <f>IF('03_Investitori'!D93="","",'03_Investitori'!D93)</f>
        <v/>
      </c>
      <c r="C116" s="10" t="str">
        <f>IF('03_Investitori'!H93="","",'03_Investitori'!H93)</f>
        <v/>
      </c>
      <c r="D116" s="26">
        <f t="shared" si="13"/>
        <v>0</v>
      </c>
      <c r="E116" s="26">
        <f t="shared" ca="1" si="14"/>
        <v>0</v>
      </c>
      <c r="F116" s="26">
        <f t="shared" ca="1" si="15"/>
        <v>0</v>
      </c>
      <c r="G116" s="26">
        <f t="shared" ca="1" si="16"/>
        <v>0</v>
      </c>
      <c r="H116" s="26">
        <f t="shared" ca="1" si="17"/>
        <v>0</v>
      </c>
    </row>
    <row r="117" spans="1:8" x14ac:dyDescent="0.2">
      <c r="A117" s="31" t="str">
        <f>IF('03_Investitori'!B94="","",'03_Investitori'!B94)</f>
        <v/>
      </c>
      <c r="B117" s="32" t="str">
        <f>IF('03_Investitori'!D94="","",'03_Investitori'!D94)</f>
        <v/>
      </c>
      <c r="C117" s="10" t="str">
        <f>IF('03_Investitori'!H94="","",'03_Investitori'!H94)</f>
        <v/>
      </c>
      <c r="D117" s="26">
        <f t="shared" si="13"/>
        <v>0</v>
      </c>
      <c r="E117" s="26">
        <f t="shared" ca="1" si="14"/>
        <v>0</v>
      </c>
      <c r="F117" s="26">
        <f t="shared" ca="1" si="15"/>
        <v>0</v>
      </c>
      <c r="G117" s="26">
        <f t="shared" ca="1" si="16"/>
        <v>0</v>
      </c>
      <c r="H117" s="26">
        <f t="shared" ca="1" si="17"/>
        <v>0</v>
      </c>
    </row>
    <row r="118" spans="1:8" x14ac:dyDescent="0.2">
      <c r="A118" s="31" t="str">
        <f>IF('03_Investitori'!B95="","",'03_Investitori'!B95)</f>
        <v/>
      </c>
      <c r="B118" s="32" t="str">
        <f>IF('03_Investitori'!D95="","",'03_Investitori'!D95)</f>
        <v/>
      </c>
      <c r="C118" s="10" t="str">
        <f>IF('03_Investitori'!H95="","",'03_Investitori'!H95)</f>
        <v/>
      </c>
      <c r="D118" s="26">
        <f t="shared" si="13"/>
        <v>0</v>
      </c>
      <c r="E118" s="26">
        <f t="shared" ca="1" si="14"/>
        <v>0</v>
      </c>
      <c r="F118" s="26">
        <f t="shared" ca="1" si="15"/>
        <v>0</v>
      </c>
      <c r="G118" s="26">
        <f t="shared" ca="1" si="16"/>
        <v>0</v>
      </c>
      <c r="H118" s="26">
        <f t="shared" ca="1" si="17"/>
        <v>0</v>
      </c>
    </row>
    <row r="119" spans="1:8" x14ac:dyDescent="0.2">
      <c r="A119" s="31" t="str">
        <f>IF('03_Investitori'!B96="","",'03_Investitori'!B96)</f>
        <v/>
      </c>
      <c r="B119" s="32" t="str">
        <f>IF('03_Investitori'!D96="","",'03_Investitori'!D96)</f>
        <v/>
      </c>
      <c r="C119" s="10" t="str">
        <f>IF('03_Investitori'!H96="","",'03_Investitori'!H96)</f>
        <v/>
      </c>
      <c r="D119" s="26">
        <f t="shared" si="13"/>
        <v>0</v>
      </c>
      <c r="E119" s="26">
        <f t="shared" ca="1" si="14"/>
        <v>0</v>
      </c>
      <c r="F119" s="26">
        <f t="shared" ca="1" si="15"/>
        <v>0</v>
      </c>
      <c r="G119" s="26">
        <f t="shared" ca="1" si="16"/>
        <v>0</v>
      </c>
      <c r="H119" s="26">
        <f t="shared" ca="1" si="17"/>
        <v>0</v>
      </c>
    </row>
    <row r="120" spans="1:8" x14ac:dyDescent="0.2">
      <c r="A120" s="31" t="str">
        <f>IF('03_Investitori'!B97="","",'03_Investitori'!B97)</f>
        <v/>
      </c>
      <c r="B120" s="32" t="str">
        <f>IF('03_Investitori'!D97="","",'03_Investitori'!D97)</f>
        <v/>
      </c>
      <c r="C120" s="10" t="str">
        <f>IF('03_Investitori'!H97="","",'03_Investitori'!H97)</f>
        <v/>
      </c>
      <c r="D120" s="26">
        <f t="shared" si="13"/>
        <v>0</v>
      </c>
      <c r="E120" s="26">
        <f t="shared" ca="1" si="14"/>
        <v>0</v>
      </c>
      <c r="F120" s="26">
        <f t="shared" ca="1" si="15"/>
        <v>0</v>
      </c>
      <c r="G120" s="26">
        <f t="shared" ca="1" si="16"/>
        <v>0</v>
      </c>
      <c r="H120" s="26">
        <f t="shared" ca="1" si="17"/>
        <v>0</v>
      </c>
    </row>
    <row r="121" spans="1:8" x14ac:dyDescent="0.2">
      <c r="A121" s="31" t="str">
        <f>IF('03_Investitori'!B98="","",'03_Investitori'!B98)</f>
        <v/>
      </c>
      <c r="B121" s="32" t="str">
        <f>IF('03_Investitori'!D98="","",'03_Investitori'!D98)</f>
        <v/>
      </c>
      <c r="C121" s="10" t="str">
        <f>IF('03_Investitori'!H98="","",'03_Investitori'!H98)</f>
        <v/>
      </c>
      <c r="D121" s="26">
        <f t="shared" si="13"/>
        <v>0</v>
      </c>
      <c r="E121" s="26">
        <f t="shared" ca="1" si="14"/>
        <v>0</v>
      </c>
      <c r="F121" s="26">
        <f t="shared" ca="1" si="15"/>
        <v>0</v>
      </c>
      <c r="G121" s="26">
        <f t="shared" ca="1" si="16"/>
        <v>0</v>
      </c>
      <c r="H121" s="26">
        <f t="shared" ca="1" si="17"/>
        <v>0</v>
      </c>
    </row>
    <row r="122" spans="1:8" x14ac:dyDescent="0.2">
      <c r="A122" s="31" t="str">
        <f>IF('03_Investitori'!B99="","",'03_Investitori'!B99)</f>
        <v/>
      </c>
      <c r="B122" s="32" t="str">
        <f>IF('03_Investitori'!D99="","",'03_Investitori'!D99)</f>
        <v/>
      </c>
      <c r="C122" s="10" t="str">
        <f>IF('03_Investitori'!H99="","",'03_Investitori'!H99)</f>
        <v/>
      </c>
      <c r="D122" s="26">
        <f t="shared" si="13"/>
        <v>0</v>
      </c>
      <c r="E122" s="26">
        <f t="shared" ca="1" si="14"/>
        <v>0</v>
      </c>
      <c r="F122" s="26">
        <f t="shared" ca="1" si="15"/>
        <v>0</v>
      </c>
      <c r="G122" s="26">
        <f t="shared" ca="1" si="16"/>
        <v>0</v>
      </c>
      <c r="H122" s="26">
        <f t="shared" ca="1" si="17"/>
        <v>0</v>
      </c>
    </row>
    <row r="123" spans="1:8" x14ac:dyDescent="0.2">
      <c r="A123" s="31" t="str">
        <f>IF('03_Investitori'!B100="","",'03_Investitori'!B100)</f>
        <v/>
      </c>
      <c r="B123" s="32" t="str">
        <f>IF('03_Investitori'!D100="","",'03_Investitori'!D100)</f>
        <v/>
      </c>
      <c r="C123" s="10" t="str">
        <f>IF('03_Investitori'!H100="","",'03_Investitori'!H100)</f>
        <v/>
      </c>
      <c r="D123" s="26">
        <f t="shared" si="13"/>
        <v>0</v>
      </c>
      <c r="E123" s="26">
        <f t="shared" ca="1" si="14"/>
        <v>0</v>
      </c>
      <c r="F123" s="26">
        <f t="shared" ca="1" si="15"/>
        <v>0</v>
      </c>
      <c r="G123" s="26">
        <f t="shared" ca="1" si="16"/>
        <v>0</v>
      </c>
      <c r="H123" s="26">
        <f t="shared" ca="1" si="17"/>
        <v>0</v>
      </c>
    </row>
    <row r="124" spans="1:8" x14ac:dyDescent="0.2">
      <c r="A124" s="31" t="str">
        <f>IF('03_Investitori'!B101="","",'03_Investitori'!B101)</f>
        <v/>
      </c>
      <c r="B124" s="32" t="str">
        <f>IF('03_Investitori'!D101="","",'03_Investitori'!D101)</f>
        <v/>
      </c>
      <c r="C124" s="10" t="str">
        <f>IF('03_Investitori'!H101="","",'03_Investitori'!H101)</f>
        <v/>
      </c>
      <c r="D124" s="26">
        <f t="shared" ref="D124:D155" si="19">N101</f>
        <v>0</v>
      </c>
      <c r="E124" s="26">
        <f t="shared" ca="1" si="14"/>
        <v>0</v>
      </c>
      <c r="F124" s="26">
        <f t="shared" ca="1" si="15"/>
        <v>0</v>
      </c>
      <c r="G124" s="26">
        <f t="shared" ca="1" si="16"/>
        <v>0</v>
      </c>
      <c r="H124" s="26">
        <f t="shared" ref="H124:H155" ca="1" si="20">E124+F124+G124</f>
        <v>0</v>
      </c>
    </row>
    <row r="125" spans="1:8" x14ac:dyDescent="0.2">
      <c r="A125" s="31" t="str">
        <f>IF('03_Investitori'!B102="","",'03_Investitori'!B102)</f>
        <v/>
      </c>
      <c r="B125" s="32" t="str">
        <f>IF('03_Investitori'!D102="","",'03_Investitori'!D102)</f>
        <v/>
      </c>
      <c r="C125" s="10" t="str">
        <f>IF('03_Investitori'!H102="","",'03_Investitori'!H102)</f>
        <v/>
      </c>
      <c r="D125" s="26">
        <f t="shared" si="19"/>
        <v>0</v>
      </c>
      <c r="E125" s="26">
        <f t="shared" ca="1" si="14"/>
        <v>0</v>
      </c>
      <c r="F125" s="26">
        <f t="shared" ca="1" si="15"/>
        <v>0</v>
      </c>
      <c r="G125" s="26">
        <f t="shared" ca="1" si="16"/>
        <v>0</v>
      </c>
      <c r="H125" s="26">
        <f t="shared" ca="1" si="20"/>
        <v>0</v>
      </c>
    </row>
    <row r="126" spans="1:8" x14ac:dyDescent="0.2">
      <c r="A126" s="31" t="str">
        <f>IF('03_Investitori'!B103="","",'03_Investitori'!B103)</f>
        <v/>
      </c>
      <c r="B126" s="32" t="str">
        <f>IF('03_Investitori'!D103="","",'03_Investitori'!D103)</f>
        <v/>
      </c>
      <c r="C126" s="10" t="str">
        <f>IF('03_Investitori'!H103="","",'03_Investitori'!H103)</f>
        <v/>
      </c>
      <c r="D126" s="26">
        <f t="shared" si="19"/>
        <v>0</v>
      </c>
      <c r="E126" s="26">
        <f t="shared" ca="1" si="14"/>
        <v>0</v>
      </c>
      <c r="F126" s="26">
        <f t="shared" ca="1" si="15"/>
        <v>0</v>
      </c>
      <c r="G126" s="26">
        <f t="shared" ca="1" si="16"/>
        <v>0</v>
      </c>
      <c r="H126" s="26">
        <f t="shared" ca="1" si="20"/>
        <v>0</v>
      </c>
    </row>
    <row r="127" spans="1:8" x14ac:dyDescent="0.2">
      <c r="A127" s="31" t="str">
        <f>IF('03_Investitori'!B104="","",'03_Investitori'!B104)</f>
        <v/>
      </c>
      <c r="B127" s="32" t="str">
        <f>IF('03_Investitori'!D104="","",'03_Investitori'!D104)</f>
        <v/>
      </c>
      <c r="C127" s="10" t="str">
        <f>IF('03_Investitori'!H104="","",'03_Investitori'!H104)</f>
        <v/>
      </c>
      <c r="D127" s="26">
        <f t="shared" si="19"/>
        <v>0</v>
      </c>
      <c r="E127" s="26">
        <f t="shared" ca="1" si="14"/>
        <v>0</v>
      </c>
      <c r="F127" s="26">
        <f t="shared" ca="1" si="15"/>
        <v>0</v>
      </c>
      <c r="G127" s="26">
        <f t="shared" ca="1" si="16"/>
        <v>0</v>
      </c>
      <c r="H127" s="26">
        <f t="shared" ca="1" si="20"/>
        <v>0</v>
      </c>
    </row>
  </sheetData>
  <mergeCells count="5">
    <mergeCell ref="A4:B4"/>
    <mergeCell ref="A2:I2"/>
    <mergeCell ref="A1:I1"/>
    <mergeCell ref="A26:G26"/>
    <mergeCell ref="A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6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60" customWidth="1"/>
    <col min="3" max="3" width="30" customWidth="1"/>
    <col min="4" max="4" width="25" customWidth="1"/>
    <col min="5" max="5" width="35" customWidth="1"/>
  </cols>
  <sheetData>
    <row r="1" spans="1:5" ht="19" x14ac:dyDescent="0.25">
      <c r="A1" s="80" t="s">
        <v>463</v>
      </c>
    </row>
    <row r="2" spans="1:5" x14ac:dyDescent="0.2">
      <c r="A2" s="81" t="s">
        <v>464</v>
      </c>
    </row>
    <row r="4" spans="1:5" ht="16" x14ac:dyDescent="0.2">
      <c r="A4" s="82" t="s">
        <v>2</v>
      </c>
      <c r="B4" s="82" t="s">
        <v>465</v>
      </c>
      <c r="C4" s="82" t="s">
        <v>466</v>
      </c>
      <c r="D4" s="82" t="s">
        <v>467</v>
      </c>
      <c r="E4" s="82" t="s">
        <v>468</v>
      </c>
    </row>
    <row r="5" spans="1:5" x14ac:dyDescent="0.2">
      <c r="A5" s="83">
        <v>1</v>
      </c>
      <c r="B5" s="84" t="s">
        <v>469</v>
      </c>
      <c r="C5" s="84" t="s">
        <v>470</v>
      </c>
      <c r="D5" s="84">
        <f ca="1">'13_Waterfall'!B22</f>
        <v>1971514.4958473404</v>
      </c>
      <c r="E5" s="83" t="str">
        <f ca="1">IF(ABS('13_Waterfall'!B22-NAV_Curr)&lt;0.01,"OK","DIFF: "&amp;TEXT('13_Waterfall'!B22-NAV_Curr,"#,##0.00"))</f>
        <v>OK</v>
      </c>
    </row>
    <row r="6" spans="1:5" x14ac:dyDescent="0.2">
      <c r="A6" s="83">
        <v>2</v>
      </c>
      <c r="B6" s="84" t="s">
        <v>471</v>
      </c>
      <c r="C6" s="84" t="s">
        <v>472</v>
      </c>
      <c r="D6" s="84">
        <f>SUM('03_Investitori'!$H$5:$H$104)</f>
        <v>2000000</v>
      </c>
      <c r="E6" s="83" t="str">
        <f ca="1">IF(ABS(SUM('03_Investitori'!$H$5:$H$104)-Capital_Tot)&lt;0.01,"OK","DIFF: "&amp;TEXT(SUM('03_Investitori'!$H$5:$H$104)-Capital_Tot,"#,##0.00"))</f>
        <v>OK</v>
      </c>
    </row>
    <row r="7" spans="1:5" x14ac:dyDescent="0.2">
      <c r="A7" s="83">
        <v>3</v>
      </c>
      <c r="B7" s="84" t="s">
        <v>473</v>
      </c>
      <c r="C7" s="84" t="s">
        <v>474</v>
      </c>
      <c r="D7" s="84">
        <f>'09_Posizioni'!O60</f>
        <v>1069752.7439999999</v>
      </c>
      <c r="E7" s="83" t="str">
        <f>IF('09_Posizioni'!O60&gt;0,"OK","DIFF: MV Spot non positivo")</f>
        <v>OK</v>
      </c>
    </row>
    <row r="8" spans="1:5" x14ac:dyDescent="0.2">
      <c r="A8" s="83">
        <v>4</v>
      </c>
      <c r="B8" s="84" t="s">
        <v>475</v>
      </c>
      <c r="C8" s="84" t="s">
        <v>474</v>
      </c>
      <c r="D8" s="84">
        <f>Listed_Tot_Cost</f>
        <v>1084431.3157000002</v>
      </c>
      <c r="E8" s="83" t="str">
        <f>IF(Listed_Tot_Cost&gt;0,"OK","DIFF: cost negativo")</f>
        <v>OK</v>
      </c>
    </row>
    <row r="9" spans="1:5" x14ac:dyDescent="0.2">
      <c r="A9" s="83">
        <v>5</v>
      </c>
      <c r="B9" s="84" t="s">
        <v>476</v>
      </c>
      <c r="C9" s="84" t="s">
        <v>477</v>
      </c>
      <c r="D9" s="84">
        <f>IFERROR(ABS(MV_Listed_Tot-Listed_Tot_Cost)/Listed_Tot_Cost,1)</f>
        <v>1.3535732035297404E-2</v>
      </c>
      <c r="E9" s="83" t="str">
        <f>IF(IFERROR(ABS(MV_Listed_Tot-Listed_Tot_Cost)/Listed_Tot_Cost,1)&lt;0.3,"OK","DIFF: scostamento elevato")</f>
        <v>OK</v>
      </c>
    </row>
    <row r="10" spans="1:5" x14ac:dyDescent="0.2">
      <c r="A10" s="83">
        <v>6</v>
      </c>
      <c r="B10" s="84" t="s">
        <v>478</v>
      </c>
      <c r="C10" s="84" t="s">
        <v>479</v>
      </c>
      <c r="D10" s="84">
        <f>COUNTIF('04_Trades'!$E$5:$E$1004,"VERIFY-*")</f>
        <v>1</v>
      </c>
      <c r="E10" s="83" t="str">
        <f>IF(COUNTIF('04_Trades'!$E$5:$E$1004,"VERIFY-*")=0,"OK","DIFF: "&amp;COUNTIF('04_Trades'!$E$5:$E$1004,"VERIFY-*")&amp;" placeholder da risolvere")</f>
        <v>DIFF: 1 placeholder da risolvere</v>
      </c>
    </row>
    <row r="11" spans="1:5" x14ac:dyDescent="0.2">
      <c r="A11" s="83">
        <v>7</v>
      </c>
      <c r="B11" s="84" t="s">
        <v>480</v>
      </c>
      <c r="C11" s="84" t="s">
        <v>481</v>
      </c>
      <c r="D11" s="84">
        <f>COUNTA('02_FX_Rates'!$C$5:$C$10)</f>
        <v>0</v>
      </c>
      <c r="E11" s="83" t="str">
        <f>IF(COUNTA('02_FX_Rates'!$C$5:$C$10)&gt;=6,"OK","DIFF: date FX mancanti, "&amp;(6-COUNTA('02_FX_Rates'!$C$5:$C$10))&amp;" su 6")</f>
        <v>DIFF: date FX mancanti, 6 su 6</v>
      </c>
    </row>
    <row r="12" spans="1:5" x14ac:dyDescent="0.2">
      <c r="A12" s="83">
        <v>8</v>
      </c>
      <c r="B12" s="84" t="s">
        <v>482</v>
      </c>
      <c r="C12" s="84" t="s">
        <v>470</v>
      </c>
      <c r="D12" s="84">
        <f ca="1">INDEX('10_NAV_Mensile'!$M$5:$M$124,COUNT('10_NAV_Mensile'!$B$5:$B$124))</f>
        <v>1993987.47</v>
      </c>
      <c r="E12" s="83" t="str">
        <f ca="1">IF(ABS(INDEX('10_NAV_Mensile'!$M$5:$M$124,COUNT('10_NAV_Mensile'!$B$5:$B$124))-NAV_Curr)&lt;NAV_Curr*0.05,"OK","DIFF: scostamento &gt;5% tra NAV mensile e NAV snapshot")</f>
        <v>OK</v>
      </c>
    </row>
    <row r="13" spans="1:5" x14ac:dyDescent="0.2">
      <c r="A13" s="83">
        <v>9</v>
      </c>
      <c r="B13" s="84" t="s">
        <v>483</v>
      </c>
      <c r="C13" s="84" t="s">
        <v>484</v>
      </c>
      <c r="D13" s="84">
        <f>SUM('03_Investitori'!$J$5:$J$104)</f>
        <v>2000000</v>
      </c>
      <c r="E13" s="83" t="str">
        <f ca="1">IF(ABS(SUM('03_Investitori'!$J$5:$J$104)-Units_Curr)&lt;0.01,"OK","DIFF: "&amp;TEXT(SUM('03_Investitori'!$J$5:$J$104)-Units_Curr,"#,##0.00"))</f>
        <v>OK</v>
      </c>
    </row>
    <row r="14" spans="1:5" x14ac:dyDescent="0.2">
      <c r="A14" s="83">
        <v>10</v>
      </c>
      <c r="B14" s="84" t="s">
        <v>485</v>
      </c>
      <c r="C14" s="84" t="s">
        <v>486</v>
      </c>
      <c r="D14" s="84">
        <f ca="1">'11_Performance'!B26</f>
        <v>0</v>
      </c>
      <c r="E14" s="83" t="str">
        <f ca="1">IF(AND('11_Performance'!B26=0,ABS(NAV_Curr-Capital_Tot)&gt;1),"DIFF: CAGR=0 sospetto","OK")</f>
        <v>DIFF: CAGR=0 sospetto</v>
      </c>
    </row>
    <row r="16" spans="1:5" x14ac:dyDescent="0.2">
      <c r="A16" s="81" t="s">
        <v>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15</vt:i4>
      </vt:variant>
      <vt:variant>
        <vt:lpstr>Intervalli denominati</vt:lpstr>
      </vt:variant>
      <vt:variant>
        <vt:i4>13</vt:i4>
      </vt:variant>
    </vt:vector>
  </HeadingPairs>
  <TitlesOfParts>
    <vt:vector size="28" baseType="lpstr">
      <vt:lpstr>00_Dashboard</vt:lpstr>
      <vt:lpstr>01_Assumptions</vt:lpstr>
      <vt:lpstr>02_FX_Rates</vt:lpstr>
      <vt:lpstr>03_Investitori</vt:lpstr>
      <vt:lpstr>04_Trades</vt:lpstr>
      <vt:lpstr>05_Dividendi_Interessi</vt:lpstr>
      <vt:lpstr>06_Partecipazioni</vt:lpstr>
      <vt:lpstr>07_Prestiti</vt:lpstr>
      <vt:lpstr>08_PL_Operativa</vt:lpstr>
      <vt:lpstr>09_Posizioni</vt:lpstr>
      <vt:lpstr>10_NAV_Mensile</vt:lpstr>
      <vt:lpstr>11_Performance</vt:lpstr>
      <vt:lpstr>12_Perf_Investitori</vt:lpstr>
      <vt:lpstr>13_Waterfall</vt:lpstr>
      <vt:lpstr>99_Integrity</vt:lpstr>
      <vt:lpstr>Capital_Tot</vt:lpstr>
      <vt:lpstr>CatchUpPct</vt:lpstr>
      <vt:lpstr>DataOggi</vt:lpstr>
      <vt:lpstr>GPCarry</vt:lpstr>
      <vt:lpstr>Hurdle</vt:lpstr>
      <vt:lpstr>Listed_Tot_Cost</vt:lpstr>
      <vt:lpstr>LPSplit</vt:lpstr>
      <vt:lpstr>MV_Listed_Tot</vt:lpstr>
      <vt:lpstr>NAV_Curr</vt:lpstr>
      <vt:lpstr>NAVperUnit_Curr</vt:lpstr>
      <vt:lpstr>RiskFree</vt:lpstr>
      <vt:lpstr>Subscription_Pricing_Policy</vt:lpstr>
      <vt:lpstr>Units_Curr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Dario Montagnese</cp:lastModifiedBy>
  <cp:revision>0</cp:revision>
  <dcterms:created xsi:type="dcterms:W3CDTF">2026-05-13T17:06:25Z</dcterms:created>
  <dcterms:modified xsi:type="dcterms:W3CDTF">2026-05-18T11:09:45Z</dcterms:modified>
  <dc:language>en-US</dc:language>
</cp:coreProperties>
</file>